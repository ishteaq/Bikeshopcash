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3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ings" sheetId="1" state="visible" r:id="rId3"/>
    <sheet name="Products" sheetId="2" state="visible" r:id="rId4"/>
    <sheet name="Purchases" sheetId="3" state="visible" r:id="rId5"/>
    <sheet name="Sales_Memo" sheetId="4" state="visible" r:id="rId6"/>
    <sheet name="Sales_Items" sheetId="5" state="visible" r:id="rId7"/>
    <sheet name="Due_Payments" sheetId="6" state="visible" r:id="rId8"/>
    <sheet name="Stock" sheetId="7" state="visible" r:id="rId9"/>
    <sheet name="Running_Costs" sheetId="8" state="visible" r:id="rId10"/>
    <sheet name="Fixed_Costs" sheetId="9" state="visible" r:id="rId11"/>
    <sheet name="Owner_Capital" sheetId="10" state="visible" r:id="rId12"/>
    <sheet name="Profit" sheetId="11" state="visible" r:id="rId13"/>
    <sheet name="Reinvestment" sheetId="12" state="visible" r:id="rId14"/>
    <sheet name="Dashboard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<sst xmlns="http://schemas.openxmlformats.org/spreadsheetml/2006/main" count="6261" uniqueCount="1232">
  <si>
    <t xml:space="preserve">SHOP SETTINGS</t>
  </si>
  <si>
    <t xml:space="preserve">DROP-DOWN LISTS (edit/add below the headers)</t>
  </si>
  <si>
    <t xml:space="preserve">Product Categories</t>
  </si>
  <si>
    <t xml:space="preserve">Units</t>
  </si>
  <si>
    <t xml:space="preserve">Payment Methods</t>
  </si>
  <si>
    <t xml:space="preserve">Running Cost Categories</t>
  </si>
  <si>
    <t xml:space="preserve">Fixed Cost Categories</t>
  </si>
  <si>
    <t xml:space="preserve">Partners</t>
  </si>
  <si>
    <t xml:space="preserve">Profit Share %</t>
  </si>
  <si>
    <t xml:space="preserve">Shop name</t>
  </si>
  <si>
    <t xml:space="preserve">My Bike Parts Shop</t>
  </si>
  <si>
    <t xml:space="preserve">Engine Parts</t>
  </si>
  <si>
    <t xml:space="preserve">Pcs</t>
  </si>
  <si>
    <t xml:space="preserve">Cash</t>
  </si>
  <si>
    <t xml:space="preserve">Electricity</t>
  </si>
  <si>
    <t xml:space="preserve">Decoration</t>
  </si>
  <si>
    <t xml:space="preserve">Partner 1</t>
  </si>
  <si>
    <t xml:space="preserve">Address</t>
  </si>
  <si>
    <t xml:space="preserve">Chattogram, Bangladesh</t>
  </si>
  <si>
    <t xml:space="preserve">Brakes &amp; Clutch</t>
  </si>
  <si>
    <t xml:space="preserve">Kg</t>
  </si>
  <si>
    <t xml:space="preserve">bKash</t>
  </si>
  <si>
    <t xml:space="preserve">Internet</t>
  </si>
  <si>
    <t xml:space="preserve">Furniture</t>
  </si>
  <si>
    <t xml:space="preserve">Partner 2</t>
  </si>
  <si>
    <t xml:space="preserve">Phone</t>
  </si>
  <si>
    <t xml:space="preserve">01XXXXXXXXX</t>
  </si>
  <si>
    <t xml:space="preserve">Electrical</t>
  </si>
  <si>
    <t xml:space="preserve">Box</t>
  </si>
  <si>
    <t xml:space="preserve">Nagad</t>
  </si>
  <si>
    <t xml:space="preserve">Salary</t>
  </si>
  <si>
    <t xml:space="preserve">Equipment</t>
  </si>
  <si>
    <t xml:space="preserve">Partner 3</t>
  </si>
  <si>
    <t xml:space="preserve">Memo prefix</t>
  </si>
  <si>
    <t xml:space="preserve">INV-</t>
  </si>
  <si>
    <t xml:space="preserve">Tyres &amp; Wheels</t>
  </si>
  <si>
    <t xml:space="preserve">Set</t>
  </si>
  <si>
    <t xml:space="preserve">Card</t>
  </si>
  <si>
    <t xml:space="preserve">Rent</t>
  </si>
  <si>
    <t xml:space="preserve">Repair</t>
  </si>
  <si>
    <t xml:space="preserve">Currency symbol</t>
  </si>
  <si>
    <t xml:space="preserve">৳</t>
  </si>
  <si>
    <t xml:space="preserve">Lubricants</t>
  </si>
  <si>
    <t xml:space="preserve">Ft</t>
  </si>
  <si>
    <t xml:space="preserve">Bank</t>
  </si>
  <si>
    <t xml:space="preserve">Transport</t>
  </si>
  <si>
    <t xml:space="preserve">Materials</t>
  </si>
  <si>
    <t xml:space="preserve">Default low-stock threshold</t>
  </si>
  <si>
    <t xml:space="preserve">Accessories &amp; Safety</t>
  </si>
  <si>
    <t xml:space="preserve">Litre</t>
  </si>
  <si>
    <t xml:space="preserve">Other</t>
  </si>
  <si>
    <t xml:space="preserve">Report year (drives Profit, Reinvestment, Dashboard)</t>
  </si>
  <si>
    <t xml:space="preserve">Pair</t>
  </si>
  <si>
    <t xml:space="preserve">Opening cash in hand (start of report year)</t>
  </si>
  <si>
    <t xml:space="preserve">First year for yearly table</t>
  </si>
  <si>
    <t xml:space="preserve">Max discount % (warn above)</t>
  </si>
  <si>
    <t xml:space="preserve">Max buy-price change % (warn above)</t>
  </si>
  <si>
    <t xml:space="preserve">HOW TO USE THIS WORKBOOK</t>
  </si>
  <si>
    <t xml:space="preserve">Blue header + blue text = you (or the app) type/write here.</t>
  </si>
  <si>
    <t xml:space="preserve">Grey header + grey cells = formulas. Never type in them.</t>
  </si>
  <si>
    <t xml:space="preserve">Row 2 of Products, Purchases, Sales_Memo, Sales_Items, Due_Payments, Running_Costs, Fixed_Costs and Owner_Capital holds an EXAMPLE row. Delete it before real use.</t>
  </si>
  <si>
    <t xml:space="preserve">Stock is never typed: Current = Opening + Purchased - Sold.</t>
  </si>
  <si>
    <t xml:space="preserve">Sales_Items 'Buy Price at Sale' is a snapshot written by the app at the time of sale, so old profit stays correct if prices change.</t>
  </si>
  <si>
    <t xml:space="preserve">Amount in Words (Sales_Memo) is generated by the app (English, lakh/crore). It is typed in the example only.</t>
  </si>
  <si>
    <t xml:space="preserve">Dashboard cost-category tables show the first 6 categories in each Settings list.</t>
  </si>
  <si>
    <t xml:space="preserve">Code</t>
  </si>
  <si>
    <t xml:space="preserve">Name</t>
  </si>
  <si>
    <t xml:space="preserve">Category</t>
  </si>
  <si>
    <t xml:space="preserve">Unit</t>
  </si>
  <si>
    <t xml:space="preserve">Buy Price</t>
  </si>
  <si>
    <t xml:space="preserve">Sell Price</t>
  </si>
  <si>
    <t xml:space="preserve">Min Stock Alert</t>
  </si>
  <si>
    <t xml:space="preserve">Supplier</t>
  </si>
  <si>
    <t xml:space="preserve">Opening Stock</t>
  </si>
  <si>
    <t xml:space="preserve">Active (Y/N)</t>
  </si>
  <si>
    <t xml:space="preserve">Margin %</t>
  </si>
  <si>
    <t xml:space="preserve">Brand</t>
  </si>
  <si>
    <t xml:space="preserve">BP001</t>
  </si>
  <si>
    <t xml:space="preserve">Brake Pad Set - Front</t>
  </si>
  <si>
    <t xml:space="preserve">Chattogram Parts Hub</t>
  </si>
  <si>
    <t xml:space="preserve">Y</t>
  </si>
  <si>
    <t xml:space="preserve">TVS</t>
  </si>
  <si>
    <t xml:space="preserve">BP002</t>
  </si>
  <si>
    <t xml:space="preserve">Clutch Cable</t>
  </si>
  <si>
    <t xml:space="preserve">Rahim Auto Traders</t>
  </si>
  <si>
    <t xml:space="preserve">Bajaj</t>
  </si>
  <si>
    <t xml:space="preserve">BP003</t>
  </si>
  <si>
    <t xml:space="preserve">Spark Plug CPR8EA-9</t>
  </si>
  <si>
    <t xml:space="preserve">Dhaka Moto Supply</t>
  </si>
  <si>
    <t xml:space="preserve">NGK</t>
  </si>
  <si>
    <t xml:space="preserve">BP004</t>
  </si>
  <si>
    <t xml:space="preserve">Air Filter 150cc</t>
  </si>
  <si>
    <t xml:space="preserve">Honda</t>
  </si>
  <si>
    <t xml:space="preserve">BP005</t>
  </si>
  <si>
    <t xml:space="preserve">Chain &amp; Sprocket Kit</t>
  </si>
  <si>
    <t xml:space="preserve">Yamaha</t>
  </si>
  <si>
    <t xml:space="preserve">BP006</t>
  </si>
  <si>
    <t xml:space="preserve">Engine Oil 10W-30 (1L)</t>
  </si>
  <si>
    <t xml:space="preserve">Castrol</t>
  </si>
  <si>
    <t xml:space="preserve">BP007</t>
  </si>
  <si>
    <t xml:space="preserve">Engine Oil 20W-50 (1L)</t>
  </si>
  <si>
    <t xml:space="preserve">Motul</t>
  </si>
  <si>
    <t xml:space="preserve">BP008</t>
  </si>
  <si>
    <t xml:space="preserve">Headlight Bulb H4</t>
  </si>
  <si>
    <t xml:space="preserve">Bosch</t>
  </si>
  <si>
    <t xml:space="preserve">BP009</t>
  </si>
  <si>
    <t xml:space="preserve">Battery 12V 5Ah</t>
  </si>
  <si>
    <t xml:space="preserve">Exide</t>
  </si>
  <si>
    <t xml:space="preserve">BP010</t>
  </si>
  <si>
    <t xml:space="preserve">Tyre 90/90-17 Rear</t>
  </si>
  <si>
    <t xml:space="preserve">MRF</t>
  </si>
  <si>
    <t xml:space="preserve">BP011</t>
  </si>
  <si>
    <t xml:space="preserve">Tyre 80/100-18 Front</t>
  </si>
  <si>
    <t xml:space="preserve">CEAT</t>
  </si>
  <si>
    <t xml:space="preserve">BP012</t>
  </si>
  <si>
    <t xml:space="preserve">Side Mirror (Pair)</t>
  </si>
  <si>
    <t xml:space="preserve">BP013</t>
  </si>
  <si>
    <t xml:space="preserve">Helmet Full Face</t>
  </si>
  <si>
    <t xml:space="preserve">Steelbird</t>
  </si>
  <si>
    <t xml:space="preserve">BP014</t>
  </si>
  <si>
    <t xml:space="preserve">Chain Lube Spray</t>
  </si>
  <si>
    <t xml:space="preserve">BP015</t>
  </si>
  <si>
    <t xml:space="preserve">Handle Grip Set</t>
  </si>
  <si>
    <t xml:space="preserve">Vega</t>
  </si>
  <si>
    <t xml:space="preserve">Date</t>
  </si>
  <si>
    <t xml:space="preserve">Product Code</t>
  </si>
  <si>
    <t xml:space="preserve">Product Name</t>
  </si>
  <si>
    <t xml:space="preserve">Qty</t>
  </si>
  <si>
    <t xml:space="preserve">Unit Cost</t>
  </si>
  <si>
    <t xml:space="preserve">Total</t>
  </si>
  <si>
    <t xml:space="preserve">Invoice No</t>
  </si>
  <si>
    <t xml:space="preserve">PUR-001</t>
  </si>
  <si>
    <t xml:space="preserve">PUR-002</t>
  </si>
  <si>
    <t xml:space="preserve">PUR-003</t>
  </si>
  <si>
    <t xml:space="preserve">PUR-004</t>
  </si>
  <si>
    <t xml:space="preserve">PUR-005</t>
  </si>
  <si>
    <t xml:space="preserve">PUR-006</t>
  </si>
  <si>
    <t xml:space="preserve">PUR-007</t>
  </si>
  <si>
    <t xml:space="preserve">PUR-008</t>
  </si>
  <si>
    <t xml:space="preserve">PUR-009</t>
  </si>
  <si>
    <t xml:space="preserve">PUR-010</t>
  </si>
  <si>
    <t xml:space="preserve">PUR-011</t>
  </si>
  <si>
    <t xml:space="preserve">PUR-012</t>
  </si>
  <si>
    <t xml:space="preserve">PUR-013</t>
  </si>
  <si>
    <t xml:space="preserve">PUR-014</t>
  </si>
  <si>
    <t xml:space="preserve">PUR-015</t>
  </si>
  <si>
    <t xml:space="preserve">PUR-016</t>
  </si>
  <si>
    <t xml:space="preserve">PUR-017</t>
  </si>
  <si>
    <t xml:space="preserve">PUR-018</t>
  </si>
  <si>
    <t xml:space="preserve">PUR-019</t>
  </si>
  <si>
    <t xml:space="preserve">PUR-020</t>
  </si>
  <si>
    <t xml:space="preserve">PUR-021</t>
  </si>
  <si>
    <t xml:space="preserve">PUR-022</t>
  </si>
  <si>
    <t xml:space="preserve">PUR-023</t>
  </si>
  <si>
    <t xml:space="preserve">PUR-024</t>
  </si>
  <si>
    <t xml:space="preserve">PUR-025</t>
  </si>
  <si>
    <t xml:space="preserve">PUR-026</t>
  </si>
  <si>
    <t xml:space="preserve">PUR-027</t>
  </si>
  <si>
    <t xml:space="preserve">PUR-028</t>
  </si>
  <si>
    <t xml:space="preserve">PUR-029</t>
  </si>
  <si>
    <t xml:space="preserve">PUR-030</t>
  </si>
  <si>
    <t xml:space="preserve">PUR-031</t>
  </si>
  <si>
    <t xml:space="preserve">PUR-032</t>
  </si>
  <si>
    <t xml:space="preserve">PUR-033</t>
  </si>
  <si>
    <t xml:space="preserve">PUR-034</t>
  </si>
  <si>
    <t xml:space="preserve">PUR-035</t>
  </si>
  <si>
    <t xml:space="preserve">PUR-036</t>
  </si>
  <si>
    <t xml:space="preserve">PUR-037</t>
  </si>
  <si>
    <t xml:space="preserve">PUR-038</t>
  </si>
  <si>
    <t xml:space="preserve">PUR-039</t>
  </si>
  <si>
    <t xml:space="preserve">PUR-040</t>
  </si>
  <si>
    <t xml:space="preserve">PUR-041</t>
  </si>
  <si>
    <t xml:space="preserve">PUR-042</t>
  </si>
  <si>
    <t xml:space="preserve">PUR-043</t>
  </si>
  <si>
    <t xml:space="preserve">PUR-044</t>
  </si>
  <si>
    <t xml:space="preserve">PUR-045</t>
  </si>
  <si>
    <t xml:space="preserve">PUR-046</t>
  </si>
  <si>
    <t xml:space="preserve">PUR-047</t>
  </si>
  <si>
    <t xml:space="preserve">PUR-048</t>
  </si>
  <si>
    <t xml:space="preserve">PUR-049</t>
  </si>
  <si>
    <t xml:space="preserve">PUR-050</t>
  </si>
  <si>
    <t xml:space="preserve">PUR-051</t>
  </si>
  <si>
    <t xml:space="preserve">PUR-052</t>
  </si>
  <si>
    <t xml:space="preserve">PUR-053</t>
  </si>
  <si>
    <t xml:space="preserve">PUR-054</t>
  </si>
  <si>
    <t xml:space="preserve">PUR-055</t>
  </si>
  <si>
    <t xml:space="preserve">Memo No</t>
  </si>
  <si>
    <t xml:space="preserve">Customer Name</t>
  </si>
  <si>
    <t xml:space="preserve">Subtotal</t>
  </si>
  <si>
    <t xml:space="preserve">Discount</t>
  </si>
  <si>
    <t xml:space="preserve">Grand Total</t>
  </si>
  <si>
    <t xml:space="preserve">Paid at Sale</t>
  </si>
  <si>
    <t xml:space="preserve">Collected Later</t>
  </si>
  <si>
    <t xml:space="preserve">Due</t>
  </si>
  <si>
    <t xml:space="preserve">Payment Method</t>
  </si>
  <si>
    <t xml:space="preserve">Amount in Words</t>
  </si>
  <si>
    <t xml:space="preserve">Note</t>
  </si>
  <si>
    <t xml:space="preserve">INV-0001</t>
  </si>
  <si>
    <t xml:space="preserve">Monir Auto</t>
  </si>
  <si>
    <t xml:space="preserve">01795154811</t>
  </si>
  <si>
    <t xml:space="preserve">Taka Nine Hundred Forty Only</t>
  </si>
  <si>
    <t xml:space="preserve">INV-0002</t>
  </si>
  <si>
    <t xml:space="preserve">Shakil Auto</t>
  </si>
  <si>
    <t xml:space="preserve">01794541427</t>
  </si>
  <si>
    <t xml:space="preserve">Taka Two Thousand Two Hundred Twenty Only</t>
  </si>
  <si>
    <t xml:space="preserve">INV-0003</t>
  </si>
  <si>
    <t xml:space="preserve">Jahid Auto</t>
  </si>
  <si>
    <t xml:space="preserve">01715621083</t>
  </si>
  <si>
    <t xml:space="preserve">Taka Nine Hundred Ninety Only</t>
  </si>
  <si>
    <t xml:space="preserve">INV-0004</t>
  </si>
  <si>
    <t xml:space="preserve">Alamgir Auto</t>
  </si>
  <si>
    <t xml:space="preserve">01797767996</t>
  </si>
  <si>
    <t xml:space="preserve">INV-0005</t>
  </si>
  <si>
    <t xml:space="preserve">Jamal Auto</t>
  </si>
  <si>
    <t xml:space="preserve">01770643907</t>
  </si>
  <si>
    <t xml:space="preserve">Taka Three Hundred Thirty Only</t>
  </si>
  <si>
    <t xml:space="preserve">INV-0006</t>
  </si>
  <si>
    <t xml:space="preserve">Karim Auto</t>
  </si>
  <si>
    <t xml:space="preserve">01785131377</t>
  </si>
  <si>
    <t xml:space="preserve">Taka Six Hundred Thirty Only</t>
  </si>
  <si>
    <t xml:space="preserve">INV-0007</t>
  </si>
  <si>
    <t xml:space="preserve">Kabir Auto</t>
  </si>
  <si>
    <t xml:space="preserve">01778707214</t>
  </si>
  <si>
    <t xml:space="preserve">Taka Three Hundred Eighty Only</t>
  </si>
  <si>
    <t xml:space="preserve">INV-0008</t>
  </si>
  <si>
    <t xml:space="preserve">Rahim Auto</t>
  </si>
  <si>
    <t xml:space="preserve">01770717355</t>
  </si>
  <si>
    <t xml:space="preserve">Taka Two Thousand Three Hundred Fifty Only</t>
  </si>
  <si>
    <t xml:space="preserve">INV-0009</t>
  </si>
  <si>
    <t xml:space="preserve">Sajid Auto</t>
  </si>
  <si>
    <t xml:space="preserve">01769940718</t>
  </si>
  <si>
    <t xml:space="preserve">Taka Eight Hundred Seventy Only</t>
  </si>
  <si>
    <t xml:space="preserve">INV-0010</t>
  </si>
  <si>
    <t xml:space="preserve">Taka Eight Hundred Ten Only</t>
  </si>
  <si>
    <t xml:space="preserve">INV-0011</t>
  </si>
  <si>
    <t xml:space="preserve">Taka Two Hundred Eighty Only</t>
  </si>
  <si>
    <t xml:space="preserve">INV-0012</t>
  </si>
  <si>
    <t xml:space="preserve">Taka Three Hundred Forty Only</t>
  </si>
  <si>
    <t xml:space="preserve">INV-0013</t>
  </si>
  <si>
    <t xml:space="preserve">Taka Six Hundred Eighty Only</t>
  </si>
  <si>
    <t xml:space="preserve">INV-0014</t>
  </si>
  <si>
    <t xml:space="preserve">Nasir Auto</t>
  </si>
  <si>
    <t xml:space="preserve">01778161301</t>
  </si>
  <si>
    <t xml:space="preserve">Taka Eight Hundred Forty Only</t>
  </si>
  <si>
    <t xml:space="preserve">INV-0015</t>
  </si>
  <si>
    <t xml:space="preserve">Taka One Thousand One Hundred Ninety Only</t>
  </si>
  <si>
    <t xml:space="preserve">INV-0016</t>
  </si>
  <si>
    <t xml:space="preserve">Taka One Thousand Five Hundred Twenty Only</t>
  </si>
  <si>
    <t xml:space="preserve">INV-0017</t>
  </si>
  <si>
    <t xml:space="preserve">Rubel Auto</t>
  </si>
  <si>
    <t xml:space="preserve">01750721828</t>
  </si>
  <si>
    <t xml:space="preserve">INV-0018</t>
  </si>
  <si>
    <t xml:space="preserve">Taka Three Hundred Seventy Only</t>
  </si>
  <si>
    <t xml:space="preserve">INV-0019</t>
  </si>
  <si>
    <t xml:space="preserve">Taka Four Hundred Eighty Only</t>
  </si>
  <si>
    <t xml:space="preserve">INV-0020</t>
  </si>
  <si>
    <t xml:space="preserve">Sumon Auto</t>
  </si>
  <si>
    <t xml:space="preserve">01772498494</t>
  </si>
  <si>
    <t xml:space="preserve">INV-0021</t>
  </si>
  <si>
    <t xml:space="preserve">Arif Auto</t>
  </si>
  <si>
    <t xml:space="preserve">01782302218</t>
  </si>
  <si>
    <t xml:space="preserve">Taka Two Hundred Forty Only</t>
  </si>
  <si>
    <t xml:space="preserve">INV-0022</t>
  </si>
  <si>
    <t xml:space="preserve">Tareq Auto</t>
  </si>
  <si>
    <t xml:space="preserve">01770799941</t>
  </si>
  <si>
    <t xml:space="preserve">Taka Two Hundred Sixty Only</t>
  </si>
  <si>
    <t xml:space="preserve">INV-0023</t>
  </si>
  <si>
    <t xml:space="preserve">Taka One Thousand Six Hundred Eighty Only</t>
  </si>
  <si>
    <t xml:space="preserve">INV-0024</t>
  </si>
  <si>
    <t xml:space="preserve">INV-0025</t>
  </si>
  <si>
    <t xml:space="preserve">INV-0026</t>
  </si>
  <si>
    <t xml:space="preserve">Taka Five Thousand Six Hundred Thirty Only</t>
  </si>
  <si>
    <t xml:space="preserve">INV-0027</t>
  </si>
  <si>
    <t xml:space="preserve">Taka Two Thousand Seven Hundred Twenty Only</t>
  </si>
  <si>
    <t xml:space="preserve">INV-0028</t>
  </si>
  <si>
    <t xml:space="preserve">Imran Auto</t>
  </si>
  <si>
    <t xml:space="preserve">01735488219</t>
  </si>
  <si>
    <t xml:space="preserve">Taka Eight Hundred Sixty Only</t>
  </si>
  <si>
    <t xml:space="preserve">INV-0029</t>
  </si>
  <si>
    <t xml:space="preserve">Taka Five Hundred Forty Only</t>
  </si>
  <si>
    <t xml:space="preserve">INV-0030</t>
  </si>
  <si>
    <t xml:space="preserve">INV-0031</t>
  </si>
  <si>
    <t xml:space="preserve">Faruk Auto</t>
  </si>
  <si>
    <t xml:space="preserve">01788837457</t>
  </si>
  <si>
    <t xml:space="preserve">INV-0032</t>
  </si>
  <si>
    <t xml:space="preserve">Nayeem Auto</t>
  </si>
  <si>
    <t xml:space="preserve">01763171691</t>
  </si>
  <si>
    <t xml:space="preserve">Taka Eight Hundred Fifty Only</t>
  </si>
  <si>
    <t xml:space="preserve">INV-0033</t>
  </si>
  <si>
    <t xml:space="preserve">Taka One Thousand Two Hundred Sixty Only</t>
  </si>
  <si>
    <t xml:space="preserve">INV-0034</t>
  </si>
  <si>
    <t xml:space="preserve">Taka One Hundred Seventy Only</t>
  </si>
  <si>
    <t xml:space="preserve">INV-0035</t>
  </si>
  <si>
    <t xml:space="preserve">Sohel Auto</t>
  </si>
  <si>
    <t xml:space="preserve">01722169593</t>
  </si>
  <si>
    <t xml:space="preserve">Taka One Thousand One Hundred Forty Only</t>
  </si>
  <si>
    <t xml:space="preserve">INV-0036</t>
  </si>
  <si>
    <t xml:space="preserve">Taka Nine Hundred Fifty Only</t>
  </si>
  <si>
    <t xml:space="preserve">INV-0037</t>
  </si>
  <si>
    <t xml:space="preserve">INV-0038</t>
  </si>
  <si>
    <t xml:space="preserve">Anwar Auto</t>
  </si>
  <si>
    <t xml:space="preserve">01734987809</t>
  </si>
  <si>
    <t xml:space="preserve">INV-0039</t>
  </si>
  <si>
    <t xml:space="preserve">Taka Four Hundred Fifty Only</t>
  </si>
  <si>
    <t xml:space="preserve">INV-0040</t>
  </si>
  <si>
    <t xml:space="preserve">Taka One Thousand Nine Hundred Eighty Only</t>
  </si>
  <si>
    <t xml:space="preserve">INV-0041</t>
  </si>
  <si>
    <t xml:space="preserve">Babul Auto</t>
  </si>
  <si>
    <t xml:space="preserve">01722633036</t>
  </si>
  <si>
    <t xml:space="preserve">Taka Seven Hundred Eighty Only</t>
  </si>
  <si>
    <t xml:space="preserve">INV-0042</t>
  </si>
  <si>
    <t xml:space="preserve">Taka One Thousand Three Hundred Seventy Only</t>
  </si>
  <si>
    <t xml:space="preserve">INV-0043</t>
  </si>
  <si>
    <t xml:space="preserve">Taka Two Thousand Thirty Only</t>
  </si>
  <si>
    <t xml:space="preserve">INV-0044</t>
  </si>
  <si>
    <t xml:space="preserve">Taka Three Thousand Six Hundred Ninety Only</t>
  </si>
  <si>
    <t xml:space="preserve">INV-0045</t>
  </si>
  <si>
    <t xml:space="preserve">Taka Two Hundred Ten Only</t>
  </si>
  <si>
    <t xml:space="preserve">INV-0046</t>
  </si>
  <si>
    <t xml:space="preserve">Taka Three Thousand Nine Hundred Thirty Only</t>
  </si>
  <si>
    <t xml:space="preserve">INV-0047</t>
  </si>
  <si>
    <t xml:space="preserve">Taka One Thousand Five Hundred Ninety Only</t>
  </si>
  <si>
    <t xml:space="preserve">INV-0048</t>
  </si>
  <si>
    <t xml:space="preserve">Taka Five Hundred Twenty Only</t>
  </si>
  <si>
    <t xml:space="preserve">INV-0049</t>
  </si>
  <si>
    <t xml:space="preserve">Taka Six Hundred Only</t>
  </si>
  <si>
    <t xml:space="preserve">INV-0050</t>
  </si>
  <si>
    <t xml:space="preserve">Taka Ninety Only</t>
  </si>
  <si>
    <t xml:space="preserve">INV-0051</t>
  </si>
  <si>
    <t xml:space="preserve">Habib Auto</t>
  </si>
  <si>
    <t xml:space="preserve">01734784691</t>
  </si>
  <si>
    <t xml:space="preserve">Taka Two Thousand One Hundred Ten Only</t>
  </si>
  <si>
    <t xml:space="preserve">INV-0052</t>
  </si>
  <si>
    <t xml:space="preserve">Taka Three Thousand Seven Hundred Fifty Only</t>
  </si>
  <si>
    <t xml:space="preserve">INV-0053</t>
  </si>
  <si>
    <t xml:space="preserve">Taka One Thousand Two Hundred Forty Only</t>
  </si>
  <si>
    <t xml:space="preserve">INV-0054</t>
  </si>
  <si>
    <t xml:space="preserve">Taka Two Hundred Seventy Only</t>
  </si>
  <si>
    <t xml:space="preserve">INV-0055</t>
  </si>
  <si>
    <t xml:space="preserve">INV-0056</t>
  </si>
  <si>
    <t xml:space="preserve">INV-0057</t>
  </si>
  <si>
    <t xml:space="preserve">INV-0058</t>
  </si>
  <si>
    <t xml:space="preserve">Taka One Hundred Ninety Only</t>
  </si>
  <si>
    <t xml:space="preserve">INV-0059</t>
  </si>
  <si>
    <t xml:space="preserve">Sabbir Auto</t>
  </si>
  <si>
    <t xml:space="preserve">01789918134</t>
  </si>
  <si>
    <t xml:space="preserve">Taka Seven Hundred Ten Only</t>
  </si>
  <si>
    <t xml:space="preserve">INV-0060</t>
  </si>
  <si>
    <t xml:space="preserve">Taka Four Hundred Seventy Only</t>
  </si>
  <si>
    <t xml:space="preserve">INV-0061</t>
  </si>
  <si>
    <t xml:space="preserve">Mizan Auto</t>
  </si>
  <si>
    <t xml:space="preserve">01792404159</t>
  </si>
  <si>
    <t xml:space="preserve">Taka One Thousand Five Hundred Seventy Only</t>
  </si>
  <si>
    <t xml:space="preserve">INV-0062</t>
  </si>
  <si>
    <t xml:space="preserve">Taka One Thousand Seven Hundred Fifty Only</t>
  </si>
  <si>
    <t xml:space="preserve">INV-0063</t>
  </si>
  <si>
    <t xml:space="preserve">Taka One Thousand Four Hundred Ninety Only</t>
  </si>
  <si>
    <t xml:space="preserve">INV-0064</t>
  </si>
  <si>
    <t xml:space="preserve">INV-0065</t>
  </si>
  <si>
    <t xml:space="preserve">INV-0066</t>
  </si>
  <si>
    <t xml:space="preserve">INV-0067</t>
  </si>
  <si>
    <t xml:space="preserve">INV-0068</t>
  </si>
  <si>
    <t xml:space="preserve">INV-0069</t>
  </si>
  <si>
    <t xml:space="preserve">Taka Two Thousand Four Hundred Eighty Only</t>
  </si>
  <si>
    <t xml:space="preserve">INV-0070</t>
  </si>
  <si>
    <t xml:space="preserve">Taka Five Hundred Eighty Only</t>
  </si>
  <si>
    <t xml:space="preserve">INV-0071</t>
  </si>
  <si>
    <t xml:space="preserve">Taka Nine Hundred Twenty Only</t>
  </si>
  <si>
    <t xml:space="preserve">INV-0072</t>
  </si>
  <si>
    <t xml:space="preserve">Tanvir Auto</t>
  </si>
  <si>
    <t xml:space="preserve">01773855860</t>
  </si>
  <si>
    <t xml:space="preserve">INV-0073</t>
  </si>
  <si>
    <t xml:space="preserve">Taka One Thousand Five Hundred Fifty Only</t>
  </si>
  <si>
    <t xml:space="preserve">INV-0074</t>
  </si>
  <si>
    <t xml:space="preserve">INV-0075</t>
  </si>
  <si>
    <t xml:space="preserve">INV-0076</t>
  </si>
  <si>
    <t xml:space="preserve">Taka One Thousand One Hundred Only</t>
  </si>
  <si>
    <t xml:space="preserve">INV-0077</t>
  </si>
  <si>
    <t xml:space="preserve">Hasan Auto</t>
  </si>
  <si>
    <t xml:space="preserve">01729031420</t>
  </si>
  <si>
    <t xml:space="preserve">INV-0078</t>
  </si>
  <si>
    <t xml:space="preserve">Taka Three Thousand Six Hundred Twenty Only</t>
  </si>
  <si>
    <t xml:space="preserve">INV-0079</t>
  </si>
  <si>
    <t xml:space="preserve">Taka One Thousand One Hundred Fifty Only</t>
  </si>
  <si>
    <t xml:space="preserve">INV-0080</t>
  </si>
  <si>
    <t xml:space="preserve">Taka Two Thousand Eight Hundred Fifty Only</t>
  </si>
  <si>
    <t xml:space="preserve">INV-0081</t>
  </si>
  <si>
    <t xml:space="preserve">Taka Six Hundred Ninety Only</t>
  </si>
  <si>
    <t xml:space="preserve">INV-0082</t>
  </si>
  <si>
    <t xml:space="preserve">Taka One Thousand Six Hundred Fifty Only</t>
  </si>
  <si>
    <t xml:space="preserve">INV-0083</t>
  </si>
  <si>
    <t xml:space="preserve">Taka One Thousand Two Hundred Only</t>
  </si>
  <si>
    <t xml:space="preserve">INV-0084</t>
  </si>
  <si>
    <t xml:space="preserve">Taka Seven Hundred Ninety Only</t>
  </si>
  <si>
    <t xml:space="preserve">INV-0085</t>
  </si>
  <si>
    <t xml:space="preserve">Taka One Thousand One Hundred Ten Only</t>
  </si>
  <si>
    <t xml:space="preserve">INV-0086</t>
  </si>
  <si>
    <t xml:space="preserve">Taka One Thousand Fifty Only</t>
  </si>
  <si>
    <t xml:space="preserve">INV-0087</t>
  </si>
  <si>
    <t xml:space="preserve">Taka Three Hundred Fifty Only</t>
  </si>
  <si>
    <t xml:space="preserve">INV-0088</t>
  </si>
  <si>
    <t xml:space="preserve">Taka Two Thousand Three Hundred Ninety Only</t>
  </si>
  <si>
    <t xml:space="preserve">INV-0089</t>
  </si>
  <si>
    <t xml:space="preserve">Taka One Thousand Three Hundred Sixty Only</t>
  </si>
  <si>
    <t xml:space="preserve">INV-0090</t>
  </si>
  <si>
    <t xml:space="preserve">Taka Two Thousand Nine Hundred Only</t>
  </si>
  <si>
    <t xml:space="preserve">INV-0091</t>
  </si>
  <si>
    <t xml:space="preserve">INV-0092</t>
  </si>
  <si>
    <t xml:space="preserve">INV-0093</t>
  </si>
  <si>
    <t xml:space="preserve">Taka Five Hundred Sixty Only</t>
  </si>
  <si>
    <t xml:space="preserve">INV-0094</t>
  </si>
  <si>
    <t xml:space="preserve">Taka Four Hundred Twenty Only</t>
  </si>
  <si>
    <t xml:space="preserve">INV-0095</t>
  </si>
  <si>
    <t xml:space="preserve">Taka One Thousand Seven Hundred Forty Only</t>
  </si>
  <si>
    <t xml:space="preserve">INV-0096</t>
  </si>
  <si>
    <t xml:space="preserve">Taka One Thousand One Hundred Twenty Only</t>
  </si>
  <si>
    <t xml:space="preserve">INV-0097</t>
  </si>
  <si>
    <t xml:space="preserve">Taka One Thousand Four Hundred Twenty Only</t>
  </si>
  <si>
    <t xml:space="preserve">INV-0098</t>
  </si>
  <si>
    <t xml:space="preserve">Taka Two Thousand Two Hundred Sixty Only</t>
  </si>
  <si>
    <t xml:space="preserve">INV-0099</t>
  </si>
  <si>
    <t xml:space="preserve">Taka Three Thousand Eight Hundred Seventy Only</t>
  </si>
  <si>
    <t xml:space="preserve">INV-0100</t>
  </si>
  <si>
    <t xml:space="preserve">INV-0101</t>
  </si>
  <si>
    <t xml:space="preserve">INV-0102</t>
  </si>
  <si>
    <t xml:space="preserve">Taka Six Hundred Twenty Only</t>
  </si>
  <si>
    <t xml:space="preserve">INV-0103</t>
  </si>
  <si>
    <t xml:space="preserve">Taka Seven Hundred Twenty Only</t>
  </si>
  <si>
    <t xml:space="preserve">INV-0104</t>
  </si>
  <si>
    <t xml:space="preserve">INV-0105</t>
  </si>
  <si>
    <t xml:space="preserve">INV-0106</t>
  </si>
  <si>
    <t xml:space="preserve">INV-0107</t>
  </si>
  <si>
    <t xml:space="preserve">Taka Two Thousand One Hundred Fifty Only</t>
  </si>
  <si>
    <t xml:space="preserve">INV-0108</t>
  </si>
  <si>
    <t xml:space="preserve">INV-0109</t>
  </si>
  <si>
    <t xml:space="preserve">Taka One Thousand Two Hundred Ninety Only</t>
  </si>
  <si>
    <t xml:space="preserve">INV-0110</t>
  </si>
  <si>
    <t xml:space="preserve">INV-0111</t>
  </si>
  <si>
    <t xml:space="preserve">INV-0112</t>
  </si>
  <si>
    <t xml:space="preserve">INV-0113</t>
  </si>
  <si>
    <t xml:space="preserve">Taka Two Hundred Thirty Only</t>
  </si>
  <si>
    <t xml:space="preserve">INV-0114</t>
  </si>
  <si>
    <t xml:space="preserve">INV-0115</t>
  </si>
  <si>
    <t xml:space="preserve">INV-0116</t>
  </si>
  <si>
    <t xml:space="preserve">INV-0117</t>
  </si>
  <si>
    <t xml:space="preserve">Taka One Thousand Three Hundred Twenty Only</t>
  </si>
  <si>
    <t xml:space="preserve">INV-0118</t>
  </si>
  <si>
    <t xml:space="preserve">Taka One Hundred Eighty Only</t>
  </si>
  <si>
    <t xml:space="preserve">INV-0119</t>
  </si>
  <si>
    <t xml:space="preserve">INV-0120</t>
  </si>
  <si>
    <t xml:space="preserve">Taka Seven Hundred Thirty Only</t>
  </si>
  <si>
    <t xml:space="preserve">INV-0121</t>
  </si>
  <si>
    <t xml:space="preserve">Taka One Thousand Six Hundred Thirty Only</t>
  </si>
  <si>
    <t xml:space="preserve">INV-0122</t>
  </si>
  <si>
    <t xml:space="preserve">INV-0123</t>
  </si>
  <si>
    <t xml:space="preserve">INV-0124</t>
  </si>
  <si>
    <t xml:space="preserve">INV-0125</t>
  </si>
  <si>
    <t xml:space="preserve">INV-0126</t>
  </si>
  <si>
    <t xml:space="preserve">Taka Three Thousand Three Hundred Seventy Only</t>
  </si>
  <si>
    <t xml:space="preserve">INV-0127</t>
  </si>
  <si>
    <t xml:space="preserve">INV-0128</t>
  </si>
  <si>
    <t xml:space="preserve">Taka Five Hundred Ten Only</t>
  </si>
  <si>
    <t xml:space="preserve">INV-0129</t>
  </si>
  <si>
    <t xml:space="preserve">Taka Three Thousand Three Hundred Fifty Only</t>
  </si>
  <si>
    <t xml:space="preserve">INV-0130</t>
  </si>
  <si>
    <t xml:space="preserve">INV-0131</t>
  </si>
  <si>
    <t xml:space="preserve">INV-0132</t>
  </si>
  <si>
    <t xml:space="preserve">INV-0133</t>
  </si>
  <si>
    <t xml:space="preserve">Taka Five Hundred Seventy Only</t>
  </si>
  <si>
    <t xml:space="preserve">INV-0134</t>
  </si>
  <si>
    <t xml:space="preserve">INV-0135</t>
  </si>
  <si>
    <t xml:space="preserve">INV-0136</t>
  </si>
  <si>
    <t xml:space="preserve">Taka One Thousand Three Hundred Fifty Only</t>
  </si>
  <si>
    <t xml:space="preserve">INV-0137</t>
  </si>
  <si>
    <t xml:space="preserve">INV-0138</t>
  </si>
  <si>
    <t xml:space="preserve">Taka Six Hundred Fifty Only</t>
  </si>
  <si>
    <t xml:space="preserve">INV-0139</t>
  </si>
  <si>
    <t xml:space="preserve">INV-0140</t>
  </si>
  <si>
    <t xml:space="preserve">Taka One Thousand Three Hundred Forty Only</t>
  </si>
  <si>
    <t xml:space="preserve">INV-0141</t>
  </si>
  <si>
    <t xml:space="preserve">INV-0142</t>
  </si>
  <si>
    <t xml:space="preserve">Taka Six Hundred Sixty Only</t>
  </si>
  <si>
    <t xml:space="preserve">INV-0143</t>
  </si>
  <si>
    <t xml:space="preserve">INV-0144</t>
  </si>
  <si>
    <t xml:space="preserve">Taka Five Hundred Thirty Only</t>
  </si>
  <si>
    <t xml:space="preserve">INV-0145</t>
  </si>
  <si>
    <t xml:space="preserve">INV-0146</t>
  </si>
  <si>
    <t xml:space="preserve">INV-0147</t>
  </si>
  <si>
    <t xml:space="preserve">INV-0148</t>
  </si>
  <si>
    <t xml:space="preserve">Taka Two Thousand Two Hundred Forty Only</t>
  </si>
  <si>
    <t xml:space="preserve">INV-0149</t>
  </si>
  <si>
    <t xml:space="preserve">Taka One Thousand Two Hundred Ten Only</t>
  </si>
  <si>
    <t xml:space="preserve">INV-0150</t>
  </si>
  <si>
    <t xml:space="preserve">Taka One Thousand Twenty Only</t>
  </si>
  <si>
    <t xml:space="preserve">INV-0151</t>
  </si>
  <si>
    <t xml:space="preserve">INV-0152</t>
  </si>
  <si>
    <t xml:space="preserve">Taka Four Thousand One Hundred Only</t>
  </si>
  <si>
    <t xml:space="preserve">INV-0153</t>
  </si>
  <si>
    <t xml:space="preserve">INV-0154</t>
  </si>
  <si>
    <t xml:space="preserve">INV-0155</t>
  </si>
  <si>
    <t xml:space="preserve">Taka One Hundred Forty Only</t>
  </si>
  <si>
    <t xml:space="preserve">INV-0156</t>
  </si>
  <si>
    <t xml:space="preserve">INV-0157</t>
  </si>
  <si>
    <t xml:space="preserve">INV-0158</t>
  </si>
  <si>
    <t xml:space="preserve">Taka One Thousand Eight Hundred Thirty Only</t>
  </si>
  <si>
    <t xml:space="preserve">INV-0159</t>
  </si>
  <si>
    <t xml:space="preserve">INV-0160</t>
  </si>
  <si>
    <t xml:space="preserve">Taka Six Thousand Seventy Only</t>
  </si>
  <si>
    <t xml:space="preserve">INV-0161</t>
  </si>
  <si>
    <t xml:space="preserve">Taka One Thousand Five Hundred Ten Only</t>
  </si>
  <si>
    <t xml:space="preserve">INV-0162</t>
  </si>
  <si>
    <t xml:space="preserve">Taka Two Thousand Three Hundred Forty Only</t>
  </si>
  <si>
    <t xml:space="preserve">INV-0163</t>
  </si>
  <si>
    <t xml:space="preserve">Taka Nine Hundred Sixty Only</t>
  </si>
  <si>
    <t xml:space="preserve">INV-0164</t>
  </si>
  <si>
    <t xml:space="preserve">Taka Three Thousand One Hundred Thirty Only</t>
  </si>
  <si>
    <t xml:space="preserve">INV-0165</t>
  </si>
  <si>
    <t xml:space="preserve">Taka Seven Hundred Sixty Only</t>
  </si>
  <si>
    <t xml:space="preserve">INV-0166</t>
  </si>
  <si>
    <t xml:space="preserve">INV-0167</t>
  </si>
  <si>
    <t xml:space="preserve">Taka One Thousand Seven Hundred Sixty Only</t>
  </si>
  <si>
    <t xml:space="preserve">INV-0168</t>
  </si>
  <si>
    <t xml:space="preserve">INV-0169</t>
  </si>
  <si>
    <t xml:space="preserve">INV-0170</t>
  </si>
  <si>
    <t xml:space="preserve">Taka Five Thousand Two Hundred Only</t>
  </si>
  <si>
    <t xml:space="preserve">INV-0171</t>
  </si>
  <si>
    <t xml:space="preserve">INV-0172</t>
  </si>
  <si>
    <t xml:space="preserve">INV-0173</t>
  </si>
  <si>
    <t xml:space="preserve">INV-0174</t>
  </si>
  <si>
    <t xml:space="preserve">Taka Eight Hundred Twenty Only</t>
  </si>
  <si>
    <t xml:space="preserve">INV-0175</t>
  </si>
  <si>
    <t xml:space="preserve">INV-0176</t>
  </si>
  <si>
    <t xml:space="preserve">Taka One Thousand Six Hundred Sixty Only</t>
  </si>
  <si>
    <t xml:space="preserve">INV-0177</t>
  </si>
  <si>
    <t xml:space="preserve">Taka Six Hundred Ten Only</t>
  </si>
  <si>
    <t xml:space="preserve">INV-0178</t>
  </si>
  <si>
    <t xml:space="preserve">Taka Four Hundred Ninety Only</t>
  </si>
  <si>
    <t xml:space="preserve">INV-0179</t>
  </si>
  <si>
    <t xml:space="preserve">INV-0180</t>
  </si>
  <si>
    <t xml:space="preserve">INV-0181</t>
  </si>
  <si>
    <t xml:space="preserve">INV-0182</t>
  </si>
  <si>
    <t xml:space="preserve">INV-0183</t>
  </si>
  <si>
    <t xml:space="preserve">Taka One Thousand Four Hundred Sixty Only</t>
  </si>
  <si>
    <t xml:space="preserve">INV-0184</t>
  </si>
  <si>
    <t xml:space="preserve">INV-0185</t>
  </si>
  <si>
    <t xml:space="preserve">Taka One Thousand Five Hundred Sixty Only</t>
  </si>
  <si>
    <t xml:space="preserve">INV-0186</t>
  </si>
  <si>
    <t xml:space="preserve">INV-0187</t>
  </si>
  <si>
    <t xml:space="preserve">INV-0188</t>
  </si>
  <si>
    <t xml:space="preserve">INV-0189</t>
  </si>
  <si>
    <t xml:space="preserve">INV-0190</t>
  </si>
  <si>
    <t xml:space="preserve">INV-0191</t>
  </si>
  <si>
    <t xml:space="preserve">INV-0192</t>
  </si>
  <si>
    <t xml:space="preserve">Taka One Thousand One Hundred Thirty Only</t>
  </si>
  <si>
    <t xml:space="preserve">INV-0193</t>
  </si>
  <si>
    <t xml:space="preserve">Taka Four Thousand Ten Only</t>
  </si>
  <si>
    <t xml:space="preserve">INV-0194</t>
  </si>
  <si>
    <t xml:space="preserve">INV-0195</t>
  </si>
  <si>
    <t xml:space="preserve">INV-0196</t>
  </si>
  <si>
    <t xml:space="preserve">INV-0197</t>
  </si>
  <si>
    <t xml:space="preserve">INV-0198</t>
  </si>
  <si>
    <t xml:space="preserve">Taka One Thousand Eight Hundred Fifty Only</t>
  </si>
  <si>
    <t xml:space="preserve">INV-0199</t>
  </si>
  <si>
    <t xml:space="preserve">Taka Two Thousand One Hundred Twenty Only</t>
  </si>
  <si>
    <t xml:space="preserve">INV-0200</t>
  </si>
  <si>
    <t xml:space="preserve">INV-0201</t>
  </si>
  <si>
    <t xml:space="preserve">INV-0202</t>
  </si>
  <si>
    <t xml:space="preserve">Taka Seven Hundred Forty Only</t>
  </si>
  <si>
    <t xml:space="preserve">INV-0203</t>
  </si>
  <si>
    <t xml:space="preserve">INV-0204</t>
  </si>
  <si>
    <t xml:space="preserve">INV-0205</t>
  </si>
  <si>
    <t xml:space="preserve">Taka Three Thousand Three Hundred Eighty Only</t>
  </si>
  <si>
    <t xml:space="preserve">INV-0206</t>
  </si>
  <si>
    <t xml:space="preserve">INV-0207</t>
  </si>
  <si>
    <t xml:space="preserve">INV-0208</t>
  </si>
  <si>
    <t xml:space="preserve">Taka Four Hundred Sixty Only</t>
  </si>
  <si>
    <t xml:space="preserve">INV-0209</t>
  </si>
  <si>
    <t xml:space="preserve">INV-0210</t>
  </si>
  <si>
    <t xml:space="preserve">INV-0211</t>
  </si>
  <si>
    <t xml:space="preserve">INV-0212</t>
  </si>
  <si>
    <t xml:space="preserve">Taka One Thousand Four Hundred Forty Only</t>
  </si>
  <si>
    <t xml:space="preserve">INV-0213</t>
  </si>
  <si>
    <t xml:space="preserve">INV-0214</t>
  </si>
  <si>
    <t xml:space="preserve">INV-0215</t>
  </si>
  <si>
    <t xml:space="preserve">INV-0216</t>
  </si>
  <si>
    <t xml:space="preserve">INV-0217</t>
  </si>
  <si>
    <t xml:space="preserve">Taka Three Thousand Three Hundred Thirty Only</t>
  </si>
  <si>
    <t xml:space="preserve">INV-0218</t>
  </si>
  <si>
    <t xml:space="preserve">Taka Two Thousand Five Hundred Twenty Only</t>
  </si>
  <si>
    <t xml:space="preserve">INV-0219</t>
  </si>
  <si>
    <t xml:space="preserve">INV-0220</t>
  </si>
  <si>
    <t xml:space="preserve">INV-0221</t>
  </si>
  <si>
    <t xml:space="preserve">INV-0222</t>
  </si>
  <si>
    <t xml:space="preserve">INV-0223</t>
  </si>
  <si>
    <t xml:space="preserve">Taka Four Thousand Thirty Only</t>
  </si>
  <si>
    <t xml:space="preserve">INV-0224</t>
  </si>
  <si>
    <t xml:space="preserve">Taka Two Thousand Four Hundred Sixty Only</t>
  </si>
  <si>
    <t xml:space="preserve">INV-0225</t>
  </si>
  <si>
    <t xml:space="preserve">INV-0226</t>
  </si>
  <si>
    <t xml:space="preserve">INV-0227</t>
  </si>
  <si>
    <t xml:space="preserve">INV-0228</t>
  </si>
  <si>
    <t xml:space="preserve">INV-0229</t>
  </si>
  <si>
    <t xml:space="preserve">INV-0230</t>
  </si>
  <si>
    <t xml:space="preserve">Taka One Thousand Sixty Only</t>
  </si>
  <si>
    <t xml:space="preserve">INV-0231</t>
  </si>
  <si>
    <t xml:space="preserve">INV-0232</t>
  </si>
  <si>
    <t xml:space="preserve">Taka Three Thousand Thirty Only</t>
  </si>
  <si>
    <t xml:space="preserve">INV-0233</t>
  </si>
  <si>
    <t xml:space="preserve">INV-0234</t>
  </si>
  <si>
    <t xml:space="preserve">INV-0235</t>
  </si>
  <si>
    <t xml:space="preserve">Taka Nine Hundred Only</t>
  </si>
  <si>
    <t xml:space="preserve">INV-0236</t>
  </si>
  <si>
    <t xml:space="preserve">Taka Three Thousand Two Hundred Fifty Only</t>
  </si>
  <si>
    <t xml:space="preserve">INV-0237</t>
  </si>
  <si>
    <t xml:space="preserve">Taka Six Hundred Seventy Only</t>
  </si>
  <si>
    <t xml:space="preserve">INV-0238</t>
  </si>
  <si>
    <t xml:space="preserve">INV-0239</t>
  </si>
  <si>
    <t xml:space="preserve">INV-0240</t>
  </si>
  <si>
    <t xml:space="preserve">Taka Two Thousand Four Hundred Twenty Only</t>
  </si>
  <si>
    <t xml:space="preserve">INV-0241</t>
  </si>
  <si>
    <t xml:space="preserve">INV-0242</t>
  </si>
  <si>
    <t xml:space="preserve">Taka One Thousand Seventy Only</t>
  </si>
  <si>
    <t xml:space="preserve">INV-0243</t>
  </si>
  <si>
    <t xml:space="preserve">INV-0244</t>
  </si>
  <si>
    <t xml:space="preserve">Taka Three Thousand Twenty Only</t>
  </si>
  <si>
    <t xml:space="preserve">INV-0245</t>
  </si>
  <si>
    <t xml:space="preserve">INV-0246</t>
  </si>
  <si>
    <t xml:space="preserve">Taka Three Thousand Two Hundred Ten Only</t>
  </si>
  <si>
    <t xml:space="preserve">INV-0247</t>
  </si>
  <si>
    <t xml:space="preserve">Taka One Thousand Five Hundred Eighty Only</t>
  </si>
  <si>
    <t xml:space="preserve">INV-0248</t>
  </si>
  <si>
    <t xml:space="preserve">INV-0249</t>
  </si>
  <si>
    <t xml:space="preserve">INV-0250</t>
  </si>
  <si>
    <t xml:space="preserve">INV-0251</t>
  </si>
  <si>
    <t xml:space="preserve">INV-0252</t>
  </si>
  <si>
    <t xml:space="preserve">Taka One Thousand One Hundred Seventy Only</t>
  </si>
  <si>
    <t xml:space="preserve">INV-0253</t>
  </si>
  <si>
    <t xml:space="preserve">INV-0254</t>
  </si>
  <si>
    <t xml:space="preserve">Taka Two Thousand Two Hundred Ninety Only</t>
  </si>
  <si>
    <t xml:space="preserve">INV-0255</t>
  </si>
  <si>
    <t xml:space="preserve">INV-0256</t>
  </si>
  <si>
    <t xml:space="preserve">INV-0257</t>
  </si>
  <si>
    <t xml:space="preserve">INV-0258</t>
  </si>
  <si>
    <t xml:space="preserve">INV-0259</t>
  </si>
  <si>
    <t xml:space="preserve">Taka Two Thousand Nine Hundred Seventy Only</t>
  </si>
  <si>
    <t xml:space="preserve">INV-0260</t>
  </si>
  <si>
    <t xml:space="preserve">Taka Three Thousand Nine Hundred Ten Only</t>
  </si>
  <si>
    <t xml:space="preserve">INV-0261</t>
  </si>
  <si>
    <t xml:space="preserve">INV-0262</t>
  </si>
  <si>
    <t xml:space="preserve">Taka Two Thousand Two Hundred Thirty Only</t>
  </si>
  <si>
    <t xml:space="preserve">INV-0263</t>
  </si>
  <si>
    <t xml:space="preserve">INV-0264</t>
  </si>
  <si>
    <t xml:space="preserve">INV-0265</t>
  </si>
  <si>
    <t xml:space="preserve">INV-0266</t>
  </si>
  <si>
    <t xml:space="preserve">Taka Two Thousand Three Hundred Ten Only</t>
  </si>
  <si>
    <t xml:space="preserve">INV-0267</t>
  </si>
  <si>
    <t xml:space="preserve">INV-0268</t>
  </si>
  <si>
    <t xml:space="preserve">Taka Seven Hundred Only</t>
  </si>
  <si>
    <t xml:space="preserve">INV-0269</t>
  </si>
  <si>
    <t xml:space="preserve">INV-0270</t>
  </si>
  <si>
    <t xml:space="preserve">INV-0271</t>
  </si>
  <si>
    <t xml:space="preserve">INV-0272</t>
  </si>
  <si>
    <t xml:space="preserve">Taka Four Thousand Seventy Only</t>
  </si>
  <si>
    <t xml:space="preserve">INV-0273</t>
  </si>
  <si>
    <t xml:space="preserve">INV-0274</t>
  </si>
  <si>
    <t xml:space="preserve">INV-0275</t>
  </si>
  <si>
    <t xml:space="preserve">Taka Four Hundred Thirty Only</t>
  </si>
  <si>
    <t xml:space="preserve">INV-0276</t>
  </si>
  <si>
    <t xml:space="preserve">INV-0277</t>
  </si>
  <si>
    <t xml:space="preserve">INV-0278</t>
  </si>
  <si>
    <t xml:space="preserve">INV-0279</t>
  </si>
  <si>
    <t xml:space="preserve">INV-0280</t>
  </si>
  <si>
    <t xml:space="preserve">INV-0281</t>
  </si>
  <si>
    <t xml:space="preserve">INV-0282</t>
  </si>
  <si>
    <t xml:space="preserve">INV-0283</t>
  </si>
  <si>
    <t xml:space="preserve">Taka Nine Hundred Ten Only</t>
  </si>
  <si>
    <t xml:space="preserve">INV-0284</t>
  </si>
  <si>
    <t xml:space="preserve">Taka Three Thousand Seventy Only</t>
  </si>
  <si>
    <t xml:space="preserve">INV-0285</t>
  </si>
  <si>
    <t xml:space="preserve">INV-0286</t>
  </si>
  <si>
    <t xml:space="preserve">INV-0287</t>
  </si>
  <si>
    <t xml:space="preserve">INV-0288</t>
  </si>
  <si>
    <t xml:space="preserve">INV-0289</t>
  </si>
  <si>
    <t xml:space="preserve">Taka Two Thousand Nine Hundred Ninety Only</t>
  </si>
  <si>
    <t xml:space="preserve">INV-0290</t>
  </si>
  <si>
    <t xml:space="preserve">INV-0291</t>
  </si>
  <si>
    <t xml:space="preserve">INV-0292</t>
  </si>
  <si>
    <t xml:space="preserve">Taka Five Hundred Only</t>
  </si>
  <si>
    <t xml:space="preserve">INV-0293</t>
  </si>
  <si>
    <t xml:space="preserve">Taka Nine Hundred Eighty Only</t>
  </si>
  <si>
    <t xml:space="preserve">INV-0294</t>
  </si>
  <si>
    <t xml:space="preserve">INV-0295</t>
  </si>
  <si>
    <t xml:space="preserve">Taka Three Thousand Two Hundred Forty Only</t>
  </si>
  <si>
    <t xml:space="preserve">INV-0296</t>
  </si>
  <si>
    <t xml:space="preserve">Taka Eight Hundred Only</t>
  </si>
  <si>
    <t xml:space="preserve">INV-0297</t>
  </si>
  <si>
    <t xml:space="preserve">INV-0298</t>
  </si>
  <si>
    <t xml:space="preserve">INV-0299</t>
  </si>
  <si>
    <t xml:space="preserve">INV-0300</t>
  </si>
  <si>
    <t xml:space="preserve">INV-0301</t>
  </si>
  <si>
    <t xml:space="preserve">INV-0302</t>
  </si>
  <si>
    <t xml:space="preserve">INV-0303</t>
  </si>
  <si>
    <t xml:space="preserve">INV-0304</t>
  </si>
  <si>
    <t xml:space="preserve">INV-0305</t>
  </si>
  <si>
    <t xml:space="preserve">INV-0306</t>
  </si>
  <si>
    <t xml:space="preserve">INV-0307</t>
  </si>
  <si>
    <t xml:space="preserve">INV-0308</t>
  </si>
  <si>
    <t xml:space="preserve">INV-0309</t>
  </si>
  <si>
    <t xml:space="preserve">Taka Six Hundred Forty Only</t>
  </si>
  <si>
    <t xml:space="preserve">INV-0310</t>
  </si>
  <si>
    <t xml:space="preserve">Taka Two Thousand Seven Hundred Forty Only</t>
  </si>
  <si>
    <t xml:space="preserve">INV-0311</t>
  </si>
  <si>
    <t xml:space="preserve">Taka One Thousand Nine Hundred Forty Only</t>
  </si>
  <si>
    <t xml:space="preserve">INV-0312</t>
  </si>
  <si>
    <t xml:space="preserve">INV-0313</t>
  </si>
  <si>
    <t xml:space="preserve">INV-0314</t>
  </si>
  <si>
    <t xml:space="preserve">INV-0315</t>
  </si>
  <si>
    <t xml:space="preserve">INV-0316</t>
  </si>
  <si>
    <t xml:space="preserve">INV-0317</t>
  </si>
  <si>
    <t xml:space="preserve">INV-0318</t>
  </si>
  <si>
    <t xml:space="preserve">INV-0319</t>
  </si>
  <si>
    <t xml:space="preserve">INV-0320</t>
  </si>
  <si>
    <t xml:space="preserve">INV-0321</t>
  </si>
  <si>
    <t xml:space="preserve">INV-0322</t>
  </si>
  <si>
    <t xml:space="preserve">INV-0323</t>
  </si>
  <si>
    <t xml:space="preserve">INV-0324</t>
  </si>
  <si>
    <t xml:space="preserve">Taka One Thousand Two Hundred Twenty Only</t>
  </si>
  <si>
    <t xml:space="preserve">INV-0325</t>
  </si>
  <si>
    <t xml:space="preserve">INV-0326</t>
  </si>
  <si>
    <t xml:space="preserve">INV-0327</t>
  </si>
  <si>
    <t xml:space="preserve">INV-0328</t>
  </si>
  <si>
    <t xml:space="preserve">Taka One Thousand Six Hundred Ten Only</t>
  </si>
  <si>
    <t xml:space="preserve">INV-0329</t>
  </si>
  <si>
    <t xml:space="preserve">INV-0330</t>
  </si>
  <si>
    <t xml:space="preserve">Taka Two Thousand Twenty Only</t>
  </si>
  <si>
    <t xml:space="preserve">INV-0331</t>
  </si>
  <si>
    <t xml:space="preserve">INV-0332</t>
  </si>
  <si>
    <t xml:space="preserve">INV-0333</t>
  </si>
  <si>
    <t xml:space="preserve">INV-0334</t>
  </si>
  <si>
    <t xml:space="preserve">INV-0335</t>
  </si>
  <si>
    <t xml:space="preserve">INV-0336</t>
  </si>
  <si>
    <t xml:space="preserve">INV-0337</t>
  </si>
  <si>
    <t xml:space="preserve">Taka One Thousand Six Hundred Twenty Only</t>
  </si>
  <si>
    <t xml:space="preserve">INV-0338</t>
  </si>
  <si>
    <t xml:space="preserve">Taka Two Thousand Eighty Only</t>
  </si>
  <si>
    <t xml:space="preserve">INV-0339</t>
  </si>
  <si>
    <t xml:space="preserve">INV-0340</t>
  </si>
  <si>
    <t xml:space="preserve">Taka Two Thousand Three Hundred Only</t>
  </si>
  <si>
    <t xml:space="preserve">INV-0341</t>
  </si>
  <si>
    <t xml:space="preserve">INV-0342</t>
  </si>
  <si>
    <t xml:space="preserve">INV-0343</t>
  </si>
  <si>
    <t xml:space="preserve">Taka Two Thousand Eight Hundred Seventy Only</t>
  </si>
  <si>
    <t xml:space="preserve">INV-0344</t>
  </si>
  <si>
    <t xml:space="preserve">INV-0345</t>
  </si>
  <si>
    <t xml:space="preserve">Taka One Thousand One Hundred Sixty Only</t>
  </si>
  <si>
    <t xml:space="preserve">INV-0346</t>
  </si>
  <si>
    <t xml:space="preserve">INV-0347</t>
  </si>
  <si>
    <t xml:space="preserve">Taka One Thousand Five Hundred Thirty Only</t>
  </si>
  <si>
    <t xml:space="preserve">INV-0348</t>
  </si>
  <si>
    <t xml:space="preserve">Taka One Thousand Nine Hundred Thirty Only</t>
  </si>
  <si>
    <t xml:space="preserve">INV-0349</t>
  </si>
  <si>
    <t xml:space="preserve">INV-0350</t>
  </si>
  <si>
    <t xml:space="preserve">INV-0351</t>
  </si>
  <si>
    <t xml:space="preserve">Taka Two Thousand Eight Hundred Twenty Only</t>
  </si>
  <si>
    <t xml:space="preserve">INV-0352</t>
  </si>
  <si>
    <t xml:space="preserve">INV-0353</t>
  </si>
  <si>
    <t xml:space="preserve">INV-0354</t>
  </si>
  <si>
    <t xml:space="preserve">Taka One Thousand Four Hundred Eighty Only</t>
  </si>
  <si>
    <t xml:space="preserve">INV-0355</t>
  </si>
  <si>
    <t xml:space="preserve">INV-0356</t>
  </si>
  <si>
    <t xml:space="preserve">INV-0357</t>
  </si>
  <si>
    <t xml:space="preserve">INV-0358</t>
  </si>
  <si>
    <t xml:space="preserve">INV-0359</t>
  </si>
  <si>
    <t xml:space="preserve">Taka Two Thousand Nine Hundred Twenty Only</t>
  </si>
  <si>
    <t xml:space="preserve">INV-0360</t>
  </si>
  <si>
    <t xml:space="preserve">INV-0361</t>
  </si>
  <si>
    <t xml:space="preserve">INV-0362</t>
  </si>
  <si>
    <t xml:space="preserve">Taka Three Thousand Two Hundred Eighty Only</t>
  </si>
  <si>
    <t xml:space="preserve">INV-0363</t>
  </si>
  <si>
    <t xml:space="preserve">Taka One Thousand Ten Only</t>
  </si>
  <si>
    <t xml:space="preserve">INV-0364</t>
  </si>
  <si>
    <t xml:space="preserve">INV-0365</t>
  </si>
  <si>
    <t xml:space="preserve">INV-0366</t>
  </si>
  <si>
    <t xml:space="preserve">Taka Three Thousand One Hundred Ten Only</t>
  </si>
  <si>
    <t xml:space="preserve">INV-0367</t>
  </si>
  <si>
    <t xml:space="preserve">INV-0368</t>
  </si>
  <si>
    <t xml:space="preserve">INV-0369</t>
  </si>
  <si>
    <t xml:space="preserve">Taka Three Thousand Four Hundred Ten Only</t>
  </si>
  <si>
    <t xml:space="preserve">INV-0370</t>
  </si>
  <si>
    <t xml:space="preserve">Taka Two Thousand One Hundred Only</t>
  </si>
  <si>
    <t xml:space="preserve">INV-0371</t>
  </si>
  <si>
    <t xml:space="preserve">INV-0372</t>
  </si>
  <si>
    <t xml:space="preserve">Taka One Thousand Nine Hundred Twenty Only</t>
  </si>
  <si>
    <t xml:space="preserve">INV-0373</t>
  </si>
  <si>
    <t xml:space="preserve">INV-0374</t>
  </si>
  <si>
    <t xml:space="preserve">INV-0375</t>
  </si>
  <si>
    <t xml:space="preserve">INV-0376</t>
  </si>
  <si>
    <t xml:space="preserve">Taka Seven Hundred Fifty Only</t>
  </si>
  <si>
    <t xml:space="preserve">INV-0377</t>
  </si>
  <si>
    <t xml:space="preserve">INV-0378</t>
  </si>
  <si>
    <t xml:space="preserve">INV-0379</t>
  </si>
  <si>
    <t xml:space="preserve">Taka Four Hundred Forty Only</t>
  </si>
  <si>
    <t xml:space="preserve">INV-0380</t>
  </si>
  <si>
    <t xml:space="preserve">INV-0381</t>
  </si>
  <si>
    <t xml:space="preserve">INV-0382</t>
  </si>
  <si>
    <t xml:space="preserve">INV-0383</t>
  </si>
  <si>
    <t xml:space="preserve">Taka One Hundred Sixty Only</t>
  </si>
  <si>
    <t xml:space="preserve">INV-0384</t>
  </si>
  <si>
    <t xml:space="preserve">INV-0385</t>
  </si>
  <si>
    <t xml:space="preserve">Taka One Thousand Four Hundred Ten Only</t>
  </si>
  <si>
    <t xml:space="preserve">INV-0386</t>
  </si>
  <si>
    <t xml:space="preserve">INV-0387</t>
  </si>
  <si>
    <t xml:space="preserve">INV-0388</t>
  </si>
  <si>
    <t xml:space="preserve">INV-0389</t>
  </si>
  <si>
    <t xml:space="preserve">INV-0390</t>
  </si>
  <si>
    <t xml:space="preserve">INV-0391</t>
  </si>
  <si>
    <t xml:space="preserve">INV-0392</t>
  </si>
  <si>
    <t xml:space="preserve">INV-0393</t>
  </si>
  <si>
    <t xml:space="preserve">INV-0394</t>
  </si>
  <si>
    <t xml:space="preserve">INV-0395</t>
  </si>
  <si>
    <t xml:space="preserve">INV-0396</t>
  </si>
  <si>
    <t xml:space="preserve">INV-0397</t>
  </si>
  <si>
    <t xml:space="preserve">INV-0398</t>
  </si>
  <si>
    <t xml:space="preserve">INV-0399</t>
  </si>
  <si>
    <t xml:space="preserve">INV-0400</t>
  </si>
  <si>
    <t xml:space="preserve">INV-0401</t>
  </si>
  <si>
    <t xml:space="preserve">INV-0402</t>
  </si>
  <si>
    <t xml:space="preserve">INV-0403</t>
  </si>
  <si>
    <t xml:space="preserve">INV-0404</t>
  </si>
  <si>
    <t xml:space="preserve">Taka Four Thousand Six Hundred Ninety Only</t>
  </si>
  <si>
    <t xml:space="preserve">INV-0405</t>
  </si>
  <si>
    <t xml:space="preserve">Taka Three Thousand Five Hundred Forty Only</t>
  </si>
  <si>
    <t xml:space="preserve">INV-0406</t>
  </si>
  <si>
    <t xml:space="preserve">INV-0407</t>
  </si>
  <si>
    <t xml:space="preserve">INV-0408</t>
  </si>
  <si>
    <t xml:space="preserve">INV-0409</t>
  </si>
  <si>
    <t xml:space="preserve">INV-0410</t>
  </si>
  <si>
    <t xml:space="preserve">Taka One Thousand Two Hundred Eighty Only</t>
  </si>
  <si>
    <t xml:space="preserve">INV-0411</t>
  </si>
  <si>
    <t xml:space="preserve">INV-0412</t>
  </si>
  <si>
    <t xml:space="preserve">INV-0413</t>
  </si>
  <si>
    <t xml:space="preserve">INV-0414</t>
  </si>
  <si>
    <t xml:space="preserve">INV-0415</t>
  </si>
  <si>
    <t xml:space="preserve">INV-0416</t>
  </si>
  <si>
    <t xml:space="preserve">INV-0417</t>
  </si>
  <si>
    <t xml:space="preserve">INV-0418</t>
  </si>
  <si>
    <t xml:space="preserve">INV-0419</t>
  </si>
  <si>
    <t xml:space="preserve">INV-0420</t>
  </si>
  <si>
    <t xml:space="preserve">INV-0421</t>
  </si>
  <si>
    <t xml:space="preserve">INV-0422</t>
  </si>
  <si>
    <t xml:space="preserve">INV-0423</t>
  </si>
  <si>
    <t xml:space="preserve">INV-0424</t>
  </si>
  <si>
    <t xml:space="preserve">INV-0425</t>
  </si>
  <si>
    <t xml:space="preserve">Taka One Thousand Six Hundred Forty Only</t>
  </si>
  <si>
    <t xml:space="preserve">INV-0426</t>
  </si>
  <si>
    <t xml:space="preserve">Taka Three Thousand Five Hundred Ten Only</t>
  </si>
  <si>
    <t xml:space="preserve">INV-0427</t>
  </si>
  <si>
    <t xml:space="preserve">INV-0428</t>
  </si>
  <si>
    <t xml:space="preserve">Taka Three Thousand Four Hundred Ninety Only</t>
  </si>
  <si>
    <t xml:space="preserve">INV-0429</t>
  </si>
  <si>
    <t xml:space="preserve">INV-0430</t>
  </si>
  <si>
    <t xml:space="preserve">INV-0431</t>
  </si>
  <si>
    <t xml:space="preserve">INV-0432</t>
  </si>
  <si>
    <t xml:space="preserve">INV-0433</t>
  </si>
  <si>
    <t xml:space="preserve">INV-0434</t>
  </si>
  <si>
    <t xml:space="preserve">INV-0435</t>
  </si>
  <si>
    <t xml:space="preserve">INV-0436</t>
  </si>
  <si>
    <t xml:space="preserve">INV-0437</t>
  </si>
  <si>
    <t xml:space="preserve">INV-0438</t>
  </si>
  <si>
    <t xml:space="preserve">Taka Two Thousand Four Hundred Thirty Only</t>
  </si>
  <si>
    <t xml:space="preserve">INV-0439</t>
  </si>
  <si>
    <t xml:space="preserve">INV-0440</t>
  </si>
  <si>
    <t xml:space="preserve">INV-0441</t>
  </si>
  <si>
    <t xml:space="preserve">INV-0442</t>
  </si>
  <si>
    <t xml:space="preserve">INV-0443</t>
  </si>
  <si>
    <t xml:space="preserve">INV-0444</t>
  </si>
  <si>
    <t xml:space="preserve">Taka One Thousand Seven Hundred Ten Only</t>
  </si>
  <si>
    <t xml:space="preserve">INV-0445</t>
  </si>
  <si>
    <t xml:space="preserve">INV-0446</t>
  </si>
  <si>
    <t xml:space="preserve">INV-0447</t>
  </si>
  <si>
    <t xml:space="preserve">INV-0448</t>
  </si>
  <si>
    <t xml:space="preserve">INV-0449</t>
  </si>
  <si>
    <t xml:space="preserve">Taka Two Hundred Twenty Only</t>
  </si>
  <si>
    <t xml:space="preserve">INV-0450</t>
  </si>
  <si>
    <t xml:space="preserve">INV-0451</t>
  </si>
  <si>
    <t xml:space="preserve">INV-0452</t>
  </si>
  <si>
    <t xml:space="preserve">INV-0453</t>
  </si>
  <si>
    <t xml:space="preserve">INV-0454</t>
  </si>
  <si>
    <t xml:space="preserve">INV-0455</t>
  </si>
  <si>
    <t xml:space="preserve">INV-0456</t>
  </si>
  <si>
    <t xml:space="preserve">INV-0457</t>
  </si>
  <si>
    <t xml:space="preserve">Taka Two Thousand Seven Hundred Sixty Only</t>
  </si>
  <si>
    <t xml:space="preserve">INV-0458</t>
  </si>
  <si>
    <t xml:space="preserve">INV-0459</t>
  </si>
  <si>
    <t xml:space="preserve">INV-0460</t>
  </si>
  <si>
    <t xml:space="preserve">INV-0461</t>
  </si>
  <si>
    <t xml:space="preserve">Taka Two Thousand One Hundred Seventy Only</t>
  </si>
  <si>
    <t xml:space="preserve">INV-0462</t>
  </si>
  <si>
    <t xml:space="preserve">INV-0463</t>
  </si>
  <si>
    <t xml:space="preserve">INV-0464</t>
  </si>
  <si>
    <t xml:space="preserve">INV-0465</t>
  </si>
  <si>
    <t xml:space="preserve">INV-0466</t>
  </si>
  <si>
    <t xml:space="preserve">INV-0467</t>
  </si>
  <si>
    <t xml:space="preserve">INV-0468</t>
  </si>
  <si>
    <t xml:space="preserve">INV-0469</t>
  </si>
  <si>
    <t xml:space="preserve">INV-0470</t>
  </si>
  <si>
    <t xml:space="preserve">INV-0471</t>
  </si>
  <si>
    <t xml:space="preserve">INV-0472</t>
  </si>
  <si>
    <t xml:space="preserve">INV-0473</t>
  </si>
  <si>
    <t xml:space="preserve">INV-0474</t>
  </si>
  <si>
    <t xml:space="preserve">INV-0475</t>
  </si>
  <si>
    <t xml:space="preserve">INV-0476</t>
  </si>
  <si>
    <t xml:space="preserve">INV-0477</t>
  </si>
  <si>
    <t xml:space="preserve">INV-0478</t>
  </si>
  <si>
    <t xml:space="preserve">Taka Three Thousand Five Hundred Ninety Only</t>
  </si>
  <si>
    <t xml:space="preserve">INV-0479</t>
  </si>
  <si>
    <t xml:space="preserve">INV-0480</t>
  </si>
  <si>
    <t xml:space="preserve">Taka One Thousand Six Hundred Seventy Only</t>
  </si>
  <si>
    <t xml:space="preserve">INV-0481</t>
  </si>
  <si>
    <t xml:space="preserve">INV-0482</t>
  </si>
  <si>
    <t xml:space="preserve">INV-0483</t>
  </si>
  <si>
    <t xml:space="preserve">INV-0484</t>
  </si>
  <si>
    <t xml:space="preserve">INV-0485</t>
  </si>
  <si>
    <t xml:space="preserve">Taka Three Thousand Six Hundred Ten Only</t>
  </si>
  <si>
    <t xml:space="preserve">INV-0486</t>
  </si>
  <si>
    <t xml:space="preserve">INV-0487</t>
  </si>
  <si>
    <t xml:space="preserve">Taka One Thousand Four Hundred Thirty Only</t>
  </si>
  <si>
    <t xml:space="preserve">INV-0488</t>
  </si>
  <si>
    <t xml:space="preserve">INV-0489</t>
  </si>
  <si>
    <t xml:space="preserve">Taka One Thousand Three Hundred Only</t>
  </si>
  <si>
    <t xml:space="preserve">INV-0490</t>
  </si>
  <si>
    <t xml:space="preserve">INV-0491</t>
  </si>
  <si>
    <t xml:space="preserve">INV-0492</t>
  </si>
  <si>
    <t xml:space="preserve">INV-0493</t>
  </si>
  <si>
    <t xml:space="preserve">INV-0494</t>
  </si>
  <si>
    <t xml:space="preserve">INV-0495</t>
  </si>
  <si>
    <t xml:space="preserve">INV-0496</t>
  </si>
  <si>
    <t xml:space="preserve">Taka Three Thousand Two Hundred Sixty Only</t>
  </si>
  <si>
    <t xml:space="preserve">INV-0497</t>
  </si>
  <si>
    <t xml:space="preserve">INV-0498</t>
  </si>
  <si>
    <t xml:space="preserve">INV-0499</t>
  </si>
  <si>
    <t xml:space="preserve">INV-0500</t>
  </si>
  <si>
    <t xml:space="preserve">INV-0501</t>
  </si>
  <si>
    <t xml:space="preserve">INV-0502</t>
  </si>
  <si>
    <t xml:space="preserve">INV-0503</t>
  </si>
  <si>
    <t xml:space="preserve">INV-0504</t>
  </si>
  <si>
    <t xml:space="preserve">INV-0505</t>
  </si>
  <si>
    <t xml:space="preserve">INV-0506</t>
  </si>
  <si>
    <t xml:space="preserve">INV-0507</t>
  </si>
  <si>
    <t xml:space="preserve">INV-0508</t>
  </si>
  <si>
    <t xml:space="preserve">INV-0509</t>
  </si>
  <si>
    <t xml:space="preserve">INV-0510</t>
  </si>
  <si>
    <t xml:space="preserve">INV-0511</t>
  </si>
  <si>
    <t xml:space="preserve">INV-0512</t>
  </si>
  <si>
    <t xml:space="preserve">Taka Five Hundred Fifty Only</t>
  </si>
  <si>
    <t xml:space="preserve">INV-0513</t>
  </si>
  <si>
    <t xml:space="preserve">INV-0514</t>
  </si>
  <si>
    <t xml:space="preserve">INV-0515</t>
  </si>
  <si>
    <t xml:space="preserve">INV-0516</t>
  </si>
  <si>
    <t xml:space="preserve">INV-0517</t>
  </si>
  <si>
    <t xml:space="preserve">INV-0518</t>
  </si>
  <si>
    <t xml:space="preserve">Taka One Thousand Eighty Only</t>
  </si>
  <si>
    <t xml:space="preserve">INV-0519</t>
  </si>
  <si>
    <t xml:space="preserve">INV-0520</t>
  </si>
  <si>
    <t xml:space="preserve">INV-0521</t>
  </si>
  <si>
    <t xml:space="preserve">INV-0522</t>
  </si>
  <si>
    <t xml:space="preserve">Taka Three Thousand Four Hundred Fifty Only</t>
  </si>
  <si>
    <t xml:space="preserve">INV-0523</t>
  </si>
  <si>
    <t xml:space="preserve">INV-0524</t>
  </si>
  <si>
    <t xml:space="preserve">INV-0525</t>
  </si>
  <si>
    <t xml:space="preserve">INV-0526</t>
  </si>
  <si>
    <t xml:space="preserve">INV-0527</t>
  </si>
  <si>
    <t xml:space="preserve">INV-0528</t>
  </si>
  <si>
    <t xml:space="preserve">INV-0529</t>
  </si>
  <si>
    <t xml:space="preserve">INV-0530</t>
  </si>
  <si>
    <t xml:space="preserve">INV-0531</t>
  </si>
  <si>
    <t xml:space="preserve">INV-0532</t>
  </si>
  <si>
    <t xml:space="preserve">Taka One Thousand Two Hundred Fifty Only</t>
  </si>
  <si>
    <t xml:space="preserve">INV-0533</t>
  </si>
  <si>
    <t xml:space="preserve">INV-0534</t>
  </si>
  <si>
    <t xml:space="preserve">INV-0535</t>
  </si>
  <si>
    <t xml:space="preserve">INV-0536</t>
  </si>
  <si>
    <t xml:space="preserve">INV-0537</t>
  </si>
  <si>
    <t xml:space="preserve">INV-0538</t>
  </si>
  <si>
    <t xml:space="preserve">INV-0539</t>
  </si>
  <si>
    <t xml:space="preserve">INV-0540</t>
  </si>
  <si>
    <t xml:space="preserve">INV-0541</t>
  </si>
  <si>
    <t xml:space="preserve">INV-0542</t>
  </si>
  <si>
    <t xml:space="preserve">Taka Four Thousand Two Hundred Thirty Only</t>
  </si>
  <si>
    <t xml:space="preserve">INV-0543</t>
  </si>
  <si>
    <t xml:space="preserve">INV-0544</t>
  </si>
  <si>
    <t xml:space="preserve">INV-0545</t>
  </si>
  <si>
    <t xml:space="preserve">Taka Two Thousand Two Hundred Eighty Only</t>
  </si>
  <si>
    <t xml:space="preserve">INV-0546</t>
  </si>
  <si>
    <t xml:space="preserve">Taka Three Thousand Three Hundred Ten Only</t>
  </si>
  <si>
    <t xml:space="preserve">INV-0547</t>
  </si>
  <si>
    <t xml:space="preserve">INV-0548</t>
  </si>
  <si>
    <t xml:space="preserve">INV-0549</t>
  </si>
  <si>
    <t xml:space="preserve">Taka One Thousand Only</t>
  </si>
  <si>
    <t xml:space="preserve">INV-0550</t>
  </si>
  <si>
    <t xml:space="preserve">INV-0551</t>
  </si>
  <si>
    <t xml:space="preserve">INV-0552</t>
  </si>
  <si>
    <t xml:space="preserve">Taka Three Thousand Seven Hundred Eighty Only</t>
  </si>
  <si>
    <t xml:space="preserve">INV-0553</t>
  </si>
  <si>
    <t xml:space="preserve">INV-0554</t>
  </si>
  <si>
    <t xml:space="preserve">INV-0555</t>
  </si>
  <si>
    <t xml:space="preserve">INV-0556</t>
  </si>
  <si>
    <t xml:space="preserve">INV-0557</t>
  </si>
  <si>
    <t xml:space="preserve">INV-0558</t>
  </si>
  <si>
    <t xml:space="preserve">INV-0559</t>
  </si>
  <si>
    <t xml:space="preserve">Taka Two Thousand Five Hundred Ten Only</t>
  </si>
  <si>
    <t xml:space="preserve">INV-0560</t>
  </si>
  <si>
    <t xml:space="preserve">Taka One Thousand Seven Hundred Eighty Only</t>
  </si>
  <si>
    <t xml:space="preserve">INV-0561</t>
  </si>
  <si>
    <t xml:space="preserve">Taka Four Thousand Two Hundred Seventy Only</t>
  </si>
  <si>
    <t xml:space="preserve">INV-0562</t>
  </si>
  <si>
    <t xml:space="preserve">INV-0563</t>
  </si>
  <si>
    <t xml:space="preserve">INV-0564</t>
  </si>
  <si>
    <t xml:space="preserve">INV-0565</t>
  </si>
  <si>
    <t xml:space="preserve">Taka Three Thousand Ten Only</t>
  </si>
  <si>
    <t xml:space="preserve">INV-0566</t>
  </si>
  <si>
    <t xml:space="preserve">INV-0567</t>
  </si>
  <si>
    <t xml:space="preserve">Taka Two Thousand Eight Hundred Thirty Only</t>
  </si>
  <si>
    <t xml:space="preserve">INV-0568</t>
  </si>
  <si>
    <t xml:space="preserve">INV-0569</t>
  </si>
  <si>
    <t xml:space="preserve">INV-0570</t>
  </si>
  <si>
    <t xml:space="preserve">INV-0571</t>
  </si>
  <si>
    <t xml:space="preserve">INV-0572</t>
  </si>
  <si>
    <t xml:space="preserve">INV-0573</t>
  </si>
  <si>
    <t xml:space="preserve">INV-0574</t>
  </si>
  <si>
    <t xml:space="preserve">INV-0575</t>
  </si>
  <si>
    <t xml:space="preserve">INV-0576</t>
  </si>
  <si>
    <t xml:space="preserve">INV-0577</t>
  </si>
  <si>
    <t xml:space="preserve">INV-0578</t>
  </si>
  <si>
    <t xml:space="preserve">Taka Two Thousand Fifty Only</t>
  </si>
  <si>
    <t xml:space="preserve">INV-0579</t>
  </si>
  <si>
    <t xml:space="preserve">INV-0580</t>
  </si>
  <si>
    <t xml:space="preserve">INV-0581</t>
  </si>
  <si>
    <t xml:space="preserve">Taka One Thousand One Hundred Eighty Only</t>
  </si>
  <si>
    <t xml:space="preserve">INV-0582</t>
  </si>
  <si>
    <t xml:space="preserve">INV-0583</t>
  </si>
  <si>
    <t xml:space="preserve">INV-0584</t>
  </si>
  <si>
    <t xml:space="preserve">INV-0585</t>
  </si>
  <si>
    <t xml:space="preserve">INV-0586</t>
  </si>
  <si>
    <t xml:space="preserve">INV-0587</t>
  </si>
  <si>
    <t xml:space="preserve">INV-0588</t>
  </si>
  <si>
    <t xml:space="preserve">Taka Nine Hundred Seventy Only</t>
  </si>
  <si>
    <t xml:space="preserve">INV-0589</t>
  </si>
  <si>
    <t xml:space="preserve">INV-0590</t>
  </si>
  <si>
    <t xml:space="preserve">INV-0591</t>
  </si>
  <si>
    <t xml:space="preserve">INV-0592</t>
  </si>
  <si>
    <t xml:space="preserve">INV-0593</t>
  </si>
  <si>
    <t xml:space="preserve">INV-0594</t>
  </si>
  <si>
    <t xml:space="preserve">Taka Three Thousand Eighty Only</t>
  </si>
  <si>
    <t xml:space="preserve">INV-0595</t>
  </si>
  <si>
    <t xml:space="preserve">INV-0596</t>
  </si>
  <si>
    <t xml:space="preserve">INV-0597</t>
  </si>
  <si>
    <t xml:space="preserve">INV-0598</t>
  </si>
  <si>
    <t xml:space="preserve">INV-0599</t>
  </si>
  <si>
    <t xml:space="preserve">INV-0600</t>
  </si>
  <si>
    <t xml:space="preserve">Taka Four Thousand Two Hundred Ten Only</t>
  </si>
  <si>
    <t xml:space="preserve">INV-0601</t>
  </si>
  <si>
    <t xml:space="preserve">INV-0602</t>
  </si>
  <si>
    <t xml:space="preserve">INV-0603</t>
  </si>
  <si>
    <t xml:space="preserve">INV-0604</t>
  </si>
  <si>
    <t xml:space="preserve">INV-0605</t>
  </si>
  <si>
    <t xml:space="preserve">INV-0606</t>
  </si>
  <si>
    <t xml:space="preserve">INV-0607</t>
  </si>
  <si>
    <t xml:space="preserve">INV-0608</t>
  </si>
  <si>
    <t xml:space="preserve">INV-0609</t>
  </si>
  <si>
    <t xml:space="preserve">INV-0610</t>
  </si>
  <si>
    <t xml:space="preserve">INV-0611</t>
  </si>
  <si>
    <t xml:space="preserve">INV-0612</t>
  </si>
  <si>
    <t xml:space="preserve">Taka Eight Hundred Thirty Only</t>
  </si>
  <si>
    <t xml:space="preserve">INV-0613</t>
  </si>
  <si>
    <t xml:space="preserve">INV-0614</t>
  </si>
  <si>
    <t xml:space="preserve">INV-0615</t>
  </si>
  <si>
    <t xml:space="preserve">INV-0616</t>
  </si>
  <si>
    <t xml:space="preserve">INV-0617</t>
  </si>
  <si>
    <t xml:space="preserve">INV-0618</t>
  </si>
  <si>
    <t xml:space="preserve">INV-0619</t>
  </si>
  <si>
    <t xml:space="preserve">Taka Two Thousand Three Hundred Twenty Only</t>
  </si>
  <si>
    <t xml:space="preserve">INV-0620</t>
  </si>
  <si>
    <t xml:space="preserve">INV-0621</t>
  </si>
  <si>
    <t xml:space="preserve">INV-0622</t>
  </si>
  <si>
    <t xml:space="preserve">INV-0623</t>
  </si>
  <si>
    <t xml:space="preserve">INV-0624</t>
  </si>
  <si>
    <t xml:space="preserve">INV-0625</t>
  </si>
  <si>
    <t xml:space="preserve">INV-0626</t>
  </si>
  <si>
    <t xml:space="preserve">INV-0627</t>
  </si>
  <si>
    <t xml:space="preserve">Taka One Thousand Five Hundred Only</t>
  </si>
  <si>
    <t xml:space="preserve">INV-0628</t>
  </si>
  <si>
    <t xml:space="preserve">INV-0629</t>
  </si>
  <si>
    <t xml:space="preserve">Taka Three Thousand Seven Hundred Only</t>
  </si>
  <si>
    <t xml:space="preserve">INV-0630</t>
  </si>
  <si>
    <t xml:space="preserve">Taka One Thousand Three Hundred Ninety Only</t>
  </si>
  <si>
    <t xml:space="preserve">INV-0631</t>
  </si>
  <si>
    <t xml:space="preserve">Taka Three Thousand Four Hundred Twenty Only</t>
  </si>
  <si>
    <t xml:space="preserve">INV-0632</t>
  </si>
  <si>
    <t xml:space="preserve">INV-0633</t>
  </si>
  <si>
    <t xml:space="preserve">Taka Eight Hundred Ninety Only</t>
  </si>
  <si>
    <t xml:space="preserve">INV-0634</t>
  </si>
  <si>
    <t xml:space="preserve">INV-0635</t>
  </si>
  <si>
    <t xml:space="preserve">INV-0636</t>
  </si>
  <si>
    <t xml:space="preserve">INV-0637</t>
  </si>
  <si>
    <t xml:space="preserve">INV-0638</t>
  </si>
  <si>
    <t xml:space="preserve">INV-0639</t>
  </si>
  <si>
    <t xml:space="preserve">INV-0640</t>
  </si>
  <si>
    <t xml:space="preserve">INV-0641</t>
  </si>
  <si>
    <t xml:space="preserve">INV-0642</t>
  </si>
  <si>
    <t xml:space="preserve">Taka Six Thousand One Hundred Twenty Only</t>
  </si>
  <si>
    <t xml:space="preserve">INV-0643</t>
  </si>
  <si>
    <t xml:space="preserve">INV-0644</t>
  </si>
  <si>
    <t xml:space="preserve">INV-0645</t>
  </si>
  <si>
    <t xml:space="preserve">INV-0646</t>
  </si>
  <si>
    <t xml:space="preserve">Taka Two Thousand Three Hundred Sixty Only</t>
  </si>
  <si>
    <t xml:space="preserve">INV-0647</t>
  </si>
  <si>
    <t xml:space="preserve">INV-0648</t>
  </si>
  <si>
    <t xml:space="preserve">INV-0649</t>
  </si>
  <si>
    <t xml:space="preserve">Taka Two Thousand One Hundred Forty Only</t>
  </si>
  <si>
    <t xml:space="preserve">INV-0650</t>
  </si>
  <si>
    <t xml:space="preserve">INV-0651</t>
  </si>
  <si>
    <t xml:space="preserve">INV-0652</t>
  </si>
  <si>
    <t xml:space="preserve">INV-0653</t>
  </si>
  <si>
    <t xml:space="preserve">Taka Three Thousand Only</t>
  </si>
  <si>
    <t xml:space="preserve">INV-0654</t>
  </si>
  <si>
    <t xml:space="preserve">INV-0655</t>
  </si>
  <si>
    <t xml:space="preserve">INV-0656</t>
  </si>
  <si>
    <t xml:space="preserve">INV-0657</t>
  </si>
  <si>
    <t xml:space="preserve">Taka Two Thousand Seven Hundred Ten Only</t>
  </si>
  <si>
    <t xml:space="preserve">INV-0658</t>
  </si>
  <si>
    <t xml:space="preserve">INV-0659</t>
  </si>
  <si>
    <t xml:space="preserve">INV-0660</t>
  </si>
  <si>
    <t xml:space="preserve">Taka One Thousand Seven Hundred Only</t>
  </si>
  <si>
    <t xml:space="preserve">INV-0661</t>
  </si>
  <si>
    <t xml:space="preserve">INV-0662</t>
  </si>
  <si>
    <t xml:space="preserve">INV-0663</t>
  </si>
  <si>
    <t xml:space="preserve">INV-0664</t>
  </si>
  <si>
    <t xml:space="preserve">INV-0665</t>
  </si>
  <si>
    <t xml:space="preserve">INV-0666</t>
  </si>
  <si>
    <t xml:space="preserve">INV-0667</t>
  </si>
  <si>
    <t xml:space="preserve">Unit Price</t>
  </si>
  <si>
    <t xml:space="preserve">Buy Price at Sale</t>
  </si>
  <si>
    <t xml:space="preserve">Line Total</t>
  </si>
  <si>
    <t xml:space="preserve">Line Cost</t>
  </si>
  <si>
    <t xml:space="preserve">Line Profit</t>
  </si>
  <si>
    <t xml:space="preserve">Amount Received</t>
  </si>
  <si>
    <t xml:space="preserve">Method</t>
  </si>
  <si>
    <t xml:space="preserve">Collected</t>
  </si>
  <si>
    <t xml:space="preserve">Opening</t>
  </si>
  <si>
    <t xml:space="preserve">Purchased</t>
  </si>
  <si>
    <t xml:space="preserve">Sold</t>
  </si>
  <si>
    <t xml:space="preserve">Current Stock</t>
  </si>
  <si>
    <t xml:space="preserve">Stock Value</t>
  </si>
  <si>
    <t xml:space="preserve">Min Alert</t>
  </si>
  <si>
    <t xml:space="preserve">Status</t>
  </si>
  <si>
    <t xml:space="preserve">Sort Helper</t>
  </si>
  <si>
    <t xml:space="preserve">Low-List Helper</t>
  </si>
  <si>
    <t xml:space="preserve">Description</t>
  </si>
  <si>
    <t xml:space="preserve">Amount</t>
  </si>
  <si>
    <t xml:space="preserve">Paid To</t>
  </si>
  <si>
    <t xml:space="preserve">Shop rent</t>
  </si>
  <si>
    <t xml:space="preserve">Landlord</t>
  </si>
  <si>
    <t xml:space="preserve">Staff 1 salary</t>
  </si>
  <si>
    <t xml:space="preserve">Staff 1</t>
  </si>
  <si>
    <t xml:space="preserve">Staff 2 salary</t>
  </si>
  <si>
    <t xml:space="preserve">Staff 2</t>
  </si>
  <si>
    <t xml:space="preserve">Electricity bill</t>
  </si>
  <si>
    <t xml:space="preserve">PDB</t>
  </si>
  <si>
    <t xml:space="preserve">Net bill</t>
  </si>
  <si>
    <t xml:space="preserve">ISP</t>
  </si>
  <si>
    <t xml:space="preserve">Parts delivery</t>
  </si>
  <si>
    <t xml:space="preserve">Tea, cleaning, misc</t>
  </si>
  <si>
    <t xml:space="preserve">Item</t>
  </si>
  <si>
    <t xml:space="preserve">Shop interior &amp; lighting</t>
  </si>
  <si>
    <t xml:space="preserve">One-time</t>
  </si>
  <si>
    <t xml:space="preserve">Display racks &amp; counter</t>
  </si>
  <si>
    <t xml:space="preserve">Tools &amp; air compressor</t>
  </si>
  <si>
    <t xml:space="preserve">Signboard &amp; light box</t>
  </si>
  <si>
    <t xml:space="preserve">Shelf boxes &amp; packaging</t>
  </si>
  <si>
    <t xml:space="preserve">Type</t>
  </si>
  <si>
    <t xml:space="preserve">Partner</t>
  </si>
  <si>
    <t xml:space="preserve">Capital In</t>
  </si>
  <si>
    <t xml:space="preserve">Initial capital</t>
  </si>
  <si>
    <t xml:space="preserve">Owner Drawing</t>
  </si>
  <si>
    <t xml:space="preserve">Personal use</t>
  </si>
  <si>
    <t xml:space="preserve">PROFIT REPORT</t>
  </si>
  <si>
    <t xml:space="preserve">Fixed costs (furniture, decoration...) are one-time investments, so the MAIN profit number is Operating Profit. Fixed costs are shown separately in the last two columns.</t>
  </si>
  <si>
    <t xml:space="preserve">MONTHLY (report year from Settings)</t>
  </si>
  <si>
    <t xml:space="preserve">Period</t>
  </si>
  <si>
    <t xml:space="preserve">Gross Sales</t>
  </si>
  <si>
    <t xml:space="preserve">Discounts</t>
  </si>
  <si>
    <t xml:space="preserve">Net Sales</t>
  </si>
  <si>
    <t xml:space="preserve">Cost of Goods Sold</t>
  </si>
  <si>
    <t xml:space="preserve">Gross Profit</t>
  </si>
  <si>
    <t xml:space="preserve">Running Costs</t>
  </si>
  <si>
    <t xml:space="preserve">OPERATING PROFIT</t>
  </si>
  <si>
    <t xml:space="preserve">Fixed Costs</t>
  </si>
  <si>
    <t xml:space="preserve">Result after Fixed Costs</t>
  </si>
  <si>
    <t xml:space="preserve">TOTAL</t>
  </si>
  <si>
    <t xml:space="preserve">YEARLY (5 years from first year in Settings)</t>
  </si>
  <si>
    <t xml:space="preserve">WEEKLY (last 12 weeks, week starts Monday)</t>
  </si>
  <si>
    <t xml:space="preserve">CASH FLOW &amp; REINVESTMENT (report year)</t>
  </si>
  <si>
    <t xml:space="preserve">Reinvested (gross) = stock purchases + fixed-cost spending. Net inventory growth = purchases minus cost of goods sold (real stock build-up). Profit kept = Operating Profit - Owner Drawings.</t>
  </si>
  <si>
    <t xml:space="preserve">Month</t>
  </si>
  <si>
    <t xml:space="preserve">Cash from Sales (paid at sale)</t>
  </si>
  <si>
    <t xml:space="preserve">Dues Collected</t>
  </si>
  <si>
    <t xml:space="preserve">Capital Added by Owner</t>
  </si>
  <si>
    <t xml:space="preserve">TOTAL CASH IN</t>
  </si>
  <si>
    <t xml:space="preserve">Stock Purchases</t>
  </si>
  <si>
    <t xml:space="preserve">Owner Drawings</t>
  </si>
  <si>
    <t xml:space="preserve">TOTAL CASH OUT</t>
  </si>
  <si>
    <t xml:space="preserve">Net Cash Change</t>
  </si>
  <si>
    <t xml:space="preserve">Closing Cash</t>
  </si>
  <si>
    <t xml:space="preserve">Reinvested (gross)</t>
  </si>
  <si>
    <t xml:space="preserve">Net Inventory Growth</t>
  </si>
  <si>
    <t xml:space="preserve">Reinvestment Rate (of Net Sales)</t>
  </si>
  <si>
    <t xml:space="preserve">Profit Kept (Op. Profit - Drawings)</t>
  </si>
  <si>
    <t xml:space="preserve">DASHBOARD</t>
  </si>
  <si>
    <t xml:space="preserve">Net Sales (year)</t>
  </si>
  <si>
    <t xml:space="preserve">Operating Profit</t>
  </si>
  <si>
    <t xml:space="preserve">Total Due from Customers</t>
  </si>
  <si>
    <t xml:space="preserve">Stock Value (at buy price)</t>
  </si>
  <si>
    <t xml:space="preserve">Items Low / Out of Stock</t>
  </si>
  <si>
    <t xml:space="preserve">Reinvested (gross, year)</t>
  </si>
  <si>
    <t xml:space="preserve">Cash in Hand (end of year)</t>
  </si>
  <si>
    <t xml:space="preserve">TOP 10 SELLING ITEMS</t>
  </si>
  <si>
    <t xml:space="preserve">Qty Sold</t>
  </si>
  <si>
    <t xml:space="preserve">LOW / OUT OF STOCK</t>
  </si>
  <si>
    <t xml:space="preserve">Current</t>
  </si>
  <si>
    <t xml:space="preserve">RUNNING COSTS BY CATEGORY (year)</t>
  </si>
  <si>
    <t xml:space="preserve">FIXED COSTS BY CATEGORY (year)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</si>
</sst>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#,##0"/>
    <numFmt numFmtId="167" formatCode="#,##0.00"/>
    <numFmt numFmtId="168" formatCode="#,##0.00;\(#,##0.00\);\-"/>
    <numFmt numFmtId="169" formatCode="0.0%"/>
    <numFmt numFmtId="170" formatCode="dd\-mmm\-yyyy"/>
    <numFmt numFmtId="171" formatCode="mmm\-yyyy"/>
    <numFmt numFmtId="172" formatCode="0"/>
    <numFmt numFmtId="173" formatCode="dd\-mmm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99"/>
        <bgColor rgb="FFFFEB9C"/>
      </patternFill>
    </fill>
    <fill>
      <patternFill patternType="solid">
        <fgColor rgb="FF7F7F7F"/>
        <bgColor rgb="FF969696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7F7F7F"/>
      <rgbColor rgb="FF9999FF"/>
      <rgbColor rgb="FFC0504D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FEB9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Monthly: Net Sales vs Operating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Profit!D4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Profit!$A$5:$A$16</c:f>
              <c:strCache>
                <c:ptCount val="12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  <c:pt idx="7">
                  <c:v>Aug-2026</c:v>
                </c:pt>
                <c:pt idx="8">
                  <c:v>Sep-2026</c:v>
                </c:pt>
                <c:pt idx="9">
                  <c:v>Oct-2026</c:v>
                </c:pt>
                <c:pt idx="10">
                  <c:v>Nov-2026</c:v>
                </c:pt>
                <c:pt idx="11">
                  <c:v>Dec-2026</c:v>
                </c:pt>
              </c:strCache>
            </c:strRef>
          </c:cat>
          <c:val>
            <c:numRef>
              <c:f>Profit!$D$5:$D$16</c:f>
              <c:numCache>
                <c:formatCode>#,##0.00;\(#,##0.00\);\-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263120</c:v>
                </c:pt>
                <c:pt idx="8">
                  <c:v>284110</c:v>
                </c:pt>
                <c:pt idx="9">
                  <c:v>222370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Profit!H4</c:f>
              <c:strCache>
                <c:ptCount val="1"/>
                <c:pt idx="0">
                  <c:v>OPERATING 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Profit!$A$5:$A$16</c:f>
              <c:strCache>
                <c:ptCount val="12"/>
                <c:pt idx="0">
                  <c:v>Jan-2026</c:v>
                </c:pt>
                <c:pt idx="1">
                  <c:v>Feb-2026</c:v>
                </c:pt>
                <c:pt idx="2">
                  <c:v>Mar-2026</c:v>
                </c:pt>
                <c:pt idx="3">
                  <c:v>Apr-2026</c:v>
                </c:pt>
                <c:pt idx="4">
                  <c:v>May-2026</c:v>
                </c:pt>
                <c:pt idx="5">
                  <c:v>Jun-2026</c:v>
                </c:pt>
                <c:pt idx="6">
                  <c:v>Jul-2026</c:v>
                </c:pt>
                <c:pt idx="7">
                  <c:v>Aug-2026</c:v>
                </c:pt>
                <c:pt idx="8">
                  <c:v>Sep-2026</c:v>
                </c:pt>
                <c:pt idx="9">
                  <c:v>Oct-2026</c:v>
                </c:pt>
                <c:pt idx="10">
                  <c:v>Nov-2026</c:v>
                </c:pt>
                <c:pt idx="11">
                  <c:v>Dec-2026</c:v>
                </c:pt>
              </c:strCache>
            </c:strRef>
          </c:cat>
          <c:val>
            <c:numRef>
              <c:f>Profit!$H$5:$H$16</c:f>
              <c:numCache>
                <c:formatCode>#,##0.00;\(#,##0.00\);\-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27927</c:v>
                </c:pt>
                <c:pt idx="8">
                  <c:v>34959</c:v>
                </c:pt>
                <c:pt idx="9">
                  <c:v>16570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72234484"/>
        <c:axId val="27205771"/>
      </c:barChart>
      <c:catAx>
        <c:axId val="72234484"/>
        <c:scaling>
          <c:orientation val="minMax"/>
        </c:scaling>
        <c:delete val="0"/>
        <c:axPos val="b"/>
        <c:numFmt formatCode="mmm\-yy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205771"/>
        <c:crosses val="autoZero"/>
        <c:auto val="1"/>
        <c:lblAlgn val="ctr"/>
        <c:lblOffset val="100"/>
        <c:noMultiLvlLbl val="0"/>
      </c:catAx>
      <c:valAx>
        <c:axId val="272057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2344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(last 12 weeks)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Profit!D31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Profit!$A$32:$A$43</c:f>
              <c:strCache>
                <c:ptCount val="12"/>
                <c:pt idx="0">
                  <c:v>03-Aug</c:v>
                </c:pt>
                <c:pt idx="1">
                  <c:v>10-Aug</c:v>
                </c:pt>
                <c:pt idx="2">
                  <c:v>17-Aug</c:v>
                </c:pt>
                <c:pt idx="3">
                  <c:v>24-Aug</c:v>
                </c:pt>
                <c:pt idx="4">
                  <c:v>31-Aug</c:v>
                </c:pt>
                <c:pt idx="5">
                  <c:v>07-Sep</c:v>
                </c:pt>
                <c:pt idx="6">
                  <c:v>14-Sep</c:v>
                </c:pt>
                <c:pt idx="7">
                  <c:v>21-Sep</c:v>
                </c:pt>
                <c:pt idx="8">
                  <c:v>28-Sep</c:v>
                </c:pt>
                <c:pt idx="9">
                  <c:v>05-Oct</c:v>
                </c:pt>
                <c:pt idx="10">
                  <c:v>12-Oct</c:v>
                </c:pt>
                <c:pt idx="11">
                  <c:v>19-Oct</c:v>
                </c:pt>
              </c:strCache>
            </c:strRef>
          </c:cat>
          <c:val>
            <c:numRef>
              <c:f>Profit!$D$32:$D$43</c:f>
              <c:numCache>
                <c:formatCode>#,##0.00;\(#,##0.00\);\-</c:formatCode>
                <c:ptCount val="12"/>
                <c:pt idx="0">
                  <c:v>62020</c:v>
                </c:pt>
                <c:pt idx="1">
                  <c:v>68760</c:v>
                </c:pt>
                <c:pt idx="2">
                  <c:v>62590</c:v>
                </c:pt>
                <c:pt idx="3">
                  <c:v>59820</c:v>
                </c:pt>
                <c:pt idx="4">
                  <c:v>64780</c:v>
                </c:pt>
                <c:pt idx="5">
                  <c:v>66460</c:v>
                </c:pt>
                <c:pt idx="6">
                  <c:v>66860</c:v>
                </c:pt>
                <c:pt idx="7">
                  <c:v>66160</c:v>
                </c:pt>
                <c:pt idx="8">
                  <c:v>57960</c:v>
                </c:pt>
                <c:pt idx="9">
                  <c:v>75210</c:v>
                </c:pt>
                <c:pt idx="10">
                  <c:v>67820</c:v>
                </c:pt>
                <c:pt idx="11">
                  <c:v>51160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Profit!H31</c:f>
              <c:strCache>
                <c:ptCount val="1"/>
                <c:pt idx="0">
                  <c:v>OPERATING PROFIT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Profit!$A$32:$A$43</c:f>
              <c:strCache>
                <c:ptCount val="12"/>
                <c:pt idx="0">
                  <c:v>03-Aug</c:v>
                </c:pt>
                <c:pt idx="1">
                  <c:v>10-Aug</c:v>
                </c:pt>
                <c:pt idx="2">
                  <c:v>17-Aug</c:v>
                </c:pt>
                <c:pt idx="3">
                  <c:v>24-Aug</c:v>
                </c:pt>
                <c:pt idx="4">
                  <c:v>31-Aug</c:v>
                </c:pt>
                <c:pt idx="5">
                  <c:v>07-Sep</c:v>
                </c:pt>
                <c:pt idx="6">
                  <c:v>14-Sep</c:v>
                </c:pt>
                <c:pt idx="7">
                  <c:v>21-Sep</c:v>
                </c:pt>
                <c:pt idx="8">
                  <c:v>28-Sep</c:v>
                </c:pt>
                <c:pt idx="9">
                  <c:v>05-Oct</c:v>
                </c:pt>
                <c:pt idx="10">
                  <c:v>12-Oct</c:v>
                </c:pt>
                <c:pt idx="11">
                  <c:v>19-Oct</c:v>
                </c:pt>
              </c:strCache>
            </c:strRef>
          </c:cat>
          <c:val>
            <c:numRef>
              <c:f>Profit!$H$32:$H$43</c:f>
              <c:numCache>
                <c:formatCode>#,##0.00;\(#,##0.00\);\-</c:formatCode>
                <c:ptCount val="12"/>
                <c:pt idx="0">
                  <c:v>-1690</c:v>
                </c:pt>
                <c:pt idx="1">
                  <c:v>15787</c:v>
                </c:pt>
                <c:pt idx="2">
                  <c:v>18015</c:v>
                </c:pt>
                <c:pt idx="3">
                  <c:v>17340</c:v>
                </c:pt>
                <c:pt idx="4">
                  <c:v>-25130</c:v>
                </c:pt>
                <c:pt idx="5">
                  <c:v>16151</c:v>
                </c:pt>
                <c:pt idx="6">
                  <c:v>16348</c:v>
                </c:pt>
                <c:pt idx="7">
                  <c:v>20615</c:v>
                </c:pt>
                <c:pt idx="8">
                  <c:v>-6180</c:v>
                </c:pt>
                <c:pt idx="9">
                  <c:v>655</c:v>
                </c:pt>
                <c:pt idx="10">
                  <c:v>16655</c:v>
                </c:pt>
                <c:pt idx="11">
                  <c:v>14890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2898831"/>
        <c:axId val="88175965"/>
      </c:lineChart>
      <c:catAx>
        <c:axId val="32898831"/>
        <c:scaling>
          <c:orientation val="minMax"/>
        </c:scaling>
        <c:delete val="0"/>
        <c:axPos val="b"/>
        <c:numFmt formatCode="dd\-mmm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175965"/>
        <c:crosses val="autoZero"/>
        <c:auto val="1"/>
        <c:lblAlgn val="ctr"/>
        <c:lblOffset val="100"/>
        <c:noMultiLvlLbl val="0"/>
      </c:catAx>
      <c:valAx>
        <c:axId val="8817596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988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Yearly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Profit!D22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Profit!$A$23:$A$27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Profit!$D$23:$D$27</c:f>
              <c:numCache>
                <c:formatCode>#,##0.00;\(#,##0.00\);\-</c:formatCode>
                <c:ptCount val="5"/>
                <c:pt idx="0">
                  <c:v>769600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Profit!H22</c:f>
              <c:strCache>
                <c:ptCount val="1"/>
                <c:pt idx="0">
                  <c:v>OPERATING PROFIT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Profit!$A$23:$A$27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Profit!$H$23:$H$27</c:f>
              <c:numCache>
                <c:formatCode>#,##0.00;\(#,##0.00\);\-</c:formatCode>
                <c:ptCount val="5"/>
                <c:pt idx="0">
                  <c:v>79456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71696437"/>
        <c:axId val="14927746"/>
      </c:barChart>
      <c:catAx>
        <c:axId val="7169643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927746"/>
        <c:crosses val="autoZero"/>
        <c:auto val="1"/>
        <c:lblAlgn val="ctr"/>
        <c:lblOffset val="100"/>
        <c:noMultiLvlLbl val="0"/>
      </c:catAx>
      <c:valAx>
        <c:axId val="149277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6964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Running Costs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Dashboard!$A$40:$A$45</c:f>
              <c:strCache>
                <c:ptCount val="6"/>
                <c:pt idx="0">
                  <c:v>Electricity</c:v>
                </c:pt>
                <c:pt idx="1">
                  <c:v>Internet</c:v>
                </c:pt>
                <c:pt idx="2">
                  <c:v>Salary</c:v>
                </c:pt>
                <c:pt idx="3">
                  <c:v>Rent</c:v>
                </c:pt>
                <c:pt idx="4">
                  <c:v>Transport</c:v>
                </c:pt>
                <c:pt idx="5">
                  <c:v>Other</c:v>
                </c:pt>
              </c:strCache>
            </c:strRef>
          </c:cat>
          <c:val>
            <c:numRef>
              <c:f>Dashboard!$B$40:$B$45</c:f>
              <c:numCache>
                <c:formatCode>#,##0.00;\(#,##0.00\);\-</c:formatCode>
                <c:ptCount val="6"/>
                <c:pt idx="0">
                  <c:v>9343</c:v>
                </c:pt>
                <c:pt idx="1">
                  <c:v>3000</c:v>
                </c:pt>
                <c:pt idx="2">
                  <c:v>72000</c:v>
                </c:pt>
                <c:pt idx="3">
                  <c:v>60000</c:v>
                </c:pt>
                <c:pt idx="4">
                  <c:v>4826</c:v>
                </c:pt>
                <c:pt idx="5">
                  <c:v>3035</c:v>
                </c:pt>
              </c:numCache>
            </c:numRef>
          </c:val>
        </c:ser>
        <c:gapWidth val="150"/>
        <c:overlap val="0"/>
        <c:axId val="27037715"/>
        <c:axId val="9689808"/>
      </c:barChart>
      <c:catAx>
        <c:axId val="270377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89808"/>
        <c:crosses val="autoZero"/>
        <c:auto val="1"/>
        <c:lblAlgn val="ctr"/>
        <c:lblOffset val="100"/>
        <c:noMultiLvlLbl val="0"/>
      </c:catAx>
      <c:valAx>
        <c:axId val="96898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0377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Fixed Costs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Dashboard!$A$49:$A$54</c:f>
              <c:strCache>
                <c:ptCount val="6"/>
                <c:pt idx="0">
                  <c:v>Decoration</c:v>
                </c:pt>
                <c:pt idx="1">
                  <c:v>Furniture</c:v>
                </c:pt>
                <c:pt idx="2">
                  <c:v>Equipment</c:v>
                </c:pt>
                <c:pt idx="3">
                  <c:v>Repair</c:v>
                </c:pt>
                <c:pt idx="4">
                  <c:v>Materials</c:v>
                </c:pt>
                <c:pt idx="5">
                  <c:v>Other</c:v>
                </c:pt>
              </c:strCache>
            </c:strRef>
          </c:cat>
          <c:val>
            <c:numRef>
              <c:f>Dashboard!$B$49:$B$54</c:f>
              <c:numCache>
                <c:formatCode>#,##0.00;\(#,##0.00\);\-</c:formatCode>
                <c:ptCount val="6"/>
                <c:pt idx="0">
                  <c:v>145000</c:v>
                </c:pt>
                <c:pt idx="1">
                  <c:v>60000</c:v>
                </c:pt>
                <c:pt idx="2">
                  <c:v>30000</c:v>
                </c:pt>
                <c:pt idx="3">
                  <c:v>0</c:v>
                </c:pt>
                <c:pt idx="4">
                  <c:v>8000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74368216"/>
        <c:axId val="55226074"/>
      </c:barChart>
      <c:catAx>
        <c:axId val="74368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226074"/>
        <c:crosses val="autoZero"/>
        <c:auto val="1"/>
        <c:lblAlgn val="ctr"/>
        <c:lblOffset val="100"/>
        <c:noMultiLvlLbl val="0"/>
      </c:catAx>
      <c:valAx>
        <c:axId val="552260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682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19</xdr:col>
      <xdr:colOff>581760</xdr:colOff>
      <xdr:row>18</xdr:row>
      <xdr:rowOff>11520</xdr:rowOff>
    </xdr:to>
    <xdr:graphicFrame>
      <xdr:nvGraphicFramePr>
        <xdr:cNvPr id="0" name="Chart 1"/>
        <xdr:cNvGraphicFramePr/>
      </xdr:nvGraphicFramePr>
      <xdr:xfrm>
        <a:off x="7941960" y="438120"/>
        <a:ext cx="79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20</xdr:row>
      <xdr:rowOff>0</xdr:rowOff>
    </xdr:from>
    <xdr:to>
      <xdr:col>19</xdr:col>
      <xdr:colOff>581760</xdr:colOff>
      <xdr:row>36</xdr:row>
      <xdr:rowOff>11520</xdr:rowOff>
    </xdr:to>
    <xdr:graphicFrame>
      <xdr:nvGraphicFramePr>
        <xdr:cNvPr id="1" name="Chart 2"/>
        <xdr:cNvGraphicFramePr/>
      </xdr:nvGraphicFramePr>
      <xdr:xfrm>
        <a:off x="7941960" y="3867120"/>
        <a:ext cx="79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38</xdr:row>
      <xdr:rowOff>0</xdr:rowOff>
    </xdr:from>
    <xdr:to>
      <xdr:col>19</xdr:col>
      <xdr:colOff>581760</xdr:colOff>
      <xdr:row>54</xdr:row>
      <xdr:rowOff>11520</xdr:rowOff>
    </xdr:to>
    <xdr:graphicFrame>
      <xdr:nvGraphicFramePr>
        <xdr:cNvPr id="2" name="Chart 3"/>
        <xdr:cNvGraphicFramePr/>
      </xdr:nvGraphicFramePr>
      <xdr:xfrm>
        <a:off x="7941960" y="7296120"/>
        <a:ext cx="79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56</xdr:row>
      <xdr:rowOff>0</xdr:rowOff>
    </xdr:from>
    <xdr:to>
      <xdr:col>15</xdr:col>
      <xdr:colOff>147600</xdr:colOff>
      <xdr:row>72</xdr:row>
      <xdr:rowOff>11520</xdr:rowOff>
    </xdr:to>
    <xdr:graphicFrame>
      <xdr:nvGraphicFramePr>
        <xdr:cNvPr id="3" name="Chart 4"/>
        <xdr:cNvGraphicFramePr/>
      </xdr:nvGraphicFramePr>
      <xdr:xfrm>
        <a:off x="7941960" y="1072512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17</xdr:col>
      <xdr:colOff>0</xdr:colOff>
      <xdr:row>56</xdr:row>
      <xdr:rowOff>0</xdr:rowOff>
    </xdr:from>
    <xdr:to>
      <xdr:col>25</xdr:col>
      <xdr:colOff>147600</xdr:colOff>
      <xdr:row>72</xdr:row>
      <xdr:rowOff>11520</xdr:rowOff>
    </xdr:to>
    <xdr:graphicFrame>
      <xdr:nvGraphicFramePr>
        <xdr:cNvPr id="4" name="Chart 5"/>
        <xdr:cNvGraphicFramePr/>
      </xdr:nvGraphicFramePr>
      <xdr:xfrm>
        <a:off x="14056920" y="10725120"/>
        <a:ext cx="50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26"/>
    <col collapsed="false" customWidth="true" hidden="false" outlineLevel="0" max="8" min="4" style="1" width="24"/>
    <col collapsed="false" customWidth="true" hidden="false" outlineLevel="0" max="9" min="9" style="1" width="18"/>
    <col collapsed="false" customWidth="true" hidden="false" outlineLevel="0" max="10" min="10" style="1" width="16"/>
  </cols>
  <sheetData>
    <row r="1" customFormat="false" ht="17.25" hidden="false" customHeight="true" outlineLevel="0" collapsed="false">
      <c r="A1" s="2" t="s">
        <v>0</v>
      </c>
      <c r="B1" s="3"/>
      <c r="C1" s="3"/>
      <c r="D1" s="4" t="s">
        <v>1</v>
      </c>
      <c r="E1" s="3"/>
      <c r="F1" s="3"/>
      <c r="G1" s="3"/>
      <c r="H1" s="3"/>
    </row>
    <row r="2" customFormat="false" ht="15" hidden="false" customHeight="true" outlineLevel="0" collapsed="false">
      <c r="A2" s="3"/>
      <c r="B2" s="3"/>
      <c r="C2" s="3"/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</row>
    <row r="3" customFormat="false" ht="15" hidden="false" customHeight="true" outlineLevel="0" collapsed="false">
      <c r="A3" s="4" t="s">
        <v>9</v>
      </c>
      <c r="B3" s="6" t="s">
        <v>10</v>
      </c>
      <c r="C3" s="3"/>
      <c r="D3" s="7" t="s">
        <v>11</v>
      </c>
      <c r="E3" s="7" t="s">
        <v>12</v>
      </c>
      <c r="F3" s="7" t="s">
        <v>13</v>
      </c>
      <c r="G3" s="7" t="s">
        <v>14</v>
      </c>
      <c r="H3" s="7" t="s">
        <v>15</v>
      </c>
      <c r="I3" s="7" t="s">
        <v>16</v>
      </c>
      <c r="J3" s="8" t="n">
        <v>33.3333333333333</v>
      </c>
    </row>
    <row r="4" customFormat="false" ht="15" hidden="false" customHeight="true" outlineLevel="0" collapsed="false">
      <c r="A4" s="4" t="s">
        <v>17</v>
      </c>
      <c r="B4" s="6" t="s">
        <v>18</v>
      </c>
      <c r="C4" s="3"/>
      <c r="D4" s="7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  <c r="J4" s="8" t="n">
        <v>33.3333333333333</v>
      </c>
    </row>
    <row r="5" customFormat="false" ht="15" hidden="false" customHeight="true" outlineLevel="0" collapsed="false">
      <c r="A5" s="4" t="s">
        <v>25</v>
      </c>
      <c r="B5" s="6" t="s">
        <v>26</v>
      </c>
      <c r="C5" s="3"/>
      <c r="D5" s="7" t="s">
        <v>27</v>
      </c>
      <c r="E5" s="7" t="s">
        <v>28</v>
      </c>
      <c r="F5" s="7" t="s">
        <v>29</v>
      </c>
      <c r="G5" s="7" t="s">
        <v>30</v>
      </c>
      <c r="H5" s="7" t="s">
        <v>31</v>
      </c>
      <c r="I5" s="7" t="s">
        <v>32</v>
      </c>
      <c r="J5" s="8" t="n">
        <v>33.3333333333333</v>
      </c>
    </row>
    <row r="6" customFormat="false" ht="15" hidden="false" customHeight="true" outlineLevel="0" collapsed="false">
      <c r="A6" s="4" t="s">
        <v>33</v>
      </c>
      <c r="B6" s="6" t="s">
        <v>34</v>
      </c>
      <c r="C6" s="3"/>
      <c r="D6" s="3" t="s">
        <v>35</v>
      </c>
      <c r="E6" s="7" t="s">
        <v>36</v>
      </c>
      <c r="F6" s="7" t="s">
        <v>37</v>
      </c>
      <c r="G6" s="7" t="s">
        <v>38</v>
      </c>
      <c r="H6" s="7" t="s">
        <v>39</v>
      </c>
      <c r="I6" s="7"/>
      <c r="J6" s="7"/>
    </row>
    <row r="7" customFormat="false" ht="15" hidden="false" customHeight="true" outlineLevel="0" collapsed="false">
      <c r="A7" s="4" t="s">
        <v>40</v>
      </c>
      <c r="B7" s="6" t="s">
        <v>41</v>
      </c>
      <c r="C7" s="3"/>
      <c r="D7" s="3" t="s">
        <v>42</v>
      </c>
      <c r="E7" s="7" t="s">
        <v>43</v>
      </c>
      <c r="F7" s="7" t="s">
        <v>44</v>
      </c>
      <c r="G7" s="7" t="s">
        <v>45</v>
      </c>
      <c r="H7" s="7" t="s">
        <v>46</v>
      </c>
      <c r="I7" s="7"/>
      <c r="J7" s="7"/>
    </row>
    <row r="8" customFormat="false" ht="15" hidden="false" customHeight="true" outlineLevel="0" collapsed="false">
      <c r="A8" s="4" t="s">
        <v>47</v>
      </c>
      <c r="B8" s="9" t="n">
        <v>5</v>
      </c>
      <c r="C8" s="3"/>
      <c r="D8" s="3" t="s">
        <v>48</v>
      </c>
      <c r="E8" s="3" t="s">
        <v>49</v>
      </c>
      <c r="F8" s="3"/>
      <c r="G8" s="7" t="s">
        <v>50</v>
      </c>
      <c r="H8" s="7" t="s">
        <v>50</v>
      </c>
    </row>
    <row r="9" customFormat="false" ht="15" hidden="false" customHeight="true" outlineLevel="0" collapsed="false">
      <c r="A9" s="4" t="s">
        <v>51</v>
      </c>
      <c r="B9" s="6" t="n">
        <v>2026</v>
      </c>
      <c r="C9" s="3"/>
      <c r="D9" s="3"/>
      <c r="E9" s="3" t="s">
        <v>52</v>
      </c>
      <c r="F9" s="3"/>
      <c r="G9" s="3"/>
      <c r="H9" s="3"/>
    </row>
    <row r="10" customFormat="false" ht="15" hidden="false" customHeight="true" outlineLevel="0" collapsed="false">
      <c r="A10" s="4" t="s">
        <v>53</v>
      </c>
      <c r="B10" s="10" t="n">
        <v>0</v>
      </c>
      <c r="C10" s="3"/>
      <c r="D10" s="3"/>
      <c r="E10" s="3"/>
      <c r="F10" s="3"/>
      <c r="G10" s="3"/>
      <c r="H10" s="3"/>
    </row>
    <row r="11" customFormat="false" ht="15" hidden="false" customHeight="true" outlineLevel="0" collapsed="false">
      <c r="A11" s="4" t="s">
        <v>54</v>
      </c>
      <c r="B11" s="6" t="n">
        <v>2026</v>
      </c>
      <c r="C11" s="3"/>
      <c r="D11" s="3"/>
      <c r="E11" s="3"/>
      <c r="F11" s="3"/>
      <c r="G11" s="3"/>
      <c r="H11" s="3"/>
    </row>
    <row r="12" customFormat="false" ht="15" hidden="false" customHeight="true" outlineLevel="0" collapsed="false">
      <c r="A12" s="4" t="s">
        <v>55</v>
      </c>
      <c r="B12" s="6" t="n">
        <v>10</v>
      </c>
      <c r="C12" s="3"/>
      <c r="D12" s="3"/>
      <c r="E12" s="3"/>
      <c r="F12" s="3"/>
      <c r="G12" s="3"/>
      <c r="H12" s="3"/>
    </row>
    <row r="13" customFormat="false" ht="15" hidden="false" customHeight="true" outlineLevel="0" collapsed="false">
      <c r="A13" s="4" t="s">
        <v>56</v>
      </c>
      <c r="B13" s="6" t="n">
        <v>20</v>
      </c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4" t="s">
        <v>57</v>
      </c>
      <c r="B14" s="3"/>
      <c r="C14" s="3"/>
      <c r="D14" s="3"/>
      <c r="E14" s="3"/>
      <c r="F14" s="3"/>
      <c r="G14" s="3"/>
      <c r="H14" s="3"/>
    </row>
    <row r="15" customFormat="false" ht="15" hidden="false" customHeight="true" outlineLevel="0" collapsed="false">
      <c r="A15" s="3" t="s">
        <v>58</v>
      </c>
      <c r="B15" s="3"/>
      <c r="C15" s="3"/>
      <c r="D15" s="3"/>
      <c r="E15" s="3"/>
      <c r="F15" s="3"/>
      <c r="G15" s="3"/>
      <c r="H15" s="3"/>
    </row>
    <row r="16" customFormat="false" ht="15" hidden="false" customHeight="true" outlineLevel="0" collapsed="false">
      <c r="A16" s="3" t="s">
        <v>59</v>
      </c>
      <c r="B16" s="3"/>
      <c r="C16" s="3"/>
      <c r="D16" s="3"/>
      <c r="E16" s="3"/>
      <c r="F16" s="3"/>
      <c r="G16" s="3"/>
      <c r="H16" s="3"/>
    </row>
    <row r="17" customFormat="false" ht="15" hidden="false" customHeight="true" outlineLevel="0" collapsed="false">
      <c r="A17" s="3" t="s">
        <v>60</v>
      </c>
      <c r="B17" s="3"/>
      <c r="C17" s="3"/>
      <c r="D17" s="3"/>
      <c r="E17" s="3"/>
      <c r="F17" s="3"/>
      <c r="G17" s="3"/>
      <c r="H17" s="3"/>
    </row>
    <row r="18" customFormat="false" ht="15" hidden="false" customHeight="true" outlineLevel="0" collapsed="false">
      <c r="A18" s="3" t="s">
        <v>61</v>
      </c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3" t="s">
        <v>62</v>
      </c>
      <c r="B19" s="3"/>
      <c r="C19" s="3"/>
      <c r="D19" s="3"/>
      <c r="E19" s="3"/>
      <c r="F19" s="3"/>
      <c r="G19" s="3"/>
      <c r="H19" s="3"/>
    </row>
    <row r="20" customFormat="false" ht="15" hidden="false" customHeight="true" outlineLevel="0" collapsed="false">
      <c r="A20" s="3" t="s">
        <v>63</v>
      </c>
      <c r="B20" s="3"/>
      <c r="C20" s="3"/>
      <c r="D20" s="3"/>
      <c r="E20" s="3"/>
      <c r="F20" s="3"/>
      <c r="G20" s="3"/>
      <c r="H20" s="3"/>
    </row>
    <row r="21" customFormat="false" ht="15" hidden="false" customHeight="true" outlineLevel="0" collapsed="false">
      <c r="A21" s="3" t="s">
        <v>64</v>
      </c>
      <c r="B21" s="3"/>
      <c r="C21" s="3"/>
      <c r="D21" s="3"/>
      <c r="E21" s="3"/>
      <c r="F21" s="3"/>
      <c r="G21" s="3"/>
      <c r="H2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7" min="5" style="1" width="12"/>
    <col collapsed="false" customWidth="true" hidden="false" outlineLevel="0" max="8" min="8" style="1" width="20"/>
    <col collapsed="false" customWidth="true" hidden="false" outlineLevel="0" max="9" min="9" style="1" width="12"/>
    <col collapsed="false" customWidth="true" hidden="false" outlineLevel="0" max="11" min="10" style="1" width="10"/>
    <col collapsed="false" customWidth="true" hidden="false" outlineLevel="0" max="12" min="12" style="1" width="16"/>
  </cols>
  <sheetData>
    <row r="1" customFormat="false" ht="31.5" hidden="false" customHeight="true" outlineLevel="0" collapsed="false">
      <c r="A1" s="11" t="s">
        <v>65</v>
      </c>
      <c r="B1" s="11" t="s">
        <v>66</v>
      </c>
      <c r="C1" s="11" t="s">
        <v>67</v>
      </c>
      <c r="D1" s="11" t="s">
        <v>68</v>
      </c>
      <c r="E1" s="11" t="s">
        <v>69</v>
      </c>
      <c r="F1" s="11" t="s">
        <v>70</v>
      </c>
      <c r="G1" s="11" t="s">
        <v>71</v>
      </c>
      <c r="H1" s="11" t="s">
        <v>72</v>
      </c>
      <c r="I1" s="11" t="s">
        <v>73</v>
      </c>
      <c r="J1" s="11" t="s">
        <v>74</v>
      </c>
      <c r="K1" s="12" t="s">
        <v>75</v>
      </c>
      <c r="L1" s="11" t="s">
        <v>76</v>
      </c>
    </row>
    <row r="2" customFormat="false" ht="15" hidden="false" customHeight="true" outlineLevel="0" collapsed="false">
      <c r="A2" s="7" t="s">
        <v>77</v>
      </c>
      <c r="B2" s="7" t="s">
        <v>78</v>
      </c>
      <c r="C2" s="7" t="s">
        <v>19</v>
      </c>
      <c r="D2" s="7" t="s">
        <v>36</v>
      </c>
      <c r="E2" s="13" t="n">
        <v>320</v>
      </c>
      <c r="F2" s="13" t="n">
        <v>480</v>
      </c>
      <c r="G2" s="7" t="n">
        <v>8</v>
      </c>
      <c r="H2" s="7" t="s">
        <v>79</v>
      </c>
      <c r="I2" s="7" t="n">
        <v>40</v>
      </c>
      <c r="J2" s="7" t="s">
        <v>80</v>
      </c>
      <c r="K2" s="14"/>
      <c r="L2" s="7" t="s">
        <v>81</v>
      </c>
    </row>
    <row r="3" customFormat="false" ht="15" hidden="false" customHeight="true" outlineLevel="0" collapsed="false">
      <c r="A3" s="7" t="s">
        <v>82</v>
      </c>
      <c r="B3" s="7" t="s">
        <v>83</v>
      </c>
      <c r="C3" s="7" t="s">
        <v>19</v>
      </c>
      <c r="D3" s="7" t="s">
        <v>12</v>
      </c>
      <c r="E3" s="13" t="n">
        <v>110</v>
      </c>
      <c r="F3" s="13" t="n">
        <v>190</v>
      </c>
      <c r="G3" s="7" t="n">
        <v>10</v>
      </c>
      <c r="H3" s="7" t="s">
        <v>84</v>
      </c>
      <c r="I3" s="7" t="n">
        <v>60</v>
      </c>
      <c r="J3" s="7" t="s">
        <v>80</v>
      </c>
      <c r="K3" s="14"/>
      <c r="L3" s="7" t="s">
        <v>85</v>
      </c>
    </row>
    <row r="4" customFormat="false" ht="15" hidden="false" customHeight="true" outlineLevel="0" collapsed="false">
      <c r="A4" s="7" t="s">
        <v>86</v>
      </c>
      <c r="B4" s="7" t="s">
        <v>87</v>
      </c>
      <c r="C4" s="7" t="s">
        <v>11</v>
      </c>
      <c r="D4" s="7" t="s">
        <v>12</v>
      </c>
      <c r="E4" s="13" t="n">
        <v>175</v>
      </c>
      <c r="F4" s="13" t="n">
        <v>260</v>
      </c>
      <c r="G4" s="7" t="n">
        <v>15</v>
      </c>
      <c r="H4" s="7" t="s">
        <v>88</v>
      </c>
      <c r="I4" s="7" t="n">
        <v>100</v>
      </c>
      <c r="J4" s="7" t="s">
        <v>80</v>
      </c>
      <c r="K4" s="14"/>
      <c r="L4" s="7" t="s">
        <v>89</v>
      </c>
    </row>
    <row r="5" customFormat="false" ht="15" hidden="false" customHeight="true" outlineLevel="0" collapsed="false">
      <c r="A5" s="7" t="s">
        <v>90</v>
      </c>
      <c r="B5" s="7" t="s">
        <v>91</v>
      </c>
      <c r="C5" s="7" t="s">
        <v>11</v>
      </c>
      <c r="D5" s="7" t="s">
        <v>12</v>
      </c>
      <c r="E5" s="13" t="n">
        <v>210</v>
      </c>
      <c r="F5" s="13" t="n">
        <v>340</v>
      </c>
      <c r="G5" s="7" t="n">
        <v>10</v>
      </c>
      <c r="H5" s="7" t="s">
        <v>79</v>
      </c>
      <c r="I5" s="7" t="n">
        <v>45</v>
      </c>
      <c r="J5" s="7" t="s">
        <v>80</v>
      </c>
      <c r="K5" s="14"/>
      <c r="L5" s="7" t="s">
        <v>92</v>
      </c>
    </row>
    <row r="6" customFormat="false" ht="15" hidden="false" customHeight="true" outlineLevel="0" collapsed="false">
      <c r="A6" s="7" t="s">
        <v>93</v>
      </c>
      <c r="B6" s="7" t="s">
        <v>94</v>
      </c>
      <c r="C6" s="7" t="s">
        <v>11</v>
      </c>
      <c r="D6" s="7" t="s">
        <v>36</v>
      </c>
      <c r="E6" s="13" t="n">
        <v>1750</v>
      </c>
      <c r="F6" s="13" t="n">
        <v>2350</v>
      </c>
      <c r="G6" s="7" t="n">
        <v>4</v>
      </c>
      <c r="H6" s="7" t="s">
        <v>84</v>
      </c>
      <c r="I6" s="7" t="n">
        <v>18</v>
      </c>
      <c r="J6" s="7" t="s">
        <v>80</v>
      </c>
      <c r="K6" s="14" t="n">
        <f aca="false">IF(OR(A6="",F6=0),"",(F6-E6)/F6)</f>
        <v>0.25531914893617</v>
      </c>
      <c r="L6" s="7" t="s">
        <v>95</v>
      </c>
    </row>
    <row r="7" customFormat="false" ht="15" hidden="false" customHeight="true" outlineLevel="0" collapsed="false">
      <c r="A7" s="7" t="s">
        <v>96</v>
      </c>
      <c r="B7" s="7" t="s">
        <v>97</v>
      </c>
      <c r="C7" s="7" t="s">
        <v>42</v>
      </c>
      <c r="D7" s="7" t="s">
        <v>49</v>
      </c>
      <c r="E7" s="13" t="n">
        <v>620</v>
      </c>
      <c r="F7" s="13" t="n">
        <v>780</v>
      </c>
      <c r="G7" s="7" t="n">
        <v>20</v>
      </c>
      <c r="H7" s="7" t="s">
        <v>88</v>
      </c>
      <c r="I7" s="7" t="n">
        <v>90</v>
      </c>
      <c r="J7" s="7" t="s">
        <v>80</v>
      </c>
      <c r="K7" s="14" t="n">
        <f aca="false">IF(OR(A7="",F7=0),"",(F7-E7)/F7)</f>
        <v>0.205128205128205</v>
      </c>
      <c r="L7" s="7" t="s">
        <v>98</v>
      </c>
    </row>
    <row r="8" customFormat="false" ht="15" hidden="false" customHeight="true" outlineLevel="0" collapsed="false">
      <c r="A8" s="7" t="s">
        <v>99</v>
      </c>
      <c r="B8" s="7" t="s">
        <v>100</v>
      </c>
      <c r="C8" s="7" t="s">
        <v>42</v>
      </c>
      <c r="D8" s="7" t="s">
        <v>49</v>
      </c>
      <c r="E8" s="13" t="n">
        <v>780</v>
      </c>
      <c r="F8" s="13" t="n">
        <v>990</v>
      </c>
      <c r="G8" s="7" t="n">
        <v>15</v>
      </c>
      <c r="H8" s="7" t="s">
        <v>79</v>
      </c>
      <c r="I8" s="7" t="n">
        <v>50</v>
      </c>
      <c r="J8" s="7" t="s">
        <v>80</v>
      </c>
      <c r="K8" s="14" t="n">
        <f aca="false">IF(OR(A8="",F8=0),"",(F8-E8)/F8)</f>
        <v>0.212121212121212</v>
      </c>
      <c r="L8" s="7" t="s">
        <v>101</v>
      </c>
    </row>
    <row r="9" customFormat="false" ht="15" hidden="false" customHeight="true" outlineLevel="0" collapsed="false">
      <c r="A9" s="7" t="s">
        <v>102</v>
      </c>
      <c r="B9" s="7" t="s">
        <v>103</v>
      </c>
      <c r="C9" s="7" t="s">
        <v>27</v>
      </c>
      <c r="D9" s="7" t="s">
        <v>12</v>
      </c>
      <c r="E9" s="13" t="n">
        <v>140</v>
      </c>
      <c r="F9" s="13" t="n">
        <v>240</v>
      </c>
      <c r="G9" s="7" t="n">
        <v>12</v>
      </c>
      <c r="H9" s="7" t="s">
        <v>84</v>
      </c>
      <c r="I9" s="7" t="n">
        <v>70</v>
      </c>
      <c r="J9" s="7" t="s">
        <v>80</v>
      </c>
      <c r="K9" s="14" t="n">
        <f aca="false">IF(OR(A9="",F9=0),"",(F9-E9)/F9)</f>
        <v>0.416666666666667</v>
      </c>
      <c r="L9" s="7" t="s">
        <v>104</v>
      </c>
    </row>
    <row r="10" customFormat="false" ht="15" hidden="false" customHeight="true" outlineLevel="0" collapsed="false">
      <c r="A10" s="7" t="s">
        <v>105</v>
      </c>
      <c r="B10" s="7" t="s">
        <v>106</v>
      </c>
      <c r="C10" s="7" t="s">
        <v>27</v>
      </c>
      <c r="D10" s="7" t="s">
        <v>12</v>
      </c>
      <c r="E10" s="13" t="n">
        <v>2350</v>
      </c>
      <c r="F10" s="13" t="n">
        <v>2950</v>
      </c>
      <c r="G10" s="7" t="n">
        <v>3</v>
      </c>
      <c r="H10" s="7" t="s">
        <v>88</v>
      </c>
      <c r="I10" s="7" t="n">
        <v>8</v>
      </c>
      <c r="J10" s="7" t="s">
        <v>80</v>
      </c>
      <c r="K10" s="14" t="n">
        <f aca="false">IF(OR(A10="",F10=0),"",(F10-E10)/F10)</f>
        <v>0.203389830508475</v>
      </c>
      <c r="L10" s="7" t="s">
        <v>107</v>
      </c>
    </row>
    <row r="11" customFormat="false" ht="15" hidden="false" customHeight="true" outlineLevel="0" collapsed="false">
      <c r="A11" s="7" t="s">
        <v>108</v>
      </c>
      <c r="B11" s="7" t="s">
        <v>109</v>
      </c>
      <c r="C11" s="7" t="s">
        <v>35</v>
      </c>
      <c r="D11" s="7" t="s">
        <v>12</v>
      </c>
      <c r="E11" s="13" t="n">
        <v>2750</v>
      </c>
      <c r="F11" s="13" t="n">
        <v>3350</v>
      </c>
      <c r="G11" s="7" t="n">
        <v>4</v>
      </c>
      <c r="H11" s="7" t="s">
        <v>79</v>
      </c>
      <c r="I11" s="7" t="n">
        <v>14</v>
      </c>
      <c r="J11" s="7" t="s">
        <v>80</v>
      </c>
      <c r="K11" s="14" t="n">
        <f aca="false">IF(OR(A11="",F11=0),"",(F11-E11)/F11)</f>
        <v>0.17910447761194</v>
      </c>
      <c r="L11" s="7" t="s">
        <v>110</v>
      </c>
    </row>
    <row r="12" customFormat="false" ht="15" hidden="false" customHeight="true" outlineLevel="0" collapsed="false">
      <c r="A12" s="7" t="s">
        <v>111</v>
      </c>
      <c r="B12" s="7" t="s">
        <v>112</v>
      </c>
      <c r="C12" s="7" t="s">
        <v>35</v>
      </c>
      <c r="D12" s="7" t="s">
        <v>12</v>
      </c>
      <c r="E12" s="13" t="n">
        <v>2300</v>
      </c>
      <c r="F12" s="13" t="n">
        <v>2850</v>
      </c>
      <c r="G12" s="7" t="n">
        <v>4</v>
      </c>
      <c r="H12" s="7" t="s">
        <v>84</v>
      </c>
      <c r="I12" s="7" t="n">
        <v>10</v>
      </c>
      <c r="J12" s="7" t="s">
        <v>80</v>
      </c>
      <c r="K12" s="14" t="n">
        <f aca="false">IF(OR(A12="",F12=0),"",(F12-E12)/F12)</f>
        <v>0.192982456140351</v>
      </c>
      <c r="L12" s="7" t="s">
        <v>113</v>
      </c>
    </row>
    <row r="13" customFormat="false" ht="15" hidden="false" customHeight="true" outlineLevel="0" collapsed="false">
      <c r="A13" s="7" t="s">
        <v>114</v>
      </c>
      <c r="B13" s="7" t="s">
        <v>115</v>
      </c>
      <c r="C13" s="7" t="s">
        <v>48</v>
      </c>
      <c r="D13" s="7" t="s">
        <v>52</v>
      </c>
      <c r="E13" s="13" t="n">
        <v>380</v>
      </c>
      <c r="F13" s="13" t="n">
        <v>620</v>
      </c>
      <c r="G13" s="7" t="n">
        <v>6</v>
      </c>
      <c r="H13" s="7" t="s">
        <v>88</v>
      </c>
      <c r="I13" s="7" t="n">
        <v>25</v>
      </c>
      <c r="J13" s="7" t="s">
        <v>80</v>
      </c>
      <c r="K13" s="14" t="n">
        <f aca="false">IF(OR(A13="",F13=0),"",(F13-E13)/F13)</f>
        <v>0.387096774193548</v>
      </c>
      <c r="L13" s="7" t="s">
        <v>92</v>
      </c>
    </row>
    <row r="14" customFormat="false" ht="15" hidden="false" customHeight="true" outlineLevel="0" collapsed="false">
      <c r="A14" s="7" t="s">
        <v>116</v>
      </c>
      <c r="B14" s="7" t="s">
        <v>117</v>
      </c>
      <c r="C14" s="7" t="s">
        <v>48</v>
      </c>
      <c r="D14" s="7" t="s">
        <v>12</v>
      </c>
      <c r="E14" s="13" t="n">
        <v>1250</v>
      </c>
      <c r="F14" s="13" t="n">
        <v>1750</v>
      </c>
      <c r="G14" s="7" t="n">
        <v>5</v>
      </c>
      <c r="H14" s="7" t="s">
        <v>79</v>
      </c>
      <c r="I14" s="7" t="n">
        <v>12</v>
      </c>
      <c r="J14" s="7" t="s">
        <v>80</v>
      </c>
      <c r="K14" s="14" t="n">
        <f aca="false">IF(OR(A14="",F14=0),"",(F14-E14)/F14)</f>
        <v>0.285714285714286</v>
      </c>
      <c r="L14" s="7" t="s">
        <v>118</v>
      </c>
    </row>
    <row r="15" customFormat="false" ht="15" hidden="false" customHeight="true" outlineLevel="0" collapsed="false">
      <c r="A15" s="7" t="s">
        <v>119</v>
      </c>
      <c r="B15" s="7" t="s">
        <v>120</v>
      </c>
      <c r="C15" s="7" t="s">
        <v>42</v>
      </c>
      <c r="D15" s="7" t="s">
        <v>12</v>
      </c>
      <c r="E15" s="13" t="n">
        <v>170</v>
      </c>
      <c r="F15" s="13" t="n">
        <v>270</v>
      </c>
      <c r="G15" s="7" t="n">
        <v>10</v>
      </c>
      <c r="H15" s="7" t="s">
        <v>84</v>
      </c>
      <c r="I15" s="7" t="n">
        <v>35</v>
      </c>
      <c r="J15" s="7" t="s">
        <v>80</v>
      </c>
      <c r="K15" s="14" t="n">
        <f aca="false">IF(OR(A15="",F15=0),"",(F15-E15)/F15)</f>
        <v>0.37037037037037</v>
      </c>
      <c r="L15" s="7" t="s">
        <v>101</v>
      </c>
    </row>
    <row r="16" customFormat="false" ht="15" hidden="false" customHeight="true" outlineLevel="0" collapsed="false">
      <c r="A16" s="7" t="s">
        <v>121</v>
      </c>
      <c r="B16" s="7" t="s">
        <v>122</v>
      </c>
      <c r="C16" s="7" t="s">
        <v>48</v>
      </c>
      <c r="D16" s="7" t="s">
        <v>36</v>
      </c>
      <c r="E16" s="13" t="n">
        <v>160</v>
      </c>
      <c r="F16" s="13" t="n">
        <v>280</v>
      </c>
      <c r="G16" s="7" t="n">
        <v>8</v>
      </c>
      <c r="H16" s="7" t="s">
        <v>88</v>
      </c>
      <c r="I16" s="7" t="n">
        <v>30</v>
      </c>
      <c r="J16" s="7" t="s">
        <v>80</v>
      </c>
      <c r="K16" s="14" t="n">
        <f aca="false">IF(OR(A16="",F16=0),"",(F16-E16)/F16)</f>
        <v>0.428571428571429</v>
      </c>
      <c r="L16" s="7" t="s">
        <v>123</v>
      </c>
    </row>
    <row r="17" customFormat="false" ht="15" hidden="false" customHeight="true" outlineLevel="0" collapsed="false">
      <c r="A17" s="7"/>
      <c r="B17" s="7"/>
      <c r="C17" s="7"/>
      <c r="D17" s="7"/>
      <c r="E17" s="13"/>
      <c r="F17" s="13"/>
      <c r="G17" s="7"/>
      <c r="H17" s="7"/>
      <c r="I17" s="7"/>
      <c r="J17" s="7"/>
      <c r="K17" s="14" t="str">
        <f aca="false">IF(OR(A17="",F17=0),"",(F17-E17)/F17)</f>
        <v/>
      </c>
      <c r="L17" s="7"/>
    </row>
    <row r="18" customFormat="false" ht="15" hidden="false" customHeight="true" outlineLevel="0" collapsed="false">
      <c r="A18" s="7"/>
      <c r="B18" s="7"/>
      <c r="C18" s="7"/>
      <c r="D18" s="7"/>
      <c r="E18" s="13"/>
      <c r="F18" s="13"/>
      <c r="G18" s="7"/>
      <c r="H18" s="7"/>
      <c r="I18" s="7"/>
      <c r="J18" s="7"/>
      <c r="K18" s="14" t="str">
        <f aca="false">IF(OR(A18="",F18=0),"",(F18-E18)/F18)</f>
        <v/>
      </c>
      <c r="L18" s="7"/>
    </row>
    <row r="19" customFormat="false" ht="15" hidden="false" customHeight="true" outlineLevel="0" collapsed="false">
      <c r="A19" s="7"/>
      <c r="B19" s="7"/>
      <c r="C19" s="7"/>
      <c r="D19" s="7"/>
      <c r="E19" s="13"/>
      <c r="F19" s="13"/>
      <c r="G19" s="7"/>
      <c r="H19" s="7"/>
      <c r="I19" s="7"/>
      <c r="J19" s="7"/>
      <c r="K19" s="14" t="str">
        <f aca="false">IF(OR(A19="",F19=0),"",(F19-E19)/F19)</f>
        <v/>
      </c>
      <c r="L19" s="7"/>
    </row>
    <row r="20" customFormat="false" ht="15" hidden="false" customHeight="true" outlineLevel="0" collapsed="false">
      <c r="A20" s="7"/>
      <c r="B20" s="7"/>
      <c r="C20" s="7"/>
      <c r="D20" s="7"/>
      <c r="E20" s="13"/>
      <c r="F20" s="13"/>
      <c r="G20" s="7"/>
      <c r="H20" s="7"/>
      <c r="I20" s="7"/>
      <c r="J20" s="7"/>
      <c r="K20" s="14" t="str">
        <f aca="false">IF(OR(A20="",F20=0),"",(F20-E20)/F20)</f>
        <v/>
      </c>
      <c r="L20" s="7"/>
    </row>
    <row r="21" customFormat="false" ht="15" hidden="false" customHeight="true" outlineLevel="0" collapsed="false">
      <c r="A21" s="7"/>
      <c r="B21" s="7"/>
      <c r="C21" s="7"/>
      <c r="D21" s="7"/>
      <c r="E21" s="13"/>
      <c r="F21" s="13"/>
      <c r="G21" s="7"/>
      <c r="H21" s="7"/>
      <c r="I21" s="7"/>
      <c r="J21" s="7"/>
      <c r="K21" s="14" t="str">
        <f aca="false">IF(OR(A21="",F21=0),"",(F21-E21)/F21)</f>
        <v/>
      </c>
      <c r="L21" s="7"/>
    </row>
    <row r="22" customFormat="false" ht="15" hidden="false" customHeight="true" outlineLevel="0" collapsed="false">
      <c r="A22" s="7"/>
      <c r="B22" s="7"/>
      <c r="C22" s="7"/>
      <c r="D22" s="7"/>
      <c r="E22" s="13"/>
      <c r="F22" s="13"/>
      <c r="G22" s="7"/>
      <c r="H22" s="7"/>
      <c r="I22" s="7"/>
      <c r="J22" s="7"/>
      <c r="K22" s="14" t="str">
        <f aca="false">IF(OR(A22="",F22=0),"",(F22-E22)/F22)</f>
        <v/>
      </c>
      <c r="L22" s="7"/>
    </row>
    <row r="23" customFormat="false" ht="15" hidden="false" customHeight="true" outlineLevel="0" collapsed="false">
      <c r="A23" s="7"/>
      <c r="B23" s="7"/>
      <c r="C23" s="7"/>
      <c r="D23" s="7"/>
      <c r="E23" s="13"/>
      <c r="F23" s="13"/>
      <c r="G23" s="7"/>
      <c r="H23" s="7"/>
      <c r="I23" s="7"/>
      <c r="J23" s="7"/>
      <c r="K23" s="14" t="str">
        <f aca="false">IF(OR(A23="",F23=0),"",(F23-E23)/F23)</f>
        <v/>
      </c>
      <c r="L23" s="7"/>
    </row>
    <row r="24" customFormat="false" ht="15" hidden="false" customHeight="true" outlineLevel="0" collapsed="false">
      <c r="A24" s="7"/>
      <c r="B24" s="7"/>
      <c r="C24" s="7"/>
      <c r="D24" s="7"/>
      <c r="E24" s="13"/>
      <c r="F24" s="13"/>
      <c r="G24" s="7"/>
      <c r="H24" s="7"/>
      <c r="I24" s="7"/>
      <c r="J24" s="7"/>
      <c r="K24" s="14" t="str">
        <f aca="false">IF(OR(A24="",F24=0),"",(F24-E24)/F24)</f>
        <v/>
      </c>
      <c r="L24" s="7"/>
    </row>
    <row r="25" customFormat="false" ht="15" hidden="false" customHeight="true" outlineLevel="0" collapsed="false">
      <c r="A25" s="7"/>
      <c r="B25" s="7"/>
      <c r="C25" s="7"/>
      <c r="D25" s="7"/>
      <c r="E25" s="13"/>
      <c r="F25" s="13"/>
      <c r="G25" s="7"/>
      <c r="H25" s="7"/>
      <c r="I25" s="7"/>
      <c r="J25" s="7"/>
      <c r="K25" s="14" t="str">
        <f aca="false">IF(OR(A25="",F25=0),"",(F25-E25)/F25)</f>
        <v/>
      </c>
      <c r="L25" s="7"/>
    </row>
    <row r="26" customFormat="false" ht="15" hidden="false" customHeight="true" outlineLevel="0" collapsed="false">
      <c r="A26" s="7"/>
      <c r="B26" s="7"/>
      <c r="C26" s="7"/>
      <c r="D26" s="7"/>
      <c r="E26" s="13"/>
      <c r="F26" s="13"/>
      <c r="G26" s="7"/>
      <c r="H26" s="7"/>
      <c r="I26" s="7"/>
      <c r="J26" s="7"/>
      <c r="K26" s="14" t="str">
        <f aca="false">IF(OR(A26="",F26=0),"",(F26-E26)/F26)</f>
        <v/>
      </c>
      <c r="L26" s="7"/>
    </row>
    <row r="27" customFormat="false" ht="15" hidden="false" customHeight="true" outlineLevel="0" collapsed="false">
      <c r="A27" s="7"/>
      <c r="B27" s="7"/>
      <c r="C27" s="7"/>
      <c r="D27" s="7"/>
      <c r="E27" s="13"/>
      <c r="F27" s="13"/>
      <c r="G27" s="7"/>
      <c r="H27" s="7"/>
      <c r="I27" s="7"/>
      <c r="J27" s="7"/>
      <c r="K27" s="14" t="str">
        <f aca="false">IF(OR(A27="",F27=0),"",(F27-E27)/F27)</f>
        <v/>
      </c>
      <c r="L27" s="7"/>
    </row>
    <row r="28" customFormat="false" ht="15" hidden="false" customHeight="true" outlineLevel="0" collapsed="false">
      <c r="A28" s="7"/>
      <c r="B28" s="7"/>
      <c r="C28" s="7"/>
      <c r="D28" s="7"/>
      <c r="E28" s="13"/>
      <c r="F28" s="13"/>
      <c r="G28" s="7"/>
      <c r="H28" s="7"/>
      <c r="I28" s="7"/>
      <c r="J28" s="7"/>
      <c r="K28" s="14" t="str">
        <f aca="false">IF(OR(A28="",F28=0),"",(F28-E28)/F28)</f>
        <v/>
      </c>
      <c r="L28" s="7"/>
    </row>
    <row r="29" customFormat="false" ht="15" hidden="false" customHeight="true" outlineLevel="0" collapsed="false">
      <c r="A29" s="7"/>
      <c r="B29" s="7"/>
      <c r="C29" s="7"/>
      <c r="D29" s="7"/>
      <c r="E29" s="13"/>
      <c r="F29" s="13"/>
      <c r="G29" s="7"/>
      <c r="H29" s="7"/>
      <c r="I29" s="7"/>
      <c r="J29" s="7"/>
      <c r="K29" s="14" t="str">
        <f aca="false">IF(OR(A29="",F29=0),"",(F29-E29)/F29)</f>
        <v/>
      </c>
      <c r="L29" s="7"/>
    </row>
    <row r="30" customFormat="false" ht="15" hidden="false" customHeight="true" outlineLevel="0" collapsed="false">
      <c r="A30" s="7"/>
      <c r="B30" s="7"/>
      <c r="C30" s="7"/>
      <c r="D30" s="7"/>
      <c r="E30" s="13"/>
      <c r="F30" s="13"/>
      <c r="G30" s="7"/>
      <c r="H30" s="7"/>
      <c r="I30" s="7"/>
      <c r="J30" s="7"/>
      <c r="K30" s="14" t="str">
        <f aca="false">IF(OR(A30="",F30=0),"",(F30-E30)/F30)</f>
        <v/>
      </c>
      <c r="L30" s="7"/>
    </row>
    <row r="31" customFormat="false" ht="15" hidden="false" customHeight="true" outlineLevel="0" collapsed="false">
      <c r="A31" s="7"/>
      <c r="B31" s="7"/>
      <c r="C31" s="7"/>
      <c r="D31" s="7"/>
      <c r="E31" s="13"/>
      <c r="F31" s="13"/>
      <c r="G31" s="7"/>
      <c r="H31" s="7"/>
      <c r="I31" s="7"/>
      <c r="J31" s="7"/>
      <c r="K31" s="14" t="str">
        <f aca="false">IF(OR(A31="",F31=0),"",(F31-E31)/F31)</f>
        <v/>
      </c>
      <c r="L31" s="7"/>
    </row>
    <row r="32" customFormat="false" ht="15" hidden="false" customHeight="true" outlineLevel="0" collapsed="false">
      <c r="A32" s="7"/>
      <c r="B32" s="7"/>
      <c r="C32" s="7"/>
      <c r="D32" s="7"/>
      <c r="E32" s="13"/>
      <c r="F32" s="13"/>
      <c r="G32" s="7"/>
      <c r="H32" s="7"/>
      <c r="I32" s="7"/>
      <c r="J32" s="7"/>
      <c r="K32" s="14" t="str">
        <f aca="false">IF(OR(A32="",F32=0),"",(F32-E32)/F32)</f>
        <v/>
      </c>
      <c r="L32" s="7"/>
    </row>
    <row r="33" customFormat="false" ht="15" hidden="false" customHeight="true" outlineLevel="0" collapsed="false">
      <c r="A33" s="7"/>
      <c r="B33" s="7"/>
      <c r="C33" s="7"/>
      <c r="D33" s="7"/>
      <c r="E33" s="13"/>
      <c r="F33" s="13"/>
      <c r="G33" s="7"/>
      <c r="H33" s="7"/>
      <c r="I33" s="7"/>
      <c r="J33" s="7"/>
      <c r="K33" s="14" t="str">
        <f aca="false">IF(OR(A33="",F33=0),"",(F33-E33)/F33)</f>
        <v/>
      </c>
      <c r="L33" s="7"/>
    </row>
    <row r="34" customFormat="false" ht="15" hidden="false" customHeight="true" outlineLevel="0" collapsed="false">
      <c r="A34" s="7"/>
      <c r="B34" s="7"/>
      <c r="C34" s="7"/>
      <c r="D34" s="7"/>
      <c r="E34" s="13"/>
      <c r="F34" s="13"/>
      <c r="G34" s="7"/>
      <c r="H34" s="7"/>
      <c r="I34" s="7"/>
      <c r="J34" s="7"/>
      <c r="K34" s="14" t="str">
        <f aca="false">IF(OR(A34="",F34=0),"",(F34-E34)/F34)</f>
        <v/>
      </c>
      <c r="L34" s="7"/>
    </row>
    <row r="35" customFormat="false" ht="15" hidden="false" customHeight="true" outlineLevel="0" collapsed="false">
      <c r="A35" s="7"/>
      <c r="B35" s="7"/>
      <c r="C35" s="7"/>
      <c r="D35" s="7"/>
      <c r="E35" s="13"/>
      <c r="F35" s="13"/>
      <c r="G35" s="7"/>
      <c r="H35" s="7"/>
      <c r="I35" s="7"/>
      <c r="J35" s="7"/>
      <c r="K35" s="14" t="str">
        <f aca="false">IF(OR(A35="",F35=0),"",(F35-E35)/F35)</f>
        <v/>
      </c>
      <c r="L35" s="7"/>
    </row>
    <row r="36" customFormat="false" ht="15" hidden="false" customHeight="true" outlineLevel="0" collapsed="false">
      <c r="A36" s="7"/>
      <c r="B36" s="7"/>
      <c r="C36" s="7"/>
      <c r="D36" s="7"/>
      <c r="E36" s="13"/>
      <c r="F36" s="13"/>
      <c r="G36" s="7"/>
      <c r="H36" s="7"/>
      <c r="I36" s="7"/>
      <c r="J36" s="7"/>
      <c r="K36" s="14" t="str">
        <f aca="false">IF(OR(A36="",F36=0),"",(F36-E36)/F36)</f>
        <v/>
      </c>
      <c r="L36" s="7"/>
    </row>
    <row r="37" customFormat="false" ht="15" hidden="false" customHeight="true" outlineLevel="0" collapsed="false">
      <c r="A37" s="7"/>
      <c r="B37" s="7"/>
      <c r="C37" s="7"/>
      <c r="D37" s="7"/>
      <c r="E37" s="13"/>
      <c r="F37" s="13"/>
      <c r="G37" s="7"/>
      <c r="H37" s="7"/>
      <c r="I37" s="7"/>
      <c r="J37" s="7"/>
      <c r="K37" s="14" t="str">
        <f aca="false">IF(OR(A37="",F37=0),"",(F37-E37)/F37)</f>
        <v/>
      </c>
      <c r="L37" s="7"/>
    </row>
    <row r="38" customFormat="false" ht="15" hidden="false" customHeight="true" outlineLevel="0" collapsed="false">
      <c r="A38" s="7"/>
      <c r="B38" s="7"/>
      <c r="C38" s="7"/>
      <c r="D38" s="7"/>
      <c r="E38" s="13"/>
      <c r="F38" s="13"/>
      <c r="G38" s="7"/>
      <c r="H38" s="7"/>
      <c r="I38" s="7"/>
      <c r="J38" s="7"/>
      <c r="K38" s="14" t="str">
        <f aca="false">IF(OR(A38="",F38=0),"",(F38-E38)/F38)</f>
        <v/>
      </c>
      <c r="L38" s="7"/>
    </row>
    <row r="39" customFormat="false" ht="15" hidden="false" customHeight="true" outlineLevel="0" collapsed="false">
      <c r="A39" s="7"/>
      <c r="B39" s="7"/>
      <c r="C39" s="7"/>
      <c r="D39" s="7"/>
      <c r="E39" s="13"/>
      <c r="F39" s="13"/>
      <c r="G39" s="7"/>
      <c r="H39" s="7"/>
      <c r="I39" s="7"/>
      <c r="J39" s="7"/>
      <c r="K39" s="14" t="str">
        <f aca="false">IF(OR(A39="",F39=0),"",(F39-E39)/F39)</f>
        <v/>
      </c>
      <c r="L39" s="7"/>
    </row>
    <row r="40" customFormat="false" ht="15" hidden="false" customHeight="true" outlineLevel="0" collapsed="false">
      <c r="A40" s="7"/>
      <c r="B40" s="7"/>
      <c r="C40" s="7"/>
      <c r="D40" s="7"/>
      <c r="E40" s="13"/>
      <c r="F40" s="13"/>
      <c r="G40" s="7"/>
      <c r="H40" s="7"/>
      <c r="I40" s="7"/>
      <c r="J40" s="7"/>
      <c r="K40" s="14" t="str">
        <f aca="false">IF(OR(A40="",F40=0),"",(F40-E40)/F40)</f>
        <v/>
      </c>
      <c r="L40" s="7"/>
    </row>
    <row r="41" customFormat="false" ht="15" hidden="false" customHeight="true" outlineLevel="0" collapsed="false">
      <c r="A41" s="7"/>
      <c r="B41" s="7"/>
      <c r="C41" s="7"/>
      <c r="D41" s="7"/>
      <c r="E41" s="13"/>
      <c r="F41" s="13"/>
      <c r="G41" s="7"/>
      <c r="H41" s="7"/>
      <c r="I41" s="7"/>
      <c r="J41" s="7"/>
      <c r="K41" s="14" t="str">
        <f aca="false">IF(OR(A41="",F41=0),"",(F41-E41)/F41)</f>
        <v/>
      </c>
      <c r="L41" s="7"/>
    </row>
    <row r="42" customFormat="false" ht="15" hidden="false" customHeight="true" outlineLevel="0" collapsed="false">
      <c r="A42" s="7"/>
      <c r="B42" s="7"/>
      <c r="C42" s="7"/>
      <c r="D42" s="7"/>
      <c r="E42" s="13"/>
      <c r="F42" s="13"/>
      <c r="G42" s="7"/>
      <c r="H42" s="7"/>
      <c r="I42" s="7"/>
      <c r="J42" s="7"/>
      <c r="K42" s="14" t="str">
        <f aca="false">IF(OR(A42="",F42=0),"",(F42-E42)/F42)</f>
        <v/>
      </c>
      <c r="L42" s="7"/>
    </row>
    <row r="43" customFormat="false" ht="15" hidden="false" customHeight="true" outlineLevel="0" collapsed="false">
      <c r="A43" s="7"/>
      <c r="B43" s="7"/>
      <c r="C43" s="7"/>
      <c r="D43" s="7"/>
      <c r="E43" s="13"/>
      <c r="F43" s="13"/>
      <c r="G43" s="7"/>
      <c r="H43" s="7"/>
      <c r="I43" s="7"/>
      <c r="J43" s="7"/>
      <c r="K43" s="14" t="str">
        <f aca="false">IF(OR(A43="",F43=0),"",(F43-E43)/F43)</f>
        <v/>
      </c>
      <c r="L43" s="7"/>
    </row>
    <row r="44" customFormat="false" ht="15" hidden="false" customHeight="true" outlineLevel="0" collapsed="false">
      <c r="A44" s="7"/>
      <c r="B44" s="7"/>
      <c r="C44" s="7"/>
      <c r="D44" s="7"/>
      <c r="E44" s="13"/>
      <c r="F44" s="13"/>
      <c r="G44" s="7"/>
      <c r="H44" s="7"/>
      <c r="I44" s="7"/>
      <c r="J44" s="7"/>
      <c r="K44" s="14" t="str">
        <f aca="false">IF(OR(A44="",F44=0),"",(F44-E44)/F44)</f>
        <v/>
      </c>
      <c r="L44" s="7"/>
    </row>
    <row r="45" customFormat="false" ht="15" hidden="false" customHeight="true" outlineLevel="0" collapsed="false">
      <c r="A45" s="7"/>
      <c r="B45" s="7"/>
      <c r="C45" s="7"/>
      <c r="D45" s="7"/>
      <c r="E45" s="13"/>
      <c r="F45" s="13"/>
      <c r="G45" s="7"/>
      <c r="H45" s="7"/>
      <c r="I45" s="7"/>
      <c r="J45" s="7"/>
      <c r="K45" s="14" t="str">
        <f aca="false">IF(OR(A45="",F45=0),"",(F45-E45)/F45)</f>
        <v/>
      </c>
      <c r="L45" s="7"/>
    </row>
    <row r="46" customFormat="false" ht="15" hidden="false" customHeight="true" outlineLevel="0" collapsed="false">
      <c r="A46" s="7"/>
      <c r="B46" s="7"/>
      <c r="C46" s="7"/>
      <c r="D46" s="7"/>
      <c r="E46" s="13"/>
      <c r="F46" s="13"/>
      <c r="G46" s="7"/>
      <c r="H46" s="7"/>
      <c r="I46" s="7"/>
      <c r="J46" s="7"/>
      <c r="K46" s="14" t="str">
        <f aca="false">IF(OR(A46="",F46=0),"",(F46-E46)/F46)</f>
        <v/>
      </c>
      <c r="L46" s="7"/>
    </row>
    <row r="47" customFormat="false" ht="15" hidden="false" customHeight="true" outlineLevel="0" collapsed="false">
      <c r="A47" s="7"/>
      <c r="B47" s="7"/>
      <c r="C47" s="7"/>
      <c r="D47" s="7"/>
      <c r="E47" s="13"/>
      <c r="F47" s="13"/>
      <c r="G47" s="7"/>
      <c r="H47" s="7"/>
      <c r="I47" s="7"/>
      <c r="J47" s="7"/>
      <c r="K47" s="14" t="str">
        <f aca="false">IF(OR(A47="",F47=0),"",(F47-E47)/F47)</f>
        <v/>
      </c>
      <c r="L47" s="7"/>
    </row>
    <row r="48" customFormat="false" ht="15" hidden="false" customHeight="true" outlineLevel="0" collapsed="false">
      <c r="A48" s="7"/>
      <c r="B48" s="7"/>
      <c r="C48" s="7"/>
      <c r="D48" s="7"/>
      <c r="E48" s="13"/>
      <c r="F48" s="13"/>
      <c r="G48" s="7"/>
      <c r="H48" s="7"/>
      <c r="I48" s="7"/>
      <c r="J48" s="7"/>
      <c r="K48" s="14" t="str">
        <f aca="false">IF(OR(A48="",F48=0),"",(F48-E48)/F48)</f>
        <v/>
      </c>
      <c r="L48" s="7"/>
    </row>
    <row r="49" customFormat="false" ht="15" hidden="false" customHeight="true" outlineLevel="0" collapsed="false">
      <c r="A49" s="7"/>
      <c r="B49" s="7"/>
      <c r="C49" s="7"/>
      <c r="D49" s="7"/>
      <c r="E49" s="13"/>
      <c r="F49" s="13"/>
      <c r="G49" s="7"/>
      <c r="H49" s="7"/>
      <c r="I49" s="7"/>
      <c r="J49" s="7"/>
      <c r="K49" s="14" t="str">
        <f aca="false">IF(OR(A49="",F49=0),"",(F49-E49)/F49)</f>
        <v/>
      </c>
      <c r="L49" s="7"/>
    </row>
    <row r="50" customFormat="false" ht="15" hidden="false" customHeight="true" outlineLevel="0" collapsed="false">
      <c r="A50" s="7"/>
      <c r="B50" s="7"/>
      <c r="C50" s="7"/>
      <c r="D50" s="7"/>
      <c r="E50" s="13"/>
      <c r="F50" s="13"/>
      <c r="G50" s="7"/>
      <c r="H50" s="7"/>
      <c r="I50" s="7"/>
      <c r="J50" s="7"/>
      <c r="K50" s="14" t="str">
        <f aca="false">IF(OR(A50="",F50=0),"",(F50-E50)/F50)</f>
        <v/>
      </c>
      <c r="L50" s="7"/>
    </row>
    <row r="51" customFormat="false" ht="15" hidden="false" customHeight="true" outlineLevel="0" collapsed="false">
      <c r="A51" s="7"/>
      <c r="B51" s="7"/>
      <c r="C51" s="7"/>
      <c r="D51" s="7"/>
      <c r="E51" s="13"/>
      <c r="F51" s="13"/>
      <c r="G51" s="7"/>
      <c r="H51" s="7"/>
      <c r="I51" s="7"/>
      <c r="J51" s="7"/>
      <c r="K51" s="14" t="str">
        <f aca="false">IF(OR(A51="",F51=0),"",(F51-E51)/F51)</f>
        <v/>
      </c>
      <c r="L51" s="7"/>
    </row>
    <row r="52" customFormat="false" ht="15" hidden="false" customHeight="true" outlineLevel="0" collapsed="false">
      <c r="A52" s="7"/>
      <c r="B52" s="7"/>
      <c r="C52" s="7"/>
      <c r="D52" s="7"/>
      <c r="E52" s="13"/>
      <c r="F52" s="13"/>
      <c r="G52" s="7"/>
      <c r="H52" s="7"/>
      <c r="I52" s="7"/>
      <c r="J52" s="7"/>
      <c r="K52" s="14" t="str">
        <f aca="false">IF(OR(A52="",F52=0),"",(F52-E52)/F52)</f>
        <v/>
      </c>
      <c r="L52" s="7"/>
    </row>
    <row r="53" customFormat="false" ht="15" hidden="false" customHeight="true" outlineLevel="0" collapsed="false">
      <c r="A53" s="7"/>
      <c r="B53" s="7"/>
      <c r="C53" s="7"/>
      <c r="D53" s="7"/>
      <c r="E53" s="13"/>
      <c r="F53" s="13"/>
      <c r="G53" s="7"/>
      <c r="H53" s="7"/>
      <c r="I53" s="7"/>
      <c r="J53" s="7"/>
      <c r="K53" s="14" t="str">
        <f aca="false">IF(OR(A53="",F53=0),"",(F53-E53)/F53)</f>
        <v/>
      </c>
      <c r="L53" s="7"/>
    </row>
    <row r="54" customFormat="false" ht="15" hidden="false" customHeight="true" outlineLevel="0" collapsed="false">
      <c r="A54" s="7"/>
      <c r="B54" s="7"/>
      <c r="C54" s="7"/>
      <c r="D54" s="7"/>
      <c r="E54" s="13"/>
      <c r="F54" s="13"/>
      <c r="G54" s="7"/>
      <c r="H54" s="7"/>
      <c r="I54" s="7"/>
      <c r="J54" s="7"/>
      <c r="K54" s="14" t="str">
        <f aca="false">IF(OR(A54="",F54=0),"",(F54-E54)/F54)</f>
        <v/>
      </c>
      <c r="L54" s="7"/>
    </row>
    <row r="55" customFormat="false" ht="15" hidden="false" customHeight="true" outlineLevel="0" collapsed="false">
      <c r="A55" s="7"/>
      <c r="B55" s="7"/>
      <c r="C55" s="7"/>
      <c r="D55" s="7"/>
      <c r="E55" s="13"/>
      <c r="F55" s="13"/>
      <c r="G55" s="7"/>
      <c r="H55" s="7"/>
      <c r="I55" s="7"/>
      <c r="J55" s="7"/>
      <c r="K55" s="14" t="str">
        <f aca="false">IF(OR(A55="",F55=0),"",(F55-E55)/F55)</f>
        <v/>
      </c>
      <c r="L55" s="7"/>
    </row>
    <row r="56" customFormat="false" ht="15" hidden="false" customHeight="true" outlineLevel="0" collapsed="false">
      <c r="A56" s="7"/>
      <c r="B56" s="7"/>
      <c r="C56" s="7"/>
      <c r="D56" s="7"/>
      <c r="E56" s="13"/>
      <c r="F56" s="13"/>
      <c r="G56" s="7"/>
      <c r="H56" s="7"/>
      <c r="I56" s="7"/>
      <c r="J56" s="7"/>
      <c r="K56" s="14" t="str">
        <f aca="false">IF(OR(A56="",F56=0),"",(F56-E56)/F56)</f>
        <v/>
      </c>
      <c r="L56" s="7"/>
    </row>
    <row r="57" customFormat="false" ht="15" hidden="false" customHeight="true" outlineLevel="0" collapsed="false">
      <c r="A57" s="7"/>
      <c r="B57" s="7"/>
      <c r="C57" s="7"/>
      <c r="D57" s="7"/>
      <c r="E57" s="13"/>
      <c r="F57" s="13"/>
      <c r="G57" s="7"/>
      <c r="H57" s="7"/>
      <c r="I57" s="7"/>
      <c r="J57" s="7"/>
      <c r="K57" s="14" t="str">
        <f aca="false">IF(OR(A57="",F57=0),"",(F57-E57)/F57)</f>
        <v/>
      </c>
      <c r="L57" s="7"/>
    </row>
    <row r="58" customFormat="false" ht="15" hidden="false" customHeight="true" outlineLevel="0" collapsed="false">
      <c r="A58" s="7"/>
      <c r="B58" s="7"/>
      <c r="C58" s="7"/>
      <c r="D58" s="7"/>
      <c r="E58" s="13"/>
      <c r="F58" s="13"/>
      <c r="G58" s="7"/>
      <c r="H58" s="7"/>
      <c r="I58" s="7"/>
      <c r="J58" s="7"/>
      <c r="K58" s="14" t="str">
        <f aca="false">IF(OR(A58="",F58=0),"",(F58-E58)/F58)</f>
        <v/>
      </c>
      <c r="L58" s="7"/>
    </row>
    <row r="59" customFormat="false" ht="15" hidden="false" customHeight="true" outlineLevel="0" collapsed="false">
      <c r="A59" s="7"/>
      <c r="B59" s="7"/>
      <c r="C59" s="7"/>
      <c r="D59" s="7"/>
      <c r="E59" s="13"/>
      <c r="F59" s="13"/>
      <c r="G59" s="7"/>
      <c r="H59" s="7"/>
      <c r="I59" s="7"/>
      <c r="J59" s="7"/>
      <c r="K59" s="14" t="str">
        <f aca="false">IF(OR(A59="",F59=0),"",(F59-E59)/F59)</f>
        <v/>
      </c>
      <c r="L59" s="7"/>
    </row>
    <row r="60" customFormat="false" ht="15" hidden="false" customHeight="true" outlineLevel="0" collapsed="false">
      <c r="A60" s="7"/>
      <c r="B60" s="7"/>
      <c r="C60" s="7"/>
      <c r="D60" s="7"/>
      <c r="E60" s="13"/>
      <c r="F60" s="13"/>
      <c r="G60" s="7"/>
      <c r="H60" s="7"/>
      <c r="I60" s="7"/>
      <c r="J60" s="7"/>
      <c r="K60" s="14" t="str">
        <f aca="false">IF(OR(A60="",F60=0),"",(F60-E60)/F60)</f>
        <v/>
      </c>
      <c r="L60" s="7"/>
    </row>
    <row r="61" customFormat="false" ht="15" hidden="false" customHeight="true" outlineLevel="0" collapsed="false">
      <c r="A61" s="7"/>
      <c r="B61" s="7"/>
      <c r="C61" s="7"/>
      <c r="D61" s="7"/>
      <c r="E61" s="13"/>
      <c r="F61" s="13"/>
      <c r="G61" s="7"/>
      <c r="H61" s="7"/>
      <c r="I61" s="7"/>
      <c r="J61" s="7"/>
      <c r="K61" s="14" t="str">
        <f aca="false">IF(OR(A61="",F61=0),"",(F61-E61)/F61)</f>
        <v/>
      </c>
      <c r="L61" s="7"/>
    </row>
    <row r="62" customFormat="false" ht="15" hidden="false" customHeight="true" outlineLevel="0" collapsed="false">
      <c r="A62" s="7"/>
      <c r="B62" s="7"/>
      <c r="C62" s="7"/>
      <c r="D62" s="7"/>
      <c r="E62" s="13"/>
      <c r="F62" s="13"/>
      <c r="G62" s="7"/>
      <c r="H62" s="7"/>
      <c r="I62" s="7"/>
      <c r="J62" s="7"/>
      <c r="K62" s="14" t="str">
        <f aca="false">IF(OR(A62="",F62=0),"",(F62-E62)/F62)</f>
        <v/>
      </c>
      <c r="L62" s="7"/>
    </row>
    <row r="63" customFormat="false" ht="15" hidden="false" customHeight="true" outlineLevel="0" collapsed="false">
      <c r="A63" s="7"/>
      <c r="B63" s="7"/>
      <c r="C63" s="7"/>
      <c r="D63" s="7"/>
      <c r="E63" s="13"/>
      <c r="F63" s="13"/>
      <c r="G63" s="7"/>
      <c r="H63" s="7"/>
      <c r="I63" s="7"/>
      <c r="J63" s="7"/>
      <c r="K63" s="14" t="str">
        <f aca="false">IF(OR(A63="",F63=0),"",(F63-E63)/F63)</f>
        <v/>
      </c>
      <c r="L63" s="7"/>
    </row>
    <row r="64" customFormat="false" ht="15" hidden="false" customHeight="true" outlineLevel="0" collapsed="false">
      <c r="A64" s="7"/>
      <c r="B64" s="7"/>
      <c r="C64" s="7"/>
      <c r="D64" s="7"/>
      <c r="E64" s="13"/>
      <c r="F64" s="13"/>
      <c r="G64" s="7"/>
      <c r="H64" s="7"/>
      <c r="I64" s="7"/>
      <c r="J64" s="7"/>
      <c r="K64" s="14" t="str">
        <f aca="false">IF(OR(A64="",F64=0),"",(F64-E64)/F64)</f>
        <v/>
      </c>
      <c r="L64" s="7"/>
    </row>
    <row r="65" customFormat="false" ht="15" hidden="false" customHeight="true" outlineLevel="0" collapsed="false">
      <c r="A65" s="7"/>
      <c r="B65" s="7"/>
      <c r="C65" s="7"/>
      <c r="D65" s="7"/>
      <c r="E65" s="13"/>
      <c r="F65" s="13"/>
      <c r="G65" s="7"/>
      <c r="H65" s="7"/>
      <c r="I65" s="7"/>
      <c r="J65" s="7"/>
      <c r="K65" s="14" t="str">
        <f aca="false">IF(OR(A65="",F65=0),"",(F65-E65)/F65)</f>
        <v/>
      </c>
      <c r="L65" s="7"/>
    </row>
    <row r="66" customFormat="false" ht="15" hidden="false" customHeight="true" outlineLevel="0" collapsed="false">
      <c r="A66" s="7"/>
      <c r="B66" s="7"/>
      <c r="C66" s="7"/>
      <c r="D66" s="7"/>
      <c r="E66" s="13"/>
      <c r="F66" s="13"/>
      <c r="G66" s="7"/>
      <c r="H66" s="7"/>
      <c r="I66" s="7"/>
      <c r="J66" s="7"/>
      <c r="K66" s="14" t="str">
        <f aca="false">IF(OR(A66="",F66=0),"",(F66-E66)/F66)</f>
        <v/>
      </c>
      <c r="L66" s="7"/>
    </row>
    <row r="67" customFormat="false" ht="15" hidden="false" customHeight="true" outlineLevel="0" collapsed="false">
      <c r="A67" s="7"/>
      <c r="B67" s="7"/>
      <c r="C67" s="7"/>
      <c r="D67" s="7"/>
      <c r="E67" s="13"/>
      <c r="F67" s="13"/>
      <c r="G67" s="7"/>
      <c r="H67" s="7"/>
      <c r="I67" s="7"/>
      <c r="J67" s="7"/>
      <c r="K67" s="14" t="str">
        <f aca="false">IF(OR(A67="",F67=0),"",(F67-E67)/F67)</f>
        <v/>
      </c>
      <c r="L67" s="7"/>
    </row>
    <row r="68" customFormat="false" ht="15" hidden="false" customHeight="true" outlineLevel="0" collapsed="false">
      <c r="A68" s="7"/>
      <c r="B68" s="7"/>
      <c r="C68" s="7"/>
      <c r="D68" s="7"/>
      <c r="E68" s="13"/>
      <c r="F68" s="13"/>
      <c r="G68" s="7"/>
      <c r="H68" s="7"/>
      <c r="I68" s="7"/>
      <c r="J68" s="7"/>
      <c r="K68" s="14" t="str">
        <f aca="false">IF(OR(A68="",F68=0),"",(F68-E68)/F68)</f>
        <v/>
      </c>
      <c r="L68" s="7"/>
    </row>
    <row r="69" customFormat="false" ht="15" hidden="false" customHeight="true" outlineLevel="0" collapsed="false">
      <c r="A69" s="7"/>
      <c r="B69" s="7"/>
      <c r="C69" s="7"/>
      <c r="D69" s="7"/>
      <c r="E69" s="13"/>
      <c r="F69" s="13"/>
      <c r="G69" s="7"/>
      <c r="H69" s="7"/>
      <c r="I69" s="7"/>
      <c r="J69" s="7"/>
      <c r="K69" s="14" t="str">
        <f aca="false">IF(OR(A69="",F69=0),"",(F69-E69)/F69)</f>
        <v/>
      </c>
      <c r="L69" s="7"/>
    </row>
    <row r="70" customFormat="false" ht="15" hidden="false" customHeight="true" outlineLevel="0" collapsed="false">
      <c r="A70" s="7"/>
      <c r="B70" s="7"/>
      <c r="C70" s="7"/>
      <c r="D70" s="7"/>
      <c r="E70" s="13"/>
      <c r="F70" s="13"/>
      <c r="G70" s="7"/>
      <c r="H70" s="7"/>
      <c r="I70" s="7"/>
      <c r="J70" s="7"/>
      <c r="K70" s="14" t="str">
        <f aca="false">IF(OR(A70="",F70=0),"",(F70-E70)/F70)</f>
        <v/>
      </c>
      <c r="L70" s="7"/>
    </row>
    <row r="71" customFormat="false" ht="15" hidden="false" customHeight="true" outlineLevel="0" collapsed="false">
      <c r="A71" s="7"/>
      <c r="B71" s="7"/>
      <c r="C71" s="7"/>
      <c r="D71" s="7"/>
      <c r="E71" s="13"/>
      <c r="F71" s="13"/>
      <c r="G71" s="7"/>
      <c r="H71" s="7"/>
      <c r="I71" s="7"/>
      <c r="J71" s="7"/>
      <c r="K71" s="14" t="str">
        <f aca="false">IF(OR(A71="",F71=0),"",(F71-E71)/F71)</f>
        <v/>
      </c>
      <c r="L71" s="7"/>
    </row>
    <row r="72" customFormat="false" ht="15" hidden="false" customHeight="true" outlineLevel="0" collapsed="false">
      <c r="A72" s="7"/>
      <c r="B72" s="7"/>
      <c r="C72" s="7"/>
      <c r="D72" s="7"/>
      <c r="E72" s="13"/>
      <c r="F72" s="13"/>
      <c r="G72" s="7"/>
      <c r="H72" s="7"/>
      <c r="I72" s="7"/>
      <c r="J72" s="7"/>
      <c r="K72" s="14" t="str">
        <f aca="false">IF(OR(A72="",F72=0),"",(F72-E72)/F72)</f>
        <v/>
      </c>
      <c r="L72" s="7"/>
    </row>
    <row r="73" customFormat="false" ht="15" hidden="false" customHeight="true" outlineLevel="0" collapsed="false">
      <c r="A73" s="7"/>
      <c r="B73" s="7"/>
      <c r="C73" s="7"/>
      <c r="D73" s="7"/>
      <c r="E73" s="13"/>
      <c r="F73" s="13"/>
      <c r="G73" s="7"/>
      <c r="H73" s="7"/>
      <c r="I73" s="7"/>
      <c r="J73" s="7"/>
      <c r="K73" s="14" t="str">
        <f aca="false">IF(OR(A73="",F73=0),"",(F73-E73)/F73)</f>
        <v/>
      </c>
      <c r="L73" s="7"/>
    </row>
    <row r="74" customFormat="false" ht="15" hidden="false" customHeight="true" outlineLevel="0" collapsed="false">
      <c r="A74" s="7"/>
      <c r="B74" s="7"/>
      <c r="C74" s="7"/>
      <c r="D74" s="7"/>
      <c r="E74" s="13"/>
      <c r="F74" s="13"/>
      <c r="G74" s="7"/>
      <c r="H74" s="7"/>
      <c r="I74" s="7"/>
      <c r="J74" s="7"/>
      <c r="K74" s="14" t="str">
        <f aca="false">IF(OR(A74="",F74=0),"",(F74-E74)/F74)</f>
        <v/>
      </c>
      <c r="L74" s="7"/>
    </row>
    <row r="75" customFormat="false" ht="15" hidden="false" customHeight="true" outlineLevel="0" collapsed="false">
      <c r="A75" s="7"/>
      <c r="B75" s="7"/>
      <c r="C75" s="7"/>
      <c r="D75" s="7"/>
      <c r="E75" s="13"/>
      <c r="F75" s="13"/>
      <c r="G75" s="7"/>
      <c r="H75" s="7"/>
      <c r="I75" s="7"/>
      <c r="J75" s="7"/>
      <c r="K75" s="14" t="str">
        <f aca="false">IF(OR(A75="",F75=0),"",(F75-E75)/F75)</f>
        <v/>
      </c>
      <c r="L75" s="7"/>
    </row>
    <row r="76" customFormat="false" ht="15" hidden="false" customHeight="true" outlineLevel="0" collapsed="false">
      <c r="A76" s="7"/>
      <c r="B76" s="7"/>
      <c r="C76" s="7"/>
      <c r="D76" s="7"/>
      <c r="E76" s="13"/>
      <c r="F76" s="13"/>
      <c r="G76" s="7"/>
      <c r="H76" s="7"/>
      <c r="I76" s="7"/>
      <c r="J76" s="7"/>
      <c r="K76" s="14" t="str">
        <f aca="false">IF(OR(A76="",F76=0),"",(F76-E76)/F76)</f>
        <v/>
      </c>
      <c r="L76" s="7"/>
    </row>
    <row r="77" customFormat="false" ht="15" hidden="false" customHeight="true" outlineLevel="0" collapsed="false">
      <c r="A77" s="7"/>
      <c r="B77" s="7"/>
      <c r="C77" s="7"/>
      <c r="D77" s="7"/>
      <c r="E77" s="13"/>
      <c r="F77" s="13"/>
      <c r="G77" s="7"/>
      <c r="H77" s="7"/>
      <c r="I77" s="7"/>
      <c r="J77" s="7"/>
      <c r="K77" s="14" t="str">
        <f aca="false">IF(OR(A77="",F77=0),"",(F77-E77)/F77)</f>
        <v/>
      </c>
      <c r="L77" s="7"/>
    </row>
    <row r="78" customFormat="false" ht="15" hidden="false" customHeight="true" outlineLevel="0" collapsed="false">
      <c r="A78" s="7"/>
      <c r="B78" s="7"/>
      <c r="C78" s="7"/>
      <c r="D78" s="7"/>
      <c r="E78" s="13"/>
      <c r="F78" s="13"/>
      <c r="G78" s="7"/>
      <c r="H78" s="7"/>
      <c r="I78" s="7"/>
      <c r="J78" s="7"/>
      <c r="K78" s="14" t="str">
        <f aca="false">IF(OR(A78="",F78=0),"",(F78-E78)/F78)</f>
        <v/>
      </c>
      <c r="L78" s="7"/>
    </row>
    <row r="79" customFormat="false" ht="15" hidden="false" customHeight="true" outlineLevel="0" collapsed="false">
      <c r="A79" s="7"/>
      <c r="B79" s="7"/>
      <c r="C79" s="7"/>
      <c r="D79" s="7"/>
      <c r="E79" s="13"/>
      <c r="F79" s="13"/>
      <c r="G79" s="7"/>
      <c r="H79" s="7"/>
      <c r="I79" s="7"/>
      <c r="J79" s="7"/>
      <c r="K79" s="14" t="str">
        <f aca="false">IF(OR(A79="",F79=0),"",(F79-E79)/F79)</f>
        <v/>
      </c>
      <c r="L79" s="7"/>
    </row>
    <row r="80" customFormat="false" ht="15" hidden="false" customHeight="true" outlineLevel="0" collapsed="false">
      <c r="A80" s="7"/>
      <c r="B80" s="7"/>
      <c r="C80" s="7"/>
      <c r="D80" s="7"/>
      <c r="E80" s="13"/>
      <c r="F80" s="13"/>
      <c r="G80" s="7"/>
      <c r="H80" s="7"/>
      <c r="I80" s="7"/>
      <c r="J80" s="7"/>
      <c r="K80" s="14" t="str">
        <f aca="false">IF(OR(A80="",F80=0),"",(F80-E80)/F80)</f>
        <v/>
      </c>
      <c r="L80" s="7"/>
    </row>
    <row r="81" customFormat="false" ht="15" hidden="false" customHeight="true" outlineLevel="0" collapsed="false">
      <c r="A81" s="7"/>
      <c r="B81" s="7"/>
      <c r="C81" s="7"/>
      <c r="D81" s="7"/>
      <c r="E81" s="13"/>
      <c r="F81" s="13"/>
      <c r="G81" s="7"/>
      <c r="H81" s="7"/>
      <c r="I81" s="7"/>
      <c r="J81" s="7"/>
      <c r="K81" s="14" t="str">
        <f aca="false">IF(OR(A81="",F81=0),"",(F81-E81)/F81)</f>
        <v/>
      </c>
      <c r="L81" s="7"/>
    </row>
    <row r="82" customFormat="false" ht="15" hidden="false" customHeight="true" outlineLevel="0" collapsed="false">
      <c r="A82" s="7"/>
      <c r="B82" s="7"/>
      <c r="C82" s="7"/>
      <c r="D82" s="7"/>
      <c r="E82" s="13"/>
      <c r="F82" s="13"/>
      <c r="G82" s="7"/>
      <c r="H82" s="7"/>
      <c r="I82" s="7"/>
      <c r="J82" s="7"/>
      <c r="K82" s="14" t="str">
        <f aca="false">IF(OR(A82="",F82=0),"",(F82-E82)/F82)</f>
        <v/>
      </c>
      <c r="L82" s="7"/>
    </row>
    <row r="83" customFormat="false" ht="15" hidden="false" customHeight="true" outlineLevel="0" collapsed="false">
      <c r="A83" s="7"/>
      <c r="B83" s="7"/>
      <c r="C83" s="7"/>
      <c r="D83" s="7"/>
      <c r="E83" s="13"/>
      <c r="F83" s="13"/>
      <c r="G83" s="7"/>
      <c r="H83" s="7"/>
      <c r="I83" s="7"/>
      <c r="J83" s="7"/>
      <c r="K83" s="14" t="str">
        <f aca="false">IF(OR(A83="",F83=0),"",(F83-E83)/F83)</f>
        <v/>
      </c>
      <c r="L83" s="7"/>
    </row>
    <row r="84" customFormat="false" ht="15" hidden="false" customHeight="true" outlineLevel="0" collapsed="false">
      <c r="A84" s="7"/>
      <c r="B84" s="7"/>
      <c r="C84" s="7"/>
      <c r="D84" s="7"/>
      <c r="E84" s="13"/>
      <c r="F84" s="13"/>
      <c r="G84" s="7"/>
      <c r="H84" s="7"/>
      <c r="I84" s="7"/>
      <c r="J84" s="7"/>
      <c r="K84" s="14" t="str">
        <f aca="false">IF(OR(A84="",F84=0),"",(F84-E84)/F84)</f>
        <v/>
      </c>
      <c r="L84" s="7"/>
    </row>
    <row r="85" customFormat="false" ht="15" hidden="false" customHeight="true" outlineLevel="0" collapsed="false">
      <c r="A85" s="7"/>
      <c r="B85" s="7"/>
      <c r="C85" s="7"/>
      <c r="D85" s="7"/>
      <c r="E85" s="13"/>
      <c r="F85" s="13"/>
      <c r="G85" s="7"/>
      <c r="H85" s="7"/>
      <c r="I85" s="7"/>
      <c r="J85" s="7"/>
      <c r="K85" s="14" t="str">
        <f aca="false">IF(OR(A85="",F85=0),"",(F85-E85)/F85)</f>
        <v/>
      </c>
      <c r="L85" s="7"/>
    </row>
    <row r="86" customFormat="false" ht="15" hidden="false" customHeight="true" outlineLevel="0" collapsed="false">
      <c r="A86" s="7"/>
      <c r="B86" s="7"/>
      <c r="C86" s="7"/>
      <c r="D86" s="7"/>
      <c r="E86" s="13"/>
      <c r="F86" s="13"/>
      <c r="G86" s="7"/>
      <c r="H86" s="7"/>
      <c r="I86" s="7"/>
      <c r="J86" s="7"/>
      <c r="K86" s="14" t="str">
        <f aca="false">IF(OR(A86="",F86=0),"",(F86-E86)/F86)</f>
        <v/>
      </c>
      <c r="L86" s="7"/>
    </row>
    <row r="87" customFormat="false" ht="15" hidden="false" customHeight="true" outlineLevel="0" collapsed="false">
      <c r="A87" s="7"/>
      <c r="B87" s="7"/>
      <c r="C87" s="7"/>
      <c r="D87" s="7"/>
      <c r="E87" s="13"/>
      <c r="F87" s="13"/>
      <c r="G87" s="7"/>
      <c r="H87" s="7"/>
      <c r="I87" s="7"/>
      <c r="J87" s="7"/>
      <c r="K87" s="14" t="str">
        <f aca="false">IF(OR(A87="",F87=0),"",(F87-E87)/F87)</f>
        <v/>
      </c>
      <c r="L87" s="7"/>
    </row>
    <row r="88" customFormat="false" ht="15" hidden="false" customHeight="true" outlineLevel="0" collapsed="false">
      <c r="A88" s="7"/>
      <c r="B88" s="7"/>
      <c r="C88" s="7"/>
      <c r="D88" s="7"/>
      <c r="E88" s="13"/>
      <c r="F88" s="13"/>
      <c r="G88" s="7"/>
      <c r="H88" s="7"/>
      <c r="I88" s="7"/>
      <c r="J88" s="7"/>
      <c r="K88" s="14" t="str">
        <f aca="false">IF(OR(A88="",F88=0),"",(F88-E88)/F88)</f>
        <v/>
      </c>
      <c r="L88" s="7"/>
    </row>
    <row r="89" customFormat="false" ht="15" hidden="false" customHeight="true" outlineLevel="0" collapsed="false">
      <c r="A89" s="7"/>
      <c r="B89" s="7"/>
      <c r="C89" s="7"/>
      <c r="D89" s="7"/>
      <c r="E89" s="13"/>
      <c r="F89" s="13"/>
      <c r="G89" s="7"/>
      <c r="H89" s="7"/>
      <c r="I89" s="7"/>
      <c r="J89" s="7"/>
      <c r="K89" s="14" t="str">
        <f aca="false">IF(OR(A89="",F89=0),"",(F89-E89)/F89)</f>
        <v/>
      </c>
      <c r="L89" s="7"/>
    </row>
    <row r="90" customFormat="false" ht="15" hidden="false" customHeight="true" outlineLevel="0" collapsed="false">
      <c r="A90" s="7"/>
      <c r="B90" s="7"/>
      <c r="C90" s="7"/>
      <c r="D90" s="7"/>
      <c r="E90" s="13"/>
      <c r="F90" s="13"/>
      <c r="G90" s="7"/>
      <c r="H90" s="7"/>
      <c r="I90" s="7"/>
      <c r="J90" s="7"/>
      <c r="K90" s="14" t="str">
        <f aca="false">IF(OR(A90="",F90=0),"",(F90-E90)/F90)</f>
        <v/>
      </c>
      <c r="L90" s="7"/>
    </row>
    <row r="91" customFormat="false" ht="15" hidden="false" customHeight="true" outlineLevel="0" collapsed="false">
      <c r="A91" s="7"/>
      <c r="B91" s="7"/>
      <c r="C91" s="7"/>
      <c r="D91" s="7"/>
      <c r="E91" s="13"/>
      <c r="F91" s="13"/>
      <c r="G91" s="7"/>
      <c r="H91" s="7"/>
      <c r="I91" s="7"/>
      <c r="J91" s="7"/>
      <c r="K91" s="14" t="str">
        <f aca="false">IF(OR(A91="",F91=0),"",(F91-E91)/F91)</f>
        <v/>
      </c>
      <c r="L91" s="7"/>
    </row>
    <row r="92" customFormat="false" ht="15" hidden="false" customHeight="true" outlineLevel="0" collapsed="false">
      <c r="A92" s="7"/>
      <c r="B92" s="7"/>
      <c r="C92" s="7"/>
      <c r="D92" s="7"/>
      <c r="E92" s="13"/>
      <c r="F92" s="13"/>
      <c r="G92" s="7"/>
      <c r="H92" s="7"/>
      <c r="I92" s="7"/>
      <c r="J92" s="7"/>
      <c r="K92" s="14" t="str">
        <f aca="false">IF(OR(A92="",F92=0),"",(F92-E92)/F92)</f>
        <v/>
      </c>
      <c r="L92" s="7"/>
    </row>
    <row r="93" customFormat="false" ht="15" hidden="false" customHeight="true" outlineLevel="0" collapsed="false">
      <c r="A93" s="7"/>
      <c r="B93" s="7"/>
      <c r="C93" s="7"/>
      <c r="D93" s="7"/>
      <c r="E93" s="13"/>
      <c r="F93" s="13"/>
      <c r="G93" s="7"/>
      <c r="H93" s="7"/>
      <c r="I93" s="7"/>
      <c r="J93" s="7"/>
      <c r="K93" s="14" t="str">
        <f aca="false">IF(OR(A93="",F93=0),"",(F93-E93)/F93)</f>
        <v/>
      </c>
      <c r="L93" s="7"/>
    </row>
    <row r="94" customFormat="false" ht="15" hidden="false" customHeight="true" outlineLevel="0" collapsed="false">
      <c r="A94" s="7"/>
      <c r="B94" s="7"/>
      <c r="C94" s="7"/>
      <c r="D94" s="7"/>
      <c r="E94" s="13"/>
      <c r="F94" s="13"/>
      <c r="G94" s="7"/>
      <c r="H94" s="7"/>
      <c r="I94" s="7"/>
      <c r="J94" s="7"/>
      <c r="K94" s="14" t="str">
        <f aca="false">IF(OR(A94="",F94=0),"",(F94-E94)/F94)</f>
        <v/>
      </c>
      <c r="L94" s="7"/>
    </row>
    <row r="95" customFormat="false" ht="15" hidden="false" customHeight="true" outlineLevel="0" collapsed="false">
      <c r="A95" s="7"/>
      <c r="B95" s="7"/>
      <c r="C95" s="7"/>
      <c r="D95" s="7"/>
      <c r="E95" s="13"/>
      <c r="F95" s="13"/>
      <c r="G95" s="7"/>
      <c r="H95" s="7"/>
      <c r="I95" s="7"/>
      <c r="J95" s="7"/>
      <c r="K95" s="14" t="str">
        <f aca="false">IF(OR(A95="",F95=0),"",(F95-E95)/F95)</f>
        <v/>
      </c>
      <c r="L95" s="7"/>
    </row>
    <row r="96" customFormat="false" ht="15" hidden="false" customHeight="true" outlineLevel="0" collapsed="false">
      <c r="A96" s="7"/>
      <c r="B96" s="7"/>
      <c r="C96" s="7"/>
      <c r="D96" s="7"/>
      <c r="E96" s="13"/>
      <c r="F96" s="13"/>
      <c r="G96" s="7"/>
      <c r="H96" s="7"/>
      <c r="I96" s="7"/>
      <c r="J96" s="7"/>
      <c r="K96" s="14" t="str">
        <f aca="false">IF(OR(A96="",F96=0),"",(F96-E96)/F96)</f>
        <v/>
      </c>
      <c r="L96" s="7"/>
    </row>
    <row r="97" customFormat="false" ht="15" hidden="false" customHeight="true" outlineLevel="0" collapsed="false">
      <c r="A97" s="7"/>
      <c r="B97" s="7"/>
      <c r="C97" s="7"/>
      <c r="D97" s="7"/>
      <c r="E97" s="13"/>
      <c r="F97" s="13"/>
      <c r="G97" s="7"/>
      <c r="H97" s="7"/>
      <c r="I97" s="7"/>
      <c r="J97" s="7"/>
      <c r="K97" s="14" t="str">
        <f aca="false">IF(OR(A97="",F97=0),"",(F97-E97)/F97)</f>
        <v/>
      </c>
      <c r="L97" s="7"/>
    </row>
    <row r="98" customFormat="false" ht="15" hidden="false" customHeight="true" outlineLevel="0" collapsed="false">
      <c r="A98" s="7"/>
      <c r="B98" s="7"/>
      <c r="C98" s="7"/>
      <c r="D98" s="7"/>
      <c r="E98" s="13"/>
      <c r="F98" s="13"/>
      <c r="G98" s="7"/>
      <c r="H98" s="7"/>
      <c r="I98" s="7"/>
      <c r="J98" s="7"/>
      <c r="K98" s="14" t="str">
        <f aca="false">IF(OR(A98="",F98=0),"",(F98-E98)/F98)</f>
        <v/>
      </c>
      <c r="L98" s="7"/>
    </row>
    <row r="99" customFormat="false" ht="15" hidden="false" customHeight="true" outlineLevel="0" collapsed="false">
      <c r="A99" s="7"/>
      <c r="B99" s="7"/>
      <c r="C99" s="7"/>
      <c r="D99" s="7"/>
      <c r="E99" s="13"/>
      <c r="F99" s="13"/>
      <c r="G99" s="7"/>
      <c r="H99" s="7"/>
      <c r="I99" s="7"/>
      <c r="J99" s="7"/>
      <c r="K99" s="14" t="str">
        <f aca="false">IF(OR(A99="",F99=0),"",(F99-E99)/F99)</f>
        <v/>
      </c>
      <c r="L99" s="7"/>
    </row>
    <row r="100" customFormat="false" ht="15" hidden="false" customHeight="true" outlineLevel="0" collapsed="false">
      <c r="A100" s="7"/>
      <c r="B100" s="7"/>
      <c r="C100" s="7"/>
      <c r="D100" s="7"/>
      <c r="E100" s="13"/>
      <c r="F100" s="13"/>
      <c r="G100" s="7"/>
      <c r="H100" s="7"/>
      <c r="I100" s="7"/>
      <c r="J100" s="7"/>
      <c r="K100" s="14" t="str">
        <f aca="false">IF(OR(A100="",F100=0),"",(F100-E100)/F100)</f>
        <v/>
      </c>
      <c r="L100" s="7"/>
    </row>
    <row r="101" customFormat="false" ht="15" hidden="false" customHeight="true" outlineLevel="0" collapsed="false">
      <c r="A101" s="7"/>
      <c r="B101" s="7"/>
      <c r="C101" s="7"/>
      <c r="D101" s="7"/>
      <c r="E101" s="13"/>
      <c r="F101" s="13"/>
      <c r="G101" s="7"/>
      <c r="H101" s="7"/>
      <c r="I101" s="7"/>
      <c r="J101" s="7"/>
      <c r="K101" s="14" t="str">
        <f aca="false">IF(OR(A101="",F101=0),"",(F101-E101)/F101)</f>
        <v/>
      </c>
      <c r="L101" s="7"/>
    </row>
    <row r="102" customFormat="false" ht="15" hidden="false" customHeight="true" outlineLevel="0" collapsed="false">
      <c r="A102" s="7"/>
      <c r="B102" s="7"/>
      <c r="C102" s="7"/>
      <c r="D102" s="7"/>
      <c r="E102" s="13"/>
      <c r="F102" s="13"/>
      <c r="G102" s="7"/>
      <c r="H102" s="7"/>
      <c r="I102" s="7"/>
      <c r="J102" s="7"/>
      <c r="K102" s="14" t="str">
        <f aca="false">IF(OR(A102="",F102=0),"",(F102-E102)/F102)</f>
        <v/>
      </c>
      <c r="L102" s="7"/>
    </row>
    <row r="103" customFormat="false" ht="15" hidden="false" customHeight="true" outlineLevel="0" collapsed="false">
      <c r="A103" s="7"/>
      <c r="B103" s="7"/>
      <c r="C103" s="7"/>
      <c r="D103" s="7"/>
      <c r="E103" s="13"/>
      <c r="F103" s="13"/>
      <c r="G103" s="7"/>
      <c r="H103" s="7"/>
      <c r="I103" s="7"/>
      <c r="J103" s="7"/>
      <c r="K103" s="14" t="str">
        <f aca="false">IF(OR(A103="",F103=0),"",(F103-E103)/F103)</f>
        <v/>
      </c>
      <c r="L103" s="7"/>
    </row>
    <row r="104" customFormat="false" ht="15" hidden="false" customHeight="true" outlineLevel="0" collapsed="false">
      <c r="A104" s="7"/>
      <c r="B104" s="7"/>
      <c r="C104" s="7"/>
      <c r="D104" s="7"/>
      <c r="E104" s="13"/>
      <c r="F104" s="13"/>
      <c r="G104" s="7"/>
      <c r="H104" s="7"/>
      <c r="I104" s="7"/>
      <c r="J104" s="7"/>
      <c r="K104" s="14" t="str">
        <f aca="false">IF(OR(A104="",F104=0),"",(F104-E104)/F104)</f>
        <v/>
      </c>
      <c r="L104" s="7"/>
    </row>
    <row r="105" customFormat="false" ht="15" hidden="false" customHeight="true" outlineLevel="0" collapsed="false">
      <c r="A105" s="7"/>
      <c r="B105" s="7"/>
      <c r="C105" s="7"/>
      <c r="D105" s="7"/>
      <c r="E105" s="13"/>
      <c r="F105" s="13"/>
      <c r="G105" s="7"/>
      <c r="H105" s="7"/>
      <c r="I105" s="7"/>
      <c r="J105" s="7"/>
      <c r="K105" s="14" t="str">
        <f aca="false">IF(OR(A105="",F105=0),"",(F105-E105)/F105)</f>
        <v/>
      </c>
      <c r="L105" s="7"/>
    </row>
    <row r="106" customFormat="false" ht="15" hidden="false" customHeight="true" outlineLevel="0" collapsed="false">
      <c r="A106" s="7"/>
      <c r="B106" s="7"/>
      <c r="C106" s="7"/>
      <c r="D106" s="7"/>
      <c r="E106" s="13"/>
      <c r="F106" s="13"/>
      <c r="G106" s="7"/>
      <c r="H106" s="7"/>
      <c r="I106" s="7"/>
      <c r="J106" s="7"/>
      <c r="K106" s="14" t="str">
        <f aca="false">IF(OR(A106="",F106=0),"",(F106-E106)/F106)</f>
        <v/>
      </c>
      <c r="L106" s="7"/>
    </row>
    <row r="107" customFormat="false" ht="15" hidden="false" customHeight="true" outlineLevel="0" collapsed="false">
      <c r="A107" s="7"/>
      <c r="B107" s="7"/>
      <c r="C107" s="7"/>
      <c r="D107" s="7"/>
      <c r="E107" s="13"/>
      <c r="F107" s="13"/>
      <c r="G107" s="7"/>
      <c r="H107" s="7"/>
      <c r="I107" s="7"/>
      <c r="J107" s="7"/>
      <c r="K107" s="14" t="str">
        <f aca="false">IF(OR(A107="",F107=0),"",(F107-E107)/F107)</f>
        <v/>
      </c>
      <c r="L107" s="7"/>
    </row>
    <row r="108" customFormat="false" ht="15" hidden="false" customHeight="true" outlineLevel="0" collapsed="false">
      <c r="A108" s="7"/>
      <c r="B108" s="7"/>
      <c r="C108" s="7"/>
      <c r="D108" s="7"/>
      <c r="E108" s="13"/>
      <c r="F108" s="13"/>
      <c r="G108" s="7"/>
      <c r="H108" s="7"/>
      <c r="I108" s="7"/>
      <c r="J108" s="7"/>
      <c r="K108" s="14" t="str">
        <f aca="false">IF(OR(A108="",F108=0),"",(F108-E108)/F108)</f>
        <v/>
      </c>
      <c r="L108" s="7"/>
    </row>
    <row r="109" customFormat="false" ht="15" hidden="false" customHeight="true" outlineLevel="0" collapsed="false">
      <c r="A109" s="7"/>
      <c r="B109" s="7"/>
      <c r="C109" s="7"/>
      <c r="D109" s="7"/>
      <c r="E109" s="13"/>
      <c r="F109" s="13"/>
      <c r="G109" s="7"/>
      <c r="H109" s="7"/>
      <c r="I109" s="7"/>
      <c r="J109" s="7"/>
      <c r="K109" s="14" t="str">
        <f aca="false">IF(OR(A109="",F109=0),"",(F109-E109)/F109)</f>
        <v/>
      </c>
      <c r="L109" s="7"/>
    </row>
    <row r="110" customFormat="false" ht="15" hidden="false" customHeight="true" outlineLevel="0" collapsed="false">
      <c r="A110" s="7"/>
      <c r="B110" s="7"/>
      <c r="C110" s="7"/>
      <c r="D110" s="7"/>
      <c r="E110" s="13"/>
      <c r="F110" s="13"/>
      <c r="G110" s="7"/>
      <c r="H110" s="7"/>
      <c r="I110" s="7"/>
      <c r="J110" s="7"/>
      <c r="K110" s="14" t="str">
        <f aca="false">IF(OR(A110="",F110=0),"",(F110-E110)/F110)</f>
        <v/>
      </c>
      <c r="L110" s="7"/>
    </row>
    <row r="111" customFormat="false" ht="15" hidden="false" customHeight="true" outlineLevel="0" collapsed="false">
      <c r="A111" s="7"/>
      <c r="B111" s="7"/>
      <c r="C111" s="7"/>
      <c r="D111" s="7"/>
      <c r="E111" s="13"/>
      <c r="F111" s="13"/>
      <c r="G111" s="7"/>
      <c r="H111" s="7"/>
      <c r="I111" s="7"/>
      <c r="J111" s="7"/>
      <c r="K111" s="14" t="str">
        <f aca="false">IF(OR(A111="",F111=0),"",(F111-E111)/F111)</f>
        <v/>
      </c>
      <c r="L111" s="7"/>
    </row>
    <row r="112" customFormat="false" ht="15" hidden="false" customHeight="true" outlineLevel="0" collapsed="false">
      <c r="A112" s="7"/>
      <c r="B112" s="7"/>
      <c r="C112" s="7"/>
      <c r="D112" s="7"/>
      <c r="E112" s="13"/>
      <c r="F112" s="13"/>
      <c r="G112" s="7"/>
      <c r="H112" s="7"/>
      <c r="I112" s="7"/>
      <c r="J112" s="7"/>
      <c r="K112" s="14" t="str">
        <f aca="false">IF(OR(A112="",F112=0),"",(F112-E112)/F112)</f>
        <v/>
      </c>
      <c r="L112" s="7"/>
    </row>
    <row r="113" customFormat="false" ht="15" hidden="false" customHeight="true" outlineLevel="0" collapsed="false">
      <c r="A113" s="7"/>
      <c r="B113" s="7"/>
      <c r="C113" s="7"/>
      <c r="D113" s="7"/>
      <c r="E113" s="13"/>
      <c r="F113" s="13"/>
      <c r="G113" s="7"/>
      <c r="H113" s="7"/>
      <c r="I113" s="7"/>
      <c r="J113" s="7"/>
      <c r="K113" s="14" t="str">
        <f aca="false">IF(OR(A113="",F113=0),"",(F113-E113)/F113)</f>
        <v/>
      </c>
      <c r="L113" s="7"/>
    </row>
    <row r="114" customFormat="false" ht="15" hidden="false" customHeight="true" outlineLevel="0" collapsed="false">
      <c r="A114" s="7"/>
      <c r="B114" s="7"/>
      <c r="C114" s="7"/>
      <c r="D114" s="7"/>
      <c r="E114" s="13"/>
      <c r="F114" s="13"/>
      <c r="G114" s="7"/>
      <c r="H114" s="7"/>
      <c r="I114" s="7"/>
      <c r="J114" s="7"/>
      <c r="K114" s="14" t="str">
        <f aca="false">IF(OR(A114="",F114=0),"",(F114-E114)/F114)</f>
        <v/>
      </c>
      <c r="L114" s="7"/>
    </row>
    <row r="115" customFormat="false" ht="15" hidden="false" customHeight="true" outlineLevel="0" collapsed="false">
      <c r="A115" s="7"/>
      <c r="B115" s="7"/>
      <c r="C115" s="7"/>
      <c r="D115" s="7"/>
      <c r="E115" s="13"/>
      <c r="F115" s="13"/>
      <c r="G115" s="7"/>
      <c r="H115" s="7"/>
      <c r="I115" s="7"/>
      <c r="J115" s="7"/>
      <c r="K115" s="14" t="str">
        <f aca="false">IF(OR(A115="",F115=0),"",(F115-E115)/F115)</f>
        <v/>
      </c>
      <c r="L115" s="7"/>
    </row>
    <row r="116" customFormat="false" ht="15" hidden="false" customHeight="true" outlineLevel="0" collapsed="false">
      <c r="A116" s="7"/>
      <c r="B116" s="7"/>
      <c r="C116" s="7"/>
      <c r="D116" s="7"/>
      <c r="E116" s="13"/>
      <c r="F116" s="13"/>
      <c r="G116" s="7"/>
      <c r="H116" s="7"/>
      <c r="I116" s="7"/>
      <c r="J116" s="7"/>
      <c r="K116" s="14" t="str">
        <f aca="false">IF(OR(A116="",F116=0),"",(F116-E116)/F116)</f>
        <v/>
      </c>
      <c r="L116" s="7"/>
    </row>
    <row r="117" customFormat="false" ht="15" hidden="false" customHeight="true" outlineLevel="0" collapsed="false">
      <c r="A117" s="7"/>
      <c r="B117" s="7"/>
      <c r="C117" s="7"/>
      <c r="D117" s="7"/>
      <c r="E117" s="13"/>
      <c r="F117" s="13"/>
      <c r="G117" s="7"/>
      <c r="H117" s="7"/>
      <c r="I117" s="7"/>
      <c r="J117" s="7"/>
      <c r="K117" s="14" t="str">
        <f aca="false">IF(OR(A117="",F117=0),"",(F117-E117)/F117)</f>
        <v/>
      </c>
      <c r="L117" s="7"/>
    </row>
    <row r="118" customFormat="false" ht="15" hidden="false" customHeight="true" outlineLevel="0" collapsed="false">
      <c r="A118" s="7"/>
      <c r="B118" s="7"/>
      <c r="C118" s="7"/>
      <c r="D118" s="7"/>
      <c r="E118" s="13"/>
      <c r="F118" s="13"/>
      <c r="G118" s="7"/>
      <c r="H118" s="7"/>
      <c r="I118" s="7"/>
      <c r="J118" s="7"/>
      <c r="K118" s="14" t="str">
        <f aca="false">IF(OR(A118="",F118=0),"",(F118-E118)/F118)</f>
        <v/>
      </c>
      <c r="L118" s="7"/>
    </row>
    <row r="119" customFormat="false" ht="15" hidden="false" customHeight="true" outlineLevel="0" collapsed="false">
      <c r="A119" s="7"/>
      <c r="B119" s="7"/>
      <c r="C119" s="7"/>
      <c r="D119" s="7"/>
      <c r="E119" s="13"/>
      <c r="F119" s="13"/>
      <c r="G119" s="7"/>
      <c r="H119" s="7"/>
      <c r="I119" s="7"/>
      <c r="J119" s="7"/>
      <c r="K119" s="14" t="str">
        <f aca="false">IF(OR(A119="",F119=0),"",(F119-E119)/F119)</f>
        <v/>
      </c>
      <c r="L119" s="7"/>
    </row>
    <row r="120" customFormat="false" ht="15" hidden="false" customHeight="true" outlineLevel="0" collapsed="false">
      <c r="A120" s="7"/>
      <c r="B120" s="7"/>
      <c r="C120" s="7"/>
      <c r="D120" s="7"/>
      <c r="E120" s="13"/>
      <c r="F120" s="13"/>
      <c r="G120" s="7"/>
      <c r="H120" s="7"/>
      <c r="I120" s="7"/>
      <c r="J120" s="7"/>
      <c r="K120" s="14" t="str">
        <f aca="false">IF(OR(A120="",F120=0),"",(F120-E120)/F120)</f>
        <v/>
      </c>
      <c r="L120" s="7"/>
    </row>
    <row r="121" customFormat="false" ht="15" hidden="false" customHeight="true" outlineLevel="0" collapsed="false">
      <c r="A121" s="7"/>
      <c r="B121" s="7"/>
      <c r="C121" s="7"/>
      <c r="D121" s="7"/>
      <c r="E121" s="13"/>
      <c r="F121" s="13"/>
      <c r="G121" s="7"/>
      <c r="H121" s="7"/>
      <c r="I121" s="7"/>
      <c r="J121" s="7"/>
      <c r="K121" s="14" t="str">
        <f aca="false">IF(OR(A121="",F121=0),"",(F121-E121)/F121)</f>
        <v/>
      </c>
      <c r="L121" s="7"/>
    </row>
    <row r="122" customFormat="false" ht="15" hidden="false" customHeight="true" outlineLevel="0" collapsed="false">
      <c r="A122" s="7"/>
      <c r="B122" s="7"/>
      <c r="C122" s="7"/>
      <c r="D122" s="7"/>
      <c r="E122" s="13"/>
      <c r="F122" s="13"/>
      <c r="G122" s="7"/>
      <c r="H122" s="7"/>
      <c r="I122" s="7"/>
      <c r="J122" s="7"/>
      <c r="K122" s="14" t="str">
        <f aca="false">IF(OR(A122="",F122=0),"",(F122-E122)/F122)</f>
        <v/>
      </c>
      <c r="L122" s="7"/>
    </row>
    <row r="123" customFormat="false" ht="15" hidden="false" customHeight="true" outlineLevel="0" collapsed="false">
      <c r="A123" s="7"/>
      <c r="B123" s="7"/>
      <c r="C123" s="7"/>
      <c r="D123" s="7"/>
      <c r="E123" s="13"/>
      <c r="F123" s="13"/>
      <c r="G123" s="7"/>
      <c r="H123" s="7"/>
      <c r="I123" s="7"/>
      <c r="J123" s="7"/>
      <c r="K123" s="14" t="str">
        <f aca="false">IF(OR(A123="",F123=0),"",(F123-E123)/F123)</f>
        <v/>
      </c>
      <c r="L123" s="7"/>
    </row>
    <row r="124" customFormat="false" ht="15" hidden="false" customHeight="true" outlineLevel="0" collapsed="false">
      <c r="A124" s="7"/>
      <c r="B124" s="7"/>
      <c r="C124" s="7"/>
      <c r="D124" s="7"/>
      <c r="E124" s="13"/>
      <c r="F124" s="13"/>
      <c r="G124" s="7"/>
      <c r="H124" s="7"/>
      <c r="I124" s="7"/>
      <c r="J124" s="7"/>
      <c r="K124" s="14" t="str">
        <f aca="false">IF(OR(A124="",F124=0),"",(F124-E124)/F124)</f>
        <v/>
      </c>
      <c r="L124" s="7"/>
    </row>
    <row r="125" customFormat="false" ht="15" hidden="false" customHeight="true" outlineLevel="0" collapsed="false">
      <c r="A125" s="7"/>
      <c r="B125" s="7"/>
      <c r="C125" s="7"/>
      <c r="D125" s="7"/>
      <c r="E125" s="13"/>
      <c r="F125" s="13"/>
      <c r="G125" s="7"/>
      <c r="H125" s="7"/>
      <c r="I125" s="7"/>
      <c r="J125" s="7"/>
      <c r="K125" s="14" t="str">
        <f aca="false">IF(OR(A125="",F125=0),"",(F125-E125)/F125)</f>
        <v/>
      </c>
      <c r="L125" s="7"/>
    </row>
    <row r="126" customFormat="false" ht="15" hidden="false" customHeight="true" outlineLevel="0" collapsed="false">
      <c r="A126" s="7"/>
      <c r="B126" s="7"/>
      <c r="C126" s="7"/>
      <c r="D126" s="7"/>
      <c r="E126" s="13"/>
      <c r="F126" s="13"/>
      <c r="G126" s="7"/>
      <c r="H126" s="7"/>
      <c r="I126" s="7"/>
      <c r="J126" s="7"/>
      <c r="K126" s="14" t="str">
        <f aca="false">IF(OR(A126="",F126=0),"",(F126-E126)/F126)</f>
        <v/>
      </c>
      <c r="L126" s="7"/>
    </row>
    <row r="127" customFormat="false" ht="15" hidden="false" customHeight="true" outlineLevel="0" collapsed="false">
      <c r="A127" s="7"/>
      <c r="B127" s="7"/>
      <c r="C127" s="7"/>
      <c r="D127" s="7"/>
      <c r="E127" s="13"/>
      <c r="F127" s="13"/>
      <c r="G127" s="7"/>
      <c r="H127" s="7"/>
      <c r="I127" s="7"/>
      <c r="J127" s="7"/>
      <c r="K127" s="14" t="str">
        <f aca="false">IF(OR(A127="",F127=0),"",(F127-E127)/F127)</f>
        <v/>
      </c>
      <c r="L127" s="7"/>
    </row>
    <row r="128" customFormat="false" ht="15" hidden="false" customHeight="true" outlineLevel="0" collapsed="false">
      <c r="A128" s="7"/>
      <c r="B128" s="7"/>
      <c r="C128" s="7"/>
      <c r="D128" s="7"/>
      <c r="E128" s="13"/>
      <c r="F128" s="13"/>
      <c r="G128" s="7"/>
      <c r="H128" s="7"/>
      <c r="I128" s="7"/>
      <c r="J128" s="7"/>
      <c r="K128" s="14" t="str">
        <f aca="false">IF(OR(A128="",F128=0),"",(F128-E128)/F128)</f>
        <v/>
      </c>
      <c r="L128" s="7"/>
    </row>
    <row r="129" customFormat="false" ht="15" hidden="false" customHeight="true" outlineLevel="0" collapsed="false">
      <c r="A129" s="7"/>
      <c r="B129" s="7"/>
      <c r="C129" s="7"/>
      <c r="D129" s="7"/>
      <c r="E129" s="13"/>
      <c r="F129" s="13"/>
      <c r="G129" s="7"/>
      <c r="H129" s="7"/>
      <c r="I129" s="7"/>
      <c r="J129" s="7"/>
      <c r="K129" s="14" t="str">
        <f aca="false">IF(OR(A129="",F129=0),"",(F129-E129)/F129)</f>
        <v/>
      </c>
      <c r="L129" s="7"/>
    </row>
    <row r="130" customFormat="false" ht="15" hidden="false" customHeight="true" outlineLevel="0" collapsed="false">
      <c r="A130" s="7"/>
      <c r="B130" s="7"/>
      <c r="C130" s="7"/>
      <c r="D130" s="7"/>
      <c r="E130" s="13"/>
      <c r="F130" s="13"/>
      <c r="G130" s="7"/>
      <c r="H130" s="7"/>
      <c r="I130" s="7"/>
      <c r="J130" s="7"/>
      <c r="K130" s="14" t="str">
        <f aca="false">IF(OR(A130="",F130=0),"",(F130-E130)/F130)</f>
        <v/>
      </c>
      <c r="L130" s="7"/>
    </row>
    <row r="131" customFormat="false" ht="15" hidden="false" customHeight="true" outlineLevel="0" collapsed="false">
      <c r="A131" s="7"/>
      <c r="B131" s="7"/>
      <c r="C131" s="7"/>
      <c r="D131" s="7"/>
      <c r="E131" s="13"/>
      <c r="F131" s="13"/>
      <c r="G131" s="7"/>
      <c r="H131" s="7"/>
      <c r="I131" s="7"/>
      <c r="J131" s="7"/>
      <c r="K131" s="14" t="str">
        <f aca="false">IF(OR(A131="",F131=0),"",(F131-E131)/F131)</f>
        <v/>
      </c>
      <c r="L131" s="7"/>
    </row>
    <row r="132" customFormat="false" ht="15" hidden="false" customHeight="true" outlineLevel="0" collapsed="false">
      <c r="A132" s="7"/>
      <c r="B132" s="7"/>
      <c r="C132" s="7"/>
      <c r="D132" s="7"/>
      <c r="E132" s="13"/>
      <c r="F132" s="13"/>
      <c r="G132" s="7"/>
      <c r="H132" s="7"/>
      <c r="I132" s="7"/>
      <c r="J132" s="7"/>
      <c r="K132" s="14" t="str">
        <f aca="false">IF(OR(A132="",F132=0),"",(F132-E132)/F132)</f>
        <v/>
      </c>
      <c r="L132" s="7"/>
    </row>
    <row r="133" customFormat="false" ht="15" hidden="false" customHeight="true" outlineLevel="0" collapsed="false">
      <c r="A133" s="7"/>
      <c r="B133" s="7"/>
      <c r="C133" s="7"/>
      <c r="D133" s="7"/>
      <c r="E133" s="13"/>
      <c r="F133" s="13"/>
      <c r="G133" s="7"/>
      <c r="H133" s="7"/>
      <c r="I133" s="7"/>
      <c r="J133" s="7"/>
      <c r="K133" s="14" t="str">
        <f aca="false">IF(OR(A133="",F133=0),"",(F133-E133)/F133)</f>
        <v/>
      </c>
      <c r="L133" s="7"/>
    </row>
    <row r="134" customFormat="false" ht="15" hidden="false" customHeight="true" outlineLevel="0" collapsed="false">
      <c r="A134" s="7"/>
      <c r="B134" s="7"/>
      <c r="C134" s="7"/>
      <c r="D134" s="7"/>
      <c r="E134" s="13"/>
      <c r="F134" s="13"/>
      <c r="G134" s="7"/>
      <c r="H134" s="7"/>
      <c r="I134" s="7"/>
      <c r="J134" s="7"/>
      <c r="K134" s="14" t="str">
        <f aca="false">IF(OR(A134="",F134=0),"",(F134-E134)/F134)</f>
        <v/>
      </c>
      <c r="L134" s="7"/>
    </row>
    <row r="135" customFormat="false" ht="15" hidden="false" customHeight="true" outlineLevel="0" collapsed="false">
      <c r="A135" s="7"/>
      <c r="B135" s="7"/>
      <c r="C135" s="7"/>
      <c r="D135" s="7"/>
      <c r="E135" s="13"/>
      <c r="F135" s="13"/>
      <c r="G135" s="7"/>
      <c r="H135" s="7"/>
      <c r="I135" s="7"/>
      <c r="J135" s="7"/>
      <c r="K135" s="14" t="str">
        <f aca="false">IF(OR(A135="",F135=0),"",(F135-E135)/F135)</f>
        <v/>
      </c>
      <c r="L135" s="7"/>
    </row>
    <row r="136" customFormat="false" ht="15" hidden="false" customHeight="true" outlineLevel="0" collapsed="false">
      <c r="A136" s="7"/>
      <c r="B136" s="7"/>
      <c r="C136" s="7"/>
      <c r="D136" s="7"/>
      <c r="E136" s="13"/>
      <c r="F136" s="13"/>
      <c r="G136" s="7"/>
      <c r="H136" s="7"/>
      <c r="I136" s="7"/>
      <c r="J136" s="7"/>
      <c r="K136" s="14" t="str">
        <f aca="false">IF(OR(A136="",F136=0),"",(F136-E136)/F136)</f>
        <v/>
      </c>
      <c r="L136" s="7"/>
    </row>
    <row r="137" customFormat="false" ht="15" hidden="false" customHeight="true" outlineLevel="0" collapsed="false">
      <c r="A137" s="7"/>
      <c r="B137" s="7"/>
      <c r="C137" s="7"/>
      <c r="D137" s="7"/>
      <c r="E137" s="13"/>
      <c r="F137" s="13"/>
      <c r="G137" s="7"/>
      <c r="H137" s="7"/>
      <c r="I137" s="7"/>
      <c r="J137" s="7"/>
      <c r="K137" s="14" t="str">
        <f aca="false">IF(OR(A137="",F137=0),"",(F137-E137)/F137)</f>
        <v/>
      </c>
      <c r="L137" s="7"/>
    </row>
    <row r="138" customFormat="false" ht="15" hidden="false" customHeight="true" outlineLevel="0" collapsed="false">
      <c r="A138" s="7"/>
      <c r="B138" s="7"/>
      <c r="C138" s="7"/>
      <c r="D138" s="7"/>
      <c r="E138" s="13"/>
      <c r="F138" s="13"/>
      <c r="G138" s="7"/>
      <c r="H138" s="7"/>
      <c r="I138" s="7"/>
      <c r="J138" s="7"/>
      <c r="K138" s="14" t="str">
        <f aca="false">IF(OR(A138="",F138=0),"",(F138-E138)/F138)</f>
        <v/>
      </c>
      <c r="L138" s="7"/>
    </row>
    <row r="139" customFormat="false" ht="15" hidden="false" customHeight="true" outlineLevel="0" collapsed="false">
      <c r="A139" s="7"/>
      <c r="B139" s="7"/>
      <c r="C139" s="7"/>
      <c r="D139" s="7"/>
      <c r="E139" s="13"/>
      <c r="F139" s="13"/>
      <c r="G139" s="7"/>
      <c r="H139" s="7"/>
      <c r="I139" s="7"/>
      <c r="J139" s="7"/>
      <c r="K139" s="14" t="str">
        <f aca="false">IF(OR(A139="",F139=0),"",(F139-E139)/F139)</f>
        <v/>
      </c>
      <c r="L139" s="7"/>
    </row>
    <row r="140" customFormat="false" ht="15" hidden="false" customHeight="true" outlineLevel="0" collapsed="false">
      <c r="A140" s="7"/>
      <c r="B140" s="7"/>
      <c r="C140" s="7"/>
      <c r="D140" s="7"/>
      <c r="E140" s="13"/>
      <c r="F140" s="13"/>
      <c r="G140" s="7"/>
      <c r="H140" s="7"/>
      <c r="I140" s="7"/>
      <c r="J140" s="7"/>
      <c r="K140" s="14" t="str">
        <f aca="false">IF(OR(A140="",F140=0),"",(F140-E140)/F140)</f>
        <v/>
      </c>
      <c r="L140" s="7"/>
    </row>
    <row r="141" customFormat="false" ht="15" hidden="false" customHeight="true" outlineLevel="0" collapsed="false">
      <c r="A141" s="7"/>
      <c r="B141" s="7"/>
      <c r="C141" s="7"/>
      <c r="D141" s="7"/>
      <c r="E141" s="13"/>
      <c r="F141" s="13"/>
      <c r="G141" s="7"/>
      <c r="H141" s="7"/>
      <c r="I141" s="7"/>
      <c r="J141" s="7"/>
      <c r="K141" s="14" t="str">
        <f aca="false">IF(OR(A141="",F141=0),"",(F141-E141)/F141)</f>
        <v/>
      </c>
      <c r="L141" s="7"/>
    </row>
    <row r="142" customFormat="false" ht="15" hidden="false" customHeight="true" outlineLevel="0" collapsed="false">
      <c r="A142" s="7"/>
      <c r="B142" s="7"/>
      <c r="C142" s="7"/>
      <c r="D142" s="7"/>
      <c r="E142" s="13"/>
      <c r="F142" s="13"/>
      <c r="G142" s="7"/>
      <c r="H142" s="7"/>
      <c r="I142" s="7"/>
      <c r="J142" s="7"/>
      <c r="K142" s="14" t="str">
        <f aca="false">IF(OR(A142="",F142=0),"",(F142-E142)/F142)</f>
        <v/>
      </c>
      <c r="L142" s="7"/>
    </row>
    <row r="143" customFormat="false" ht="15" hidden="false" customHeight="true" outlineLevel="0" collapsed="false">
      <c r="A143" s="7"/>
      <c r="B143" s="7"/>
      <c r="C143" s="7"/>
      <c r="D143" s="7"/>
      <c r="E143" s="13"/>
      <c r="F143" s="13"/>
      <c r="G143" s="7"/>
      <c r="H143" s="7"/>
      <c r="I143" s="7"/>
      <c r="J143" s="7"/>
      <c r="K143" s="14" t="str">
        <f aca="false">IF(OR(A143="",F143=0),"",(F143-E143)/F143)</f>
        <v/>
      </c>
      <c r="L143" s="7"/>
    </row>
    <row r="144" customFormat="false" ht="15" hidden="false" customHeight="true" outlineLevel="0" collapsed="false">
      <c r="A144" s="7"/>
      <c r="B144" s="7"/>
      <c r="C144" s="7"/>
      <c r="D144" s="7"/>
      <c r="E144" s="13"/>
      <c r="F144" s="13"/>
      <c r="G144" s="7"/>
      <c r="H144" s="7"/>
      <c r="I144" s="7"/>
      <c r="J144" s="7"/>
      <c r="K144" s="14" t="str">
        <f aca="false">IF(OR(A144="",F144=0),"",(F144-E144)/F144)</f>
        <v/>
      </c>
      <c r="L144" s="7"/>
    </row>
    <row r="145" customFormat="false" ht="15" hidden="false" customHeight="true" outlineLevel="0" collapsed="false">
      <c r="A145" s="7"/>
      <c r="B145" s="7"/>
      <c r="C145" s="7"/>
      <c r="D145" s="7"/>
      <c r="E145" s="13"/>
      <c r="F145" s="13"/>
      <c r="G145" s="7"/>
      <c r="H145" s="7"/>
      <c r="I145" s="7"/>
      <c r="J145" s="7"/>
      <c r="K145" s="14" t="str">
        <f aca="false">IF(OR(A145="",F145=0),"",(F145-E145)/F145)</f>
        <v/>
      </c>
      <c r="L145" s="7"/>
    </row>
    <row r="146" customFormat="false" ht="15" hidden="false" customHeight="true" outlineLevel="0" collapsed="false">
      <c r="A146" s="7"/>
      <c r="B146" s="7"/>
      <c r="C146" s="7"/>
      <c r="D146" s="7"/>
      <c r="E146" s="13"/>
      <c r="F146" s="13"/>
      <c r="G146" s="7"/>
      <c r="H146" s="7"/>
      <c r="I146" s="7"/>
      <c r="J146" s="7"/>
      <c r="K146" s="14" t="str">
        <f aca="false">IF(OR(A146="",F146=0),"",(F146-E146)/F146)</f>
        <v/>
      </c>
      <c r="L146" s="7"/>
    </row>
    <row r="147" customFormat="false" ht="15" hidden="false" customHeight="true" outlineLevel="0" collapsed="false">
      <c r="A147" s="7"/>
      <c r="B147" s="7"/>
      <c r="C147" s="7"/>
      <c r="D147" s="7"/>
      <c r="E147" s="13"/>
      <c r="F147" s="13"/>
      <c r="G147" s="7"/>
      <c r="H147" s="7"/>
      <c r="I147" s="7"/>
      <c r="J147" s="7"/>
      <c r="K147" s="14" t="str">
        <f aca="false">IF(OR(A147="",F147=0),"",(F147-E147)/F147)</f>
        <v/>
      </c>
      <c r="L147" s="7"/>
    </row>
    <row r="148" customFormat="false" ht="15" hidden="false" customHeight="true" outlineLevel="0" collapsed="false">
      <c r="A148" s="7"/>
      <c r="B148" s="7"/>
      <c r="C148" s="7"/>
      <c r="D148" s="7"/>
      <c r="E148" s="13"/>
      <c r="F148" s="13"/>
      <c r="G148" s="7"/>
      <c r="H148" s="7"/>
      <c r="I148" s="7"/>
      <c r="J148" s="7"/>
      <c r="K148" s="14" t="str">
        <f aca="false">IF(OR(A148="",F148=0),"",(F148-E148)/F148)</f>
        <v/>
      </c>
      <c r="L148" s="7"/>
    </row>
    <row r="149" customFormat="false" ht="15" hidden="false" customHeight="true" outlineLevel="0" collapsed="false">
      <c r="A149" s="7"/>
      <c r="B149" s="7"/>
      <c r="C149" s="7"/>
      <c r="D149" s="7"/>
      <c r="E149" s="13"/>
      <c r="F149" s="13"/>
      <c r="G149" s="7"/>
      <c r="H149" s="7"/>
      <c r="I149" s="7"/>
      <c r="J149" s="7"/>
      <c r="K149" s="14" t="str">
        <f aca="false">IF(OR(A149="",F149=0),"",(F149-E149)/F149)</f>
        <v/>
      </c>
      <c r="L149" s="7"/>
    </row>
    <row r="150" customFormat="false" ht="15" hidden="false" customHeight="true" outlineLevel="0" collapsed="false">
      <c r="A150" s="7"/>
      <c r="B150" s="7"/>
      <c r="C150" s="7"/>
      <c r="D150" s="7"/>
      <c r="E150" s="13"/>
      <c r="F150" s="13"/>
      <c r="G150" s="7"/>
      <c r="H150" s="7"/>
      <c r="I150" s="7"/>
      <c r="J150" s="7"/>
      <c r="K150" s="14" t="str">
        <f aca="false">IF(OR(A150="",F150=0),"",(F150-E150)/F150)</f>
        <v/>
      </c>
      <c r="L150" s="7"/>
    </row>
    <row r="151" customFormat="false" ht="15" hidden="false" customHeight="true" outlineLevel="0" collapsed="false">
      <c r="A151" s="7"/>
      <c r="B151" s="7"/>
      <c r="C151" s="7"/>
      <c r="D151" s="7"/>
      <c r="E151" s="13"/>
      <c r="F151" s="13"/>
      <c r="G151" s="7"/>
      <c r="H151" s="7"/>
      <c r="I151" s="7"/>
      <c r="J151" s="7"/>
      <c r="K151" s="14" t="str">
        <f aca="false">IF(OR(A151="",F151=0),"",(F151-E151)/F151)</f>
        <v/>
      </c>
      <c r="L151" s="7"/>
    </row>
    <row r="152" customFormat="false" ht="15" hidden="false" customHeight="true" outlineLevel="0" collapsed="false">
      <c r="A152" s="7"/>
      <c r="B152" s="7"/>
      <c r="C152" s="7"/>
      <c r="D152" s="7"/>
      <c r="E152" s="13"/>
      <c r="F152" s="13"/>
      <c r="G152" s="7"/>
      <c r="H152" s="7"/>
      <c r="I152" s="7"/>
      <c r="J152" s="7"/>
      <c r="K152" s="14" t="str">
        <f aca="false">IF(OR(A152="",F152=0),"",(F152-E152)/F152)</f>
        <v/>
      </c>
      <c r="L152" s="7"/>
    </row>
    <row r="153" customFormat="false" ht="15" hidden="false" customHeight="true" outlineLevel="0" collapsed="false">
      <c r="A153" s="7"/>
      <c r="B153" s="7"/>
      <c r="C153" s="7"/>
      <c r="D153" s="7"/>
      <c r="E153" s="13"/>
      <c r="F153" s="13"/>
      <c r="G153" s="7"/>
      <c r="H153" s="7"/>
      <c r="I153" s="7"/>
      <c r="J153" s="7"/>
      <c r="K153" s="14" t="str">
        <f aca="false">IF(OR(A153="",F153=0),"",(F153-E153)/F153)</f>
        <v/>
      </c>
      <c r="L153" s="7"/>
    </row>
    <row r="154" customFormat="false" ht="15" hidden="false" customHeight="true" outlineLevel="0" collapsed="false">
      <c r="A154" s="7"/>
      <c r="B154" s="7"/>
      <c r="C154" s="7"/>
      <c r="D154" s="7"/>
      <c r="E154" s="13"/>
      <c r="F154" s="13"/>
      <c r="G154" s="7"/>
      <c r="H154" s="7"/>
      <c r="I154" s="7"/>
      <c r="J154" s="7"/>
      <c r="K154" s="14" t="str">
        <f aca="false">IF(OR(A154="",F154=0),"",(F154-E154)/F154)</f>
        <v/>
      </c>
      <c r="L154" s="7"/>
    </row>
    <row r="155" customFormat="false" ht="15" hidden="false" customHeight="true" outlineLevel="0" collapsed="false">
      <c r="A155" s="7"/>
      <c r="B155" s="7"/>
      <c r="C155" s="7"/>
      <c r="D155" s="7"/>
      <c r="E155" s="13"/>
      <c r="F155" s="13"/>
      <c r="G155" s="7"/>
      <c r="H155" s="7"/>
      <c r="I155" s="7"/>
      <c r="J155" s="7"/>
      <c r="K155" s="14" t="str">
        <f aca="false">IF(OR(A155="",F155=0),"",(F155-E155)/F155)</f>
        <v/>
      </c>
      <c r="L155" s="7"/>
    </row>
    <row r="156" customFormat="false" ht="15" hidden="false" customHeight="true" outlineLevel="0" collapsed="false">
      <c r="A156" s="7"/>
      <c r="B156" s="7"/>
      <c r="C156" s="7"/>
      <c r="D156" s="7"/>
      <c r="E156" s="13"/>
      <c r="F156" s="13"/>
      <c r="G156" s="7"/>
      <c r="H156" s="7"/>
      <c r="I156" s="7"/>
      <c r="J156" s="7"/>
      <c r="K156" s="14" t="str">
        <f aca="false">IF(OR(A156="",F156=0),"",(F156-E156)/F156)</f>
        <v/>
      </c>
      <c r="L156" s="7"/>
    </row>
    <row r="157" customFormat="false" ht="15" hidden="false" customHeight="true" outlineLevel="0" collapsed="false">
      <c r="A157" s="7"/>
      <c r="B157" s="7"/>
      <c r="C157" s="7"/>
      <c r="D157" s="7"/>
      <c r="E157" s="13"/>
      <c r="F157" s="13"/>
      <c r="G157" s="7"/>
      <c r="H157" s="7"/>
      <c r="I157" s="7"/>
      <c r="J157" s="7"/>
      <c r="K157" s="14" t="str">
        <f aca="false">IF(OR(A157="",F157=0),"",(F157-E157)/F157)</f>
        <v/>
      </c>
      <c r="L157" s="7"/>
    </row>
    <row r="158" customFormat="false" ht="15" hidden="false" customHeight="true" outlineLevel="0" collapsed="false">
      <c r="A158" s="7"/>
      <c r="B158" s="7"/>
      <c r="C158" s="7"/>
      <c r="D158" s="7"/>
      <c r="E158" s="13"/>
      <c r="F158" s="13"/>
      <c r="G158" s="7"/>
      <c r="H158" s="7"/>
      <c r="I158" s="7"/>
      <c r="J158" s="7"/>
      <c r="K158" s="14" t="str">
        <f aca="false">IF(OR(A158="",F158=0),"",(F158-E158)/F158)</f>
        <v/>
      </c>
      <c r="L158" s="7"/>
    </row>
    <row r="159" customFormat="false" ht="15" hidden="false" customHeight="true" outlineLevel="0" collapsed="false">
      <c r="A159" s="7"/>
      <c r="B159" s="7"/>
      <c r="C159" s="7"/>
      <c r="D159" s="7"/>
      <c r="E159" s="13"/>
      <c r="F159" s="13"/>
      <c r="G159" s="7"/>
      <c r="H159" s="7"/>
      <c r="I159" s="7"/>
      <c r="J159" s="7"/>
      <c r="K159" s="14" t="str">
        <f aca="false">IF(OR(A159="",F159=0),"",(F159-E159)/F159)</f>
        <v/>
      </c>
      <c r="L159" s="7"/>
    </row>
    <row r="160" customFormat="false" ht="15" hidden="false" customHeight="true" outlineLevel="0" collapsed="false">
      <c r="A160" s="7"/>
      <c r="B160" s="7"/>
      <c r="C160" s="7"/>
      <c r="D160" s="7"/>
      <c r="E160" s="13"/>
      <c r="F160" s="13"/>
      <c r="G160" s="7"/>
      <c r="H160" s="7"/>
      <c r="I160" s="7"/>
      <c r="J160" s="7"/>
      <c r="K160" s="14" t="str">
        <f aca="false">IF(OR(A160="",F160=0),"",(F160-E160)/F160)</f>
        <v/>
      </c>
      <c r="L160" s="7"/>
    </row>
    <row r="161" customFormat="false" ht="15" hidden="false" customHeight="true" outlineLevel="0" collapsed="false">
      <c r="A161" s="7"/>
      <c r="B161" s="7"/>
      <c r="C161" s="7"/>
      <c r="D161" s="7"/>
      <c r="E161" s="13"/>
      <c r="F161" s="13"/>
      <c r="G161" s="7"/>
      <c r="H161" s="7"/>
      <c r="I161" s="7"/>
      <c r="J161" s="7"/>
      <c r="K161" s="14" t="str">
        <f aca="false">IF(OR(A161="",F161=0),"",(F161-E161)/F161)</f>
        <v/>
      </c>
      <c r="L161" s="7"/>
    </row>
    <row r="162" customFormat="false" ht="15" hidden="false" customHeight="true" outlineLevel="0" collapsed="false">
      <c r="A162" s="7"/>
      <c r="B162" s="7"/>
      <c r="C162" s="7"/>
      <c r="D162" s="7"/>
      <c r="E162" s="13"/>
      <c r="F162" s="13"/>
      <c r="G162" s="7"/>
      <c r="H162" s="7"/>
      <c r="I162" s="7"/>
      <c r="J162" s="7"/>
      <c r="K162" s="14" t="str">
        <f aca="false">IF(OR(A162="",F162=0),"",(F162-E162)/F162)</f>
        <v/>
      </c>
      <c r="L162" s="7"/>
    </row>
    <row r="163" customFormat="false" ht="15" hidden="false" customHeight="true" outlineLevel="0" collapsed="false">
      <c r="A163" s="7"/>
      <c r="B163" s="7"/>
      <c r="C163" s="7"/>
      <c r="D163" s="7"/>
      <c r="E163" s="13"/>
      <c r="F163" s="13"/>
      <c r="G163" s="7"/>
      <c r="H163" s="7"/>
      <c r="I163" s="7"/>
      <c r="J163" s="7"/>
      <c r="K163" s="14" t="str">
        <f aca="false">IF(OR(A163="",F163=0),"",(F163-E163)/F163)</f>
        <v/>
      </c>
      <c r="L163" s="7"/>
    </row>
    <row r="164" customFormat="false" ht="15" hidden="false" customHeight="true" outlineLevel="0" collapsed="false">
      <c r="A164" s="7"/>
      <c r="B164" s="7"/>
      <c r="C164" s="7"/>
      <c r="D164" s="7"/>
      <c r="E164" s="13"/>
      <c r="F164" s="13"/>
      <c r="G164" s="7"/>
      <c r="H164" s="7"/>
      <c r="I164" s="7"/>
      <c r="J164" s="7"/>
      <c r="K164" s="14" t="str">
        <f aca="false">IF(OR(A164="",F164=0),"",(F164-E164)/F164)</f>
        <v/>
      </c>
      <c r="L164" s="7"/>
    </row>
    <row r="165" customFormat="false" ht="15" hidden="false" customHeight="true" outlineLevel="0" collapsed="false">
      <c r="A165" s="7"/>
      <c r="B165" s="7"/>
      <c r="C165" s="7"/>
      <c r="D165" s="7"/>
      <c r="E165" s="13"/>
      <c r="F165" s="13"/>
      <c r="G165" s="7"/>
      <c r="H165" s="7"/>
      <c r="I165" s="7"/>
      <c r="J165" s="7"/>
      <c r="K165" s="14" t="str">
        <f aca="false">IF(OR(A165="",F165=0),"",(F165-E165)/F165)</f>
        <v/>
      </c>
      <c r="L165" s="7"/>
    </row>
    <row r="166" customFormat="false" ht="15" hidden="false" customHeight="true" outlineLevel="0" collapsed="false">
      <c r="A166" s="7"/>
      <c r="B166" s="7"/>
      <c r="C166" s="7"/>
      <c r="D166" s="7"/>
      <c r="E166" s="13"/>
      <c r="F166" s="13"/>
      <c r="G166" s="7"/>
      <c r="H166" s="7"/>
      <c r="I166" s="7"/>
      <c r="J166" s="7"/>
      <c r="K166" s="14" t="str">
        <f aca="false">IF(OR(A166="",F166=0),"",(F166-E166)/F166)</f>
        <v/>
      </c>
      <c r="L166" s="7"/>
    </row>
    <row r="167" customFormat="false" ht="15" hidden="false" customHeight="true" outlineLevel="0" collapsed="false">
      <c r="A167" s="7"/>
      <c r="B167" s="7"/>
      <c r="C167" s="7"/>
      <c r="D167" s="7"/>
      <c r="E167" s="13"/>
      <c r="F167" s="13"/>
      <c r="G167" s="7"/>
      <c r="H167" s="7"/>
      <c r="I167" s="7"/>
      <c r="J167" s="7"/>
      <c r="K167" s="14" t="str">
        <f aca="false">IF(OR(A167="",F167=0),"",(F167-E167)/F167)</f>
        <v/>
      </c>
      <c r="L167" s="7"/>
    </row>
    <row r="168" customFormat="false" ht="15" hidden="false" customHeight="true" outlineLevel="0" collapsed="false">
      <c r="A168" s="7"/>
      <c r="B168" s="7"/>
      <c r="C168" s="7"/>
      <c r="D168" s="7"/>
      <c r="E168" s="13"/>
      <c r="F168" s="13"/>
      <c r="G168" s="7"/>
      <c r="H168" s="7"/>
      <c r="I168" s="7"/>
      <c r="J168" s="7"/>
      <c r="K168" s="14" t="str">
        <f aca="false">IF(OR(A168="",F168=0),"",(F168-E168)/F168)</f>
        <v/>
      </c>
      <c r="L168" s="7"/>
    </row>
    <row r="169" customFormat="false" ht="15" hidden="false" customHeight="true" outlineLevel="0" collapsed="false">
      <c r="A169" s="7"/>
      <c r="B169" s="7"/>
      <c r="C169" s="7"/>
      <c r="D169" s="7"/>
      <c r="E169" s="13"/>
      <c r="F169" s="13"/>
      <c r="G169" s="7"/>
      <c r="H169" s="7"/>
      <c r="I169" s="7"/>
      <c r="J169" s="7"/>
      <c r="K169" s="14" t="str">
        <f aca="false">IF(OR(A169="",F169=0),"",(F169-E169)/F169)</f>
        <v/>
      </c>
      <c r="L169" s="7"/>
    </row>
    <row r="170" customFormat="false" ht="15" hidden="false" customHeight="true" outlineLevel="0" collapsed="false">
      <c r="A170" s="7"/>
      <c r="B170" s="7"/>
      <c r="C170" s="7"/>
      <c r="D170" s="7"/>
      <c r="E170" s="13"/>
      <c r="F170" s="13"/>
      <c r="G170" s="7"/>
      <c r="H170" s="7"/>
      <c r="I170" s="7"/>
      <c r="J170" s="7"/>
      <c r="K170" s="14" t="str">
        <f aca="false">IF(OR(A170="",F170=0),"",(F170-E170)/F170)</f>
        <v/>
      </c>
      <c r="L170" s="7"/>
    </row>
    <row r="171" customFormat="false" ht="15" hidden="false" customHeight="true" outlineLevel="0" collapsed="false">
      <c r="A171" s="7"/>
      <c r="B171" s="7"/>
      <c r="C171" s="7"/>
      <c r="D171" s="7"/>
      <c r="E171" s="13"/>
      <c r="F171" s="13"/>
      <c r="G171" s="7"/>
      <c r="H171" s="7"/>
      <c r="I171" s="7"/>
      <c r="J171" s="7"/>
      <c r="K171" s="14" t="str">
        <f aca="false">IF(OR(A171="",F171=0),"",(F171-E171)/F171)</f>
        <v/>
      </c>
      <c r="L171" s="7"/>
    </row>
    <row r="172" customFormat="false" ht="15" hidden="false" customHeight="true" outlineLevel="0" collapsed="false">
      <c r="A172" s="7"/>
      <c r="B172" s="7"/>
      <c r="C172" s="7"/>
      <c r="D172" s="7"/>
      <c r="E172" s="13"/>
      <c r="F172" s="13"/>
      <c r="G172" s="7"/>
      <c r="H172" s="7"/>
      <c r="I172" s="7"/>
      <c r="J172" s="7"/>
      <c r="K172" s="14" t="str">
        <f aca="false">IF(OR(A172="",F172=0),"",(F172-E172)/F172)</f>
        <v/>
      </c>
      <c r="L172" s="7"/>
    </row>
    <row r="173" customFormat="false" ht="15" hidden="false" customHeight="true" outlineLevel="0" collapsed="false">
      <c r="A173" s="7"/>
      <c r="B173" s="7"/>
      <c r="C173" s="7"/>
      <c r="D173" s="7"/>
      <c r="E173" s="13"/>
      <c r="F173" s="13"/>
      <c r="G173" s="7"/>
      <c r="H173" s="7"/>
      <c r="I173" s="7"/>
      <c r="J173" s="7"/>
      <c r="K173" s="14" t="str">
        <f aca="false">IF(OR(A173="",F173=0),"",(F173-E173)/F173)</f>
        <v/>
      </c>
      <c r="L173" s="7"/>
    </row>
    <row r="174" customFormat="false" ht="15" hidden="false" customHeight="true" outlineLevel="0" collapsed="false">
      <c r="A174" s="7"/>
      <c r="B174" s="7"/>
      <c r="C174" s="7"/>
      <c r="D174" s="7"/>
      <c r="E174" s="13"/>
      <c r="F174" s="13"/>
      <c r="G174" s="7"/>
      <c r="H174" s="7"/>
      <c r="I174" s="7"/>
      <c r="J174" s="7"/>
      <c r="K174" s="14" t="str">
        <f aca="false">IF(OR(A174="",F174=0),"",(F174-E174)/F174)</f>
        <v/>
      </c>
      <c r="L174" s="7"/>
    </row>
    <row r="175" customFormat="false" ht="15" hidden="false" customHeight="true" outlineLevel="0" collapsed="false">
      <c r="A175" s="7"/>
      <c r="B175" s="7"/>
      <c r="C175" s="7"/>
      <c r="D175" s="7"/>
      <c r="E175" s="13"/>
      <c r="F175" s="13"/>
      <c r="G175" s="7"/>
      <c r="H175" s="7"/>
      <c r="I175" s="7"/>
      <c r="J175" s="7"/>
      <c r="K175" s="14" t="str">
        <f aca="false">IF(OR(A175="",F175=0),"",(F175-E175)/F175)</f>
        <v/>
      </c>
      <c r="L175" s="7"/>
    </row>
    <row r="176" customFormat="false" ht="15" hidden="false" customHeight="true" outlineLevel="0" collapsed="false">
      <c r="A176" s="7"/>
      <c r="B176" s="7"/>
      <c r="C176" s="7"/>
      <c r="D176" s="7"/>
      <c r="E176" s="13"/>
      <c r="F176" s="13"/>
      <c r="G176" s="7"/>
      <c r="H176" s="7"/>
      <c r="I176" s="7"/>
      <c r="J176" s="7"/>
      <c r="K176" s="14" t="str">
        <f aca="false">IF(OR(A176="",F176=0),"",(F176-E176)/F176)</f>
        <v/>
      </c>
      <c r="L176" s="7"/>
    </row>
    <row r="177" customFormat="false" ht="15" hidden="false" customHeight="true" outlineLevel="0" collapsed="false">
      <c r="A177" s="7"/>
      <c r="B177" s="7"/>
      <c r="C177" s="7"/>
      <c r="D177" s="7"/>
      <c r="E177" s="13"/>
      <c r="F177" s="13"/>
      <c r="G177" s="7"/>
      <c r="H177" s="7"/>
      <c r="I177" s="7"/>
      <c r="J177" s="7"/>
      <c r="K177" s="14" t="str">
        <f aca="false">IF(OR(A177="",F177=0),"",(F177-E177)/F177)</f>
        <v/>
      </c>
      <c r="L177" s="7"/>
    </row>
    <row r="178" customFormat="false" ht="15" hidden="false" customHeight="true" outlineLevel="0" collapsed="false">
      <c r="A178" s="7"/>
      <c r="B178" s="7"/>
      <c r="C178" s="7"/>
      <c r="D178" s="7"/>
      <c r="E178" s="13"/>
      <c r="F178" s="13"/>
      <c r="G178" s="7"/>
      <c r="H178" s="7"/>
      <c r="I178" s="7"/>
      <c r="J178" s="7"/>
      <c r="K178" s="14" t="str">
        <f aca="false">IF(OR(A178="",F178=0),"",(F178-E178)/F178)</f>
        <v/>
      </c>
      <c r="L178" s="7"/>
    </row>
    <row r="179" customFormat="false" ht="15" hidden="false" customHeight="true" outlineLevel="0" collapsed="false">
      <c r="A179" s="7"/>
      <c r="B179" s="7"/>
      <c r="C179" s="7"/>
      <c r="D179" s="7"/>
      <c r="E179" s="13"/>
      <c r="F179" s="13"/>
      <c r="G179" s="7"/>
      <c r="H179" s="7"/>
      <c r="I179" s="7"/>
      <c r="J179" s="7"/>
      <c r="K179" s="14" t="str">
        <f aca="false">IF(OR(A179="",F179=0),"",(F179-E179)/F179)</f>
        <v/>
      </c>
      <c r="L179" s="7"/>
    </row>
    <row r="180" customFormat="false" ht="15" hidden="false" customHeight="true" outlineLevel="0" collapsed="false">
      <c r="A180" s="7"/>
      <c r="B180" s="7"/>
      <c r="C180" s="7"/>
      <c r="D180" s="7"/>
      <c r="E180" s="13"/>
      <c r="F180" s="13"/>
      <c r="G180" s="7"/>
      <c r="H180" s="7"/>
      <c r="I180" s="7"/>
      <c r="J180" s="7"/>
      <c r="K180" s="14" t="str">
        <f aca="false">IF(OR(A180="",F180=0),"",(F180-E180)/F180)</f>
        <v/>
      </c>
      <c r="L180" s="7"/>
    </row>
    <row r="181" customFormat="false" ht="15" hidden="false" customHeight="true" outlineLevel="0" collapsed="false">
      <c r="A181" s="7"/>
      <c r="B181" s="7"/>
      <c r="C181" s="7"/>
      <c r="D181" s="7"/>
      <c r="E181" s="13"/>
      <c r="F181" s="13"/>
      <c r="G181" s="7"/>
      <c r="H181" s="7"/>
      <c r="I181" s="7"/>
      <c r="J181" s="7"/>
      <c r="K181" s="14" t="str">
        <f aca="false">IF(OR(A181="",F181=0),"",(F181-E181)/F181)</f>
        <v/>
      </c>
      <c r="L181" s="7"/>
    </row>
    <row r="182" customFormat="false" ht="15" hidden="false" customHeight="true" outlineLevel="0" collapsed="false">
      <c r="A182" s="7"/>
      <c r="B182" s="7"/>
      <c r="C182" s="7"/>
      <c r="D182" s="7"/>
      <c r="E182" s="13"/>
      <c r="F182" s="13"/>
      <c r="G182" s="7"/>
      <c r="H182" s="7"/>
      <c r="I182" s="7"/>
      <c r="J182" s="7"/>
      <c r="K182" s="14" t="str">
        <f aca="false">IF(OR(A182="",F182=0),"",(F182-E182)/F182)</f>
        <v/>
      </c>
      <c r="L182" s="7"/>
    </row>
    <row r="183" customFormat="false" ht="15" hidden="false" customHeight="true" outlineLevel="0" collapsed="false">
      <c r="A183" s="7"/>
      <c r="B183" s="7"/>
      <c r="C183" s="7"/>
      <c r="D183" s="7"/>
      <c r="E183" s="13"/>
      <c r="F183" s="13"/>
      <c r="G183" s="7"/>
      <c r="H183" s="7"/>
      <c r="I183" s="7"/>
      <c r="J183" s="7"/>
      <c r="K183" s="14" t="str">
        <f aca="false">IF(OR(A183="",F183=0),"",(F183-E183)/F183)</f>
        <v/>
      </c>
      <c r="L183" s="7"/>
    </row>
    <row r="184" customFormat="false" ht="15" hidden="false" customHeight="true" outlineLevel="0" collapsed="false">
      <c r="A184" s="7"/>
      <c r="B184" s="7"/>
      <c r="C184" s="7"/>
      <c r="D184" s="7"/>
      <c r="E184" s="13"/>
      <c r="F184" s="13"/>
      <c r="G184" s="7"/>
      <c r="H184" s="7"/>
      <c r="I184" s="7"/>
      <c r="J184" s="7"/>
      <c r="K184" s="14" t="str">
        <f aca="false">IF(OR(A184="",F184=0),"",(F184-E184)/F184)</f>
        <v/>
      </c>
      <c r="L184" s="7"/>
    </row>
    <row r="185" customFormat="false" ht="15" hidden="false" customHeight="true" outlineLevel="0" collapsed="false">
      <c r="A185" s="7"/>
      <c r="B185" s="7"/>
      <c r="C185" s="7"/>
      <c r="D185" s="7"/>
      <c r="E185" s="13"/>
      <c r="F185" s="13"/>
      <c r="G185" s="7"/>
      <c r="H185" s="7"/>
      <c r="I185" s="7"/>
      <c r="J185" s="7"/>
      <c r="K185" s="14" t="str">
        <f aca="false">IF(OR(A185="",F185=0),"",(F185-E185)/F185)</f>
        <v/>
      </c>
      <c r="L185" s="7"/>
    </row>
    <row r="186" customFormat="false" ht="15" hidden="false" customHeight="true" outlineLevel="0" collapsed="false">
      <c r="A186" s="7"/>
      <c r="B186" s="7"/>
      <c r="C186" s="7"/>
      <c r="D186" s="7"/>
      <c r="E186" s="13"/>
      <c r="F186" s="13"/>
      <c r="G186" s="7"/>
      <c r="H186" s="7"/>
      <c r="I186" s="7"/>
      <c r="J186" s="7"/>
      <c r="K186" s="14" t="str">
        <f aca="false">IF(OR(A186="",F186=0),"",(F186-E186)/F186)</f>
        <v/>
      </c>
      <c r="L186" s="7"/>
    </row>
    <row r="187" customFormat="false" ht="15" hidden="false" customHeight="true" outlineLevel="0" collapsed="false">
      <c r="A187" s="7"/>
      <c r="B187" s="7"/>
      <c r="C187" s="7"/>
      <c r="D187" s="7"/>
      <c r="E187" s="13"/>
      <c r="F187" s="13"/>
      <c r="G187" s="7"/>
      <c r="H187" s="7"/>
      <c r="I187" s="7"/>
      <c r="J187" s="7"/>
      <c r="K187" s="14" t="str">
        <f aca="false">IF(OR(A187="",F187=0),"",(F187-E187)/F187)</f>
        <v/>
      </c>
      <c r="L187" s="7"/>
    </row>
    <row r="188" customFormat="false" ht="15" hidden="false" customHeight="true" outlineLevel="0" collapsed="false">
      <c r="A188" s="7"/>
      <c r="B188" s="7"/>
      <c r="C188" s="7"/>
      <c r="D188" s="7"/>
      <c r="E188" s="13"/>
      <c r="F188" s="13"/>
      <c r="G188" s="7"/>
      <c r="H188" s="7"/>
      <c r="I188" s="7"/>
      <c r="J188" s="7"/>
      <c r="K188" s="14" t="str">
        <f aca="false">IF(OR(A188="",F188=0),"",(F188-E188)/F188)</f>
        <v/>
      </c>
      <c r="L188" s="7"/>
    </row>
    <row r="189" customFormat="false" ht="15" hidden="false" customHeight="true" outlineLevel="0" collapsed="false">
      <c r="A189" s="7"/>
      <c r="B189" s="7"/>
      <c r="C189" s="7"/>
      <c r="D189" s="7"/>
      <c r="E189" s="13"/>
      <c r="F189" s="13"/>
      <c r="G189" s="7"/>
      <c r="H189" s="7"/>
      <c r="I189" s="7"/>
      <c r="J189" s="7"/>
      <c r="K189" s="14" t="str">
        <f aca="false">IF(OR(A189="",F189=0),"",(F189-E189)/F189)</f>
        <v/>
      </c>
      <c r="L189" s="7"/>
    </row>
    <row r="190" customFormat="false" ht="15" hidden="false" customHeight="true" outlineLevel="0" collapsed="false">
      <c r="A190" s="7"/>
      <c r="B190" s="7"/>
      <c r="C190" s="7"/>
      <c r="D190" s="7"/>
      <c r="E190" s="13"/>
      <c r="F190" s="13"/>
      <c r="G190" s="7"/>
      <c r="H190" s="7"/>
      <c r="I190" s="7"/>
      <c r="J190" s="7"/>
      <c r="K190" s="14" t="str">
        <f aca="false">IF(OR(A190="",F190=0),"",(F190-E190)/F190)</f>
        <v/>
      </c>
      <c r="L190" s="7"/>
    </row>
    <row r="191" customFormat="false" ht="15" hidden="false" customHeight="true" outlineLevel="0" collapsed="false">
      <c r="A191" s="7"/>
      <c r="B191" s="7"/>
      <c r="C191" s="7"/>
      <c r="D191" s="7"/>
      <c r="E191" s="13"/>
      <c r="F191" s="13"/>
      <c r="G191" s="7"/>
      <c r="H191" s="7"/>
      <c r="I191" s="7"/>
      <c r="J191" s="7"/>
      <c r="K191" s="14" t="str">
        <f aca="false">IF(OR(A191="",F191=0),"",(F191-E191)/F191)</f>
        <v/>
      </c>
      <c r="L191" s="7"/>
    </row>
    <row r="192" customFormat="false" ht="15" hidden="false" customHeight="true" outlineLevel="0" collapsed="false">
      <c r="A192" s="7"/>
      <c r="B192" s="7"/>
      <c r="C192" s="7"/>
      <c r="D192" s="7"/>
      <c r="E192" s="13"/>
      <c r="F192" s="13"/>
      <c r="G192" s="7"/>
      <c r="H192" s="7"/>
      <c r="I192" s="7"/>
      <c r="J192" s="7"/>
      <c r="K192" s="14" t="str">
        <f aca="false">IF(OR(A192="",F192=0),"",(F192-E192)/F192)</f>
        <v/>
      </c>
      <c r="L192" s="7"/>
    </row>
    <row r="193" customFormat="false" ht="15" hidden="false" customHeight="true" outlineLevel="0" collapsed="false">
      <c r="A193" s="7"/>
      <c r="B193" s="7"/>
      <c r="C193" s="7"/>
      <c r="D193" s="7"/>
      <c r="E193" s="13"/>
      <c r="F193" s="13"/>
      <c r="G193" s="7"/>
      <c r="H193" s="7"/>
      <c r="I193" s="7"/>
      <c r="J193" s="7"/>
      <c r="K193" s="14" t="str">
        <f aca="false">IF(OR(A193="",F193=0),"",(F193-E193)/F193)</f>
        <v/>
      </c>
      <c r="L193" s="7"/>
    </row>
    <row r="194" customFormat="false" ht="15" hidden="false" customHeight="true" outlineLevel="0" collapsed="false">
      <c r="A194" s="7"/>
      <c r="B194" s="7"/>
      <c r="C194" s="7"/>
      <c r="D194" s="7"/>
      <c r="E194" s="13"/>
      <c r="F194" s="13"/>
      <c r="G194" s="7"/>
      <c r="H194" s="7"/>
      <c r="I194" s="7"/>
      <c r="J194" s="7"/>
      <c r="K194" s="14" t="str">
        <f aca="false">IF(OR(A194="",F194=0),"",(F194-E194)/F194)</f>
        <v/>
      </c>
      <c r="L194" s="7"/>
    </row>
    <row r="195" customFormat="false" ht="15" hidden="false" customHeight="true" outlineLevel="0" collapsed="false">
      <c r="A195" s="7"/>
      <c r="B195" s="7"/>
      <c r="C195" s="7"/>
      <c r="D195" s="7"/>
      <c r="E195" s="13"/>
      <c r="F195" s="13"/>
      <c r="G195" s="7"/>
      <c r="H195" s="7"/>
      <c r="I195" s="7"/>
      <c r="J195" s="7"/>
      <c r="K195" s="14" t="str">
        <f aca="false">IF(OR(A195="",F195=0),"",(F195-E195)/F195)</f>
        <v/>
      </c>
      <c r="L195" s="7"/>
    </row>
    <row r="196" customFormat="false" ht="15" hidden="false" customHeight="true" outlineLevel="0" collapsed="false">
      <c r="A196" s="7"/>
      <c r="B196" s="7"/>
      <c r="C196" s="7"/>
      <c r="D196" s="7"/>
      <c r="E196" s="13"/>
      <c r="F196" s="13"/>
      <c r="G196" s="7"/>
      <c r="H196" s="7"/>
      <c r="I196" s="7"/>
      <c r="J196" s="7"/>
      <c r="K196" s="14" t="str">
        <f aca="false">IF(OR(A196="",F196=0),"",(F196-E196)/F196)</f>
        <v/>
      </c>
      <c r="L196" s="7"/>
    </row>
    <row r="197" customFormat="false" ht="15" hidden="false" customHeight="true" outlineLevel="0" collapsed="false">
      <c r="A197" s="7"/>
      <c r="B197" s="7"/>
      <c r="C197" s="7"/>
      <c r="D197" s="7"/>
      <c r="E197" s="13"/>
      <c r="F197" s="13"/>
      <c r="G197" s="7"/>
      <c r="H197" s="7"/>
      <c r="I197" s="7"/>
      <c r="J197" s="7"/>
      <c r="K197" s="14" t="str">
        <f aca="false">IF(OR(A197="",F197=0),"",(F197-E197)/F197)</f>
        <v/>
      </c>
      <c r="L197" s="7"/>
    </row>
    <row r="198" customFormat="false" ht="15" hidden="false" customHeight="true" outlineLevel="0" collapsed="false">
      <c r="A198" s="7"/>
      <c r="B198" s="7"/>
      <c r="C198" s="7"/>
      <c r="D198" s="7"/>
      <c r="E198" s="13"/>
      <c r="F198" s="13"/>
      <c r="G198" s="7"/>
      <c r="H198" s="7"/>
      <c r="I198" s="7"/>
      <c r="J198" s="7"/>
      <c r="K198" s="14" t="str">
        <f aca="false">IF(OR(A198="",F198=0),"",(F198-E198)/F198)</f>
        <v/>
      </c>
      <c r="L198" s="7"/>
    </row>
    <row r="199" customFormat="false" ht="15" hidden="false" customHeight="true" outlineLevel="0" collapsed="false">
      <c r="A199" s="7"/>
      <c r="B199" s="7"/>
      <c r="C199" s="7"/>
      <c r="D199" s="7"/>
      <c r="E199" s="13"/>
      <c r="F199" s="13"/>
      <c r="G199" s="7"/>
      <c r="H199" s="7"/>
      <c r="I199" s="7"/>
      <c r="J199" s="7"/>
      <c r="K199" s="14" t="str">
        <f aca="false">IF(OR(A199="",F199=0),"",(F199-E199)/F199)</f>
        <v/>
      </c>
      <c r="L199" s="7"/>
    </row>
    <row r="200" customFormat="false" ht="15" hidden="false" customHeight="true" outlineLevel="0" collapsed="false">
      <c r="A200" s="7"/>
      <c r="B200" s="7"/>
      <c r="C200" s="7"/>
      <c r="D200" s="7"/>
      <c r="E200" s="13"/>
      <c r="F200" s="13"/>
      <c r="G200" s="7"/>
      <c r="H200" s="7"/>
      <c r="I200" s="7"/>
      <c r="J200" s="7"/>
      <c r="K200" s="14" t="str">
        <f aca="false">IF(OR(A200="",F200=0),"",(F200-E200)/F200)</f>
        <v/>
      </c>
      <c r="L200" s="7"/>
    </row>
    <row r="201" customFormat="false" ht="15" hidden="false" customHeight="true" outlineLevel="0" collapsed="false">
      <c r="A201" s="7"/>
      <c r="B201" s="7"/>
      <c r="C201" s="7"/>
      <c r="D201" s="7"/>
      <c r="E201" s="13"/>
      <c r="F201" s="13"/>
      <c r="G201" s="7"/>
      <c r="H201" s="7"/>
      <c r="I201" s="7"/>
      <c r="J201" s="7"/>
      <c r="K201" s="14" t="str">
        <f aca="false">IF(OR(A201="",F201=0),"",(F201-E201)/F201)</f>
        <v/>
      </c>
      <c r="L201" s="7"/>
    </row>
    <row r="202" customFormat="false" ht="15" hidden="false" customHeight="true" outlineLevel="0" collapsed="false">
      <c r="A202" s="7"/>
      <c r="B202" s="7"/>
      <c r="C202" s="7"/>
      <c r="D202" s="7"/>
      <c r="E202" s="13"/>
      <c r="F202" s="13"/>
      <c r="G202" s="7"/>
      <c r="H202" s="7"/>
      <c r="I202" s="7"/>
      <c r="J202" s="7"/>
      <c r="K202" s="14" t="str">
        <f aca="false">IF(OR(A202="",F202=0),"",(F202-E202)/F202)</f>
        <v/>
      </c>
      <c r="L202" s="7"/>
    </row>
    <row r="203" customFormat="false" ht="15" hidden="false" customHeight="true" outlineLevel="0" collapsed="false">
      <c r="A203" s="7"/>
      <c r="B203" s="7"/>
      <c r="C203" s="7"/>
      <c r="D203" s="7"/>
      <c r="E203" s="13"/>
      <c r="F203" s="13"/>
      <c r="G203" s="7"/>
      <c r="H203" s="7"/>
      <c r="I203" s="7"/>
      <c r="J203" s="7"/>
      <c r="K203" s="14" t="str">
        <f aca="false">IF(OR(A203="",F203=0),"",(F203-E203)/F203)</f>
        <v/>
      </c>
      <c r="L203" s="7"/>
    </row>
    <row r="204" customFormat="false" ht="15" hidden="false" customHeight="true" outlineLevel="0" collapsed="false">
      <c r="A204" s="7"/>
      <c r="B204" s="7"/>
      <c r="C204" s="7"/>
      <c r="D204" s="7"/>
      <c r="E204" s="13"/>
      <c r="F204" s="13"/>
      <c r="G204" s="7"/>
      <c r="H204" s="7"/>
      <c r="I204" s="7"/>
      <c r="J204" s="7"/>
      <c r="K204" s="14" t="str">
        <f aca="false">IF(OR(A204="",F204=0),"",(F204-E204)/F204)</f>
        <v/>
      </c>
      <c r="L204" s="7"/>
    </row>
    <row r="205" customFormat="false" ht="15" hidden="false" customHeight="true" outlineLevel="0" collapsed="false">
      <c r="A205" s="7"/>
      <c r="B205" s="7"/>
      <c r="C205" s="7"/>
      <c r="D205" s="7"/>
      <c r="E205" s="13"/>
      <c r="F205" s="13"/>
      <c r="G205" s="7"/>
      <c r="H205" s="7"/>
      <c r="I205" s="7"/>
      <c r="J205" s="7"/>
      <c r="K205" s="14" t="str">
        <f aca="false">IF(OR(A205="",F205=0),"",(F205-E205)/F205)</f>
        <v/>
      </c>
      <c r="L205" s="7"/>
    </row>
    <row r="206" customFormat="false" ht="15" hidden="false" customHeight="true" outlineLevel="0" collapsed="false">
      <c r="A206" s="7"/>
      <c r="B206" s="7"/>
      <c r="C206" s="7"/>
      <c r="D206" s="7"/>
      <c r="E206" s="13"/>
      <c r="F206" s="13"/>
      <c r="G206" s="7"/>
      <c r="H206" s="7"/>
      <c r="I206" s="7"/>
      <c r="J206" s="7"/>
      <c r="K206" s="14" t="str">
        <f aca="false">IF(OR(A206="",F206=0),"",(F206-E206)/F206)</f>
        <v/>
      </c>
      <c r="L206" s="7"/>
    </row>
    <row r="207" customFormat="false" ht="15" hidden="false" customHeight="true" outlineLevel="0" collapsed="false">
      <c r="A207" s="7"/>
      <c r="B207" s="7"/>
      <c r="C207" s="7"/>
      <c r="D207" s="7"/>
      <c r="E207" s="13"/>
      <c r="F207" s="13"/>
      <c r="G207" s="7"/>
      <c r="H207" s="7"/>
      <c r="I207" s="7"/>
      <c r="J207" s="7"/>
      <c r="K207" s="14" t="str">
        <f aca="false">IF(OR(A207="",F207=0),"",(F207-E207)/F207)</f>
        <v/>
      </c>
      <c r="L207" s="7"/>
    </row>
    <row r="208" customFormat="false" ht="15" hidden="false" customHeight="true" outlineLevel="0" collapsed="false">
      <c r="A208" s="7"/>
      <c r="B208" s="7"/>
      <c r="C208" s="7"/>
      <c r="D208" s="7"/>
      <c r="E208" s="13"/>
      <c r="F208" s="13"/>
      <c r="G208" s="7"/>
      <c r="H208" s="7"/>
      <c r="I208" s="7"/>
      <c r="J208" s="7"/>
      <c r="K208" s="14" t="str">
        <f aca="false">IF(OR(A208="",F208=0),"",(F208-E208)/F208)</f>
        <v/>
      </c>
      <c r="L208" s="7"/>
    </row>
    <row r="209" customFormat="false" ht="15" hidden="false" customHeight="true" outlineLevel="0" collapsed="false">
      <c r="A209" s="7"/>
      <c r="B209" s="7"/>
      <c r="C209" s="7"/>
      <c r="D209" s="7"/>
      <c r="E209" s="13"/>
      <c r="F209" s="13"/>
      <c r="G209" s="7"/>
      <c r="H209" s="7"/>
      <c r="I209" s="7"/>
      <c r="J209" s="7"/>
      <c r="K209" s="14" t="str">
        <f aca="false">IF(OR(A209="",F209=0),"",(F209-E209)/F209)</f>
        <v/>
      </c>
      <c r="L209" s="7"/>
    </row>
    <row r="210" customFormat="false" ht="15" hidden="false" customHeight="true" outlineLevel="0" collapsed="false">
      <c r="A210" s="7"/>
      <c r="B210" s="7"/>
      <c r="C210" s="7"/>
      <c r="D210" s="7"/>
      <c r="E210" s="13"/>
      <c r="F210" s="13"/>
      <c r="G210" s="7"/>
      <c r="H210" s="7"/>
      <c r="I210" s="7"/>
      <c r="J210" s="7"/>
      <c r="K210" s="14" t="str">
        <f aca="false">IF(OR(A210="",F210=0),"",(F210-E210)/F210)</f>
        <v/>
      </c>
      <c r="L210" s="7"/>
    </row>
    <row r="211" customFormat="false" ht="15" hidden="false" customHeight="true" outlineLevel="0" collapsed="false">
      <c r="A211" s="7"/>
      <c r="B211" s="7"/>
      <c r="C211" s="7"/>
      <c r="D211" s="7"/>
      <c r="E211" s="13"/>
      <c r="F211" s="13"/>
      <c r="G211" s="7"/>
      <c r="H211" s="7"/>
      <c r="I211" s="7"/>
      <c r="J211" s="7"/>
      <c r="K211" s="14" t="str">
        <f aca="false">IF(OR(A211="",F211=0),"",(F211-E211)/F211)</f>
        <v/>
      </c>
      <c r="L211" s="7"/>
    </row>
    <row r="212" customFormat="false" ht="15" hidden="false" customHeight="true" outlineLevel="0" collapsed="false">
      <c r="A212" s="7"/>
      <c r="B212" s="7"/>
      <c r="C212" s="7"/>
      <c r="D212" s="7"/>
      <c r="E212" s="13"/>
      <c r="F212" s="13"/>
      <c r="G212" s="7"/>
      <c r="H212" s="7"/>
      <c r="I212" s="7"/>
      <c r="J212" s="7"/>
      <c r="K212" s="14" t="str">
        <f aca="false">IF(OR(A212="",F212=0),"",(F212-E212)/F212)</f>
        <v/>
      </c>
      <c r="L212" s="7"/>
    </row>
    <row r="213" customFormat="false" ht="15" hidden="false" customHeight="true" outlineLevel="0" collapsed="false">
      <c r="A213" s="7"/>
      <c r="B213" s="7"/>
      <c r="C213" s="7"/>
      <c r="D213" s="7"/>
      <c r="E213" s="13"/>
      <c r="F213" s="13"/>
      <c r="G213" s="7"/>
      <c r="H213" s="7"/>
      <c r="I213" s="7"/>
      <c r="J213" s="7"/>
      <c r="K213" s="14" t="str">
        <f aca="false">IF(OR(A213="",F213=0),"",(F213-E213)/F213)</f>
        <v/>
      </c>
      <c r="L213" s="7"/>
    </row>
    <row r="214" customFormat="false" ht="15" hidden="false" customHeight="true" outlineLevel="0" collapsed="false">
      <c r="A214" s="7"/>
      <c r="B214" s="7"/>
      <c r="C214" s="7"/>
      <c r="D214" s="7"/>
      <c r="E214" s="13"/>
      <c r="F214" s="13"/>
      <c r="G214" s="7"/>
      <c r="H214" s="7"/>
      <c r="I214" s="7"/>
      <c r="J214" s="7"/>
      <c r="K214" s="14" t="str">
        <f aca="false">IF(OR(A214="",F214=0),"",(F214-E214)/F214)</f>
        <v/>
      </c>
      <c r="L214" s="7"/>
    </row>
    <row r="215" customFormat="false" ht="15" hidden="false" customHeight="true" outlineLevel="0" collapsed="false">
      <c r="A215" s="7"/>
      <c r="B215" s="7"/>
      <c r="C215" s="7"/>
      <c r="D215" s="7"/>
      <c r="E215" s="13"/>
      <c r="F215" s="13"/>
      <c r="G215" s="7"/>
      <c r="H215" s="7"/>
      <c r="I215" s="7"/>
      <c r="J215" s="7"/>
      <c r="K215" s="14" t="str">
        <f aca="false">IF(OR(A215="",F215=0),"",(F215-E215)/F215)</f>
        <v/>
      </c>
      <c r="L215" s="7"/>
    </row>
    <row r="216" customFormat="false" ht="15" hidden="false" customHeight="true" outlineLevel="0" collapsed="false">
      <c r="A216" s="7"/>
      <c r="B216" s="7"/>
      <c r="C216" s="7"/>
      <c r="D216" s="7"/>
      <c r="E216" s="13"/>
      <c r="F216" s="13"/>
      <c r="G216" s="7"/>
      <c r="H216" s="7"/>
      <c r="I216" s="7"/>
      <c r="J216" s="7"/>
      <c r="K216" s="14" t="str">
        <f aca="false">IF(OR(A216="",F216=0),"",(F216-E216)/F216)</f>
        <v/>
      </c>
      <c r="L216" s="7"/>
    </row>
    <row r="217" customFormat="false" ht="15" hidden="false" customHeight="true" outlineLevel="0" collapsed="false">
      <c r="A217" s="7"/>
      <c r="B217" s="7"/>
      <c r="C217" s="7"/>
      <c r="D217" s="7"/>
      <c r="E217" s="13"/>
      <c r="F217" s="13"/>
      <c r="G217" s="7"/>
      <c r="H217" s="7"/>
      <c r="I217" s="7"/>
      <c r="J217" s="7"/>
      <c r="K217" s="14" t="str">
        <f aca="false">IF(OR(A217="",F217=0),"",(F217-E217)/F217)</f>
        <v/>
      </c>
      <c r="L217" s="7"/>
    </row>
    <row r="218" customFormat="false" ht="15" hidden="false" customHeight="true" outlineLevel="0" collapsed="false">
      <c r="A218" s="7"/>
      <c r="B218" s="7"/>
      <c r="C218" s="7"/>
      <c r="D218" s="7"/>
      <c r="E218" s="13"/>
      <c r="F218" s="13"/>
      <c r="G218" s="7"/>
      <c r="H218" s="7"/>
      <c r="I218" s="7"/>
      <c r="J218" s="7"/>
      <c r="K218" s="14" t="str">
        <f aca="false">IF(OR(A218="",F218=0),"",(F218-E218)/F218)</f>
        <v/>
      </c>
      <c r="L218" s="7"/>
    </row>
    <row r="219" customFormat="false" ht="15" hidden="false" customHeight="true" outlineLevel="0" collapsed="false">
      <c r="A219" s="7"/>
      <c r="B219" s="7"/>
      <c r="C219" s="7"/>
      <c r="D219" s="7"/>
      <c r="E219" s="13"/>
      <c r="F219" s="13"/>
      <c r="G219" s="7"/>
      <c r="H219" s="7"/>
      <c r="I219" s="7"/>
      <c r="J219" s="7"/>
      <c r="K219" s="14" t="str">
        <f aca="false">IF(OR(A219="",F219=0),"",(F219-E219)/F219)</f>
        <v/>
      </c>
      <c r="L219" s="7"/>
    </row>
    <row r="220" customFormat="false" ht="15" hidden="false" customHeight="true" outlineLevel="0" collapsed="false">
      <c r="A220" s="7"/>
      <c r="B220" s="7"/>
      <c r="C220" s="7"/>
      <c r="D220" s="7"/>
      <c r="E220" s="13"/>
      <c r="F220" s="13"/>
      <c r="G220" s="7"/>
      <c r="H220" s="7"/>
      <c r="I220" s="7"/>
      <c r="J220" s="7"/>
      <c r="K220" s="14" t="str">
        <f aca="false">IF(OR(A220="",F220=0),"",(F220-E220)/F220)</f>
        <v/>
      </c>
      <c r="L220" s="7"/>
    </row>
    <row r="221" customFormat="false" ht="15" hidden="false" customHeight="true" outlineLevel="0" collapsed="false">
      <c r="A221" s="7"/>
      <c r="B221" s="7"/>
      <c r="C221" s="7"/>
      <c r="D221" s="7"/>
      <c r="E221" s="13"/>
      <c r="F221" s="13"/>
      <c r="G221" s="7"/>
      <c r="H221" s="7"/>
      <c r="I221" s="7"/>
      <c r="J221" s="7"/>
      <c r="K221" s="14" t="str">
        <f aca="false">IF(OR(A221="",F221=0),"",(F221-E221)/F221)</f>
        <v/>
      </c>
      <c r="L221" s="7"/>
    </row>
    <row r="222" customFormat="false" ht="15" hidden="false" customHeight="true" outlineLevel="0" collapsed="false">
      <c r="A222" s="7"/>
      <c r="B222" s="7"/>
      <c r="C222" s="7"/>
      <c r="D222" s="7"/>
      <c r="E222" s="13"/>
      <c r="F222" s="13"/>
      <c r="G222" s="7"/>
      <c r="H222" s="7"/>
      <c r="I222" s="7"/>
      <c r="J222" s="7"/>
      <c r="K222" s="14" t="str">
        <f aca="false">IF(OR(A222="",F222=0),"",(F222-E222)/F222)</f>
        <v/>
      </c>
      <c r="L222" s="7"/>
    </row>
    <row r="223" customFormat="false" ht="15" hidden="false" customHeight="true" outlineLevel="0" collapsed="false">
      <c r="A223" s="7"/>
      <c r="B223" s="7"/>
      <c r="C223" s="7"/>
      <c r="D223" s="7"/>
      <c r="E223" s="13"/>
      <c r="F223" s="13"/>
      <c r="G223" s="7"/>
      <c r="H223" s="7"/>
      <c r="I223" s="7"/>
      <c r="J223" s="7"/>
      <c r="K223" s="14" t="str">
        <f aca="false">IF(OR(A223="",F223=0),"",(F223-E223)/F223)</f>
        <v/>
      </c>
      <c r="L223" s="7"/>
    </row>
    <row r="224" customFormat="false" ht="15" hidden="false" customHeight="true" outlineLevel="0" collapsed="false">
      <c r="A224" s="7"/>
      <c r="B224" s="7"/>
      <c r="C224" s="7"/>
      <c r="D224" s="7"/>
      <c r="E224" s="13"/>
      <c r="F224" s="13"/>
      <c r="G224" s="7"/>
      <c r="H224" s="7"/>
      <c r="I224" s="7"/>
      <c r="J224" s="7"/>
      <c r="K224" s="14" t="str">
        <f aca="false">IF(OR(A224="",F224=0),"",(F224-E224)/F224)</f>
        <v/>
      </c>
      <c r="L224" s="7"/>
    </row>
    <row r="225" customFormat="false" ht="15" hidden="false" customHeight="true" outlineLevel="0" collapsed="false">
      <c r="A225" s="7"/>
      <c r="B225" s="7"/>
      <c r="C225" s="7"/>
      <c r="D225" s="7"/>
      <c r="E225" s="13"/>
      <c r="F225" s="13"/>
      <c r="G225" s="7"/>
      <c r="H225" s="7"/>
      <c r="I225" s="7"/>
      <c r="J225" s="7"/>
      <c r="K225" s="14" t="str">
        <f aca="false">IF(OR(A225="",F225=0),"",(F225-E225)/F225)</f>
        <v/>
      </c>
      <c r="L225" s="7"/>
    </row>
    <row r="226" customFormat="false" ht="15" hidden="false" customHeight="true" outlineLevel="0" collapsed="false">
      <c r="A226" s="7"/>
      <c r="B226" s="7"/>
      <c r="C226" s="7"/>
      <c r="D226" s="7"/>
      <c r="E226" s="13"/>
      <c r="F226" s="13"/>
      <c r="G226" s="7"/>
      <c r="H226" s="7"/>
      <c r="I226" s="7"/>
      <c r="J226" s="7"/>
      <c r="K226" s="14" t="str">
        <f aca="false">IF(OR(A226="",F226=0),"",(F226-E226)/F226)</f>
        <v/>
      </c>
      <c r="L226" s="7"/>
    </row>
    <row r="227" customFormat="false" ht="15" hidden="false" customHeight="true" outlineLevel="0" collapsed="false">
      <c r="A227" s="7"/>
      <c r="B227" s="7"/>
      <c r="C227" s="7"/>
      <c r="D227" s="7"/>
      <c r="E227" s="13"/>
      <c r="F227" s="13"/>
      <c r="G227" s="7"/>
      <c r="H227" s="7"/>
      <c r="I227" s="7"/>
      <c r="J227" s="7"/>
      <c r="K227" s="14" t="str">
        <f aca="false">IF(OR(A227="",F227=0),"",(F227-E227)/F227)</f>
        <v/>
      </c>
      <c r="L227" s="7"/>
    </row>
    <row r="228" customFormat="false" ht="15" hidden="false" customHeight="true" outlineLevel="0" collapsed="false">
      <c r="A228" s="7"/>
      <c r="B228" s="7"/>
      <c r="C228" s="7"/>
      <c r="D228" s="7"/>
      <c r="E228" s="13"/>
      <c r="F228" s="13"/>
      <c r="G228" s="7"/>
      <c r="H228" s="7"/>
      <c r="I228" s="7"/>
      <c r="J228" s="7"/>
      <c r="K228" s="14" t="str">
        <f aca="false">IF(OR(A228="",F228=0),"",(F228-E228)/F228)</f>
        <v/>
      </c>
      <c r="L228" s="7"/>
    </row>
    <row r="229" customFormat="false" ht="15" hidden="false" customHeight="true" outlineLevel="0" collapsed="false">
      <c r="A229" s="7"/>
      <c r="B229" s="7"/>
      <c r="C229" s="7"/>
      <c r="D229" s="7"/>
      <c r="E229" s="13"/>
      <c r="F229" s="13"/>
      <c r="G229" s="7"/>
      <c r="H229" s="7"/>
      <c r="I229" s="7"/>
      <c r="J229" s="7"/>
      <c r="K229" s="14" t="str">
        <f aca="false">IF(OR(A229="",F229=0),"",(F229-E229)/F229)</f>
        <v/>
      </c>
      <c r="L229" s="7"/>
    </row>
    <row r="230" customFormat="false" ht="15" hidden="false" customHeight="true" outlineLevel="0" collapsed="false">
      <c r="A230" s="7"/>
      <c r="B230" s="7"/>
      <c r="C230" s="7"/>
      <c r="D230" s="7"/>
      <c r="E230" s="13"/>
      <c r="F230" s="13"/>
      <c r="G230" s="7"/>
      <c r="H230" s="7"/>
      <c r="I230" s="7"/>
      <c r="J230" s="7"/>
      <c r="K230" s="14" t="str">
        <f aca="false">IF(OR(A230="",F230=0),"",(F230-E230)/F230)</f>
        <v/>
      </c>
      <c r="L230" s="7"/>
    </row>
    <row r="231" customFormat="false" ht="15" hidden="false" customHeight="true" outlineLevel="0" collapsed="false">
      <c r="A231" s="7"/>
      <c r="B231" s="7"/>
      <c r="C231" s="7"/>
      <c r="D231" s="7"/>
      <c r="E231" s="13"/>
      <c r="F231" s="13"/>
      <c r="G231" s="7"/>
      <c r="H231" s="7"/>
      <c r="I231" s="7"/>
      <c r="J231" s="7"/>
      <c r="K231" s="14" t="str">
        <f aca="false">IF(OR(A231="",F231=0),"",(F231-E231)/F231)</f>
        <v/>
      </c>
      <c r="L231" s="7"/>
    </row>
    <row r="232" customFormat="false" ht="15" hidden="false" customHeight="true" outlineLevel="0" collapsed="false">
      <c r="A232" s="7"/>
      <c r="B232" s="7"/>
      <c r="C232" s="7"/>
      <c r="D232" s="7"/>
      <c r="E232" s="13"/>
      <c r="F232" s="13"/>
      <c r="G232" s="7"/>
      <c r="H232" s="7"/>
      <c r="I232" s="7"/>
      <c r="J232" s="7"/>
      <c r="K232" s="14" t="str">
        <f aca="false">IF(OR(A232="",F232=0),"",(F232-E232)/F232)</f>
        <v/>
      </c>
      <c r="L232" s="7"/>
    </row>
    <row r="233" customFormat="false" ht="15" hidden="false" customHeight="true" outlineLevel="0" collapsed="false">
      <c r="A233" s="7"/>
      <c r="B233" s="7"/>
      <c r="C233" s="7"/>
      <c r="D233" s="7"/>
      <c r="E233" s="13"/>
      <c r="F233" s="13"/>
      <c r="G233" s="7"/>
      <c r="H233" s="7"/>
      <c r="I233" s="7"/>
      <c r="J233" s="7"/>
      <c r="K233" s="14" t="str">
        <f aca="false">IF(OR(A233="",F233=0),"",(F233-E233)/F233)</f>
        <v/>
      </c>
      <c r="L233" s="7"/>
    </row>
    <row r="234" customFormat="false" ht="15" hidden="false" customHeight="true" outlineLevel="0" collapsed="false">
      <c r="A234" s="7"/>
      <c r="B234" s="7"/>
      <c r="C234" s="7"/>
      <c r="D234" s="7"/>
      <c r="E234" s="13"/>
      <c r="F234" s="13"/>
      <c r="G234" s="7"/>
      <c r="H234" s="7"/>
      <c r="I234" s="7"/>
      <c r="J234" s="7"/>
      <c r="K234" s="14" t="str">
        <f aca="false">IF(OR(A234="",F234=0),"",(F234-E234)/F234)</f>
        <v/>
      </c>
      <c r="L234" s="7"/>
    </row>
    <row r="235" customFormat="false" ht="15" hidden="false" customHeight="true" outlineLevel="0" collapsed="false">
      <c r="A235" s="7"/>
      <c r="B235" s="7"/>
      <c r="C235" s="7"/>
      <c r="D235" s="7"/>
      <c r="E235" s="13"/>
      <c r="F235" s="13"/>
      <c r="G235" s="7"/>
      <c r="H235" s="7"/>
      <c r="I235" s="7"/>
      <c r="J235" s="7"/>
      <c r="K235" s="14" t="str">
        <f aca="false">IF(OR(A235="",F235=0),"",(F235-E235)/F235)</f>
        <v/>
      </c>
      <c r="L235" s="7"/>
    </row>
    <row r="236" customFormat="false" ht="15" hidden="false" customHeight="true" outlineLevel="0" collapsed="false">
      <c r="A236" s="7"/>
      <c r="B236" s="7"/>
      <c r="C236" s="7"/>
      <c r="D236" s="7"/>
      <c r="E236" s="13"/>
      <c r="F236" s="13"/>
      <c r="G236" s="7"/>
      <c r="H236" s="7"/>
      <c r="I236" s="7"/>
      <c r="J236" s="7"/>
      <c r="K236" s="14" t="str">
        <f aca="false">IF(OR(A236="",F236=0),"",(F236-E236)/F236)</f>
        <v/>
      </c>
      <c r="L236" s="7"/>
    </row>
    <row r="237" customFormat="false" ht="15" hidden="false" customHeight="true" outlineLevel="0" collapsed="false">
      <c r="A237" s="7"/>
      <c r="B237" s="7"/>
      <c r="C237" s="7"/>
      <c r="D237" s="7"/>
      <c r="E237" s="13"/>
      <c r="F237" s="13"/>
      <c r="G237" s="7"/>
      <c r="H237" s="7"/>
      <c r="I237" s="7"/>
      <c r="J237" s="7"/>
      <c r="K237" s="14" t="str">
        <f aca="false">IF(OR(A237="",F237=0),"",(F237-E237)/F237)</f>
        <v/>
      </c>
      <c r="L237" s="7"/>
    </row>
    <row r="238" customFormat="false" ht="15" hidden="false" customHeight="true" outlineLevel="0" collapsed="false">
      <c r="A238" s="7"/>
      <c r="B238" s="7"/>
      <c r="C238" s="7"/>
      <c r="D238" s="7"/>
      <c r="E238" s="13"/>
      <c r="F238" s="13"/>
      <c r="G238" s="7"/>
      <c r="H238" s="7"/>
      <c r="I238" s="7"/>
      <c r="J238" s="7"/>
      <c r="K238" s="14" t="str">
        <f aca="false">IF(OR(A238="",F238=0),"",(F238-E238)/F238)</f>
        <v/>
      </c>
      <c r="L238" s="7"/>
    </row>
    <row r="239" customFormat="false" ht="15" hidden="false" customHeight="true" outlineLevel="0" collapsed="false">
      <c r="A239" s="7"/>
      <c r="B239" s="7"/>
      <c r="C239" s="7"/>
      <c r="D239" s="7"/>
      <c r="E239" s="13"/>
      <c r="F239" s="13"/>
      <c r="G239" s="7"/>
      <c r="H239" s="7"/>
      <c r="I239" s="7"/>
      <c r="J239" s="7"/>
      <c r="K239" s="14" t="str">
        <f aca="false">IF(OR(A239="",F239=0),"",(F239-E239)/F239)</f>
        <v/>
      </c>
      <c r="L239" s="7"/>
    </row>
    <row r="240" customFormat="false" ht="15" hidden="false" customHeight="true" outlineLevel="0" collapsed="false">
      <c r="A240" s="7"/>
      <c r="B240" s="7"/>
      <c r="C240" s="7"/>
      <c r="D240" s="7"/>
      <c r="E240" s="13"/>
      <c r="F240" s="13"/>
      <c r="G240" s="7"/>
      <c r="H240" s="7"/>
      <c r="I240" s="7"/>
      <c r="J240" s="7"/>
      <c r="K240" s="14" t="str">
        <f aca="false">IF(OR(A240="",F240=0),"",(F240-E240)/F240)</f>
        <v/>
      </c>
      <c r="L240" s="7"/>
    </row>
    <row r="241" customFormat="false" ht="15" hidden="false" customHeight="true" outlineLevel="0" collapsed="false">
      <c r="A241" s="7"/>
      <c r="B241" s="7"/>
      <c r="C241" s="7"/>
      <c r="D241" s="7"/>
      <c r="E241" s="13"/>
      <c r="F241" s="13"/>
      <c r="G241" s="7"/>
      <c r="H241" s="7"/>
      <c r="I241" s="7"/>
      <c r="J241" s="7"/>
      <c r="K241" s="14" t="str">
        <f aca="false">IF(OR(A241="",F241=0),"",(F241-E241)/F241)</f>
        <v/>
      </c>
      <c r="L241" s="7"/>
    </row>
    <row r="242" customFormat="false" ht="15" hidden="false" customHeight="true" outlineLevel="0" collapsed="false">
      <c r="A242" s="7"/>
      <c r="B242" s="7"/>
      <c r="C242" s="7"/>
      <c r="D242" s="7"/>
      <c r="E242" s="13"/>
      <c r="F242" s="13"/>
      <c r="G242" s="7"/>
      <c r="H242" s="7"/>
      <c r="I242" s="7"/>
      <c r="J242" s="7"/>
      <c r="K242" s="14" t="str">
        <f aca="false">IF(OR(A242="",F242=0),"",(F242-E242)/F242)</f>
        <v/>
      </c>
      <c r="L242" s="7"/>
    </row>
    <row r="243" customFormat="false" ht="15" hidden="false" customHeight="true" outlineLevel="0" collapsed="false">
      <c r="A243" s="7"/>
      <c r="B243" s="7"/>
      <c r="C243" s="7"/>
      <c r="D243" s="7"/>
      <c r="E243" s="13"/>
      <c r="F243" s="13"/>
      <c r="G243" s="7"/>
      <c r="H243" s="7"/>
      <c r="I243" s="7"/>
      <c r="J243" s="7"/>
      <c r="K243" s="14" t="str">
        <f aca="false">IF(OR(A243="",F243=0),"",(F243-E243)/F243)</f>
        <v/>
      </c>
      <c r="L243" s="7"/>
    </row>
    <row r="244" customFormat="false" ht="15" hidden="false" customHeight="true" outlineLevel="0" collapsed="false">
      <c r="A244" s="7"/>
      <c r="B244" s="7"/>
      <c r="C244" s="7"/>
      <c r="D244" s="7"/>
      <c r="E244" s="13"/>
      <c r="F244" s="13"/>
      <c r="G244" s="7"/>
      <c r="H244" s="7"/>
      <c r="I244" s="7"/>
      <c r="J244" s="7"/>
      <c r="K244" s="14" t="str">
        <f aca="false">IF(OR(A244="",F244=0),"",(F244-E244)/F244)</f>
        <v/>
      </c>
      <c r="L244" s="7"/>
    </row>
    <row r="245" customFormat="false" ht="15" hidden="false" customHeight="true" outlineLevel="0" collapsed="false">
      <c r="A245" s="7"/>
      <c r="B245" s="7"/>
      <c r="C245" s="7"/>
      <c r="D245" s="7"/>
      <c r="E245" s="13"/>
      <c r="F245" s="13"/>
      <c r="G245" s="7"/>
      <c r="H245" s="7"/>
      <c r="I245" s="7"/>
      <c r="J245" s="7"/>
      <c r="K245" s="14" t="str">
        <f aca="false">IF(OR(A245="",F245=0),"",(F245-E245)/F245)</f>
        <v/>
      </c>
      <c r="L245" s="7"/>
    </row>
    <row r="246" customFormat="false" ht="15" hidden="false" customHeight="true" outlineLevel="0" collapsed="false">
      <c r="A246" s="7"/>
      <c r="B246" s="7"/>
      <c r="C246" s="7"/>
      <c r="D246" s="7"/>
      <c r="E246" s="13"/>
      <c r="F246" s="13"/>
      <c r="G246" s="7"/>
      <c r="H246" s="7"/>
      <c r="I246" s="7"/>
      <c r="J246" s="7"/>
      <c r="K246" s="14" t="str">
        <f aca="false">IF(OR(A246="",F246=0),"",(F246-E246)/F246)</f>
        <v/>
      </c>
      <c r="L246" s="7"/>
    </row>
    <row r="247" customFormat="false" ht="15" hidden="false" customHeight="true" outlineLevel="0" collapsed="false">
      <c r="A247" s="7"/>
      <c r="B247" s="7"/>
      <c r="C247" s="7"/>
      <c r="D247" s="7"/>
      <c r="E247" s="13"/>
      <c r="F247" s="13"/>
      <c r="G247" s="7"/>
      <c r="H247" s="7"/>
      <c r="I247" s="7"/>
      <c r="J247" s="7"/>
      <c r="K247" s="14" t="str">
        <f aca="false">IF(OR(A247="",F247=0),"",(F247-E247)/F247)</f>
        <v/>
      </c>
      <c r="L247" s="7"/>
    </row>
    <row r="248" customFormat="false" ht="15" hidden="false" customHeight="true" outlineLevel="0" collapsed="false">
      <c r="A248" s="7"/>
      <c r="B248" s="7"/>
      <c r="C248" s="7"/>
      <c r="D248" s="7"/>
      <c r="E248" s="13"/>
      <c r="F248" s="13"/>
      <c r="G248" s="7"/>
      <c r="H248" s="7"/>
      <c r="I248" s="7"/>
      <c r="J248" s="7"/>
      <c r="K248" s="14" t="str">
        <f aca="false">IF(OR(A248="",F248=0),"",(F248-E248)/F248)</f>
        <v/>
      </c>
      <c r="L248" s="7"/>
    </row>
    <row r="249" customFormat="false" ht="15" hidden="false" customHeight="true" outlineLevel="0" collapsed="false">
      <c r="A249" s="7"/>
      <c r="B249" s="7"/>
      <c r="C249" s="7"/>
      <c r="D249" s="7"/>
      <c r="E249" s="13"/>
      <c r="F249" s="13"/>
      <c r="G249" s="7"/>
      <c r="H249" s="7"/>
      <c r="I249" s="7"/>
      <c r="J249" s="7"/>
      <c r="K249" s="14" t="str">
        <f aca="false">IF(OR(A249="",F249=0),"",(F249-E249)/F249)</f>
        <v/>
      </c>
      <c r="L249" s="7"/>
    </row>
    <row r="250" customFormat="false" ht="15" hidden="false" customHeight="true" outlineLevel="0" collapsed="false">
      <c r="A250" s="7"/>
      <c r="B250" s="7"/>
      <c r="C250" s="7"/>
      <c r="D250" s="7"/>
      <c r="E250" s="13"/>
      <c r="F250" s="13"/>
      <c r="G250" s="7"/>
      <c r="H250" s="7"/>
      <c r="I250" s="7"/>
      <c r="J250" s="7"/>
      <c r="K250" s="14" t="str">
        <f aca="false">IF(OR(A250="",F250=0),"",(F250-E250)/F250)</f>
        <v/>
      </c>
      <c r="L250" s="7"/>
    </row>
    <row r="251" customFormat="false" ht="15" hidden="false" customHeight="true" outlineLevel="0" collapsed="false">
      <c r="A251" s="7"/>
      <c r="B251" s="7"/>
      <c r="C251" s="7"/>
      <c r="D251" s="7"/>
      <c r="E251" s="13"/>
      <c r="F251" s="13"/>
      <c r="G251" s="7"/>
      <c r="H251" s="7"/>
      <c r="I251" s="7"/>
      <c r="J251" s="7"/>
      <c r="K251" s="14" t="str">
        <f aca="false">IF(OR(A251="",F251=0),"",(F251-E251)/F251)</f>
        <v/>
      </c>
      <c r="L251" s="7"/>
    </row>
    <row r="252" customFormat="false" ht="15" hidden="false" customHeight="true" outlineLevel="0" collapsed="false">
      <c r="A252" s="7"/>
      <c r="B252" s="7"/>
      <c r="C252" s="7"/>
      <c r="D252" s="7"/>
      <c r="E252" s="13"/>
      <c r="F252" s="13"/>
      <c r="G252" s="7"/>
      <c r="H252" s="7"/>
      <c r="I252" s="7"/>
      <c r="J252" s="7"/>
      <c r="K252" s="14" t="str">
        <f aca="false">IF(OR(A252="",F252=0),"",(F252-E252)/F252)</f>
        <v/>
      </c>
      <c r="L252" s="7"/>
    </row>
    <row r="253" customFormat="false" ht="15" hidden="false" customHeight="true" outlineLevel="0" collapsed="false">
      <c r="A253" s="7"/>
      <c r="B253" s="7"/>
      <c r="C253" s="7"/>
      <c r="D253" s="7"/>
      <c r="E253" s="13"/>
      <c r="F253" s="13"/>
      <c r="G253" s="7"/>
      <c r="H253" s="7"/>
      <c r="I253" s="7"/>
      <c r="J253" s="7"/>
      <c r="K253" s="14" t="str">
        <f aca="false">IF(OR(A253="",F253=0),"",(F253-E253)/F253)</f>
        <v/>
      </c>
      <c r="L253" s="7"/>
    </row>
    <row r="254" customFormat="false" ht="15" hidden="false" customHeight="true" outlineLevel="0" collapsed="false">
      <c r="A254" s="7"/>
      <c r="B254" s="7"/>
      <c r="C254" s="7"/>
      <c r="D254" s="7"/>
      <c r="E254" s="13"/>
      <c r="F254" s="13"/>
      <c r="G254" s="7"/>
      <c r="H254" s="7"/>
      <c r="I254" s="7"/>
      <c r="J254" s="7"/>
      <c r="K254" s="14" t="str">
        <f aca="false">IF(OR(A254="",F254=0),"",(F254-E254)/F254)</f>
        <v/>
      </c>
      <c r="L254" s="7"/>
    </row>
    <row r="255" customFormat="false" ht="15" hidden="false" customHeight="true" outlineLevel="0" collapsed="false">
      <c r="A255" s="7"/>
      <c r="B255" s="7"/>
      <c r="C255" s="7"/>
      <c r="D255" s="7"/>
      <c r="E255" s="13"/>
      <c r="F255" s="13"/>
      <c r="G255" s="7"/>
      <c r="H255" s="7"/>
      <c r="I255" s="7"/>
      <c r="J255" s="7"/>
      <c r="K255" s="14" t="str">
        <f aca="false">IF(OR(A255="",F255=0),"",(F255-E255)/F255)</f>
        <v/>
      </c>
      <c r="L255" s="7"/>
    </row>
    <row r="256" customFormat="false" ht="15" hidden="false" customHeight="true" outlineLevel="0" collapsed="false">
      <c r="A256" s="7"/>
      <c r="B256" s="7"/>
      <c r="C256" s="7"/>
      <c r="D256" s="7"/>
      <c r="E256" s="13"/>
      <c r="F256" s="13"/>
      <c r="G256" s="7"/>
      <c r="H256" s="7"/>
      <c r="I256" s="7"/>
      <c r="J256" s="7"/>
      <c r="K256" s="14" t="str">
        <f aca="false">IF(OR(A256="",F256=0),"",(F256-E256)/F256)</f>
        <v/>
      </c>
      <c r="L256" s="7"/>
    </row>
    <row r="257" customFormat="false" ht="15" hidden="false" customHeight="true" outlineLevel="0" collapsed="false">
      <c r="A257" s="7"/>
      <c r="B257" s="7"/>
      <c r="C257" s="7"/>
      <c r="D257" s="7"/>
      <c r="E257" s="13"/>
      <c r="F257" s="13"/>
      <c r="G257" s="7"/>
      <c r="H257" s="7"/>
      <c r="I257" s="7"/>
      <c r="J257" s="7"/>
      <c r="K257" s="14" t="str">
        <f aca="false">IF(OR(A257="",F257=0),"",(F257-E257)/F257)</f>
        <v/>
      </c>
      <c r="L257" s="7"/>
    </row>
    <row r="258" customFormat="false" ht="15" hidden="false" customHeight="true" outlineLevel="0" collapsed="false">
      <c r="A258" s="7"/>
      <c r="B258" s="7"/>
      <c r="C258" s="7"/>
      <c r="D258" s="7"/>
      <c r="E258" s="13"/>
      <c r="F258" s="13"/>
      <c r="G258" s="7"/>
      <c r="H258" s="7"/>
      <c r="I258" s="7"/>
      <c r="J258" s="7"/>
      <c r="K258" s="14" t="str">
        <f aca="false">IF(OR(A258="",F258=0),"",(F258-E258)/F258)</f>
        <v/>
      </c>
      <c r="L258" s="7"/>
    </row>
    <row r="259" customFormat="false" ht="15" hidden="false" customHeight="true" outlineLevel="0" collapsed="false">
      <c r="A259" s="7"/>
      <c r="B259" s="7"/>
      <c r="C259" s="7"/>
      <c r="D259" s="7"/>
      <c r="E259" s="13"/>
      <c r="F259" s="13"/>
      <c r="G259" s="7"/>
      <c r="H259" s="7"/>
      <c r="I259" s="7"/>
      <c r="J259" s="7"/>
      <c r="K259" s="14" t="str">
        <f aca="false">IF(OR(A259="",F259=0),"",(F259-E259)/F259)</f>
        <v/>
      </c>
      <c r="L259" s="7"/>
    </row>
    <row r="260" customFormat="false" ht="15" hidden="false" customHeight="true" outlineLevel="0" collapsed="false">
      <c r="A260" s="7"/>
      <c r="B260" s="7"/>
      <c r="C260" s="7"/>
      <c r="D260" s="7"/>
      <c r="E260" s="13"/>
      <c r="F260" s="13"/>
      <c r="G260" s="7"/>
      <c r="H260" s="7"/>
      <c r="I260" s="7"/>
      <c r="J260" s="7"/>
      <c r="K260" s="14" t="str">
        <f aca="false">IF(OR(A260="",F260=0),"",(F260-E260)/F260)</f>
        <v/>
      </c>
      <c r="L260" s="7"/>
    </row>
    <row r="261" customFormat="false" ht="15" hidden="false" customHeight="true" outlineLevel="0" collapsed="false">
      <c r="A261" s="7"/>
      <c r="B261" s="7"/>
      <c r="C261" s="7"/>
      <c r="D261" s="7"/>
      <c r="E261" s="13"/>
      <c r="F261" s="13"/>
      <c r="G261" s="7"/>
      <c r="H261" s="7"/>
      <c r="I261" s="7"/>
      <c r="J261" s="7"/>
      <c r="K261" s="14" t="str">
        <f aca="false">IF(OR(A261="",F261=0),"",(F261-E261)/F261)</f>
        <v/>
      </c>
      <c r="L261" s="7"/>
    </row>
    <row r="262" customFormat="false" ht="15" hidden="false" customHeight="true" outlineLevel="0" collapsed="false">
      <c r="A262" s="7"/>
      <c r="B262" s="7"/>
      <c r="C262" s="7"/>
      <c r="D262" s="7"/>
      <c r="E262" s="13"/>
      <c r="F262" s="13"/>
      <c r="G262" s="7"/>
      <c r="H262" s="7"/>
      <c r="I262" s="7"/>
      <c r="J262" s="7"/>
      <c r="K262" s="14" t="str">
        <f aca="false">IF(OR(A262="",F262=0),"",(F262-E262)/F262)</f>
        <v/>
      </c>
      <c r="L262" s="7"/>
    </row>
    <row r="263" customFormat="false" ht="15" hidden="false" customHeight="true" outlineLevel="0" collapsed="false">
      <c r="A263" s="7"/>
      <c r="B263" s="7"/>
      <c r="C263" s="7"/>
      <c r="D263" s="7"/>
      <c r="E263" s="13"/>
      <c r="F263" s="13"/>
      <c r="G263" s="7"/>
      <c r="H263" s="7"/>
      <c r="I263" s="7"/>
      <c r="J263" s="7"/>
      <c r="K263" s="14" t="str">
        <f aca="false">IF(OR(A263="",F263=0),"",(F263-E263)/F263)</f>
        <v/>
      </c>
      <c r="L263" s="7"/>
    </row>
    <row r="264" customFormat="false" ht="15" hidden="false" customHeight="true" outlineLevel="0" collapsed="false">
      <c r="A264" s="7"/>
      <c r="B264" s="7"/>
      <c r="C264" s="7"/>
      <c r="D264" s="7"/>
      <c r="E264" s="13"/>
      <c r="F264" s="13"/>
      <c r="G264" s="7"/>
      <c r="H264" s="7"/>
      <c r="I264" s="7"/>
      <c r="J264" s="7"/>
      <c r="K264" s="14" t="str">
        <f aca="false">IF(OR(A264="",F264=0),"",(F264-E264)/F264)</f>
        <v/>
      </c>
      <c r="L264" s="7"/>
    </row>
    <row r="265" customFormat="false" ht="15" hidden="false" customHeight="true" outlineLevel="0" collapsed="false">
      <c r="A265" s="7"/>
      <c r="B265" s="7"/>
      <c r="C265" s="7"/>
      <c r="D265" s="7"/>
      <c r="E265" s="13"/>
      <c r="F265" s="13"/>
      <c r="G265" s="7"/>
      <c r="H265" s="7"/>
      <c r="I265" s="7"/>
      <c r="J265" s="7"/>
      <c r="K265" s="14" t="str">
        <f aca="false">IF(OR(A265="",F265=0),"",(F265-E265)/F265)</f>
        <v/>
      </c>
      <c r="L265" s="7"/>
    </row>
    <row r="266" customFormat="false" ht="15" hidden="false" customHeight="true" outlineLevel="0" collapsed="false">
      <c r="A266" s="7"/>
      <c r="B266" s="7"/>
      <c r="C266" s="7"/>
      <c r="D266" s="7"/>
      <c r="E266" s="13"/>
      <c r="F266" s="13"/>
      <c r="G266" s="7"/>
      <c r="H266" s="7"/>
      <c r="I266" s="7"/>
      <c r="J266" s="7"/>
      <c r="K266" s="14" t="str">
        <f aca="false">IF(OR(A266="",F266=0),"",(F266-E266)/F266)</f>
        <v/>
      </c>
      <c r="L266" s="7"/>
    </row>
    <row r="267" customFormat="false" ht="15" hidden="false" customHeight="true" outlineLevel="0" collapsed="false">
      <c r="A267" s="7"/>
      <c r="B267" s="7"/>
      <c r="C267" s="7"/>
      <c r="D267" s="7"/>
      <c r="E267" s="13"/>
      <c r="F267" s="13"/>
      <c r="G267" s="7"/>
      <c r="H267" s="7"/>
      <c r="I267" s="7"/>
      <c r="J267" s="7"/>
      <c r="K267" s="14" t="str">
        <f aca="false">IF(OR(A267="",F267=0),"",(F267-E267)/F267)</f>
        <v/>
      </c>
      <c r="L267" s="7"/>
    </row>
    <row r="268" customFormat="false" ht="15" hidden="false" customHeight="true" outlineLevel="0" collapsed="false">
      <c r="A268" s="7"/>
      <c r="B268" s="7"/>
      <c r="C268" s="7"/>
      <c r="D268" s="7"/>
      <c r="E268" s="13"/>
      <c r="F268" s="13"/>
      <c r="G268" s="7"/>
      <c r="H268" s="7"/>
      <c r="I268" s="7"/>
      <c r="J268" s="7"/>
      <c r="K268" s="14" t="str">
        <f aca="false">IF(OR(A268="",F268=0),"",(F268-E268)/F268)</f>
        <v/>
      </c>
      <c r="L268" s="7"/>
    </row>
    <row r="269" customFormat="false" ht="15" hidden="false" customHeight="true" outlineLevel="0" collapsed="false">
      <c r="A269" s="7"/>
      <c r="B269" s="7"/>
      <c r="C269" s="7"/>
      <c r="D269" s="7"/>
      <c r="E269" s="13"/>
      <c r="F269" s="13"/>
      <c r="G269" s="7"/>
      <c r="H269" s="7"/>
      <c r="I269" s="7"/>
      <c r="J269" s="7"/>
      <c r="K269" s="14" t="str">
        <f aca="false">IF(OR(A269="",F269=0),"",(F269-E269)/F269)</f>
        <v/>
      </c>
      <c r="L269" s="7"/>
    </row>
    <row r="270" customFormat="false" ht="15" hidden="false" customHeight="true" outlineLevel="0" collapsed="false">
      <c r="A270" s="7"/>
      <c r="B270" s="7"/>
      <c r="C270" s="7"/>
      <c r="D270" s="7"/>
      <c r="E270" s="13"/>
      <c r="F270" s="13"/>
      <c r="G270" s="7"/>
      <c r="H270" s="7"/>
      <c r="I270" s="7"/>
      <c r="J270" s="7"/>
      <c r="K270" s="14" t="str">
        <f aca="false">IF(OR(A270="",F270=0),"",(F270-E270)/F270)</f>
        <v/>
      </c>
      <c r="L270" s="7"/>
    </row>
    <row r="271" customFormat="false" ht="15" hidden="false" customHeight="true" outlineLevel="0" collapsed="false">
      <c r="A271" s="7"/>
      <c r="B271" s="7"/>
      <c r="C271" s="7"/>
      <c r="D271" s="7"/>
      <c r="E271" s="13"/>
      <c r="F271" s="13"/>
      <c r="G271" s="7"/>
      <c r="H271" s="7"/>
      <c r="I271" s="7"/>
      <c r="J271" s="7"/>
      <c r="K271" s="14" t="str">
        <f aca="false">IF(OR(A271="",F271=0),"",(F271-E271)/F271)</f>
        <v/>
      </c>
      <c r="L271" s="7"/>
    </row>
    <row r="272" customFormat="false" ht="15" hidden="false" customHeight="true" outlineLevel="0" collapsed="false">
      <c r="A272" s="7"/>
      <c r="B272" s="7"/>
      <c r="C272" s="7"/>
      <c r="D272" s="7"/>
      <c r="E272" s="13"/>
      <c r="F272" s="13"/>
      <c r="G272" s="7"/>
      <c r="H272" s="7"/>
      <c r="I272" s="7"/>
      <c r="J272" s="7"/>
      <c r="K272" s="14" t="str">
        <f aca="false">IF(OR(A272="",F272=0),"",(F272-E272)/F272)</f>
        <v/>
      </c>
      <c r="L272" s="7"/>
    </row>
    <row r="273" customFormat="false" ht="15" hidden="false" customHeight="true" outlineLevel="0" collapsed="false">
      <c r="A273" s="7"/>
      <c r="B273" s="7"/>
      <c r="C273" s="7"/>
      <c r="D273" s="7"/>
      <c r="E273" s="13"/>
      <c r="F273" s="13"/>
      <c r="G273" s="7"/>
      <c r="H273" s="7"/>
      <c r="I273" s="7"/>
      <c r="J273" s="7"/>
      <c r="K273" s="14" t="str">
        <f aca="false">IF(OR(A273="",F273=0),"",(F273-E273)/F273)</f>
        <v/>
      </c>
      <c r="L273" s="7"/>
    </row>
    <row r="274" customFormat="false" ht="15" hidden="false" customHeight="true" outlineLevel="0" collapsed="false">
      <c r="A274" s="7"/>
      <c r="B274" s="7"/>
      <c r="C274" s="7"/>
      <c r="D274" s="7"/>
      <c r="E274" s="13"/>
      <c r="F274" s="13"/>
      <c r="G274" s="7"/>
      <c r="H274" s="7"/>
      <c r="I274" s="7"/>
      <c r="J274" s="7"/>
      <c r="K274" s="14" t="str">
        <f aca="false">IF(OR(A274="",F274=0),"",(F274-E274)/F274)</f>
        <v/>
      </c>
      <c r="L274" s="7"/>
    </row>
    <row r="275" customFormat="false" ht="15" hidden="false" customHeight="true" outlineLevel="0" collapsed="false">
      <c r="A275" s="7"/>
      <c r="B275" s="7"/>
      <c r="C275" s="7"/>
      <c r="D275" s="7"/>
      <c r="E275" s="13"/>
      <c r="F275" s="13"/>
      <c r="G275" s="7"/>
      <c r="H275" s="7"/>
      <c r="I275" s="7"/>
      <c r="J275" s="7"/>
      <c r="K275" s="14" t="str">
        <f aca="false">IF(OR(A275="",F275=0),"",(F275-E275)/F275)</f>
        <v/>
      </c>
      <c r="L275" s="7"/>
    </row>
    <row r="276" customFormat="false" ht="15" hidden="false" customHeight="true" outlineLevel="0" collapsed="false">
      <c r="A276" s="7"/>
      <c r="B276" s="7"/>
      <c r="C276" s="7"/>
      <c r="D276" s="7"/>
      <c r="E276" s="13"/>
      <c r="F276" s="13"/>
      <c r="G276" s="7"/>
      <c r="H276" s="7"/>
      <c r="I276" s="7"/>
      <c r="J276" s="7"/>
      <c r="K276" s="14" t="str">
        <f aca="false">IF(OR(A276="",F276=0),"",(F276-E276)/F276)</f>
        <v/>
      </c>
      <c r="L276" s="7"/>
    </row>
    <row r="277" customFormat="false" ht="15" hidden="false" customHeight="true" outlineLevel="0" collapsed="false">
      <c r="A277" s="7"/>
      <c r="B277" s="7"/>
      <c r="C277" s="7"/>
      <c r="D277" s="7"/>
      <c r="E277" s="13"/>
      <c r="F277" s="13"/>
      <c r="G277" s="7"/>
      <c r="H277" s="7"/>
      <c r="I277" s="7"/>
      <c r="J277" s="7"/>
      <c r="K277" s="14" t="str">
        <f aca="false">IF(OR(A277="",F277=0),"",(F277-E277)/F277)</f>
        <v/>
      </c>
      <c r="L277" s="7"/>
    </row>
    <row r="278" customFormat="false" ht="15" hidden="false" customHeight="true" outlineLevel="0" collapsed="false">
      <c r="A278" s="7"/>
      <c r="B278" s="7"/>
      <c r="C278" s="7"/>
      <c r="D278" s="7"/>
      <c r="E278" s="13"/>
      <c r="F278" s="13"/>
      <c r="G278" s="7"/>
      <c r="H278" s="7"/>
      <c r="I278" s="7"/>
      <c r="J278" s="7"/>
      <c r="K278" s="14" t="str">
        <f aca="false">IF(OR(A278="",F278=0),"",(F278-E278)/F278)</f>
        <v/>
      </c>
      <c r="L278" s="7"/>
    </row>
    <row r="279" customFormat="false" ht="15" hidden="false" customHeight="true" outlineLevel="0" collapsed="false">
      <c r="A279" s="7"/>
      <c r="B279" s="7"/>
      <c r="C279" s="7"/>
      <c r="D279" s="7"/>
      <c r="E279" s="13"/>
      <c r="F279" s="13"/>
      <c r="G279" s="7"/>
      <c r="H279" s="7"/>
      <c r="I279" s="7"/>
      <c r="J279" s="7"/>
      <c r="K279" s="14" t="str">
        <f aca="false">IF(OR(A279="",F279=0),"",(F279-E279)/F279)</f>
        <v/>
      </c>
      <c r="L279" s="7"/>
    </row>
    <row r="280" customFormat="false" ht="15" hidden="false" customHeight="true" outlineLevel="0" collapsed="false">
      <c r="A280" s="7"/>
      <c r="B280" s="7"/>
      <c r="C280" s="7"/>
      <c r="D280" s="7"/>
      <c r="E280" s="13"/>
      <c r="F280" s="13"/>
      <c r="G280" s="7"/>
      <c r="H280" s="7"/>
      <c r="I280" s="7"/>
      <c r="J280" s="7"/>
      <c r="K280" s="14" t="str">
        <f aca="false">IF(OR(A280="",F280=0),"",(F280-E280)/F280)</f>
        <v/>
      </c>
      <c r="L280" s="7"/>
    </row>
    <row r="281" customFormat="false" ht="15" hidden="false" customHeight="true" outlineLevel="0" collapsed="false">
      <c r="A281" s="7"/>
      <c r="B281" s="7"/>
      <c r="C281" s="7"/>
      <c r="D281" s="7"/>
      <c r="E281" s="13"/>
      <c r="F281" s="13"/>
      <c r="G281" s="7"/>
      <c r="H281" s="7"/>
      <c r="I281" s="7"/>
      <c r="J281" s="7"/>
      <c r="K281" s="14" t="str">
        <f aca="false">IF(OR(A281="",F281=0),"",(F281-E281)/F281)</f>
        <v/>
      </c>
      <c r="L281" s="7"/>
    </row>
    <row r="282" customFormat="false" ht="15" hidden="false" customHeight="true" outlineLevel="0" collapsed="false">
      <c r="A282" s="7"/>
      <c r="B282" s="7"/>
      <c r="C282" s="7"/>
      <c r="D282" s="7"/>
      <c r="E282" s="13"/>
      <c r="F282" s="13"/>
      <c r="G282" s="7"/>
      <c r="H282" s="7"/>
      <c r="I282" s="7"/>
      <c r="J282" s="7"/>
      <c r="K282" s="14" t="str">
        <f aca="false">IF(OR(A282="",F282=0),"",(F282-E282)/F282)</f>
        <v/>
      </c>
      <c r="L282" s="7"/>
    </row>
    <row r="283" customFormat="false" ht="15" hidden="false" customHeight="true" outlineLevel="0" collapsed="false">
      <c r="A283" s="7"/>
      <c r="B283" s="7"/>
      <c r="C283" s="7"/>
      <c r="D283" s="7"/>
      <c r="E283" s="13"/>
      <c r="F283" s="13"/>
      <c r="G283" s="7"/>
      <c r="H283" s="7"/>
      <c r="I283" s="7"/>
      <c r="J283" s="7"/>
      <c r="K283" s="14" t="str">
        <f aca="false">IF(OR(A283="",F283=0),"",(F283-E283)/F283)</f>
        <v/>
      </c>
      <c r="L283" s="7"/>
    </row>
    <row r="284" customFormat="false" ht="15" hidden="false" customHeight="true" outlineLevel="0" collapsed="false">
      <c r="A284" s="7"/>
      <c r="B284" s="7"/>
      <c r="C284" s="7"/>
      <c r="D284" s="7"/>
      <c r="E284" s="13"/>
      <c r="F284" s="13"/>
      <c r="G284" s="7"/>
      <c r="H284" s="7"/>
      <c r="I284" s="7"/>
      <c r="J284" s="7"/>
      <c r="K284" s="14" t="str">
        <f aca="false">IF(OR(A284="",F284=0),"",(F284-E284)/F284)</f>
        <v/>
      </c>
      <c r="L284" s="7"/>
    </row>
    <row r="285" customFormat="false" ht="15" hidden="false" customHeight="true" outlineLevel="0" collapsed="false">
      <c r="A285" s="7"/>
      <c r="B285" s="7"/>
      <c r="C285" s="7"/>
      <c r="D285" s="7"/>
      <c r="E285" s="13"/>
      <c r="F285" s="13"/>
      <c r="G285" s="7"/>
      <c r="H285" s="7"/>
      <c r="I285" s="7"/>
      <c r="J285" s="7"/>
      <c r="K285" s="14" t="str">
        <f aca="false">IF(OR(A285="",F285=0),"",(F285-E285)/F285)</f>
        <v/>
      </c>
      <c r="L285" s="7"/>
    </row>
    <row r="286" customFormat="false" ht="15" hidden="false" customHeight="true" outlineLevel="0" collapsed="false">
      <c r="A286" s="7"/>
      <c r="B286" s="7"/>
      <c r="C286" s="7"/>
      <c r="D286" s="7"/>
      <c r="E286" s="13"/>
      <c r="F286" s="13"/>
      <c r="G286" s="7"/>
      <c r="H286" s="7"/>
      <c r="I286" s="7"/>
      <c r="J286" s="7"/>
      <c r="K286" s="14" t="str">
        <f aca="false">IF(OR(A286="",F286=0),"",(F286-E286)/F286)</f>
        <v/>
      </c>
      <c r="L286" s="7"/>
    </row>
    <row r="287" customFormat="false" ht="15" hidden="false" customHeight="true" outlineLevel="0" collapsed="false">
      <c r="A287" s="7"/>
      <c r="B287" s="7"/>
      <c r="C287" s="7"/>
      <c r="D287" s="7"/>
      <c r="E287" s="13"/>
      <c r="F287" s="13"/>
      <c r="G287" s="7"/>
      <c r="H287" s="7"/>
      <c r="I287" s="7"/>
      <c r="J287" s="7"/>
      <c r="K287" s="14" t="str">
        <f aca="false">IF(OR(A287="",F287=0),"",(F287-E287)/F287)</f>
        <v/>
      </c>
      <c r="L287" s="7"/>
    </row>
    <row r="288" customFormat="false" ht="15" hidden="false" customHeight="true" outlineLevel="0" collapsed="false">
      <c r="A288" s="7"/>
      <c r="B288" s="7"/>
      <c r="C288" s="7"/>
      <c r="D288" s="7"/>
      <c r="E288" s="13"/>
      <c r="F288" s="13"/>
      <c r="G288" s="7"/>
      <c r="H288" s="7"/>
      <c r="I288" s="7"/>
      <c r="J288" s="7"/>
      <c r="K288" s="14" t="str">
        <f aca="false">IF(OR(A288="",F288=0),"",(F288-E288)/F288)</f>
        <v/>
      </c>
      <c r="L288" s="7"/>
    </row>
    <row r="289" customFormat="false" ht="15" hidden="false" customHeight="true" outlineLevel="0" collapsed="false">
      <c r="A289" s="7"/>
      <c r="B289" s="7"/>
      <c r="C289" s="7"/>
      <c r="D289" s="7"/>
      <c r="E289" s="13"/>
      <c r="F289" s="13"/>
      <c r="G289" s="7"/>
      <c r="H289" s="7"/>
      <c r="I289" s="7"/>
      <c r="J289" s="7"/>
      <c r="K289" s="14" t="str">
        <f aca="false">IF(OR(A289="",F289=0),"",(F289-E289)/F289)</f>
        <v/>
      </c>
      <c r="L289" s="7"/>
    </row>
    <row r="290" customFormat="false" ht="15" hidden="false" customHeight="true" outlineLevel="0" collapsed="false">
      <c r="A290" s="7"/>
      <c r="B290" s="7"/>
      <c r="C290" s="7"/>
      <c r="D290" s="7"/>
      <c r="E290" s="13"/>
      <c r="F290" s="13"/>
      <c r="G290" s="7"/>
      <c r="H290" s="7"/>
      <c r="I290" s="7"/>
      <c r="J290" s="7"/>
      <c r="K290" s="14" t="str">
        <f aca="false">IF(OR(A290="",F290=0),"",(F290-E290)/F290)</f>
        <v/>
      </c>
      <c r="L290" s="7"/>
    </row>
    <row r="291" customFormat="false" ht="15" hidden="false" customHeight="true" outlineLevel="0" collapsed="false">
      <c r="A291" s="7"/>
      <c r="B291" s="7"/>
      <c r="C291" s="7"/>
      <c r="D291" s="7"/>
      <c r="E291" s="13"/>
      <c r="F291" s="13"/>
      <c r="G291" s="7"/>
      <c r="H291" s="7"/>
      <c r="I291" s="7"/>
      <c r="J291" s="7"/>
      <c r="K291" s="14" t="str">
        <f aca="false">IF(OR(A291="",F291=0),"",(F291-E291)/F291)</f>
        <v/>
      </c>
      <c r="L291" s="7"/>
    </row>
    <row r="292" customFormat="false" ht="15" hidden="false" customHeight="true" outlineLevel="0" collapsed="false">
      <c r="A292" s="7"/>
      <c r="B292" s="7"/>
      <c r="C292" s="7"/>
      <c r="D292" s="7"/>
      <c r="E292" s="13"/>
      <c r="F292" s="13"/>
      <c r="G292" s="7"/>
      <c r="H292" s="7"/>
      <c r="I292" s="7"/>
      <c r="J292" s="7"/>
      <c r="K292" s="14" t="str">
        <f aca="false">IF(OR(A292="",F292=0),"",(F292-E292)/F292)</f>
        <v/>
      </c>
      <c r="L292" s="7"/>
    </row>
    <row r="293" customFormat="false" ht="15" hidden="false" customHeight="true" outlineLevel="0" collapsed="false">
      <c r="A293" s="7"/>
      <c r="B293" s="7"/>
      <c r="C293" s="7"/>
      <c r="D293" s="7"/>
      <c r="E293" s="13"/>
      <c r="F293" s="13"/>
      <c r="G293" s="7"/>
      <c r="H293" s="7"/>
      <c r="I293" s="7"/>
      <c r="J293" s="7"/>
      <c r="K293" s="14" t="str">
        <f aca="false">IF(OR(A293="",F293=0),"",(F293-E293)/F293)</f>
        <v/>
      </c>
      <c r="L293" s="7"/>
    </row>
    <row r="294" customFormat="false" ht="15" hidden="false" customHeight="true" outlineLevel="0" collapsed="false">
      <c r="A294" s="7"/>
      <c r="B294" s="7"/>
      <c r="C294" s="7"/>
      <c r="D294" s="7"/>
      <c r="E294" s="13"/>
      <c r="F294" s="13"/>
      <c r="G294" s="7"/>
      <c r="H294" s="7"/>
      <c r="I294" s="7"/>
      <c r="J294" s="7"/>
      <c r="K294" s="14" t="str">
        <f aca="false">IF(OR(A294="",F294=0),"",(F294-E294)/F294)</f>
        <v/>
      </c>
      <c r="L294" s="7"/>
    </row>
    <row r="295" customFormat="false" ht="15" hidden="false" customHeight="true" outlineLevel="0" collapsed="false">
      <c r="A295" s="7"/>
      <c r="B295" s="7"/>
      <c r="C295" s="7"/>
      <c r="D295" s="7"/>
      <c r="E295" s="13"/>
      <c r="F295" s="13"/>
      <c r="G295" s="7"/>
      <c r="H295" s="7"/>
      <c r="I295" s="7"/>
      <c r="J295" s="7"/>
      <c r="K295" s="14" t="str">
        <f aca="false">IF(OR(A295="",F295=0),"",(F295-E295)/F295)</f>
        <v/>
      </c>
      <c r="L295" s="7"/>
    </row>
    <row r="296" customFormat="false" ht="15" hidden="false" customHeight="true" outlineLevel="0" collapsed="false">
      <c r="A296" s="7"/>
      <c r="B296" s="7"/>
      <c r="C296" s="7"/>
      <c r="D296" s="7"/>
      <c r="E296" s="13"/>
      <c r="F296" s="13"/>
      <c r="G296" s="7"/>
      <c r="H296" s="7"/>
      <c r="I296" s="7"/>
      <c r="J296" s="7"/>
      <c r="K296" s="14" t="str">
        <f aca="false">IF(OR(A296="",F296=0),"",(F296-E296)/F296)</f>
        <v/>
      </c>
      <c r="L296" s="7"/>
    </row>
    <row r="297" customFormat="false" ht="15" hidden="false" customHeight="true" outlineLevel="0" collapsed="false">
      <c r="A297" s="7"/>
      <c r="B297" s="7"/>
      <c r="C297" s="7"/>
      <c r="D297" s="7"/>
      <c r="E297" s="13"/>
      <c r="F297" s="13"/>
      <c r="G297" s="7"/>
      <c r="H297" s="7"/>
      <c r="I297" s="7"/>
      <c r="J297" s="7"/>
      <c r="K297" s="14" t="str">
        <f aca="false">IF(OR(A297="",F297=0),"",(F297-E297)/F297)</f>
        <v/>
      </c>
      <c r="L297" s="7"/>
    </row>
    <row r="298" customFormat="false" ht="15" hidden="false" customHeight="true" outlineLevel="0" collapsed="false">
      <c r="A298" s="7"/>
      <c r="B298" s="7"/>
      <c r="C298" s="7"/>
      <c r="D298" s="7"/>
      <c r="E298" s="13"/>
      <c r="F298" s="13"/>
      <c r="G298" s="7"/>
      <c r="H298" s="7"/>
      <c r="I298" s="7"/>
      <c r="J298" s="7"/>
      <c r="K298" s="14" t="str">
        <f aca="false">IF(OR(A298="",F298=0),"",(F298-E298)/F298)</f>
        <v/>
      </c>
      <c r="L298" s="7"/>
    </row>
    <row r="299" customFormat="false" ht="15" hidden="false" customHeight="true" outlineLevel="0" collapsed="false">
      <c r="A299" s="7"/>
      <c r="B299" s="7"/>
      <c r="C299" s="7"/>
      <c r="D299" s="7"/>
      <c r="E299" s="13"/>
      <c r="F299" s="13"/>
      <c r="G299" s="7"/>
      <c r="H299" s="7"/>
      <c r="I299" s="7"/>
      <c r="J299" s="7"/>
      <c r="K299" s="14" t="str">
        <f aca="false">IF(OR(A299="",F299=0),"",(F299-E299)/F299)</f>
        <v/>
      </c>
      <c r="L299" s="7"/>
    </row>
    <row r="300" customFormat="false" ht="15" hidden="false" customHeight="true" outlineLevel="0" collapsed="false">
      <c r="A300" s="7"/>
      <c r="B300" s="7"/>
      <c r="C300" s="7"/>
      <c r="D300" s="7"/>
      <c r="E300" s="13"/>
      <c r="F300" s="13"/>
      <c r="G300" s="7"/>
      <c r="H300" s="7"/>
      <c r="I300" s="7"/>
      <c r="J300" s="7"/>
      <c r="K300" s="14" t="str">
        <f aca="false">IF(OR(A300="",F300=0),"",(F300-E300)/F300)</f>
        <v/>
      </c>
      <c r="L300" s="7"/>
    </row>
    <row r="301" customFormat="false" ht="15" hidden="false" customHeight="true" outlineLevel="0" collapsed="false">
      <c r="A301" s="7"/>
      <c r="B301" s="7"/>
      <c r="C301" s="7"/>
      <c r="D301" s="7"/>
      <c r="E301" s="13"/>
      <c r="F301" s="13"/>
      <c r="G301" s="7"/>
      <c r="H301" s="7"/>
      <c r="I301" s="7"/>
      <c r="J301" s="7"/>
      <c r="K301" s="14" t="str">
        <f aca="false">IF(OR(A301="",F301=0),"",(F301-E301)/F301)</f>
        <v/>
      </c>
      <c r="L301" s="7"/>
    </row>
    <row r="302" customFormat="false" ht="15" hidden="false" customHeight="true" outlineLevel="0" collapsed="false">
      <c r="A302" s="7"/>
      <c r="B302" s="7"/>
      <c r="C302" s="7"/>
      <c r="D302" s="7"/>
      <c r="E302" s="13"/>
      <c r="F302" s="13"/>
      <c r="G302" s="7"/>
      <c r="H302" s="7"/>
      <c r="I302" s="7"/>
      <c r="J302" s="7"/>
      <c r="K302" s="14" t="str">
        <f aca="false">IF(OR(A302="",F302=0),"",(F302-E302)/F302)</f>
        <v/>
      </c>
      <c r="L302" s="7"/>
    </row>
    <row r="303" customFormat="false" ht="15" hidden="false" customHeight="true" outlineLevel="0" collapsed="false">
      <c r="A303" s="7"/>
      <c r="B303" s="7"/>
      <c r="C303" s="7"/>
      <c r="D303" s="7"/>
      <c r="E303" s="13"/>
      <c r="F303" s="13"/>
      <c r="G303" s="7"/>
      <c r="H303" s="7"/>
      <c r="I303" s="7"/>
      <c r="J303" s="7"/>
      <c r="K303" s="14" t="str">
        <f aca="false">IF(OR(A303="",F303=0),"",(F303-E303)/F303)</f>
        <v/>
      </c>
      <c r="L303" s="7"/>
    </row>
    <row r="304" customFormat="false" ht="15" hidden="false" customHeight="true" outlineLevel="0" collapsed="false">
      <c r="A304" s="7"/>
      <c r="B304" s="7"/>
      <c r="C304" s="7"/>
      <c r="D304" s="7"/>
      <c r="E304" s="13"/>
      <c r="F304" s="13"/>
      <c r="G304" s="7"/>
      <c r="H304" s="7"/>
      <c r="I304" s="7"/>
      <c r="J304" s="7"/>
      <c r="K304" s="14" t="str">
        <f aca="false">IF(OR(A304="",F304=0),"",(F304-E304)/F304)</f>
        <v/>
      </c>
      <c r="L304" s="7"/>
    </row>
    <row r="305" customFormat="false" ht="15" hidden="false" customHeight="true" outlineLevel="0" collapsed="false">
      <c r="A305" s="7"/>
      <c r="B305" s="7"/>
      <c r="C305" s="7"/>
      <c r="D305" s="7"/>
      <c r="E305" s="13"/>
      <c r="F305" s="13"/>
      <c r="G305" s="7"/>
      <c r="H305" s="7"/>
      <c r="I305" s="7"/>
      <c r="J305" s="7"/>
      <c r="K305" s="14" t="str">
        <f aca="false">IF(OR(A305="",F305=0),"",(F305-E305)/F305)</f>
        <v/>
      </c>
      <c r="L305" s="7"/>
    </row>
    <row r="306" customFormat="false" ht="15" hidden="false" customHeight="true" outlineLevel="0" collapsed="false">
      <c r="A306" s="7"/>
      <c r="B306" s="7"/>
      <c r="C306" s="7"/>
      <c r="D306" s="7"/>
      <c r="E306" s="13"/>
      <c r="F306" s="13"/>
      <c r="G306" s="7"/>
      <c r="H306" s="7"/>
      <c r="I306" s="7"/>
      <c r="J306" s="7"/>
      <c r="K306" s="14" t="str">
        <f aca="false">IF(OR(A306="",F306=0),"",(F306-E306)/F306)</f>
        <v/>
      </c>
      <c r="L306" s="7"/>
    </row>
    <row r="307" customFormat="false" ht="15" hidden="false" customHeight="true" outlineLevel="0" collapsed="false">
      <c r="A307" s="7"/>
      <c r="B307" s="7"/>
      <c r="C307" s="7"/>
      <c r="D307" s="7"/>
      <c r="E307" s="13"/>
      <c r="F307" s="13"/>
      <c r="G307" s="7"/>
      <c r="H307" s="7"/>
      <c r="I307" s="7"/>
      <c r="J307" s="7"/>
      <c r="K307" s="14" t="str">
        <f aca="false">IF(OR(A307="",F307=0),"",(F307-E307)/F307)</f>
        <v/>
      </c>
      <c r="L307" s="7"/>
    </row>
    <row r="308" customFormat="false" ht="15" hidden="false" customHeight="true" outlineLevel="0" collapsed="false">
      <c r="A308" s="7"/>
      <c r="B308" s="7"/>
      <c r="C308" s="7"/>
      <c r="D308" s="7"/>
      <c r="E308" s="13"/>
      <c r="F308" s="13"/>
      <c r="G308" s="7"/>
      <c r="H308" s="7"/>
      <c r="I308" s="7"/>
      <c r="J308" s="7"/>
      <c r="K308" s="14" t="str">
        <f aca="false">IF(OR(A308="",F308=0),"",(F308-E308)/F308)</f>
        <v/>
      </c>
      <c r="L308" s="7"/>
    </row>
    <row r="309" customFormat="false" ht="15" hidden="false" customHeight="true" outlineLevel="0" collapsed="false">
      <c r="A309" s="7"/>
      <c r="B309" s="7"/>
      <c r="C309" s="7"/>
      <c r="D309" s="7"/>
      <c r="E309" s="13"/>
      <c r="F309" s="13"/>
      <c r="G309" s="7"/>
      <c r="H309" s="7"/>
      <c r="I309" s="7"/>
      <c r="J309" s="7"/>
      <c r="K309" s="14" t="str">
        <f aca="false">IF(OR(A309="",F309=0),"",(F309-E309)/F309)</f>
        <v/>
      </c>
      <c r="L309" s="7"/>
    </row>
    <row r="310" customFormat="false" ht="15" hidden="false" customHeight="true" outlineLevel="0" collapsed="false">
      <c r="A310" s="7"/>
      <c r="B310" s="7"/>
      <c r="C310" s="7"/>
      <c r="D310" s="7"/>
      <c r="E310" s="13"/>
      <c r="F310" s="13"/>
      <c r="G310" s="7"/>
      <c r="H310" s="7"/>
      <c r="I310" s="7"/>
      <c r="J310" s="7"/>
      <c r="K310" s="14" t="str">
        <f aca="false">IF(OR(A310="",F310=0),"",(F310-E310)/F310)</f>
        <v/>
      </c>
      <c r="L310" s="7"/>
    </row>
    <row r="311" customFormat="false" ht="15" hidden="false" customHeight="true" outlineLevel="0" collapsed="false">
      <c r="A311" s="7"/>
      <c r="B311" s="7"/>
      <c r="C311" s="7"/>
      <c r="D311" s="7"/>
      <c r="E311" s="13"/>
      <c r="F311" s="13"/>
      <c r="G311" s="7"/>
      <c r="H311" s="7"/>
      <c r="I311" s="7"/>
      <c r="J311" s="7"/>
      <c r="K311" s="14" t="str">
        <f aca="false">IF(OR(A311="",F311=0),"",(F311-E311)/F311)</f>
        <v/>
      </c>
      <c r="L311" s="7"/>
    </row>
    <row r="312" customFormat="false" ht="15" hidden="false" customHeight="true" outlineLevel="0" collapsed="false">
      <c r="A312" s="7"/>
      <c r="B312" s="7"/>
      <c r="C312" s="7"/>
      <c r="D312" s="7"/>
      <c r="E312" s="13"/>
      <c r="F312" s="13"/>
      <c r="G312" s="7"/>
      <c r="H312" s="7"/>
      <c r="I312" s="7"/>
      <c r="J312" s="7"/>
      <c r="K312" s="14" t="str">
        <f aca="false">IF(OR(A312="",F312=0),"",(F312-E312)/F312)</f>
        <v/>
      </c>
      <c r="L312" s="7"/>
    </row>
    <row r="313" customFormat="false" ht="15" hidden="false" customHeight="true" outlineLevel="0" collapsed="false">
      <c r="A313" s="7"/>
      <c r="B313" s="7"/>
      <c r="C313" s="7"/>
      <c r="D313" s="7"/>
      <c r="E313" s="13"/>
      <c r="F313" s="13"/>
      <c r="G313" s="7"/>
      <c r="H313" s="7"/>
      <c r="I313" s="7"/>
      <c r="J313" s="7"/>
      <c r="K313" s="14" t="str">
        <f aca="false">IF(OR(A313="",F313=0),"",(F313-E313)/F313)</f>
        <v/>
      </c>
      <c r="L313" s="7"/>
    </row>
    <row r="314" customFormat="false" ht="15" hidden="false" customHeight="true" outlineLevel="0" collapsed="false">
      <c r="A314" s="7"/>
      <c r="B314" s="7"/>
      <c r="C314" s="7"/>
      <c r="D314" s="7"/>
      <c r="E314" s="13"/>
      <c r="F314" s="13"/>
      <c r="G314" s="7"/>
      <c r="H314" s="7"/>
      <c r="I314" s="7"/>
      <c r="J314" s="7"/>
      <c r="K314" s="14" t="str">
        <f aca="false">IF(OR(A314="",F314=0),"",(F314-E314)/F314)</f>
        <v/>
      </c>
      <c r="L314" s="7"/>
    </row>
    <row r="315" customFormat="false" ht="15" hidden="false" customHeight="true" outlineLevel="0" collapsed="false">
      <c r="A315" s="7"/>
      <c r="B315" s="7"/>
      <c r="C315" s="7"/>
      <c r="D315" s="7"/>
      <c r="E315" s="13"/>
      <c r="F315" s="13"/>
      <c r="G315" s="7"/>
      <c r="H315" s="7"/>
      <c r="I315" s="7"/>
      <c r="J315" s="7"/>
      <c r="K315" s="14" t="str">
        <f aca="false">IF(OR(A315="",F315=0),"",(F315-E315)/F315)</f>
        <v/>
      </c>
      <c r="L315" s="7"/>
    </row>
    <row r="316" customFormat="false" ht="15" hidden="false" customHeight="true" outlineLevel="0" collapsed="false">
      <c r="A316" s="7"/>
      <c r="B316" s="7"/>
      <c r="C316" s="7"/>
      <c r="D316" s="7"/>
      <c r="E316" s="13"/>
      <c r="F316" s="13"/>
      <c r="G316" s="7"/>
      <c r="H316" s="7"/>
      <c r="I316" s="7"/>
      <c r="J316" s="7"/>
      <c r="K316" s="14" t="str">
        <f aca="false">IF(OR(A316="",F316=0),"",(F316-E316)/F316)</f>
        <v/>
      </c>
      <c r="L316" s="7"/>
    </row>
    <row r="317" customFormat="false" ht="15" hidden="false" customHeight="true" outlineLevel="0" collapsed="false">
      <c r="A317" s="7"/>
      <c r="B317" s="7"/>
      <c r="C317" s="7"/>
      <c r="D317" s="7"/>
      <c r="E317" s="13"/>
      <c r="F317" s="13"/>
      <c r="G317" s="7"/>
      <c r="H317" s="7"/>
      <c r="I317" s="7"/>
      <c r="J317" s="7"/>
      <c r="K317" s="14" t="str">
        <f aca="false">IF(OR(A317="",F317=0),"",(F317-E317)/F317)</f>
        <v/>
      </c>
      <c r="L317" s="7"/>
    </row>
    <row r="318" customFormat="false" ht="15" hidden="false" customHeight="true" outlineLevel="0" collapsed="false">
      <c r="A318" s="7"/>
      <c r="B318" s="7"/>
      <c r="C318" s="7"/>
      <c r="D318" s="7"/>
      <c r="E318" s="13"/>
      <c r="F318" s="13"/>
      <c r="G318" s="7"/>
      <c r="H318" s="7"/>
      <c r="I318" s="7"/>
      <c r="J318" s="7"/>
      <c r="K318" s="14" t="str">
        <f aca="false">IF(OR(A318="",F318=0),"",(F318-E318)/F318)</f>
        <v/>
      </c>
      <c r="L318" s="7"/>
    </row>
    <row r="319" customFormat="false" ht="15" hidden="false" customHeight="true" outlineLevel="0" collapsed="false">
      <c r="A319" s="7"/>
      <c r="B319" s="7"/>
      <c r="C319" s="7"/>
      <c r="D319" s="7"/>
      <c r="E319" s="13"/>
      <c r="F319" s="13"/>
      <c r="G319" s="7"/>
      <c r="H319" s="7"/>
      <c r="I319" s="7"/>
      <c r="J319" s="7"/>
      <c r="K319" s="14" t="str">
        <f aca="false">IF(OR(A319="",F319=0),"",(F319-E319)/F319)</f>
        <v/>
      </c>
      <c r="L319" s="7"/>
    </row>
    <row r="320" customFormat="false" ht="15" hidden="false" customHeight="true" outlineLevel="0" collapsed="false">
      <c r="A320" s="7"/>
      <c r="B320" s="7"/>
      <c r="C320" s="7"/>
      <c r="D320" s="7"/>
      <c r="E320" s="13"/>
      <c r="F320" s="13"/>
      <c r="G320" s="7"/>
      <c r="H320" s="7"/>
      <c r="I320" s="7"/>
      <c r="J320" s="7"/>
      <c r="K320" s="14" t="str">
        <f aca="false">IF(OR(A320="",F320=0),"",(F320-E320)/F320)</f>
        <v/>
      </c>
      <c r="L320" s="7"/>
    </row>
    <row r="321" customFormat="false" ht="15" hidden="false" customHeight="true" outlineLevel="0" collapsed="false">
      <c r="A321" s="7"/>
      <c r="B321" s="7"/>
      <c r="C321" s="7"/>
      <c r="D321" s="7"/>
      <c r="E321" s="13"/>
      <c r="F321" s="13"/>
      <c r="G321" s="7"/>
      <c r="H321" s="7"/>
      <c r="I321" s="7"/>
      <c r="J321" s="7"/>
      <c r="K321" s="14" t="str">
        <f aca="false">IF(OR(A321="",F321=0),"",(F321-E321)/F321)</f>
        <v/>
      </c>
      <c r="L321" s="7"/>
    </row>
    <row r="322" customFormat="false" ht="15" hidden="false" customHeight="true" outlineLevel="0" collapsed="false">
      <c r="A322" s="7"/>
      <c r="B322" s="7"/>
      <c r="C322" s="7"/>
      <c r="D322" s="7"/>
      <c r="E322" s="13"/>
      <c r="F322" s="13"/>
      <c r="G322" s="7"/>
      <c r="H322" s="7"/>
      <c r="I322" s="7"/>
      <c r="J322" s="7"/>
      <c r="K322" s="14" t="str">
        <f aca="false">IF(OR(A322="",F322=0),"",(F322-E322)/F322)</f>
        <v/>
      </c>
      <c r="L322" s="7"/>
    </row>
    <row r="323" customFormat="false" ht="15" hidden="false" customHeight="true" outlineLevel="0" collapsed="false">
      <c r="A323" s="7"/>
      <c r="B323" s="7"/>
      <c r="C323" s="7"/>
      <c r="D323" s="7"/>
      <c r="E323" s="13"/>
      <c r="F323" s="13"/>
      <c r="G323" s="7"/>
      <c r="H323" s="7"/>
      <c r="I323" s="7"/>
      <c r="J323" s="7"/>
      <c r="K323" s="14" t="str">
        <f aca="false">IF(OR(A323="",F323=0),"",(F323-E323)/F323)</f>
        <v/>
      </c>
      <c r="L323" s="7"/>
    </row>
    <row r="324" customFormat="false" ht="15" hidden="false" customHeight="true" outlineLevel="0" collapsed="false">
      <c r="A324" s="7"/>
      <c r="B324" s="7"/>
      <c r="C324" s="7"/>
      <c r="D324" s="7"/>
      <c r="E324" s="13"/>
      <c r="F324" s="13"/>
      <c r="G324" s="7"/>
      <c r="H324" s="7"/>
      <c r="I324" s="7"/>
      <c r="J324" s="7"/>
      <c r="K324" s="14" t="str">
        <f aca="false">IF(OR(A324="",F324=0),"",(F324-E324)/F324)</f>
        <v/>
      </c>
      <c r="L324" s="7"/>
    </row>
    <row r="325" customFormat="false" ht="15" hidden="false" customHeight="true" outlineLevel="0" collapsed="false">
      <c r="A325" s="7"/>
      <c r="B325" s="7"/>
      <c r="C325" s="7"/>
      <c r="D325" s="7"/>
      <c r="E325" s="13"/>
      <c r="F325" s="13"/>
      <c r="G325" s="7"/>
      <c r="H325" s="7"/>
      <c r="I325" s="7"/>
      <c r="J325" s="7"/>
      <c r="K325" s="14" t="str">
        <f aca="false">IF(OR(A325="",F325=0),"",(F325-E325)/F325)</f>
        <v/>
      </c>
      <c r="L325" s="7"/>
    </row>
    <row r="326" customFormat="false" ht="15" hidden="false" customHeight="true" outlineLevel="0" collapsed="false">
      <c r="A326" s="7"/>
      <c r="B326" s="7"/>
      <c r="C326" s="7"/>
      <c r="D326" s="7"/>
      <c r="E326" s="13"/>
      <c r="F326" s="13"/>
      <c r="G326" s="7"/>
      <c r="H326" s="7"/>
      <c r="I326" s="7"/>
      <c r="J326" s="7"/>
      <c r="K326" s="14" t="str">
        <f aca="false">IF(OR(A326="",F326=0),"",(F326-E326)/F326)</f>
        <v/>
      </c>
      <c r="L326" s="7"/>
    </row>
    <row r="327" customFormat="false" ht="15" hidden="false" customHeight="true" outlineLevel="0" collapsed="false">
      <c r="A327" s="7"/>
      <c r="B327" s="7"/>
      <c r="C327" s="7"/>
      <c r="D327" s="7"/>
      <c r="E327" s="13"/>
      <c r="F327" s="13"/>
      <c r="G327" s="7"/>
      <c r="H327" s="7"/>
      <c r="I327" s="7"/>
      <c r="J327" s="7"/>
      <c r="K327" s="14" t="str">
        <f aca="false">IF(OR(A327="",F327=0),"",(F327-E327)/F327)</f>
        <v/>
      </c>
      <c r="L327" s="7"/>
    </row>
    <row r="328" customFormat="false" ht="15" hidden="false" customHeight="true" outlineLevel="0" collapsed="false">
      <c r="A328" s="7"/>
      <c r="B328" s="7"/>
      <c r="C328" s="7"/>
      <c r="D328" s="7"/>
      <c r="E328" s="13"/>
      <c r="F328" s="13"/>
      <c r="G328" s="7"/>
      <c r="H328" s="7"/>
      <c r="I328" s="7"/>
      <c r="J328" s="7"/>
      <c r="K328" s="14" t="str">
        <f aca="false">IF(OR(A328="",F328=0),"",(F328-E328)/F328)</f>
        <v/>
      </c>
      <c r="L328" s="7"/>
    </row>
    <row r="329" customFormat="false" ht="15" hidden="false" customHeight="true" outlineLevel="0" collapsed="false">
      <c r="A329" s="7"/>
      <c r="B329" s="7"/>
      <c r="C329" s="7"/>
      <c r="D329" s="7"/>
      <c r="E329" s="13"/>
      <c r="F329" s="13"/>
      <c r="G329" s="7"/>
      <c r="H329" s="7"/>
      <c r="I329" s="7"/>
      <c r="J329" s="7"/>
      <c r="K329" s="14" t="str">
        <f aca="false">IF(OR(A329="",F329=0),"",(F329-E329)/F329)</f>
        <v/>
      </c>
      <c r="L329" s="7"/>
    </row>
    <row r="330" customFormat="false" ht="15" hidden="false" customHeight="true" outlineLevel="0" collapsed="false">
      <c r="A330" s="7"/>
      <c r="B330" s="7"/>
      <c r="C330" s="7"/>
      <c r="D330" s="7"/>
      <c r="E330" s="13"/>
      <c r="F330" s="13"/>
      <c r="G330" s="7"/>
      <c r="H330" s="7"/>
      <c r="I330" s="7"/>
      <c r="J330" s="7"/>
      <c r="K330" s="14" t="str">
        <f aca="false">IF(OR(A330="",F330=0),"",(F330-E330)/F330)</f>
        <v/>
      </c>
      <c r="L330" s="7"/>
    </row>
    <row r="331" customFormat="false" ht="15" hidden="false" customHeight="true" outlineLevel="0" collapsed="false">
      <c r="A331" s="7"/>
      <c r="B331" s="7"/>
      <c r="C331" s="7"/>
      <c r="D331" s="7"/>
      <c r="E331" s="13"/>
      <c r="F331" s="13"/>
      <c r="G331" s="7"/>
      <c r="H331" s="7"/>
      <c r="I331" s="7"/>
      <c r="J331" s="7"/>
      <c r="K331" s="14" t="str">
        <f aca="false">IF(OR(A331="",F331=0),"",(F331-E331)/F331)</f>
        <v/>
      </c>
      <c r="L331" s="7"/>
    </row>
    <row r="332" customFormat="false" ht="15" hidden="false" customHeight="true" outlineLevel="0" collapsed="false">
      <c r="A332" s="7"/>
      <c r="B332" s="7"/>
      <c r="C332" s="7"/>
      <c r="D332" s="7"/>
      <c r="E332" s="13"/>
      <c r="F332" s="13"/>
      <c r="G332" s="7"/>
      <c r="H332" s="7"/>
      <c r="I332" s="7"/>
      <c r="J332" s="7"/>
      <c r="K332" s="14" t="str">
        <f aca="false">IF(OR(A332="",F332=0),"",(F332-E332)/F332)</f>
        <v/>
      </c>
      <c r="L332" s="7"/>
    </row>
    <row r="333" customFormat="false" ht="15" hidden="false" customHeight="true" outlineLevel="0" collapsed="false">
      <c r="A333" s="7"/>
      <c r="B333" s="7"/>
      <c r="C333" s="7"/>
      <c r="D333" s="7"/>
      <c r="E333" s="13"/>
      <c r="F333" s="13"/>
      <c r="G333" s="7"/>
      <c r="H333" s="7"/>
      <c r="I333" s="7"/>
      <c r="J333" s="7"/>
      <c r="K333" s="14" t="str">
        <f aca="false">IF(OR(A333="",F333=0),"",(F333-E333)/F333)</f>
        <v/>
      </c>
      <c r="L333" s="7"/>
    </row>
    <row r="334" customFormat="false" ht="15" hidden="false" customHeight="true" outlineLevel="0" collapsed="false">
      <c r="A334" s="7"/>
      <c r="B334" s="7"/>
      <c r="C334" s="7"/>
      <c r="D334" s="7"/>
      <c r="E334" s="13"/>
      <c r="F334" s="13"/>
      <c r="G334" s="7"/>
      <c r="H334" s="7"/>
      <c r="I334" s="7"/>
      <c r="J334" s="7"/>
      <c r="K334" s="14" t="str">
        <f aca="false">IF(OR(A334="",F334=0),"",(F334-E334)/F334)</f>
        <v/>
      </c>
      <c r="L334" s="7"/>
    </row>
    <row r="335" customFormat="false" ht="15" hidden="false" customHeight="true" outlineLevel="0" collapsed="false">
      <c r="A335" s="7"/>
      <c r="B335" s="7"/>
      <c r="C335" s="7"/>
      <c r="D335" s="7"/>
      <c r="E335" s="13"/>
      <c r="F335" s="13"/>
      <c r="G335" s="7"/>
      <c r="H335" s="7"/>
      <c r="I335" s="7"/>
      <c r="J335" s="7"/>
      <c r="K335" s="14" t="str">
        <f aca="false">IF(OR(A335="",F335=0),"",(F335-E335)/F335)</f>
        <v/>
      </c>
      <c r="L335" s="7"/>
    </row>
    <row r="336" customFormat="false" ht="15" hidden="false" customHeight="true" outlineLevel="0" collapsed="false">
      <c r="A336" s="7"/>
      <c r="B336" s="7"/>
      <c r="C336" s="7"/>
      <c r="D336" s="7"/>
      <c r="E336" s="13"/>
      <c r="F336" s="13"/>
      <c r="G336" s="7"/>
      <c r="H336" s="7"/>
      <c r="I336" s="7"/>
      <c r="J336" s="7"/>
      <c r="K336" s="14" t="str">
        <f aca="false">IF(OR(A336="",F336=0),"",(F336-E336)/F336)</f>
        <v/>
      </c>
      <c r="L336" s="7"/>
    </row>
    <row r="337" customFormat="false" ht="15" hidden="false" customHeight="true" outlineLevel="0" collapsed="false">
      <c r="A337" s="7"/>
      <c r="B337" s="7"/>
      <c r="C337" s="7"/>
      <c r="D337" s="7"/>
      <c r="E337" s="13"/>
      <c r="F337" s="13"/>
      <c r="G337" s="7"/>
      <c r="H337" s="7"/>
      <c r="I337" s="7"/>
      <c r="J337" s="7"/>
      <c r="K337" s="14" t="str">
        <f aca="false">IF(OR(A337="",F337=0),"",(F337-E337)/F337)</f>
        <v/>
      </c>
      <c r="L337" s="7"/>
    </row>
    <row r="338" customFormat="false" ht="15" hidden="false" customHeight="true" outlineLevel="0" collapsed="false">
      <c r="A338" s="7"/>
      <c r="B338" s="7"/>
      <c r="C338" s="7"/>
      <c r="D338" s="7"/>
      <c r="E338" s="13"/>
      <c r="F338" s="13"/>
      <c r="G338" s="7"/>
      <c r="H338" s="7"/>
      <c r="I338" s="7"/>
      <c r="J338" s="7"/>
      <c r="K338" s="14" t="str">
        <f aca="false">IF(OR(A338="",F338=0),"",(F338-E338)/F338)</f>
        <v/>
      </c>
      <c r="L338" s="7"/>
    </row>
    <row r="339" customFormat="false" ht="15" hidden="false" customHeight="true" outlineLevel="0" collapsed="false">
      <c r="A339" s="7"/>
      <c r="B339" s="7"/>
      <c r="C339" s="7"/>
      <c r="D339" s="7"/>
      <c r="E339" s="13"/>
      <c r="F339" s="13"/>
      <c r="G339" s="7"/>
      <c r="H339" s="7"/>
      <c r="I339" s="7"/>
      <c r="J339" s="7"/>
      <c r="K339" s="14" t="str">
        <f aca="false">IF(OR(A339="",F339=0),"",(F339-E339)/F339)</f>
        <v/>
      </c>
      <c r="L339" s="7"/>
    </row>
    <row r="340" customFormat="false" ht="15" hidden="false" customHeight="true" outlineLevel="0" collapsed="false">
      <c r="A340" s="7"/>
      <c r="B340" s="7"/>
      <c r="C340" s="7"/>
      <c r="D340" s="7"/>
      <c r="E340" s="13"/>
      <c r="F340" s="13"/>
      <c r="G340" s="7"/>
      <c r="H340" s="7"/>
      <c r="I340" s="7"/>
      <c r="J340" s="7"/>
      <c r="K340" s="14" t="str">
        <f aca="false">IF(OR(A340="",F340=0),"",(F340-E340)/F340)</f>
        <v/>
      </c>
      <c r="L340" s="7"/>
    </row>
    <row r="341" customFormat="false" ht="15" hidden="false" customHeight="true" outlineLevel="0" collapsed="false">
      <c r="A341" s="7"/>
      <c r="B341" s="7"/>
      <c r="C341" s="7"/>
      <c r="D341" s="7"/>
      <c r="E341" s="13"/>
      <c r="F341" s="13"/>
      <c r="G341" s="7"/>
      <c r="H341" s="7"/>
      <c r="I341" s="7"/>
      <c r="J341" s="7"/>
      <c r="K341" s="14" t="str">
        <f aca="false">IF(OR(A341="",F341=0),"",(F341-E341)/F341)</f>
        <v/>
      </c>
      <c r="L341" s="7"/>
    </row>
    <row r="342" customFormat="false" ht="15" hidden="false" customHeight="true" outlineLevel="0" collapsed="false">
      <c r="A342" s="7"/>
      <c r="B342" s="7"/>
      <c r="C342" s="7"/>
      <c r="D342" s="7"/>
      <c r="E342" s="13"/>
      <c r="F342" s="13"/>
      <c r="G342" s="7"/>
      <c r="H342" s="7"/>
      <c r="I342" s="7"/>
      <c r="J342" s="7"/>
      <c r="K342" s="14" t="str">
        <f aca="false">IF(OR(A342="",F342=0),"",(F342-E342)/F342)</f>
        <v/>
      </c>
      <c r="L342" s="7"/>
    </row>
    <row r="343" customFormat="false" ht="15" hidden="false" customHeight="true" outlineLevel="0" collapsed="false">
      <c r="A343" s="7"/>
      <c r="B343" s="7"/>
      <c r="C343" s="7"/>
      <c r="D343" s="7"/>
      <c r="E343" s="13"/>
      <c r="F343" s="13"/>
      <c r="G343" s="7"/>
      <c r="H343" s="7"/>
      <c r="I343" s="7"/>
      <c r="J343" s="7"/>
      <c r="K343" s="14" t="str">
        <f aca="false">IF(OR(A343="",F343=0),"",(F343-E343)/F343)</f>
        <v/>
      </c>
      <c r="L343" s="7"/>
    </row>
    <row r="344" customFormat="false" ht="15" hidden="false" customHeight="true" outlineLevel="0" collapsed="false">
      <c r="A344" s="7"/>
      <c r="B344" s="7"/>
      <c r="C344" s="7"/>
      <c r="D344" s="7"/>
      <c r="E344" s="13"/>
      <c r="F344" s="13"/>
      <c r="G344" s="7"/>
      <c r="H344" s="7"/>
      <c r="I344" s="7"/>
      <c r="J344" s="7"/>
      <c r="K344" s="14" t="str">
        <f aca="false">IF(OR(A344="",F344=0),"",(F344-E344)/F344)</f>
        <v/>
      </c>
      <c r="L344" s="7"/>
    </row>
    <row r="345" customFormat="false" ht="15" hidden="false" customHeight="true" outlineLevel="0" collapsed="false">
      <c r="A345" s="7"/>
      <c r="B345" s="7"/>
      <c r="C345" s="7"/>
      <c r="D345" s="7"/>
      <c r="E345" s="13"/>
      <c r="F345" s="13"/>
      <c r="G345" s="7"/>
      <c r="H345" s="7"/>
      <c r="I345" s="7"/>
      <c r="J345" s="7"/>
      <c r="K345" s="14" t="str">
        <f aca="false">IF(OR(A345="",F345=0),"",(F345-E345)/F345)</f>
        <v/>
      </c>
      <c r="L345" s="7"/>
    </row>
    <row r="346" customFormat="false" ht="15" hidden="false" customHeight="true" outlineLevel="0" collapsed="false">
      <c r="A346" s="7"/>
      <c r="B346" s="7"/>
      <c r="C346" s="7"/>
      <c r="D346" s="7"/>
      <c r="E346" s="13"/>
      <c r="F346" s="13"/>
      <c r="G346" s="7"/>
      <c r="H346" s="7"/>
      <c r="I346" s="7"/>
      <c r="J346" s="7"/>
      <c r="K346" s="14" t="str">
        <f aca="false">IF(OR(A346="",F346=0),"",(F346-E346)/F346)</f>
        <v/>
      </c>
      <c r="L346" s="7"/>
    </row>
    <row r="347" customFormat="false" ht="15" hidden="false" customHeight="true" outlineLevel="0" collapsed="false">
      <c r="A347" s="7"/>
      <c r="B347" s="7"/>
      <c r="C347" s="7"/>
      <c r="D347" s="7"/>
      <c r="E347" s="13"/>
      <c r="F347" s="13"/>
      <c r="G347" s="7"/>
      <c r="H347" s="7"/>
      <c r="I347" s="7"/>
      <c r="J347" s="7"/>
      <c r="K347" s="14" t="str">
        <f aca="false">IF(OR(A347="",F347=0),"",(F347-E347)/F347)</f>
        <v/>
      </c>
      <c r="L347" s="7"/>
    </row>
    <row r="348" customFormat="false" ht="15" hidden="false" customHeight="true" outlineLevel="0" collapsed="false">
      <c r="A348" s="7"/>
      <c r="B348" s="7"/>
      <c r="C348" s="7"/>
      <c r="D348" s="7"/>
      <c r="E348" s="13"/>
      <c r="F348" s="13"/>
      <c r="G348" s="7"/>
      <c r="H348" s="7"/>
      <c r="I348" s="7"/>
      <c r="J348" s="7"/>
      <c r="K348" s="14" t="str">
        <f aca="false">IF(OR(A348="",F348=0),"",(F348-E348)/F348)</f>
        <v/>
      </c>
      <c r="L348" s="7"/>
    </row>
    <row r="349" customFormat="false" ht="15" hidden="false" customHeight="true" outlineLevel="0" collapsed="false">
      <c r="A349" s="7"/>
      <c r="B349" s="7"/>
      <c r="C349" s="7"/>
      <c r="D349" s="7"/>
      <c r="E349" s="13"/>
      <c r="F349" s="13"/>
      <c r="G349" s="7"/>
      <c r="H349" s="7"/>
      <c r="I349" s="7"/>
      <c r="J349" s="7"/>
      <c r="K349" s="14" t="str">
        <f aca="false">IF(OR(A349="",F349=0),"",(F349-E349)/F349)</f>
        <v/>
      </c>
      <c r="L349" s="7"/>
    </row>
    <row r="350" customFormat="false" ht="15" hidden="false" customHeight="true" outlineLevel="0" collapsed="false">
      <c r="A350" s="7"/>
      <c r="B350" s="7"/>
      <c r="C350" s="7"/>
      <c r="D350" s="7"/>
      <c r="E350" s="13"/>
      <c r="F350" s="13"/>
      <c r="G350" s="7"/>
      <c r="H350" s="7"/>
      <c r="I350" s="7"/>
      <c r="J350" s="7"/>
      <c r="K350" s="14" t="str">
        <f aca="false">IF(OR(A350="",F350=0),"",(F350-E350)/F350)</f>
        <v/>
      </c>
      <c r="L350" s="7"/>
    </row>
    <row r="351" customFormat="false" ht="15" hidden="false" customHeight="true" outlineLevel="0" collapsed="false">
      <c r="A351" s="7"/>
      <c r="B351" s="7"/>
      <c r="C351" s="7"/>
      <c r="D351" s="7"/>
      <c r="E351" s="13"/>
      <c r="F351" s="13"/>
      <c r="G351" s="7"/>
      <c r="H351" s="7"/>
      <c r="I351" s="7"/>
      <c r="J351" s="7"/>
      <c r="K351" s="14" t="str">
        <f aca="false">IF(OR(A351="",F351=0),"",(F351-E351)/F351)</f>
        <v/>
      </c>
      <c r="L351" s="7"/>
    </row>
    <row r="352" customFormat="false" ht="15" hidden="false" customHeight="true" outlineLevel="0" collapsed="false">
      <c r="A352" s="7"/>
      <c r="B352" s="7"/>
      <c r="C352" s="7"/>
      <c r="D352" s="7"/>
      <c r="E352" s="13"/>
      <c r="F352" s="13"/>
      <c r="G352" s="7"/>
      <c r="H352" s="7"/>
      <c r="I352" s="7"/>
      <c r="J352" s="7"/>
      <c r="K352" s="14" t="str">
        <f aca="false">IF(OR(A352="",F352=0),"",(F352-E352)/F352)</f>
        <v/>
      </c>
      <c r="L352" s="7"/>
    </row>
    <row r="353" customFormat="false" ht="15" hidden="false" customHeight="true" outlineLevel="0" collapsed="false">
      <c r="A353" s="7"/>
      <c r="B353" s="7"/>
      <c r="C353" s="7"/>
      <c r="D353" s="7"/>
      <c r="E353" s="13"/>
      <c r="F353" s="13"/>
      <c r="G353" s="7"/>
      <c r="H353" s="7"/>
      <c r="I353" s="7"/>
      <c r="J353" s="7"/>
      <c r="K353" s="14" t="str">
        <f aca="false">IF(OR(A353="",F353=0),"",(F353-E353)/F353)</f>
        <v/>
      </c>
      <c r="L353" s="7"/>
    </row>
    <row r="354" customFormat="false" ht="15" hidden="false" customHeight="true" outlineLevel="0" collapsed="false">
      <c r="A354" s="7"/>
      <c r="B354" s="7"/>
      <c r="C354" s="7"/>
      <c r="D354" s="7"/>
      <c r="E354" s="13"/>
      <c r="F354" s="13"/>
      <c r="G354" s="7"/>
      <c r="H354" s="7"/>
      <c r="I354" s="7"/>
      <c r="J354" s="7"/>
      <c r="K354" s="14" t="str">
        <f aca="false">IF(OR(A354="",F354=0),"",(F354-E354)/F354)</f>
        <v/>
      </c>
      <c r="L354" s="7"/>
    </row>
    <row r="355" customFormat="false" ht="15" hidden="false" customHeight="true" outlineLevel="0" collapsed="false">
      <c r="A355" s="7"/>
      <c r="B355" s="7"/>
      <c r="C355" s="7"/>
      <c r="D355" s="7"/>
      <c r="E355" s="13"/>
      <c r="F355" s="13"/>
      <c r="G355" s="7"/>
      <c r="H355" s="7"/>
      <c r="I355" s="7"/>
      <c r="J355" s="7"/>
      <c r="K355" s="14" t="str">
        <f aca="false">IF(OR(A355="",F355=0),"",(F355-E355)/F355)</f>
        <v/>
      </c>
      <c r="L355" s="7"/>
    </row>
    <row r="356" customFormat="false" ht="15" hidden="false" customHeight="true" outlineLevel="0" collapsed="false">
      <c r="A356" s="7"/>
      <c r="B356" s="7"/>
      <c r="C356" s="7"/>
      <c r="D356" s="7"/>
      <c r="E356" s="13"/>
      <c r="F356" s="13"/>
      <c r="G356" s="7"/>
      <c r="H356" s="7"/>
      <c r="I356" s="7"/>
      <c r="J356" s="7"/>
      <c r="K356" s="14" t="str">
        <f aca="false">IF(OR(A356="",F356=0),"",(F356-E356)/F356)</f>
        <v/>
      </c>
      <c r="L356" s="7"/>
    </row>
    <row r="357" customFormat="false" ht="15" hidden="false" customHeight="true" outlineLevel="0" collapsed="false">
      <c r="A357" s="7"/>
      <c r="B357" s="7"/>
      <c r="C357" s="7"/>
      <c r="D357" s="7"/>
      <c r="E357" s="13"/>
      <c r="F357" s="13"/>
      <c r="G357" s="7"/>
      <c r="H357" s="7"/>
      <c r="I357" s="7"/>
      <c r="J357" s="7"/>
      <c r="K357" s="14" t="str">
        <f aca="false">IF(OR(A357="",F357=0),"",(F357-E357)/F357)</f>
        <v/>
      </c>
      <c r="L357" s="7"/>
    </row>
    <row r="358" customFormat="false" ht="15" hidden="false" customHeight="true" outlineLevel="0" collapsed="false">
      <c r="A358" s="7"/>
      <c r="B358" s="7"/>
      <c r="C358" s="7"/>
      <c r="D358" s="7"/>
      <c r="E358" s="13"/>
      <c r="F358" s="13"/>
      <c r="G358" s="7"/>
      <c r="H358" s="7"/>
      <c r="I358" s="7"/>
      <c r="J358" s="7"/>
      <c r="K358" s="14" t="str">
        <f aca="false">IF(OR(A358="",F358=0),"",(F358-E358)/F358)</f>
        <v/>
      </c>
      <c r="L358" s="7"/>
    </row>
    <row r="359" customFormat="false" ht="15" hidden="false" customHeight="true" outlineLevel="0" collapsed="false">
      <c r="A359" s="7"/>
      <c r="B359" s="7"/>
      <c r="C359" s="7"/>
      <c r="D359" s="7"/>
      <c r="E359" s="13"/>
      <c r="F359" s="13"/>
      <c r="G359" s="7"/>
      <c r="H359" s="7"/>
      <c r="I359" s="7"/>
      <c r="J359" s="7"/>
      <c r="K359" s="14" t="str">
        <f aca="false">IF(OR(A359="",F359=0),"",(F359-E359)/F359)</f>
        <v/>
      </c>
      <c r="L359" s="7"/>
    </row>
    <row r="360" customFormat="false" ht="15" hidden="false" customHeight="true" outlineLevel="0" collapsed="false">
      <c r="A360" s="7"/>
      <c r="B360" s="7"/>
      <c r="C360" s="7"/>
      <c r="D360" s="7"/>
      <c r="E360" s="13"/>
      <c r="F360" s="13"/>
      <c r="G360" s="7"/>
      <c r="H360" s="7"/>
      <c r="I360" s="7"/>
      <c r="J360" s="7"/>
      <c r="K360" s="14" t="str">
        <f aca="false">IF(OR(A360="",F360=0),"",(F360-E360)/F360)</f>
        <v/>
      </c>
      <c r="L360" s="7"/>
    </row>
    <row r="361" customFormat="false" ht="15" hidden="false" customHeight="true" outlineLevel="0" collapsed="false">
      <c r="A361" s="7"/>
      <c r="B361" s="7"/>
      <c r="C361" s="7"/>
      <c r="D361" s="7"/>
      <c r="E361" s="13"/>
      <c r="F361" s="13"/>
      <c r="G361" s="7"/>
      <c r="H361" s="7"/>
      <c r="I361" s="7"/>
      <c r="J361" s="7"/>
      <c r="K361" s="14" t="str">
        <f aca="false">IF(OR(A361="",F361=0),"",(F361-E361)/F361)</f>
        <v/>
      </c>
      <c r="L361" s="7"/>
    </row>
    <row r="362" customFormat="false" ht="15" hidden="false" customHeight="true" outlineLevel="0" collapsed="false">
      <c r="A362" s="7"/>
      <c r="B362" s="7"/>
      <c r="C362" s="7"/>
      <c r="D362" s="7"/>
      <c r="E362" s="13"/>
      <c r="F362" s="13"/>
      <c r="G362" s="7"/>
      <c r="H362" s="7"/>
      <c r="I362" s="7"/>
      <c r="J362" s="7"/>
      <c r="K362" s="14" t="str">
        <f aca="false">IF(OR(A362="",F362=0),"",(F362-E362)/F362)</f>
        <v/>
      </c>
      <c r="L362" s="7"/>
    </row>
    <row r="363" customFormat="false" ht="15" hidden="false" customHeight="true" outlineLevel="0" collapsed="false">
      <c r="A363" s="7"/>
      <c r="B363" s="7"/>
      <c r="C363" s="7"/>
      <c r="D363" s="7"/>
      <c r="E363" s="13"/>
      <c r="F363" s="13"/>
      <c r="G363" s="7"/>
      <c r="H363" s="7"/>
      <c r="I363" s="7"/>
      <c r="J363" s="7"/>
      <c r="K363" s="14" t="str">
        <f aca="false">IF(OR(A363="",F363=0),"",(F363-E363)/F363)</f>
        <v/>
      </c>
      <c r="L363" s="7"/>
    </row>
    <row r="364" customFormat="false" ht="15" hidden="false" customHeight="true" outlineLevel="0" collapsed="false">
      <c r="A364" s="7"/>
      <c r="B364" s="7"/>
      <c r="C364" s="7"/>
      <c r="D364" s="7"/>
      <c r="E364" s="13"/>
      <c r="F364" s="13"/>
      <c r="G364" s="7"/>
      <c r="H364" s="7"/>
      <c r="I364" s="7"/>
      <c r="J364" s="7"/>
      <c r="K364" s="14" t="str">
        <f aca="false">IF(OR(A364="",F364=0),"",(F364-E364)/F364)</f>
        <v/>
      </c>
      <c r="L364" s="7"/>
    </row>
    <row r="365" customFormat="false" ht="15" hidden="false" customHeight="true" outlineLevel="0" collapsed="false">
      <c r="A365" s="7"/>
      <c r="B365" s="7"/>
      <c r="C365" s="7"/>
      <c r="D365" s="7"/>
      <c r="E365" s="13"/>
      <c r="F365" s="13"/>
      <c r="G365" s="7"/>
      <c r="H365" s="7"/>
      <c r="I365" s="7"/>
      <c r="J365" s="7"/>
      <c r="K365" s="14" t="str">
        <f aca="false">IF(OR(A365="",F365=0),"",(F365-E365)/F365)</f>
        <v/>
      </c>
      <c r="L365" s="7"/>
    </row>
    <row r="366" customFormat="false" ht="15" hidden="false" customHeight="true" outlineLevel="0" collapsed="false">
      <c r="A366" s="7"/>
      <c r="B366" s="7"/>
      <c r="C366" s="7"/>
      <c r="D366" s="7"/>
      <c r="E366" s="13"/>
      <c r="F366" s="13"/>
      <c r="G366" s="7"/>
      <c r="H366" s="7"/>
      <c r="I366" s="7"/>
      <c r="J366" s="7"/>
      <c r="K366" s="14" t="str">
        <f aca="false">IF(OR(A366="",F366=0),"",(F366-E366)/F366)</f>
        <v/>
      </c>
      <c r="L366" s="7"/>
    </row>
    <row r="367" customFormat="false" ht="15" hidden="false" customHeight="true" outlineLevel="0" collapsed="false">
      <c r="A367" s="7"/>
      <c r="B367" s="7"/>
      <c r="C367" s="7"/>
      <c r="D367" s="7"/>
      <c r="E367" s="13"/>
      <c r="F367" s="13"/>
      <c r="G367" s="7"/>
      <c r="H367" s="7"/>
      <c r="I367" s="7"/>
      <c r="J367" s="7"/>
      <c r="K367" s="14" t="str">
        <f aca="false">IF(OR(A367="",F367=0),"",(F367-E367)/F367)</f>
        <v/>
      </c>
      <c r="L367" s="7"/>
    </row>
    <row r="368" customFormat="false" ht="15" hidden="false" customHeight="true" outlineLevel="0" collapsed="false">
      <c r="A368" s="7"/>
      <c r="B368" s="7"/>
      <c r="C368" s="7"/>
      <c r="D368" s="7"/>
      <c r="E368" s="13"/>
      <c r="F368" s="13"/>
      <c r="G368" s="7"/>
      <c r="H368" s="7"/>
      <c r="I368" s="7"/>
      <c r="J368" s="7"/>
      <c r="K368" s="14" t="str">
        <f aca="false">IF(OR(A368="",F368=0),"",(F368-E368)/F368)</f>
        <v/>
      </c>
      <c r="L368" s="7"/>
    </row>
    <row r="369" customFormat="false" ht="15" hidden="false" customHeight="true" outlineLevel="0" collapsed="false">
      <c r="A369" s="7"/>
      <c r="B369" s="7"/>
      <c r="C369" s="7"/>
      <c r="D369" s="7"/>
      <c r="E369" s="13"/>
      <c r="F369" s="13"/>
      <c r="G369" s="7"/>
      <c r="H369" s="7"/>
      <c r="I369" s="7"/>
      <c r="J369" s="7"/>
      <c r="K369" s="14" t="str">
        <f aca="false">IF(OR(A369="",F369=0),"",(F369-E369)/F369)</f>
        <v/>
      </c>
      <c r="L369" s="7"/>
    </row>
    <row r="370" customFormat="false" ht="15" hidden="false" customHeight="true" outlineLevel="0" collapsed="false">
      <c r="A370" s="7"/>
      <c r="B370" s="7"/>
      <c r="C370" s="7"/>
      <c r="D370" s="7"/>
      <c r="E370" s="13"/>
      <c r="F370" s="13"/>
      <c r="G370" s="7"/>
      <c r="H370" s="7"/>
      <c r="I370" s="7"/>
      <c r="J370" s="7"/>
      <c r="K370" s="14" t="str">
        <f aca="false">IF(OR(A370="",F370=0),"",(F370-E370)/F370)</f>
        <v/>
      </c>
      <c r="L370" s="7"/>
    </row>
    <row r="371" customFormat="false" ht="15" hidden="false" customHeight="true" outlineLevel="0" collapsed="false">
      <c r="A371" s="7"/>
      <c r="B371" s="7"/>
      <c r="C371" s="7"/>
      <c r="D371" s="7"/>
      <c r="E371" s="13"/>
      <c r="F371" s="13"/>
      <c r="G371" s="7"/>
      <c r="H371" s="7"/>
      <c r="I371" s="7"/>
      <c r="J371" s="7"/>
      <c r="K371" s="14" t="str">
        <f aca="false">IF(OR(A371="",F371=0),"",(F371-E371)/F371)</f>
        <v/>
      </c>
      <c r="L371" s="7"/>
    </row>
    <row r="372" customFormat="false" ht="15" hidden="false" customHeight="true" outlineLevel="0" collapsed="false">
      <c r="A372" s="7"/>
      <c r="B372" s="7"/>
      <c r="C372" s="7"/>
      <c r="D372" s="7"/>
      <c r="E372" s="13"/>
      <c r="F372" s="13"/>
      <c r="G372" s="7"/>
      <c r="H372" s="7"/>
      <c r="I372" s="7"/>
      <c r="J372" s="7"/>
      <c r="K372" s="14" t="str">
        <f aca="false">IF(OR(A372="",F372=0),"",(F372-E372)/F372)</f>
        <v/>
      </c>
      <c r="L372" s="7"/>
    </row>
    <row r="373" customFormat="false" ht="15" hidden="false" customHeight="true" outlineLevel="0" collapsed="false">
      <c r="A373" s="7"/>
      <c r="B373" s="7"/>
      <c r="C373" s="7"/>
      <c r="D373" s="7"/>
      <c r="E373" s="13"/>
      <c r="F373" s="13"/>
      <c r="G373" s="7"/>
      <c r="H373" s="7"/>
      <c r="I373" s="7"/>
      <c r="J373" s="7"/>
      <c r="K373" s="14" t="str">
        <f aca="false">IF(OR(A373="",F373=0),"",(F373-E373)/F373)</f>
        <v/>
      </c>
      <c r="L373" s="7"/>
    </row>
    <row r="374" customFormat="false" ht="15" hidden="false" customHeight="true" outlineLevel="0" collapsed="false">
      <c r="A374" s="7"/>
      <c r="B374" s="7"/>
      <c r="C374" s="7"/>
      <c r="D374" s="7"/>
      <c r="E374" s="13"/>
      <c r="F374" s="13"/>
      <c r="G374" s="7"/>
      <c r="H374" s="7"/>
      <c r="I374" s="7"/>
      <c r="J374" s="7"/>
      <c r="K374" s="14" t="str">
        <f aca="false">IF(OR(A374="",F374=0),"",(F374-E374)/F374)</f>
        <v/>
      </c>
      <c r="L374" s="7"/>
    </row>
    <row r="375" customFormat="false" ht="15" hidden="false" customHeight="true" outlineLevel="0" collapsed="false">
      <c r="A375" s="7"/>
      <c r="B375" s="7"/>
      <c r="C375" s="7"/>
      <c r="D375" s="7"/>
      <c r="E375" s="13"/>
      <c r="F375" s="13"/>
      <c r="G375" s="7"/>
      <c r="H375" s="7"/>
      <c r="I375" s="7"/>
      <c r="J375" s="7"/>
      <c r="K375" s="14" t="str">
        <f aca="false">IF(OR(A375="",F375=0),"",(F375-E375)/F375)</f>
        <v/>
      </c>
      <c r="L375" s="7"/>
    </row>
    <row r="376" customFormat="false" ht="15" hidden="false" customHeight="true" outlineLevel="0" collapsed="false">
      <c r="A376" s="7"/>
      <c r="B376" s="7"/>
      <c r="C376" s="7"/>
      <c r="D376" s="7"/>
      <c r="E376" s="13"/>
      <c r="F376" s="13"/>
      <c r="G376" s="7"/>
      <c r="H376" s="7"/>
      <c r="I376" s="7"/>
      <c r="J376" s="7"/>
      <c r="K376" s="14" t="str">
        <f aca="false">IF(OR(A376="",F376=0),"",(F376-E376)/F376)</f>
        <v/>
      </c>
      <c r="L376" s="7"/>
    </row>
    <row r="377" customFormat="false" ht="15" hidden="false" customHeight="true" outlineLevel="0" collapsed="false">
      <c r="A377" s="7"/>
      <c r="B377" s="7"/>
      <c r="C377" s="7"/>
      <c r="D377" s="7"/>
      <c r="E377" s="13"/>
      <c r="F377" s="13"/>
      <c r="G377" s="7"/>
      <c r="H377" s="7"/>
      <c r="I377" s="7"/>
      <c r="J377" s="7"/>
      <c r="K377" s="14" t="str">
        <f aca="false">IF(OR(A377="",F377=0),"",(F377-E377)/F377)</f>
        <v/>
      </c>
      <c r="L377" s="7"/>
    </row>
    <row r="378" customFormat="false" ht="15" hidden="false" customHeight="true" outlineLevel="0" collapsed="false">
      <c r="A378" s="7"/>
      <c r="B378" s="7"/>
      <c r="C378" s="7"/>
      <c r="D378" s="7"/>
      <c r="E378" s="13"/>
      <c r="F378" s="13"/>
      <c r="G378" s="7"/>
      <c r="H378" s="7"/>
      <c r="I378" s="7"/>
      <c r="J378" s="7"/>
      <c r="K378" s="14" t="str">
        <f aca="false">IF(OR(A378="",F378=0),"",(F378-E378)/F378)</f>
        <v/>
      </c>
      <c r="L378" s="7"/>
    </row>
    <row r="379" customFormat="false" ht="15" hidden="false" customHeight="true" outlineLevel="0" collapsed="false">
      <c r="A379" s="7"/>
      <c r="B379" s="7"/>
      <c r="C379" s="7"/>
      <c r="D379" s="7"/>
      <c r="E379" s="13"/>
      <c r="F379" s="13"/>
      <c r="G379" s="7"/>
      <c r="H379" s="7"/>
      <c r="I379" s="7"/>
      <c r="J379" s="7"/>
      <c r="K379" s="14" t="str">
        <f aca="false">IF(OR(A379="",F379=0),"",(F379-E379)/F379)</f>
        <v/>
      </c>
      <c r="L379" s="7"/>
    </row>
    <row r="380" customFormat="false" ht="15" hidden="false" customHeight="true" outlineLevel="0" collapsed="false">
      <c r="A380" s="7"/>
      <c r="B380" s="7"/>
      <c r="C380" s="7"/>
      <c r="D380" s="7"/>
      <c r="E380" s="13"/>
      <c r="F380" s="13"/>
      <c r="G380" s="7"/>
      <c r="H380" s="7"/>
      <c r="I380" s="7"/>
      <c r="J380" s="7"/>
      <c r="K380" s="14" t="str">
        <f aca="false">IF(OR(A380="",F380=0),"",(F380-E380)/F380)</f>
        <v/>
      </c>
      <c r="L380" s="7"/>
    </row>
    <row r="381" customFormat="false" ht="15" hidden="false" customHeight="true" outlineLevel="0" collapsed="false">
      <c r="A381" s="7"/>
      <c r="B381" s="7"/>
      <c r="C381" s="7"/>
      <c r="D381" s="7"/>
      <c r="E381" s="13"/>
      <c r="F381" s="13"/>
      <c r="G381" s="7"/>
      <c r="H381" s="7"/>
      <c r="I381" s="7"/>
      <c r="J381" s="7"/>
      <c r="K381" s="14" t="str">
        <f aca="false">IF(OR(A381="",F381=0),"",(F381-E381)/F381)</f>
        <v/>
      </c>
      <c r="L381" s="7"/>
    </row>
    <row r="382" customFormat="false" ht="15" hidden="false" customHeight="true" outlineLevel="0" collapsed="false">
      <c r="A382" s="7"/>
      <c r="B382" s="7"/>
      <c r="C382" s="7"/>
      <c r="D382" s="7"/>
      <c r="E382" s="13"/>
      <c r="F382" s="13"/>
      <c r="G382" s="7"/>
      <c r="H382" s="7"/>
      <c r="I382" s="7"/>
      <c r="J382" s="7"/>
      <c r="K382" s="14" t="str">
        <f aca="false">IF(OR(A382="",F382=0),"",(F382-E382)/F382)</f>
        <v/>
      </c>
      <c r="L382" s="7"/>
    </row>
    <row r="383" customFormat="false" ht="15" hidden="false" customHeight="true" outlineLevel="0" collapsed="false">
      <c r="A383" s="7"/>
      <c r="B383" s="7"/>
      <c r="C383" s="7"/>
      <c r="D383" s="7"/>
      <c r="E383" s="13"/>
      <c r="F383" s="13"/>
      <c r="G383" s="7"/>
      <c r="H383" s="7"/>
      <c r="I383" s="7"/>
      <c r="J383" s="7"/>
      <c r="K383" s="14" t="str">
        <f aca="false">IF(OR(A383="",F383=0),"",(F383-E383)/F383)</f>
        <v/>
      </c>
      <c r="L383" s="7"/>
    </row>
    <row r="384" customFormat="false" ht="15" hidden="false" customHeight="true" outlineLevel="0" collapsed="false">
      <c r="A384" s="7"/>
      <c r="B384" s="7"/>
      <c r="C384" s="7"/>
      <c r="D384" s="7"/>
      <c r="E384" s="13"/>
      <c r="F384" s="13"/>
      <c r="G384" s="7"/>
      <c r="H384" s="7"/>
      <c r="I384" s="7"/>
      <c r="J384" s="7"/>
      <c r="K384" s="14" t="str">
        <f aca="false">IF(OR(A384="",F384=0),"",(F384-E384)/F384)</f>
        <v/>
      </c>
      <c r="L384" s="7"/>
    </row>
    <row r="385" customFormat="false" ht="15" hidden="false" customHeight="true" outlineLevel="0" collapsed="false">
      <c r="A385" s="7"/>
      <c r="B385" s="7"/>
      <c r="C385" s="7"/>
      <c r="D385" s="7"/>
      <c r="E385" s="13"/>
      <c r="F385" s="13"/>
      <c r="G385" s="7"/>
      <c r="H385" s="7"/>
      <c r="I385" s="7"/>
      <c r="J385" s="7"/>
      <c r="K385" s="14" t="str">
        <f aca="false">IF(OR(A385="",F385=0),"",(F385-E385)/F385)</f>
        <v/>
      </c>
      <c r="L385" s="7"/>
    </row>
    <row r="386" customFormat="false" ht="15" hidden="false" customHeight="true" outlineLevel="0" collapsed="false">
      <c r="A386" s="7"/>
      <c r="B386" s="7"/>
      <c r="C386" s="7"/>
      <c r="D386" s="7"/>
      <c r="E386" s="13"/>
      <c r="F386" s="13"/>
      <c r="G386" s="7"/>
      <c r="H386" s="7"/>
      <c r="I386" s="7"/>
      <c r="J386" s="7"/>
      <c r="K386" s="14" t="str">
        <f aca="false">IF(OR(A386="",F386=0),"",(F386-E386)/F386)</f>
        <v/>
      </c>
      <c r="L386" s="7"/>
    </row>
    <row r="387" customFormat="false" ht="15" hidden="false" customHeight="true" outlineLevel="0" collapsed="false">
      <c r="A387" s="7"/>
      <c r="B387" s="7"/>
      <c r="C387" s="7"/>
      <c r="D387" s="7"/>
      <c r="E387" s="13"/>
      <c r="F387" s="13"/>
      <c r="G387" s="7"/>
      <c r="H387" s="7"/>
      <c r="I387" s="7"/>
      <c r="J387" s="7"/>
      <c r="K387" s="14" t="str">
        <f aca="false">IF(OR(A387="",F387=0),"",(F387-E387)/F387)</f>
        <v/>
      </c>
      <c r="L387" s="7"/>
    </row>
    <row r="388" customFormat="false" ht="15" hidden="false" customHeight="true" outlineLevel="0" collapsed="false">
      <c r="A388" s="7"/>
      <c r="B388" s="7"/>
      <c r="C388" s="7"/>
      <c r="D388" s="7"/>
      <c r="E388" s="13"/>
      <c r="F388" s="13"/>
      <c r="G388" s="7"/>
      <c r="H388" s="7"/>
      <c r="I388" s="7"/>
      <c r="J388" s="7"/>
      <c r="K388" s="14" t="str">
        <f aca="false">IF(OR(A388="",F388=0),"",(F388-E388)/F388)</f>
        <v/>
      </c>
      <c r="L388" s="7"/>
    </row>
    <row r="389" customFormat="false" ht="15" hidden="false" customHeight="true" outlineLevel="0" collapsed="false">
      <c r="A389" s="7"/>
      <c r="B389" s="7"/>
      <c r="C389" s="7"/>
      <c r="D389" s="7"/>
      <c r="E389" s="13"/>
      <c r="F389" s="13"/>
      <c r="G389" s="7"/>
      <c r="H389" s="7"/>
      <c r="I389" s="7"/>
      <c r="J389" s="7"/>
      <c r="K389" s="14" t="str">
        <f aca="false">IF(OR(A389="",F389=0),"",(F389-E389)/F389)</f>
        <v/>
      </c>
      <c r="L389" s="7"/>
    </row>
    <row r="390" customFormat="false" ht="15" hidden="false" customHeight="true" outlineLevel="0" collapsed="false">
      <c r="A390" s="7"/>
      <c r="B390" s="7"/>
      <c r="C390" s="7"/>
      <c r="D390" s="7"/>
      <c r="E390" s="13"/>
      <c r="F390" s="13"/>
      <c r="G390" s="7"/>
      <c r="H390" s="7"/>
      <c r="I390" s="7"/>
      <c r="J390" s="7"/>
      <c r="K390" s="14" t="str">
        <f aca="false">IF(OR(A390="",F390=0),"",(F390-E390)/F390)</f>
        <v/>
      </c>
      <c r="L390" s="7"/>
    </row>
    <row r="391" customFormat="false" ht="15" hidden="false" customHeight="true" outlineLevel="0" collapsed="false">
      <c r="A391" s="7"/>
      <c r="B391" s="7"/>
      <c r="C391" s="7"/>
      <c r="D391" s="7"/>
      <c r="E391" s="13"/>
      <c r="F391" s="13"/>
      <c r="G391" s="7"/>
      <c r="H391" s="7"/>
      <c r="I391" s="7"/>
      <c r="J391" s="7"/>
      <c r="K391" s="14" t="str">
        <f aca="false">IF(OR(A391="",F391=0),"",(F391-E391)/F391)</f>
        <v/>
      </c>
      <c r="L391" s="7"/>
    </row>
    <row r="392" customFormat="false" ht="15" hidden="false" customHeight="true" outlineLevel="0" collapsed="false">
      <c r="A392" s="7"/>
      <c r="B392" s="7"/>
      <c r="C392" s="7"/>
      <c r="D392" s="7"/>
      <c r="E392" s="13"/>
      <c r="F392" s="13"/>
      <c r="G392" s="7"/>
      <c r="H392" s="7"/>
      <c r="I392" s="7"/>
      <c r="J392" s="7"/>
      <c r="K392" s="14" t="str">
        <f aca="false">IF(OR(A392="",F392=0),"",(F392-E392)/F392)</f>
        <v/>
      </c>
      <c r="L392" s="7"/>
    </row>
    <row r="393" customFormat="false" ht="15" hidden="false" customHeight="true" outlineLevel="0" collapsed="false">
      <c r="A393" s="7"/>
      <c r="B393" s="7"/>
      <c r="C393" s="7"/>
      <c r="D393" s="7"/>
      <c r="E393" s="13"/>
      <c r="F393" s="13"/>
      <c r="G393" s="7"/>
      <c r="H393" s="7"/>
      <c r="I393" s="7"/>
      <c r="J393" s="7"/>
      <c r="K393" s="14" t="str">
        <f aca="false">IF(OR(A393="",F393=0),"",(F393-E393)/F393)</f>
        <v/>
      </c>
      <c r="L393" s="7"/>
    </row>
    <row r="394" customFormat="false" ht="15" hidden="false" customHeight="true" outlineLevel="0" collapsed="false">
      <c r="A394" s="7"/>
      <c r="B394" s="7"/>
      <c r="C394" s="7"/>
      <c r="D394" s="7"/>
      <c r="E394" s="13"/>
      <c r="F394" s="13"/>
      <c r="G394" s="7"/>
      <c r="H394" s="7"/>
      <c r="I394" s="7"/>
      <c r="J394" s="7"/>
      <c r="K394" s="14" t="str">
        <f aca="false">IF(OR(A394="",F394=0),"",(F394-E394)/F394)</f>
        <v/>
      </c>
      <c r="L394" s="7"/>
    </row>
    <row r="395" customFormat="false" ht="15" hidden="false" customHeight="true" outlineLevel="0" collapsed="false">
      <c r="A395" s="7"/>
      <c r="B395" s="7"/>
      <c r="C395" s="7"/>
      <c r="D395" s="7"/>
      <c r="E395" s="13"/>
      <c r="F395" s="13"/>
      <c r="G395" s="7"/>
      <c r="H395" s="7"/>
      <c r="I395" s="7"/>
      <c r="J395" s="7"/>
      <c r="K395" s="14" t="str">
        <f aca="false">IF(OR(A395="",F395=0),"",(F395-E395)/F395)</f>
        <v/>
      </c>
      <c r="L395" s="7"/>
    </row>
    <row r="396" customFormat="false" ht="15" hidden="false" customHeight="true" outlineLevel="0" collapsed="false">
      <c r="A396" s="7"/>
      <c r="B396" s="7"/>
      <c r="C396" s="7"/>
      <c r="D396" s="7"/>
      <c r="E396" s="13"/>
      <c r="F396" s="13"/>
      <c r="G396" s="7"/>
      <c r="H396" s="7"/>
      <c r="I396" s="7"/>
      <c r="J396" s="7"/>
      <c r="K396" s="14" t="str">
        <f aca="false">IF(OR(A396="",F396=0),"",(F396-E396)/F396)</f>
        <v/>
      </c>
      <c r="L396" s="7"/>
    </row>
    <row r="397" customFormat="false" ht="15" hidden="false" customHeight="true" outlineLevel="0" collapsed="false">
      <c r="A397" s="7"/>
      <c r="B397" s="7"/>
      <c r="C397" s="7"/>
      <c r="D397" s="7"/>
      <c r="E397" s="13"/>
      <c r="F397" s="13"/>
      <c r="G397" s="7"/>
      <c r="H397" s="7"/>
      <c r="I397" s="7"/>
      <c r="J397" s="7"/>
      <c r="K397" s="14" t="str">
        <f aca="false">IF(OR(A397="",F397=0),"",(F397-E397)/F397)</f>
        <v/>
      </c>
      <c r="L397" s="7"/>
    </row>
    <row r="398" customFormat="false" ht="15" hidden="false" customHeight="true" outlineLevel="0" collapsed="false">
      <c r="A398" s="7"/>
      <c r="B398" s="7"/>
      <c r="C398" s="7"/>
      <c r="D398" s="7"/>
      <c r="E398" s="13"/>
      <c r="F398" s="13"/>
      <c r="G398" s="7"/>
      <c r="H398" s="7"/>
      <c r="I398" s="7"/>
      <c r="J398" s="7"/>
      <c r="K398" s="14" t="str">
        <f aca="false">IF(OR(A398="",F398=0),"",(F398-E398)/F398)</f>
        <v/>
      </c>
      <c r="L398" s="7"/>
    </row>
    <row r="399" customFormat="false" ht="15" hidden="false" customHeight="true" outlineLevel="0" collapsed="false">
      <c r="A399" s="7"/>
      <c r="B399" s="7"/>
      <c r="C399" s="7"/>
      <c r="D399" s="7"/>
      <c r="E399" s="13"/>
      <c r="F399" s="13"/>
      <c r="G399" s="7"/>
      <c r="H399" s="7"/>
      <c r="I399" s="7"/>
      <c r="J399" s="7"/>
      <c r="K399" s="14" t="str">
        <f aca="false">IF(OR(A399="",F399=0),"",(F399-E399)/F399)</f>
        <v/>
      </c>
      <c r="L399" s="7"/>
    </row>
    <row r="400" customFormat="false" ht="15" hidden="false" customHeight="true" outlineLevel="0" collapsed="false">
      <c r="A400" s="7"/>
      <c r="B400" s="7"/>
      <c r="C400" s="7"/>
      <c r="D400" s="7"/>
      <c r="E400" s="13"/>
      <c r="F400" s="13"/>
      <c r="G400" s="7"/>
      <c r="H400" s="7"/>
      <c r="I400" s="7"/>
      <c r="J400" s="7"/>
      <c r="K400" s="14" t="str">
        <f aca="false">IF(OR(A400="",F400=0),"",(F400-E400)/F400)</f>
        <v/>
      </c>
      <c r="L400" s="7"/>
    </row>
    <row r="401" customFormat="false" ht="15" hidden="false" customHeight="true" outlineLevel="0" collapsed="false">
      <c r="A401" s="7"/>
      <c r="B401" s="7"/>
      <c r="C401" s="7"/>
      <c r="D401" s="7"/>
      <c r="E401" s="13"/>
      <c r="F401" s="13"/>
      <c r="G401" s="7"/>
      <c r="H401" s="7"/>
      <c r="I401" s="7"/>
      <c r="J401" s="7"/>
      <c r="K401" s="14" t="str">
        <f aca="false">IF(OR(A401="",F401=0),"",(F401-E401)/F401)</f>
        <v/>
      </c>
      <c r="L401" s="7"/>
    </row>
    <row r="402" customFormat="false" ht="15" hidden="false" customHeight="true" outlineLevel="0" collapsed="false">
      <c r="A402" s="7"/>
      <c r="B402" s="7"/>
      <c r="C402" s="7"/>
      <c r="D402" s="7"/>
      <c r="E402" s="13"/>
      <c r="F402" s="13"/>
      <c r="G402" s="7"/>
      <c r="H402" s="7"/>
      <c r="I402" s="7"/>
      <c r="J402" s="7"/>
      <c r="K402" s="14" t="str">
        <f aca="false">IF(OR(A402="",F402=0),"",(F402-E402)/F402)</f>
        <v/>
      </c>
      <c r="L402" s="7"/>
    </row>
    <row r="403" customFormat="false" ht="15" hidden="false" customHeight="true" outlineLevel="0" collapsed="false">
      <c r="A403" s="7"/>
      <c r="B403" s="7"/>
      <c r="C403" s="7"/>
      <c r="D403" s="7"/>
      <c r="E403" s="13"/>
      <c r="F403" s="13"/>
      <c r="G403" s="7"/>
      <c r="H403" s="7"/>
      <c r="I403" s="7"/>
      <c r="J403" s="7"/>
      <c r="K403" s="14" t="str">
        <f aca="false">IF(OR(A403="",F403=0),"",(F403-E403)/F403)</f>
        <v/>
      </c>
      <c r="L403" s="7"/>
    </row>
    <row r="404" customFormat="false" ht="15" hidden="false" customHeight="true" outlineLevel="0" collapsed="false">
      <c r="A404" s="7"/>
      <c r="B404" s="7"/>
      <c r="C404" s="7"/>
      <c r="D404" s="7"/>
      <c r="E404" s="13"/>
      <c r="F404" s="13"/>
      <c r="G404" s="7"/>
      <c r="H404" s="7"/>
      <c r="I404" s="7"/>
      <c r="J404" s="7"/>
      <c r="K404" s="14" t="str">
        <f aca="false">IF(OR(A404="",F404=0),"",(F404-E404)/F404)</f>
        <v/>
      </c>
      <c r="L404" s="7"/>
    </row>
    <row r="405" customFormat="false" ht="15" hidden="false" customHeight="true" outlineLevel="0" collapsed="false">
      <c r="A405" s="7"/>
      <c r="B405" s="7"/>
      <c r="C405" s="7"/>
      <c r="D405" s="7"/>
      <c r="E405" s="13"/>
      <c r="F405" s="13"/>
      <c r="G405" s="7"/>
      <c r="H405" s="7"/>
      <c r="I405" s="7"/>
      <c r="J405" s="7"/>
      <c r="K405" s="14" t="str">
        <f aca="false">IF(OR(A405="",F405=0),"",(F405-E405)/F405)</f>
        <v/>
      </c>
      <c r="L405" s="7"/>
    </row>
    <row r="406" customFormat="false" ht="15" hidden="false" customHeight="true" outlineLevel="0" collapsed="false">
      <c r="A406" s="7"/>
      <c r="B406" s="7"/>
      <c r="C406" s="7"/>
      <c r="D406" s="7"/>
      <c r="E406" s="13"/>
      <c r="F406" s="13"/>
      <c r="G406" s="7"/>
      <c r="H406" s="7"/>
      <c r="I406" s="7"/>
      <c r="J406" s="7"/>
      <c r="K406" s="14" t="str">
        <f aca="false">IF(OR(A406="",F406=0),"",(F406-E406)/F406)</f>
        <v/>
      </c>
      <c r="L406" s="7"/>
    </row>
    <row r="407" customFormat="false" ht="15" hidden="false" customHeight="true" outlineLevel="0" collapsed="false">
      <c r="A407" s="7"/>
      <c r="B407" s="7"/>
      <c r="C407" s="7"/>
      <c r="D407" s="7"/>
      <c r="E407" s="13"/>
      <c r="F407" s="13"/>
      <c r="G407" s="7"/>
      <c r="H407" s="7"/>
      <c r="I407" s="7"/>
      <c r="J407" s="7"/>
      <c r="K407" s="14" t="str">
        <f aca="false">IF(OR(A407="",F407=0),"",(F407-E407)/F407)</f>
        <v/>
      </c>
      <c r="L407" s="7"/>
    </row>
    <row r="408" customFormat="false" ht="15" hidden="false" customHeight="true" outlineLevel="0" collapsed="false">
      <c r="A408" s="7"/>
      <c r="B408" s="7"/>
      <c r="C408" s="7"/>
      <c r="D408" s="7"/>
      <c r="E408" s="13"/>
      <c r="F408" s="13"/>
      <c r="G408" s="7"/>
      <c r="H408" s="7"/>
      <c r="I408" s="7"/>
      <c r="J408" s="7"/>
      <c r="K408" s="14" t="str">
        <f aca="false">IF(OR(A408="",F408=0),"",(F408-E408)/F408)</f>
        <v/>
      </c>
      <c r="L408" s="7"/>
    </row>
    <row r="409" customFormat="false" ht="15" hidden="false" customHeight="true" outlineLevel="0" collapsed="false">
      <c r="A409" s="7"/>
      <c r="B409" s="7"/>
      <c r="C409" s="7"/>
      <c r="D409" s="7"/>
      <c r="E409" s="13"/>
      <c r="F409" s="13"/>
      <c r="G409" s="7"/>
      <c r="H409" s="7"/>
      <c r="I409" s="7"/>
      <c r="J409" s="7"/>
      <c r="K409" s="14" t="str">
        <f aca="false">IF(OR(A409="",F409=0),"",(F409-E409)/F409)</f>
        <v/>
      </c>
      <c r="L409" s="7"/>
    </row>
    <row r="410" customFormat="false" ht="15" hidden="false" customHeight="true" outlineLevel="0" collapsed="false">
      <c r="A410" s="7"/>
      <c r="B410" s="7"/>
      <c r="C410" s="7"/>
      <c r="D410" s="7"/>
      <c r="E410" s="13"/>
      <c r="F410" s="13"/>
      <c r="G410" s="7"/>
      <c r="H410" s="7"/>
      <c r="I410" s="7"/>
      <c r="J410" s="7"/>
      <c r="K410" s="14" t="str">
        <f aca="false">IF(OR(A410="",F410=0),"",(F410-E410)/F410)</f>
        <v/>
      </c>
      <c r="L410" s="7"/>
    </row>
    <row r="411" customFormat="false" ht="15" hidden="false" customHeight="true" outlineLevel="0" collapsed="false">
      <c r="A411" s="7"/>
      <c r="B411" s="7"/>
      <c r="C411" s="7"/>
      <c r="D411" s="7"/>
      <c r="E411" s="13"/>
      <c r="F411" s="13"/>
      <c r="G411" s="7"/>
      <c r="H411" s="7"/>
      <c r="I411" s="7"/>
      <c r="J411" s="7"/>
      <c r="K411" s="14" t="str">
        <f aca="false">IF(OR(A411="",F411=0),"",(F411-E411)/F411)</f>
        <v/>
      </c>
      <c r="L411" s="7"/>
    </row>
    <row r="412" customFormat="false" ht="15" hidden="false" customHeight="true" outlineLevel="0" collapsed="false">
      <c r="A412" s="7"/>
      <c r="B412" s="7"/>
      <c r="C412" s="7"/>
      <c r="D412" s="7"/>
      <c r="E412" s="13"/>
      <c r="F412" s="13"/>
      <c r="G412" s="7"/>
      <c r="H412" s="7"/>
      <c r="I412" s="7"/>
      <c r="J412" s="7"/>
      <c r="K412" s="14" t="str">
        <f aca="false">IF(OR(A412="",F412=0),"",(F412-E412)/F412)</f>
        <v/>
      </c>
      <c r="L412" s="7"/>
    </row>
    <row r="413" customFormat="false" ht="15" hidden="false" customHeight="true" outlineLevel="0" collapsed="false">
      <c r="A413" s="7"/>
      <c r="B413" s="7"/>
      <c r="C413" s="7"/>
      <c r="D413" s="7"/>
      <c r="E413" s="13"/>
      <c r="F413" s="13"/>
      <c r="G413" s="7"/>
      <c r="H413" s="7"/>
      <c r="I413" s="7"/>
      <c r="J413" s="7"/>
      <c r="K413" s="14" t="str">
        <f aca="false">IF(OR(A413="",F413=0),"",(F413-E413)/F413)</f>
        <v/>
      </c>
      <c r="L413" s="7"/>
    </row>
    <row r="414" customFormat="false" ht="15" hidden="false" customHeight="true" outlineLevel="0" collapsed="false">
      <c r="A414" s="7"/>
      <c r="B414" s="7"/>
      <c r="C414" s="7"/>
      <c r="D414" s="7"/>
      <c r="E414" s="13"/>
      <c r="F414" s="13"/>
      <c r="G414" s="7"/>
      <c r="H414" s="7"/>
      <c r="I414" s="7"/>
      <c r="J414" s="7"/>
      <c r="K414" s="14" t="str">
        <f aca="false">IF(OR(A414="",F414=0),"",(F414-E414)/F414)</f>
        <v/>
      </c>
      <c r="L414" s="7"/>
    </row>
    <row r="415" customFormat="false" ht="15" hidden="false" customHeight="true" outlineLevel="0" collapsed="false">
      <c r="A415" s="7"/>
      <c r="B415" s="7"/>
      <c r="C415" s="7"/>
      <c r="D415" s="7"/>
      <c r="E415" s="13"/>
      <c r="F415" s="13"/>
      <c r="G415" s="7"/>
      <c r="H415" s="7"/>
      <c r="I415" s="7"/>
      <c r="J415" s="7"/>
      <c r="K415" s="14" t="str">
        <f aca="false">IF(OR(A415="",F415=0),"",(F415-E415)/F415)</f>
        <v/>
      </c>
      <c r="L415" s="7"/>
    </row>
    <row r="416" customFormat="false" ht="15" hidden="false" customHeight="true" outlineLevel="0" collapsed="false">
      <c r="A416" s="7"/>
      <c r="B416" s="7"/>
      <c r="C416" s="7"/>
      <c r="D416" s="7"/>
      <c r="E416" s="13"/>
      <c r="F416" s="13"/>
      <c r="G416" s="7"/>
      <c r="H416" s="7"/>
      <c r="I416" s="7"/>
      <c r="J416" s="7"/>
      <c r="K416" s="14" t="str">
        <f aca="false">IF(OR(A416="",F416=0),"",(F416-E416)/F416)</f>
        <v/>
      </c>
      <c r="L416" s="7"/>
    </row>
    <row r="417" customFormat="false" ht="15" hidden="false" customHeight="true" outlineLevel="0" collapsed="false">
      <c r="A417" s="7"/>
      <c r="B417" s="7"/>
      <c r="C417" s="7"/>
      <c r="D417" s="7"/>
      <c r="E417" s="13"/>
      <c r="F417" s="13"/>
      <c r="G417" s="7"/>
      <c r="H417" s="7"/>
      <c r="I417" s="7"/>
      <c r="J417" s="7"/>
      <c r="K417" s="14" t="str">
        <f aca="false">IF(OR(A417="",F417=0),"",(F417-E417)/F417)</f>
        <v/>
      </c>
      <c r="L417" s="7"/>
    </row>
    <row r="418" customFormat="false" ht="15" hidden="false" customHeight="true" outlineLevel="0" collapsed="false">
      <c r="A418" s="7"/>
      <c r="B418" s="7"/>
      <c r="C418" s="7"/>
      <c r="D418" s="7"/>
      <c r="E418" s="13"/>
      <c r="F418" s="13"/>
      <c r="G418" s="7"/>
      <c r="H418" s="7"/>
      <c r="I418" s="7"/>
      <c r="J418" s="7"/>
      <c r="K418" s="14" t="str">
        <f aca="false">IF(OR(A418="",F418=0),"",(F418-E418)/F418)</f>
        <v/>
      </c>
      <c r="L418" s="7"/>
    </row>
    <row r="419" customFormat="false" ht="15" hidden="false" customHeight="true" outlineLevel="0" collapsed="false">
      <c r="A419" s="7"/>
      <c r="B419" s="7"/>
      <c r="C419" s="7"/>
      <c r="D419" s="7"/>
      <c r="E419" s="13"/>
      <c r="F419" s="13"/>
      <c r="G419" s="7"/>
      <c r="H419" s="7"/>
      <c r="I419" s="7"/>
      <c r="J419" s="7"/>
      <c r="K419" s="14" t="str">
        <f aca="false">IF(OR(A419="",F419=0),"",(F419-E419)/F419)</f>
        <v/>
      </c>
      <c r="L419" s="7"/>
    </row>
    <row r="420" customFormat="false" ht="15" hidden="false" customHeight="true" outlineLevel="0" collapsed="false">
      <c r="A420" s="7"/>
      <c r="B420" s="7"/>
      <c r="C420" s="7"/>
      <c r="D420" s="7"/>
      <c r="E420" s="13"/>
      <c r="F420" s="13"/>
      <c r="G420" s="7"/>
      <c r="H420" s="7"/>
      <c r="I420" s="7"/>
      <c r="J420" s="7"/>
      <c r="K420" s="14" t="str">
        <f aca="false">IF(OR(A420="",F420=0),"",(F420-E420)/F420)</f>
        <v/>
      </c>
      <c r="L420" s="7"/>
    </row>
    <row r="421" customFormat="false" ht="15" hidden="false" customHeight="true" outlineLevel="0" collapsed="false">
      <c r="A421" s="7"/>
      <c r="B421" s="7"/>
      <c r="C421" s="7"/>
      <c r="D421" s="7"/>
      <c r="E421" s="13"/>
      <c r="F421" s="13"/>
      <c r="G421" s="7"/>
      <c r="H421" s="7"/>
      <c r="I421" s="7"/>
      <c r="J421" s="7"/>
      <c r="K421" s="14" t="str">
        <f aca="false">IF(OR(A421="",F421=0),"",(F421-E421)/F421)</f>
        <v/>
      </c>
      <c r="L421" s="7"/>
    </row>
    <row r="422" customFormat="false" ht="15" hidden="false" customHeight="true" outlineLevel="0" collapsed="false">
      <c r="A422" s="7"/>
      <c r="B422" s="7"/>
      <c r="C422" s="7"/>
      <c r="D422" s="7"/>
      <c r="E422" s="13"/>
      <c r="F422" s="13"/>
      <c r="G422" s="7"/>
      <c r="H422" s="7"/>
      <c r="I422" s="7"/>
      <c r="J422" s="7"/>
      <c r="K422" s="14" t="str">
        <f aca="false">IF(OR(A422="",F422=0),"",(F422-E422)/F422)</f>
        <v/>
      </c>
      <c r="L422" s="7"/>
    </row>
    <row r="423" customFormat="false" ht="15" hidden="false" customHeight="true" outlineLevel="0" collapsed="false">
      <c r="A423" s="7"/>
      <c r="B423" s="7"/>
      <c r="C423" s="7"/>
      <c r="D423" s="7"/>
      <c r="E423" s="13"/>
      <c r="F423" s="13"/>
      <c r="G423" s="7"/>
      <c r="H423" s="7"/>
      <c r="I423" s="7"/>
      <c r="J423" s="7"/>
      <c r="K423" s="14" t="str">
        <f aca="false">IF(OR(A423="",F423=0),"",(F423-E423)/F423)</f>
        <v/>
      </c>
      <c r="L423" s="7"/>
    </row>
    <row r="424" customFormat="false" ht="15" hidden="false" customHeight="true" outlineLevel="0" collapsed="false">
      <c r="A424" s="7"/>
      <c r="B424" s="7"/>
      <c r="C424" s="7"/>
      <c r="D424" s="7"/>
      <c r="E424" s="13"/>
      <c r="F424" s="13"/>
      <c r="G424" s="7"/>
      <c r="H424" s="7"/>
      <c r="I424" s="7"/>
      <c r="J424" s="7"/>
      <c r="K424" s="14" t="str">
        <f aca="false">IF(OR(A424="",F424=0),"",(F424-E424)/F424)</f>
        <v/>
      </c>
      <c r="L424" s="7"/>
    </row>
    <row r="425" customFormat="false" ht="15" hidden="false" customHeight="true" outlineLevel="0" collapsed="false">
      <c r="A425" s="7"/>
      <c r="B425" s="7"/>
      <c r="C425" s="7"/>
      <c r="D425" s="7"/>
      <c r="E425" s="13"/>
      <c r="F425" s="13"/>
      <c r="G425" s="7"/>
      <c r="H425" s="7"/>
      <c r="I425" s="7"/>
      <c r="J425" s="7"/>
      <c r="K425" s="14" t="str">
        <f aca="false">IF(OR(A425="",F425=0),"",(F425-E425)/F425)</f>
        <v/>
      </c>
      <c r="L425" s="7"/>
    </row>
    <row r="426" customFormat="false" ht="15" hidden="false" customHeight="true" outlineLevel="0" collapsed="false">
      <c r="A426" s="7"/>
      <c r="B426" s="7"/>
      <c r="C426" s="7"/>
      <c r="D426" s="7"/>
      <c r="E426" s="13"/>
      <c r="F426" s="13"/>
      <c r="G426" s="7"/>
      <c r="H426" s="7"/>
      <c r="I426" s="7"/>
      <c r="J426" s="7"/>
      <c r="K426" s="14" t="str">
        <f aca="false">IF(OR(A426="",F426=0),"",(F426-E426)/F426)</f>
        <v/>
      </c>
      <c r="L426" s="7"/>
    </row>
    <row r="427" customFormat="false" ht="15" hidden="false" customHeight="true" outlineLevel="0" collapsed="false">
      <c r="A427" s="7"/>
      <c r="B427" s="7"/>
      <c r="C427" s="7"/>
      <c r="D427" s="7"/>
      <c r="E427" s="13"/>
      <c r="F427" s="13"/>
      <c r="G427" s="7"/>
      <c r="H427" s="7"/>
      <c r="I427" s="7"/>
      <c r="J427" s="7"/>
      <c r="K427" s="14" t="str">
        <f aca="false">IF(OR(A427="",F427=0),"",(F427-E427)/F427)</f>
        <v/>
      </c>
      <c r="L427" s="7"/>
    </row>
    <row r="428" customFormat="false" ht="15" hidden="false" customHeight="true" outlineLevel="0" collapsed="false">
      <c r="A428" s="7"/>
      <c r="B428" s="7"/>
      <c r="C428" s="7"/>
      <c r="D428" s="7"/>
      <c r="E428" s="13"/>
      <c r="F428" s="13"/>
      <c r="G428" s="7"/>
      <c r="H428" s="7"/>
      <c r="I428" s="7"/>
      <c r="J428" s="7"/>
      <c r="K428" s="14" t="str">
        <f aca="false">IF(OR(A428="",F428=0),"",(F428-E428)/F428)</f>
        <v/>
      </c>
      <c r="L428" s="7"/>
    </row>
    <row r="429" customFormat="false" ht="15" hidden="false" customHeight="true" outlineLevel="0" collapsed="false">
      <c r="A429" s="7"/>
      <c r="B429" s="7"/>
      <c r="C429" s="7"/>
      <c r="D429" s="7"/>
      <c r="E429" s="13"/>
      <c r="F429" s="13"/>
      <c r="G429" s="7"/>
      <c r="H429" s="7"/>
      <c r="I429" s="7"/>
      <c r="J429" s="7"/>
      <c r="K429" s="14" t="str">
        <f aca="false">IF(OR(A429="",F429=0),"",(F429-E429)/F429)</f>
        <v/>
      </c>
      <c r="L429" s="7"/>
    </row>
    <row r="430" customFormat="false" ht="15" hidden="false" customHeight="true" outlineLevel="0" collapsed="false">
      <c r="A430" s="7"/>
      <c r="B430" s="7"/>
      <c r="C430" s="7"/>
      <c r="D430" s="7"/>
      <c r="E430" s="13"/>
      <c r="F430" s="13"/>
      <c r="G430" s="7"/>
      <c r="H430" s="7"/>
      <c r="I430" s="7"/>
      <c r="J430" s="7"/>
      <c r="K430" s="14" t="str">
        <f aca="false">IF(OR(A430="",F430=0),"",(F430-E430)/F430)</f>
        <v/>
      </c>
      <c r="L430" s="7"/>
    </row>
    <row r="431" customFormat="false" ht="15" hidden="false" customHeight="true" outlineLevel="0" collapsed="false">
      <c r="A431" s="7"/>
      <c r="B431" s="7"/>
      <c r="C431" s="7"/>
      <c r="D431" s="7"/>
      <c r="E431" s="13"/>
      <c r="F431" s="13"/>
      <c r="G431" s="7"/>
      <c r="H431" s="7"/>
      <c r="I431" s="7"/>
      <c r="J431" s="7"/>
      <c r="K431" s="14" t="str">
        <f aca="false">IF(OR(A431="",F431=0),"",(F431-E431)/F431)</f>
        <v/>
      </c>
      <c r="L431" s="7"/>
    </row>
    <row r="432" customFormat="false" ht="15" hidden="false" customHeight="true" outlineLevel="0" collapsed="false">
      <c r="A432" s="7"/>
      <c r="B432" s="7"/>
      <c r="C432" s="7"/>
      <c r="D432" s="7"/>
      <c r="E432" s="13"/>
      <c r="F432" s="13"/>
      <c r="G432" s="7"/>
      <c r="H432" s="7"/>
      <c r="I432" s="7"/>
      <c r="J432" s="7"/>
      <c r="K432" s="14" t="str">
        <f aca="false">IF(OR(A432="",F432=0),"",(F432-E432)/F432)</f>
        <v/>
      </c>
      <c r="L432" s="7"/>
    </row>
    <row r="433" customFormat="false" ht="15" hidden="false" customHeight="true" outlineLevel="0" collapsed="false">
      <c r="A433" s="7"/>
      <c r="B433" s="7"/>
      <c r="C433" s="7"/>
      <c r="D433" s="7"/>
      <c r="E433" s="13"/>
      <c r="F433" s="13"/>
      <c r="G433" s="7"/>
      <c r="H433" s="7"/>
      <c r="I433" s="7"/>
      <c r="J433" s="7"/>
      <c r="K433" s="14" t="str">
        <f aca="false">IF(OR(A433="",F433=0),"",(F433-E433)/F433)</f>
        <v/>
      </c>
      <c r="L433" s="7"/>
    </row>
    <row r="434" customFormat="false" ht="15" hidden="false" customHeight="true" outlineLevel="0" collapsed="false">
      <c r="A434" s="7"/>
      <c r="B434" s="7"/>
      <c r="C434" s="7"/>
      <c r="D434" s="7"/>
      <c r="E434" s="13"/>
      <c r="F434" s="13"/>
      <c r="G434" s="7"/>
      <c r="H434" s="7"/>
      <c r="I434" s="7"/>
      <c r="J434" s="7"/>
      <c r="K434" s="14" t="str">
        <f aca="false">IF(OR(A434="",F434=0),"",(F434-E434)/F434)</f>
        <v/>
      </c>
      <c r="L434" s="7"/>
    </row>
    <row r="435" customFormat="false" ht="15" hidden="false" customHeight="true" outlineLevel="0" collapsed="false">
      <c r="A435" s="7"/>
      <c r="B435" s="7"/>
      <c r="C435" s="7"/>
      <c r="D435" s="7"/>
      <c r="E435" s="13"/>
      <c r="F435" s="13"/>
      <c r="G435" s="7"/>
      <c r="H435" s="7"/>
      <c r="I435" s="7"/>
      <c r="J435" s="7"/>
      <c r="K435" s="14" t="str">
        <f aca="false">IF(OR(A435="",F435=0),"",(F435-E435)/F435)</f>
        <v/>
      </c>
      <c r="L435" s="7"/>
    </row>
    <row r="436" customFormat="false" ht="15" hidden="false" customHeight="true" outlineLevel="0" collapsed="false">
      <c r="A436" s="7"/>
      <c r="B436" s="7"/>
      <c r="C436" s="7"/>
      <c r="D436" s="7"/>
      <c r="E436" s="13"/>
      <c r="F436" s="13"/>
      <c r="G436" s="7"/>
      <c r="H436" s="7"/>
      <c r="I436" s="7"/>
      <c r="J436" s="7"/>
      <c r="K436" s="14" t="str">
        <f aca="false">IF(OR(A436="",F436=0),"",(F436-E436)/F436)</f>
        <v/>
      </c>
      <c r="L436" s="7"/>
    </row>
    <row r="437" customFormat="false" ht="15" hidden="false" customHeight="true" outlineLevel="0" collapsed="false">
      <c r="A437" s="7"/>
      <c r="B437" s="7"/>
      <c r="C437" s="7"/>
      <c r="D437" s="7"/>
      <c r="E437" s="13"/>
      <c r="F437" s="13"/>
      <c r="G437" s="7"/>
      <c r="H437" s="7"/>
      <c r="I437" s="7"/>
      <c r="J437" s="7"/>
      <c r="K437" s="14" t="str">
        <f aca="false">IF(OR(A437="",F437=0),"",(F437-E437)/F437)</f>
        <v/>
      </c>
      <c r="L437" s="7"/>
    </row>
    <row r="438" customFormat="false" ht="15" hidden="false" customHeight="true" outlineLevel="0" collapsed="false">
      <c r="A438" s="7"/>
      <c r="B438" s="7"/>
      <c r="C438" s="7"/>
      <c r="D438" s="7"/>
      <c r="E438" s="13"/>
      <c r="F438" s="13"/>
      <c r="G438" s="7"/>
      <c r="H438" s="7"/>
      <c r="I438" s="7"/>
      <c r="J438" s="7"/>
      <c r="K438" s="14" t="str">
        <f aca="false">IF(OR(A438="",F438=0),"",(F438-E438)/F438)</f>
        <v/>
      </c>
      <c r="L438" s="7"/>
    </row>
    <row r="439" customFormat="false" ht="15" hidden="false" customHeight="true" outlineLevel="0" collapsed="false">
      <c r="A439" s="7"/>
      <c r="B439" s="7"/>
      <c r="C439" s="7"/>
      <c r="D439" s="7"/>
      <c r="E439" s="13"/>
      <c r="F439" s="13"/>
      <c r="G439" s="7"/>
      <c r="H439" s="7"/>
      <c r="I439" s="7"/>
      <c r="J439" s="7"/>
      <c r="K439" s="14" t="str">
        <f aca="false">IF(OR(A439="",F439=0),"",(F439-E439)/F439)</f>
        <v/>
      </c>
      <c r="L439" s="7"/>
    </row>
    <row r="440" customFormat="false" ht="15" hidden="false" customHeight="true" outlineLevel="0" collapsed="false">
      <c r="A440" s="7"/>
      <c r="B440" s="7"/>
      <c r="C440" s="7"/>
      <c r="D440" s="7"/>
      <c r="E440" s="13"/>
      <c r="F440" s="13"/>
      <c r="G440" s="7"/>
      <c r="H440" s="7"/>
      <c r="I440" s="7"/>
      <c r="J440" s="7"/>
      <c r="K440" s="14" t="str">
        <f aca="false">IF(OR(A440="",F440=0),"",(F440-E440)/F440)</f>
        <v/>
      </c>
      <c r="L440" s="7"/>
    </row>
    <row r="441" customFormat="false" ht="15" hidden="false" customHeight="true" outlineLevel="0" collapsed="false">
      <c r="A441" s="7"/>
      <c r="B441" s="7"/>
      <c r="C441" s="7"/>
      <c r="D441" s="7"/>
      <c r="E441" s="13"/>
      <c r="F441" s="13"/>
      <c r="G441" s="7"/>
      <c r="H441" s="7"/>
      <c r="I441" s="7"/>
      <c r="J441" s="7"/>
      <c r="K441" s="14" t="str">
        <f aca="false">IF(OR(A441="",F441=0),"",(F441-E441)/F441)</f>
        <v/>
      </c>
      <c r="L441" s="7"/>
    </row>
    <row r="442" customFormat="false" ht="15" hidden="false" customHeight="true" outlineLevel="0" collapsed="false">
      <c r="A442" s="7"/>
      <c r="B442" s="7"/>
      <c r="C442" s="7"/>
      <c r="D442" s="7"/>
      <c r="E442" s="13"/>
      <c r="F442" s="13"/>
      <c r="G442" s="7"/>
      <c r="H442" s="7"/>
      <c r="I442" s="7"/>
      <c r="J442" s="7"/>
      <c r="K442" s="14" t="str">
        <f aca="false">IF(OR(A442="",F442=0),"",(F442-E442)/F442)</f>
        <v/>
      </c>
      <c r="L442" s="7"/>
    </row>
    <row r="443" customFormat="false" ht="15" hidden="false" customHeight="true" outlineLevel="0" collapsed="false">
      <c r="A443" s="7"/>
      <c r="B443" s="7"/>
      <c r="C443" s="7"/>
      <c r="D443" s="7"/>
      <c r="E443" s="13"/>
      <c r="F443" s="13"/>
      <c r="G443" s="7"/>
      <c r="H443" s="7"/>
      <c r="I443" s="7"/>
      <c r="J443" s="7"/>
      <c r="K443" s="14" t="str">
        <f aca="false">IF(OR(A443="",F443=0),"",(F443-E443)/F443)</f>
        <v/>
      </c>
      <c r="L443" s="7"/>
    </row>
    <row r="444" customFormat="false" ht="15" hidden="false" customHeight="true" outlineLevel="0" collapsed="false">
      <c r="A444" s="7"/>
      <c r="B444" s="7"/>
      <c r="C444" s="7"/>
      <c r="D444" s="7"/>
      <c r="E444" s="13"/>
      <c r="F444" s="13"/>
      <c r="G444" s="7"/>
      <c r="H444" s="7"/>
      <c r="I444" s="7"/>
      <c r="J444" s="7"/>
      <c r="K444" s="14" t="str">
        <f aca="false">IF(OR(A444="",F444=0),"",(F444-E444)/F444)</f>
        <v/>
      </c>
      <c r="L444" s="7"/>
    </row>
    <row r="445" customFormat="false" ht="15" hidden="false" customHeight="true" outlineLevel="0" collapsed="false">
      <c r="A445" s="7"/>
      <c r="B445" s="7"/>
      <c r="C445" s="7"/>
      <c r="D445" s="7"/>
      <c r="E445" s="13"/>
      <c r="F445" s="13"/>
      <c r="G445" s="7"/>
      <c r="H445" s="7"/>
      <c r="I445" s="7"/>
      <c r="J445" s="7"/>
      <c r="K445" s="14" t="str">
        <f aca="false">IF(OR(A445="",F445=0),"",(F445-E445)/F445)</f>
        <v/>
      </c>
      <c r="L445" s="7"/>
    </row>
    <row r="446" customFormat="false" ht="15" hidden="false" customHeight="true" outlineLevel="0" collapsed="false">
      <c r="A446" s="7"/>
      <c r="B446" s="7"/>
      <c r="C446" s="7"/>
      <c r="D446" s="7"/>
      <c r="E446" s="13"/>
      <c r="F446" s="13"/>
      <c r="G446" s="7"/>
      <c r="H446" s="7"/>
      <c r="I446" s="7"/>
      <c r="J446" s="7"/>
      <c r="K446" s="14" t="str">
        <f aca="false">IF(OR(A446="",F446=0),"",(F446-E446)/F446)</f>
        <v/>
      </c>
      <c r="L446" s="7"/>
    </row>
    <row r="447" customFormat="false" ht="15" hidden="false" customHeight="true" outlineLevel="0" collapsed="false">
      <c r="A447" s="7"/>
      <c r="B447" s="7"/>
      <c r="C447" s="7"/>
      <c r="D447" s="7"/>
      <c r="E447" s="13"/>
      <c r="F447" s="13"/>
      <c r="G447" s="7"/>
      <c r="H447" s="7"/>
      <c r="I447" s="7"/>
      <c r="J447" s="7"/>
      <c r="K447" s="14" t="str">
        <f aca="false">IF(OR(A447="",F447=0),"",(F447-E447)/F447)</f>
        <v/>
      </c>
      <c r="L447" s="7"/>
    </row>
    <row r="448" customFormat="false" ht="15" hidden="false" customHeight="true" outlineLevel="0" collapsed="false">
      <c r="A448" s="7"/>
      <c r="B448" s="7"/>
      <c r="C448" s="7"/>
      <c r="D448" s="7"/>
      <c r="E448" s="13"/>
      <c r="F448" s="13"/>
      <c r="G448" s="7"/>
      <c r="H448" s="7"/>
      <c r="I448" s="7"/>
      <c r="J448" s="7"/>
      <c r="K448" s="14" t="str">
        <f aca="false">IF(OR(A448="",F448=0),"",(F448-E448)/F448)</f>
        <v/>
      </c>
      <c r="L448" s="7"/>
    </row>
    <row r="449" customFormat="false" ht="15" hidden="false" customHeight="true" outlineLevel="0" collapsed="false">
      <c r="A449" s="7"/>
      <c r="B449" s="7"/>
      <c r="C449" s="7"/>
      <c r="D449" s="7"/>
      <c r="E449" s="13"/>
      <c r="F449" s="13"/>
      <c r="G449" s="7"/>
      <c r="H449" s="7"/>
      <c r="I449" s="7"/>
      <c r="J449" s="7"/>
      <c r="K449" s="14" t="str">
        <f aca="false">IF(OR(A449="",F449=0),"",(F449-E449)/F449)</f>
        <v/>
      </c>
      <c r="L449" s="7"/>
    </row>
    <row r="450" customFormat="false" ht="15" hidden="false" customHeight="true" outlineLevel="0" collapsed="false">
      <c r="A450" s="7"/>
      <c r="B450" s="7"/>
      <c r="C450" s="7"/>
      <c r="D450" s="7"/>
      <c r="E450" s="13"/>
      <c r="F450" s="13"/>
      <c r="G450" s="7"/>
      <c r="H450" s="7"/>
      <c r="I450" s="7"/>
      <c r="J450" s="7"/>
      <c r="K450" s="14" t="str">
        <f aca="false">IF(OR(A450="",F450=0),"",(F450-E450)/F450)</f>
        <v/>
      </c>
      <c r="L450" s="7"/>
    </row>
    <row r="451" customFormat="false" ht="15" hidden="false" customHeight="true" outlineLevel="0" collapsed="false">
      <c r="A451" s="7"/>
      <c r="B451" s="7"/>
      <c r="C451" s="7"/>
      <c r="D451" s="7"/>
      <c r="E451" s="13"/>
      <c r="F451" s="13"/>
      <c r="G451" s="7"/>
      <c r="H451" s="7"/>
      <c r="I451" s="7"/>
      <c r="J451" s="7"/>
      <c r="K451" s="14" t="str">
        <f aca="false">IF(OR(A451="",F451=0),"",(F451-E451)/F451)</f>
        <v/>
      </c>
      <c r="L451" s="7"/>
    </row>
    <row r="452" customFormat="false" ht="15" hidden="false" customHeight="true" outlineLevel="0" collapsed="false">
      <c r="A452" s="7"/>
      <c r="B452" s="7"/>
      <c r="C452" s="7"/>
      <c r="D452" s="7"/>
      <c r="E452" s="13"/>
      <c r="F452" s="13"/>
      <c r="G452" s="7"/>
      <c r="H452" s="7"/>
      <c r="I452" s="7"/>
      <c r="J452" s="7"/>
      <c r="K452" s="14" t="str">
        <f aca="false">IF(OR(A452="",F452=0),"",(F452-E452)/F452)</f>
        <v/>
      </c>
      <c r="L452" s="7"/>
    </row>
    <row r="453" customFormat="false" ht="15" hidden="false" customHeight="true" outlineLevel="0" collapsed="false">
      <c r="A453" s="7"/>
      <c r="B453" s="7"/>
      <c r="C453" s="7"/>
      <c r="D453" s="7"/>
      <c r="E453" s="13"/>
      <c r="F453" s="13"/>
      <c r="G453" s="7"/>
      <c r="H453" s="7"/>
      <c r="I453" s="7"/>
      <c r="J453" s="7"/>
      <c r="K453" s="14" t="str">
        <f aca="false">IF(OR(A453="",F453=0),"",(F453-E453)/F453)</f>
        <v/>
      </c>
      <c r="L453" s="7"/>
    </row>
    <row r="454" customFormat="false" ht="15" hidden="false" customHeight="true" outlineLevel="0" collapsed="false">
      <c r="A454" s="7"/>
      <c r="B454" s="7"/>
      <c r="C454" s="7"/>
      <c r="D454" s="7"/>
      <c r="E454" s="13"/>
      <c r="F454" s="13"/>
      <c r="G454" s="7"/>
      <c r="H454" s="7"/>
      <c r="I454" s="7"/>
      <c r="J454" s="7"/>
      <c r="K454" s="14" t="str">
        <f aca="false">IF(OR(A454="",F454=0),"",(F454-E454)/F454)</f>
        <v/>
      </c>
      <c r="L454" s="7"/>
    </row>
    <row r="455" customFormat="false" ht="15" hidden="false" customHeight="true" outlineLevel="0" collapsed="false">
      <c r="A455" s="7"/>
      <c r="B455" s="7"/>
      <c r="C455" s="7"/>
      <c r="D455" s="7"/>
      <c r="E455" s="13"/>
      <c r="F455" s="13"/>
      <c r="G455" s="7"/>
      <c r="H455" s="7"/>
      <c r="I455" s="7"/>
      <c r="J455" s="7"/>
      <c r="K455" s="14" t="str">
        <f aca="false">IF(OR(A455="",F455=0),"",(F455-E455)/F455)</f>
        <v/>
      </c>
      <c r="L455" s="7"/>
    </row>
    <row r="456" customFormat="false" ht="15" hidden="false" customHeight="true" outlineLevel="0" collapsed="false">
      <c r="A456" s="7"/>
      <c r="B456" s="7"/>
      <c r="C456" s="7"/>
      <c r="D456" s="7"/>
      <c r="E456" s="13"/>
      <c r="F456" s="13"/>
      <c r="G456" s="7"/>
      <c r="H456" s="7"/>
      <c r="I456" s="7"/>
      <c r="J456" s="7"/>
      <c r="K456" s="14" t="str">
        <f aca="false">IF(OR(A456="",F456=0),"",(F456-E456)/F456)</f>
        <v/>
      </c>
      <c r="L456" s="7"/>
    </row>
    <row r="457" customFormat="false" ht="15" hidden="false" customHeight="true" outlineLevel="0" collapsed="false">
      <c r="A457" s="7"/>
      <c r="B457" s="7"/>
      <c r="C457" s="7"/>
      <c r="D457" s="7"/>
      <c r="E457" s="13"/>
      <c r="F457" s="13"/>
      <c r="G457" s="7"/>
      <c r="H457" s="7"/>
      <c r="I457" s="7"/>
      <c r="J457" s="7"/>
      <c r="K457" s="14" t="str">
        <f aca="false">IF(OR(A457="",F457=0),"",(F457-E457)/F457)</f>
        <v/>
      </c>
      <c r="L457" s="7"/>
    </row>
    <row r="458" customFormat="false" ht="15" hidden="false" customHeight="true" outlineLevel="0" collapsed="false">
      <c r="A458" s="7"/>
      <c r="B458" s="7"/>
      <c r="C458" s="7"/>
      <c r="D458" s="7"/>
      <c r="E458" s="13"/>
      <c r="F458" s="13"/>
      <c r="G458" s="7"/>
      <c r="H458" s="7"/>
      <c r="I458" s="7"/>
      <c r="J458" s="7"/>
      <c r="K458" s="14" t="str">
        <f aca="false">IF(OR(A458="",F458=0),"",(F458-E458)/F458)</f>
        <v/>
      </c>
      <c r="L458" s="7"/>
    </row>
    <row r="459" customFormat="false" ht="15" hidden="false" customHeight="true" outlineLevel="0" collapsed="false">
      <c r="A459" s="7"/>
      <c r="B459" s="7"/>
      <c r="C459" s="7"/>
      <c r="D459" s="7"/>
      <c r="E459" s="13"/>
      <c r="F459" s="13"/>
      <c r="G459" s="7"/>
      <c r="H459" s="7"/>
      <c r="I459" s="7"/>
      <c r="J459" s="7"/>
      <c r="K459" s="14" t="str">
        <f aca="false">IF(OR(A459="",F459=0),"",(F459-E459)/F459)</f>
        <v/>
      </c>
      <c r="L459" s="7"/>
    </row>
    <row r="460" customFormat="false" ht="15" hidden="false" customHeight="true" outlineLevel="0" collapsed="false">
      <c r="A460" s="7"/>
      <c r="B460" s="7"/>
      <c r="C460" s="7"/>
      <c r="D460" s="7"/>
      <c r="E460" s="13"/>
      <c r="F460" s="13"/>
      <c r="G460" s="7"/>
      <c r="H460" s="7"/>
      <c r="I460" s="7"/>
      <c r="J460" s="7"/>
      <c r="K460" s="14" t="str">
        <f aca="false">IF(OR(A460="",F460=0),"",(F460-E460)/F460)</f>
        <v/>
      </c>
      <c r="L460" s="7"/>
    </row>
    <row r="461" customFormat="false" ht="15" hidden="false" customHeight="true" outlineLevel="0" collapsed="false">
      <c r="A461" s="7"/>
      <c r="B461" s="7"/>
      <c r="C461" s="7"/>
      <c r="D461" s="7"/>
      <c r="E461" s="13"/>
      <c r="F461" s="13"/>
      <c r="G461" s="7"/>
      <c r="H461" s="7"/>
      <c r="I461" s="7"/>
      <c r="J461" s="7"/>
      <c r="K461" s="14" t="str">
        <f aca="false">IF(OR(A461="",F461=0),"",(F461-E461)/F461)</f>
        <v/>
      </c>
      <c r="L461" s="7"/>
    </row>
    <row r="462" customFormat="false" ht="15" hidden="false" customHeight="true" outlineLevel="0" collapsed="false">
      <c r="A462" s="7"/>
      <c r="B462" s="7"/>
      <c r="C462" s="7"/>
      <c r="D462" s="7"/>
      <c r="E462" s="13"/>
      <c r="F462" s="13"/>
      <c r="G462" s="7"/>
      <c r="H462" s="7"/>
      <c r="I462" s="7"/>
      <c r="J462" s="7"/>
      <c r="K462" s="14" t="str">
        <f aca="false">IF(OR(A462="",F462=0),"",(F462-E462)/F462)</f>
        <v/>
      </c>
      <c r="L462" s="7"/>
    </row>
    <row r="463" customFormat="false" ht="15" hidden="false" customHeight="true" outlineLevel="0" collapsed="false">
      <c r="A463" s="7"/>
      <c r="B463" s="7"/>
      <c r="C463" s="7"/>
      <c r="D463" s="7"/>
      <c r="E463" s="13"/>
      <c r="F463" s="13"/>
      <c r="G463" s="7"/>
      <c r="H463" s="7"/>
      <c r="I463" s="7"/>
      <c r="J463" s="7"/>
      <c r="K463" s="14" t="str">
        <f aca="false">IF(OR(A463="",F463=0),"",(F463-E463)/F463)</f>
        <v/>
      </c>
      <c r="L463" s="7"/>
    </row>
    <row r="464" customFormat="false" ht="15" hidden="false" customHeight="true" outlineLevel="0" collapsed="false">
      <c r="A464" s="7"/>
      <c r="B464" s="7"/>
      <c r="C464" s="7"/>
      <c r="D464" s="7"/>
      <c r="E464" s="13"/>
      <c r="F464" s="13"/>
      <c r="G464" s="7"/>
      <c r="H464" s="7"/>
      <c r="I464" s="7"/>
      <c r="J464" s="7"/>
      <c r="K464" s="14" t="str">
        <f aca="false">IF(OR(A464="",F464=0),"",(F464-E464)/F464)</f>
        <v/>
      </c>
      <c r="L464" s="7"/>
    </row>
    <row r="465" customFormat="false" ht="15" hidden="false" customHeight="true" outlineLevel="0" collapsed="false">
      <c r="A465" s="7"/>
      <c r="B465" s="7"/>
      <c r="C465" s="7"/>
      <c r="D465" s="7"/>
      <c r="E465" s="13"/>
      <c r="F465" s="13"/>
      <c r="G465" s="7"/>
      <c r="H465" s="7"/>
      <c r="I465" s="7"/>
      <c r="J465" s="7"/>
      <c r="K465" s="14" t="str">
        <f aca="false">IF(OR(A465="",F465=0),"",(F465-E465)/F465)</f>
        <v/>
      </c>
      <c r="L465" s="7"/>
    </row>
    <row r="466" customFormat="false" ht="15" hidden="false" customHeight="true" outlineLevel="0" collapsed="false">
      <c r="A466" s="7"/>
      <c r="B466" s="7"/>
      <c r="C466" s="7"/>
      <c r="D466" s="7"/>
      <c r="E466" s="13"/>
      <c r="F466" s="13"/>
      <c r="G466" s="7"/>
      <c r="H466" s="7"/>
      <c r="I466" s="7"/>
      <c r="J466" s="7"/>
      <c r="K466" s="14" t="str">
        <f aca="false">IF(OR(A466="",F466=0),"",(F466-E466)/F466)</f>
        <v/>
      </c>
      <c r="L466" s="7"/>
    </row>
    <row r="467" customFormat="false" ht="15" hidden="false" customHeight="true" outlineLevel="0" collapsed="false">
      <c r="A467" s="7"/>
      <c r="B467" s="7"/>
      <c r="C467" s="7"/>
      <c r="D467" s="7"/>
      <c r="E467" s="13"/>
      <c r="F467" s="13"/>
      <c r="G467" s="7"/>
      <c r="H467" s="7"/>
      <c r="I467" s="7"/>
      <c r="J467" s="7"/>
      <c r="K467" s="14" t="str">
        <f aca="false">IF(OR(A467="",F467=0),"",(F467-E467)/F467)</f>
        <v/>
      </c>
      <c r="L467" s="7"/>
    </row>
    <row r="468" customFormat="false" ht="15" hidden="false" customHeight="true" outlineLevel="0" collapsed="false">
      <c r="A468" s="7"/>
      <c r="B468" s="7"/>
      <c r="C468" s="7"/>
      <c r="D468" s="7"/>
      <c r="E468" s="13"/>
      <c r="F468" s="13"/>
      <c r="G468" s="7"/>
      <c r="H468" s="7"/>
      <c r="I468" s="7"/>
      <c r="J468" s="7"/>
      <c r="K468" s="14" t="str">
        <f aca="false">IF(OR(A468="",F468=0),"",(F468-E468)/F468)</f>
        <v/>
      </c>
      <c r="L468" s="7"/>
    </row>
    <row r="469" customFormat="false" ht="15" hidden="false" customHeight="true" outlineLevel="0" collapsed="false">
      <c r="A469" s="7"/>
      <c r="B469" s="7"/>
      <c r="C469" s="7"/>
      <c r="D469" s="7"/>
      <c r="E469" s="13"/>
      <c r="F469" s="13"/>
      <c r="G469" s="7"/>
      <c r="H469" s="7"/>
      <c r="I469" s="7"/>
      <c r="J469" s="7"/>
      <c r="K469" s="14" t="str">
        <f aca="false">IF(OR(A469="",F469=0),"",(F469-E469)/F469)</f>
        <v/>
      </c>
      <c r="L469" s="7"/>
    </row>
    <row r="470" customFormat="false" ht="15" hidden="false" customHeight="true" outlineLevel="0" collapsed="false">
      <c r="A470" s="7"/>
      <c r="B470" s="7"/>
      <c r="C470" s="7"/>
      <c r="D470" s="7"/>
      <c r="E470" s="13"/>
      <c r="F470" s="13"/>
      <c r="G470" s="7"/>
      <c r="H470" s="7"/>
      <c r="I470" s="7"/>
      <c r="J470" s="7"/>
      <c r="K470" s="14" t="str">
        <f aca="false">IF(OR(A470="",F470=0),"",(F470-E470)/F470)</f>
        <v/>
      </c>
      <c r="L470" s="7"/>
    </row>
    <row r="471" customFormat="false" ht="15" hidden="false" customHeight="true" outlineLevel="0" collapsed="false">
      <c r="A471" s="7"/>
      <c r="B471" s="7"/>
      <c r="C471" s="7"/>
      <c r="D471" s="7"/>
      <c r="E471" s="13"/>
      <c r="F471" s="13"/>
      <c r="G471" s="7"/>
      <c r="H471" s="7"/>
      <c r="I471" s="7"/>
      <c r="J471" s="7"/>
      <c r="K471" s="14" t="str">
        <f aca="false">IF(OR(A471="",F471=0),"",(F471-E471)/F471)</f>
        <v/>
      </c>
      <c r="L471" s="7"/>
    </row>
    <row r="472" customFormat="false" ht="15" hidden="false" customHeight="true" outlineLevel="0" collapsed="false">
      <c r="A472" s="7"/>
      <c r="B472" s="7"/>
      <c r="C472" s="7"/>
      <c r="D472" s="7"/>
      <c r="E472" s="13"/>
      <c r="F472" s="13"/>
      <c r="G472" s="7"/>
      <c r="H472" s="7"/>
      <c r="I472" s="7"/>
      <c r="J472" s="7"/>
      <c r="K472" s="14" t="str">
        <f aca="false">IF(OR(A472="",F472=0),"",(F472-E472)/F472)</f>
        <v/>
      </c>
      <c r="L472" s="7"/>
    </row>
    <row r="473" customFormat="false" ht="15" hidden="false" customHeight="true" outlineLevel="0" collapsed="false">
      <c r="A473" s="7"/>
      <c r="B473" s="7"/>
      <c r="C473" s="7"/>
      <c r="D473" s="7"/>
      <c r="E473" s="13"/>
      <c r="F473" s="13"/>
      <c r="G473" s="7"/>
      <c r="H473" s="7"/>
      <c r="I473" s="7"/>
      <c r="J473" s="7"/>
      <c r="K473" s="14" t="str">
        <f aca="false">IF(OR(A473="",F473=0),"",(F473-E473)/F473)</f>
        <v/>
      </c>
      <c r="L473" s="7"/>
    </row>
    <row r="474" customFormat="false" ht="15" hidden="false" customHeight="true" outlineLevel="0" collapsed="false">
      <c r="A474" s="7"/>
      <c r="B474" s="7"/>
      <c r="C474" s="7"/>
      <c r="D474" s="7"/>
      <c r="E474" s="13"/>
      <c r="F474" s="13"/>
      <c r="G474" s="7"/>
      <c r="H474" s="7"/>
      <c r="I474" s="7"/>
      <c r="J474" s="7"/>
      <c r="K474" s="14" t="str">
        <f aca="false">IF(OR(A474="",F474=0),"",(F474-E474)/F474)</f>
        <v/>
      </c>
      <c r="L474" s="7"/>
    </row>
    <row r="475" customFormat="false" ht="15" hidden="false" customHeight="true" outlineLevel="0" collapsed="false">
      <c r="A475" s="7"/>
      <c r="B475" s="7"/>
      <c r="C475" s="7"/>
      <c r="D475" s="7"/>
      <c r="E475" s="13"/>
      <c r="F475" s="13"/>
      <c r="G475" s="7"/>
      <c r="H475" s="7"/>
      <c r="I475" s="7"/>
      <c r="J475" s="7"/>
      <c r="K475" s="14" t="str">
        <f aca="false">IF(OR(A475="",F475=0),"",(F475-E475)/F475)</f>
        <v/>
      </c>
      <c r="L475" s="7"/>
    </row>
    <row r="476" customFormat="false" ht="15" hidden="false" customHeight="true" outlineLevel="0" collapsed="false">
      <c r="A476" s="7"/>
      <c r="B476" s="7"/>
      <c r="C476" s="7"/>
      <c r="D476" s="7"/>
      <c r="E476" s="13"/>
      <c r="F476" s="13"/>
      <c r="G476" s="7"/>
      <c r="H476" s="7"/>
      <c r="I476" s="7"/>
      <c r="J476" s="7"/>
      <c r="K476" s="14" t="str">
        <f aca="false">IF(OR(A476="",F476=0),"",(F476-E476)/F476)</f>
        <v/>
      </c>
      <c r="L476" s="7"/>
    </row>
    <row r="477" customFormat="false" ht="15" hidden="false" customHeight="true" outlineLevel="0" collapsed="false">
      <c r="A477" s="7"/>
      <c r="B477" s="7"/>
      <c r="C477" s="7"/>
      <c r="D477" s="7"/>
      <c r="E477" s="13"/>
      <c r="F477" s="13"/>
      <c r="G477" s="7"/>
      <c r="H477" s="7"/>
      <c r="I477" s="7"/>
      <c r="J477" s="7"/>
      <c r="K477" s="14" t="str">
        <f aca="false">IF(OR(A477="",F477=0),"",(F477-E477)/F477)</f>
        <v/>
      </c>
      <c r="L477" s="7"/>
    </row>
    <row r="478" customFormat="false" ht="15" hidden="false" customHeight="true" outlineLevel="0" collapsed="false">
      <c r="A478" s="7"/>
      <c r="B478" s="7"/>
      <c r="C478" s="7"/>
      <c r="D478" s="7"/>
      <c r="E478" s="13"/>
      <c r="F478" s="13"/>
      <c r="G478" s="7"/>
      <c r="H478" s="7"/>
      <c r="I478" s="7"/>
      <c r="J478" s="7"/>
      <c r="K478" s="14" t="str">
        <f aca="false">IF(OR(A478="",F478=0),"",(F478-E478)/F478)</f>
        <v/>
      </c>
      <c r="L478" s="7"/>
    </row>
    <row r="479" customFormat="false" ht="15" hidden="false" customHeight="true" outlineLevel="0" collapsed="false">
      <c r="A479" s="7"/>
      <c r="B479" s="7"/>
      <c r="C479" s="7"/>
      <c r="D479" s="7"/>
      <c r="E479" s="13"/>
      <c r="F479" s="13"/>
      <c r="G479" s="7"/>
      <c r="H479" s="7"/>
      <c r="I479" s="7"/>
      <c r="J479" s="7"/>
      <c r="K479" s="14" t="str">
        <f aca="false">IF(OR(A479="",F479=0),"",(F479-E479)/F479)</f>
        <v/>
      </c>
      <c r="L479" s="7"/>
    </row>
    <row r="480" customFormat="false" ht="15" hidden="false" customHeight="true" outlineLevel="0" collapsed="false">
      <c r="A480" s="7"/>
      <c r="B480" s="7"/>
      <c r="C480" s="7"/>
      <c r="D480" s="7"/>
      <c r="E480" s="13"/>
      <c r="F480" s="13"/>
      <c r="G480" s="7"/>
      <c r="H480" s="7"/>
      <c r="I480" s="7"/>
      <c r="J480" s="7"/>
      <c r="K480" s="14" t="str">
        <f aca="false">IF(OR(A480="",F480=0),"",(F480-E480)/F480)</f>
        <v/>
      </c>
      <c r="L480" s="7"/>
    </row>
    <row r="481" customFormat="false" ht="15" hidden="false" customHeight="true" outlineLevel="0" collapsed="false">
      <c r="A481" s="7"/>
      <c r="B481" s="7"/>
      <c r="C481" s="7"/>
      <c r="D481" s="7"/>
      <c r="E481" s="13"/>
      <c r="F481" s="13"/>
      <c r="G481" s="7"/>
      <c r="H481" s="7"/>
      <c r="I481" s="7"/>
      <c r="J481" s="7"/>
      <c r="K481" s="14" t="str">
        <f aca="false">IF(OR(A481="",F481=0),"",(F481-E481)/F481)</f>
        <v/>
      </c>
      <c r="L481" s="7"/>
    </row>
    <row r="482" customFormat="false" ht="15" hidden="false" customHeight="true" outlineLevel="0" collapsed="false">
      <c r="A482" s="7"/>
      <c r="B482" s="7"/>
      <c r="C482" s="7"/>
      <c r="D482" s="7"/>
      <c r="E482" s="13"/>
      <c r="F482" s="13"/>
      <c r="G482" s="7"/>
      <c r="H482" s="7"/>
      <c r="I482" s="7"/>
      <c r="J482" s="7"/>
      <c r="K482" s="14" t="str">
        <f aca="false">IF(OR(A482="",F482=0),"",(F482-E482)/F482)</f>
        <v/>
      </c>
      <c r="L482" s="7"/>
    </row>
    <row r="483" customFormat="false" ht="15" hidden="false" customHeight="true" outlineLevel="0" collapsed="false">
      <c r="A483" s="7"/>
      <c r="B483" s="7"/>
      <c r="C483" s="7"/>
      <c r="D483" s="7"/>
      <c r="E483" s="13"/>
      <c r="F483" s="13"/>
      <c r="G483" s="7"/>
      <c r="H483" s="7"/>
      <c r="I483" s="7"/>
      <c r="J483" s="7"/>
      <c r="K483" s="14" t="str">
        <f aca="false">IF(OR(A483="",F483=0),"",(F483-E483)/F483)</f>
        <v/>
      </c>
      <c r="L483" s="7"/>
    </row>
    <row r="484" customFormat="false" ht="15" hidden="false" customHeight="true" outlineLevel="0" collapsed="false">
      <c r="A484" s="7"/>
      <c r="B484" s="7"/>
      <c r="C484" s="7"/>
      <c r="D484" s="7"/>
      <c r="E484" s="13"/>
      <c r="F484" s="13"/>
      <c r="G484" s="7"/>
      <c r="H484" s="7"/>
      <c r="I484" s="7"/>
      <c r="J484" s="7"/>
      <c r="K484" s="14" t="str">
        <f aca="false">IF(OR(A484="",F484=0),"",(F484-E484)/F484)</f>
        <v/>
      </c>
      <c r="L484" s="7"/>
    </row>
    <row r="485" customFormat="false" ht="15" hidden="false" customHeight="true" outlineLevel="0" collapsed="false">
      <c r="A485" s="7"/>
      <c r="B485" s="7"/>
      <c r="C485" s="7"/>
      <c r="D485" s="7"/>
      <c r="E485" s="13"/>
      <c r="F485" s="13"/>
      <c r="G485" s="7"/>
      <c r="H485" s="7"/>
      <c r="I485" s="7"/>
      <c r="J485" s="7"/>
      <c r="K485" s="14" t="str">
        <f aca="false">IF(OR(A485="",F485=0),"",(F485-E485)/F485)</f>
        <v/>
      </c>
      <c r="L485" s="7"/>
    </row>
    <row r="486" customFormat="false" ht="15" hidden="false" customHeight="true" outlineLevel="0" collapsed="false">
      <c r="A486" s="7"/>
      <c r="B486" s="7"/>
      <c r="C486" s="7"/>
      <c r="D486" s="7"/>
      <c r="E486" s="13"/>
      <c r="F486" s="13"/>
      <c r="G486" s="7"/>
      <c r="H486" s="7"/>
      <c r="I486" s="7"/>
      <c r="J486" s="7"/>
      <c r="K486" s="14" t="str">
        <f aca="false">IF(OR(A486="",F486=0),"",(F486-E486)/F486)</f>
        <v/>
      </c>
      <c r="L486" s="7"/>
    </row>
    <row r="487" customFormat="false" ht="15" hidden="false" customHeight="true" outlineLevel="0" collapsed="false">
      <c r="A487" s="7"/>
      <c r="B487" s="7"/>
      <c r="C487" s="7"/>
      <c r="D487" s="7"/>
      <c r="E487" s="13"/>
      <c r="F487" s="13"/>
      <c r="G487" s="7"/>
      <c r="H487" s="7"/>
      <c r="I487" s="7"/>
      <c r="J487" s="7"/>
      <c r="K487" s="14" t="str">
        <f aca="false">IF(OR(A487="",F487=0),"",(F487-E487)/F487)</f>
        <v/>
      </c>
      <c r="L487" s="7"/>
    </row>
    <row r="488" customFormat="false" ht="15" hidden="false" customHeight="true" outlineLevel="0" collapsed="false">
      <c r="A488" s="7"/>
      <c r="B488" s="7"/>
      <c r="C488" s="7"/>
      <c r="D488" s="7"/>
      <c r="E488" s="13"/>
      <c r="F488" s="13"/>
      <c r="G488" s="7"/>
      <c r="H488" s="7"/>
      <c r="I488" s="7"/>
      <c r="J488" s="7"/>
      <c r="K488" s="14" t="str">
        <f aca="false">IF(OR(A488="",F488=0),"",(F488-E488)/F488)</f>
        <v/>
      </c>
      <c r="L488" s="7"/>
    </row>
    <row r="489" customFormat="false" ht="15" hidden="false" customHeight="true" outlineLevel="0" collapsed="false">
      <c r="A489" s="7"/>
      <c r="B489" s="7"/>
      <c r="C489" s="7"/>
      <c r="D489" s="7"/>
      <c r="E489" s="13"/>
      <c r="F489" s="13"/>
      <c r="G489" s="7"/>
      <c r="H489" s="7"/>
      <c r="I489" s="7"/>
      <c r="J489" s="7"/>
      <c r="K489" s="14" t="str">
        <f aca="false">IF(OR(A489="",F489=0),"",(F489-E489)/F489)</f>
        <v/>
      </c>
      <c r="L489" s="7"/>
    </row>
    <row r="490" customFormat="false" ht="15" hidden="false" customHeight="true" outlineLevel="0" collapsed="false">
      <c r="A490" s="7"/>
      <c r="B490" s="7"/>
      <c r="C490" s="7"/>
      <c r="D490" s="7"/>
      <c r="E490" s="13"/>
      <c r="F490" s="13"/>
      <c r="G490" s="7"/>
      <c r="H490" s="7"/>
      <c r="I490" s="7"/>
      <c r="J490" s="7"/>
      <c r="K490" s="14" t="str">
        <f aca="false">IF(OR(A490="",F490=0),"",(F490-E490)/F490)</f>
        <v/>
      </c>
      <c r="L490" s="7"/>
    </row>
    <row r="491" customFormat="false" ht="15" hidden="false" customHeight="true" outlineLevel="0" collapsed="false">
      <c r="A491" s="7"/>
      <c r="B491" s="7"/>
      <c r="C491" s="7"/>
      <c r="D491" s="7"/>
      <c r="E491" s="13"/>
      <c r="F491" s="13"/>
      <c r="G491" s="7"/>
      <c r="H491" s="7"/>
      <c r="I491" s="7"/>
      <c r="J491" s="7"/>
      <c r="K491" s="14" t="str">
        <f aca="false">IF(OR(A491="",F491=0),"",(F491-E491)/F491)</f>
        <v/>
      </c>
      <c r="L491" s="7"/>
    </row>
    <row r="492" customFormat="false" ht="15" hidden="false" customHeight="true" outlineLevel="0" collapsed="false">
      <c r="A492" s="7"/>
      <c r="B492" s="7"/>
      <c r="C492" s="7"/>
      <c r="D492" s="7"/>
      <c r="E492" s="13"/>
      <c r="F492" s="13"/>
      <c r="G492" s="7"/>
      <c r="H492" s="7"/>
      <c r="I492" s="7"/>
      <c r="J492" s="7"/>
      <c r="K492" s="14" t="str">
        <f aca="false">IF(OR(A492="",F492=0),"",(F492-E492)/F492)</f>
        <v/>
      </c>
      <c r="L492" s="7"/>
    </row>
    <row r="493" customFormat="false" ht="15" hidden="false" customHeight="true" outlineLevel="0" collapsed="false">
      <c r="A493" s="7"/>
      <c r="B493" s="7"/>
      <c r="C493" s="7"/>
      <c r="D493" s="7"/>
      <c r="E493" s="13"/>
      <c r="F493" s="13"/>
      <c r="G493" s="7"/>
      <c r="H493" s="7"/>
      <c r="I493" s="7"/>
      <c r="J493" s="7"/>
      <c r="K493" s="14" t="str">
        <f aca="false">IF(OR(A493="",F493=0),"",(F493-E493)/F493)</f>
        <v/>
      </c>
      <c r="L493" s="7"/>
    </row>
    <row r="494" customFormat="false" ht="15" hidden="false" customHeight="true" outlineLevel="0" collapsed="false">
      <c r="A494" s="7"/>
      <c r="B494" s="7"/>
      <c r="C494" s="7"/>
      <c r="D494" s="7"/>
      <c r="E494" s="13"/>
      <c r="F494" s="13"/>
      <c r="G494" s="7"/>
      <c r="H494" s="7"/>
      <c r="I494" s="7"/>
      <c r="J494" s="7"/>
      <c r="K494" s="14" t="str">
        <f aca="false">IF(OR(A494="",F494=0),"",(F494-E494)/F494)</f>
        <v/>
      </c>
      <c r="L494" s="7"/>
    </row>
    <row r="495" customFormat="false" ht="15" hidden="false" customHeight="true" outlineLevel="0" collapsed="false">
      <c r="A495" s="7"/>
      <c r="B495" s="7"/>
      <c r="C495" s="7"/>
      <c r="D495" s="7"/>
      <c r="E495" s="13"/>
      <c r="F495" s="13"/>
      <c r="G495" s="7"/>
      <c r="H495" s="7"/>
      <c r="I495" s="7"/>
      <c r="J495" s="7"/>
      <c r="K495" s="14" t="str">
        <f aca="false">IF(OR(A495="",F495=0),"",(F495-E495)/F495)</f>
        <v/>
      </c>
      <c r="L495" s="7"/>
    </row>
    <row r="496" customFormat="false" ht="15" hidden="false" customHeight="true" outlineLevel="0" collapsed="false">
      <c r="A496" s="7"/>
      <c r="B496" s="7"/>
      <c r="C496" s="7"/>
      <c r="D496" s="7"/>
      <c r="E496" s="13"/>
      <c r="F496" s="13"/>
      <c r="G496" s="7"/>
      <c r="H496" s="7"/>
      <c r="I496" s="7"/>
      <c r="J496" s="7"/>
      <c r="K496" s="14" t="str">
        <f aca="false">IF(OR(A496="",F496=0),"",(F496-E496)/F496)</f>
        <v/>
      </c>
      <c r="L496" s="7"/>
    </row>
    <row r="497" customFormat="false" ht="15" hidden="false" customHeight="true" outlineLevel="0" collapsed="false">
      <c r="A497" s="7"/>
      <c r="B497" s="7"/>
      <c r="C497" s="7"/>
      <c r="D497" s="7"/>
      <c r="E497" s="13"/>
      <c r="F497" s="13"/>
      <c r="G497" s="7"/>
      <c r="H497" s="7"/>
      <c r="I497" s="7"/>
      <c r="J497" s="7"/>
      <c r="K497" s="14" t="str">
        <f aca="false">IF(OR(A497="",F497=0),"",(F497-E497)/F497)</f>
        <v/>
      </c>
      <c r="L497" s="7"/>
    </row>
    <row r="498" customFormat="false" ht="15" hidden="false" customHeight="true" outlineLevel="0" collapsed="false">
      <c r="A498" s="7"/>
      <c r="B498" s="7"/>
      <c r="C498" s="7"/>
      <c r="D498" s="7"/>
      <c r="E498" s="13"/>
      <c r="F498" s="13"/>
      <c r="G498" s="7"/>
      <c r="H498" s="7"/>
      <c r="I498" s="7"/>
      <c r="J498" s="7"/>
      <c r="K498" s="14" t="str">
        <f aca="false">IF(OR(A498="",F498=0),"",(F498-E498)/F498)</f>
        <v/>
      </c>
      <c r="L498" s="7"/>
    </row>
    <row r="499" customFormat="false" ht="15" hidden="false" customHeight="true" outlineLevel="0" collapsed="false">
      <c r="A499" s="7"/>
      <c r="B499" s="7"/>
      <c r="C499" s="7"/>
      <c r="D499" s="7"/>
      <c r="E499" s="13"/>
      <c r="F499" s="13"/>
      <c r="G499" s="7"/>
      <c r="H499" s="7"/>
      <c r="I499" s="7"/>
      <c r="J499" s="7"/>
      <c r="K499" s="14" t="str">
        <f aca="false">IF(OR(A499="",F499=0),"",(F499-E499)/F499)</f>
        <v/>
      </c>
      <c r="L499" s="7"/>
    </row>
    <row r="500" customFormat="false" ht="15" hidden="false" customHeight="true" outlineLevel="0" collapsed="false">
      <c r="A500" s="7"/>
      <c r="B500" s="7"/>
      <c r="C500" s="7"/>
      <c r="D500" s="7"/>
      <c r="E500" s="13"/>
      <c r="F500" s="13"/>
      <c r="G500" s="7"/>
      <c r="H500" s="7"/>
      <c r="I500" s="7"/>
      <c r="J500" s="7"/>
      <c r="K500" s="14" t="str">
        <f aca="false">IF(OR(A500="",F500=0),"",(F500-E500)/F500)</f>
        <v/>
      </c>
      <c r="L500" s="7"/>
    </row>
    <row r="501" customFormat="false" ht="15" hidden="false" customHeight="true" outlineLevel="0" collapsed="false">
      <c r="A501" s="7"/>
      <c r="B501" s="7"/>
      <c r="C501" s="7"/>
      <c r="D501" s="7"/>
      <c r="E501" s="13"/>
      <c r="F501" s="13"/>
      <c r="G501" s="7"/>
      <c r="H501" s="7"/>
      <c r="I501" s="7"/>
      <c r="J501" s="7"/>
      <c r="K501" s="14" t="str">
        <f aca="false">IF(OR(A501="",F501=0),"",(F501-E501)/F501)</f>
        <v/>
      </c>
      <c r="L501" s="7"/>
    </row>
  </sheetData>
  <dataValidations count="3">
    <dataValidation allowBlank="true" errorStyle="stop" operator="between" showDropDown="false" showErrorMessage="false" showInputMessage="false" sqref="C2:C501" type="list">
      <formula1>Settings!$D$3:$D$22</formula1>
      <formula2>0</formula2>
    </dataValidation>
    <dataValidation allowBlank="true" errorStyle="stop" operator="between" showDropDown="false" showErrorMessage="false" showInputMessage="false" sqref="D2:D501" type="list">
      <formula1>Settings!$E$3:$E$12</formula1>
      <formula2>0</formula2>
    </dataValidation>
    <dataValidation allowBlank="true" errorStyle="stop" operator="between" showDropDown="false" showErrorMessage="false" showInputMessage="false" sqref="J2:J50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30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14"/>
  </cols>
  <sheetData>
    <row r="1" customFormat="false" ht="31.5" hidden="false" customHeight="true" outlineLevel="0" collapsed="false">
      <c r="A1" s="11" t="s">
        <v>124</v>
      </c>
      <c r="B1" s="11" t="s">
        <v>125</v>
      </c>
      <c r="C1" s="12" t="s">
        <v>126</v>
      </c>
      <c r="D1" s="11" t="s">
        <v>127</v>
      </c>
      <c r="E1" s="11" t="s">
        <v>128</v>
      </c>
      <c r="F1" s="12" t="s">
        <v>129</v>
      </c>
      <c r="G1" s="11" t="s">
        <v>72</v>
      </c>
      <c r="H1" s="11" t="s">
        <v>130</v>
      </c>
    </row>
    <row r="2" customFormat="false" ht="15" hidden="false" customHeight="true" outlineLevel="0" collapsed="false">
      <c r="A2" s="15" t="n">
        <v>46243</v>
      </c>
      <c r="B2" s="7" t="s">
        <v>119</v>
      </c>
      <c r="C2" s="16" t="str">
        <f aca="false">IF(B2="","",IFERROR(INDEX(Products!$B$2:$B$501,MATCH(B2,Products!$A$2:$A$501,0)),"CODE NOT FOUND"))</f>
        <v>Chain Lube Spray</v>
      </c>
      <c r="D2" s="7" t="n">
        <v>24</v>
      </c>
      <c r="E2" s="13" t="n">
        <v>170</v>
      </c>
      <c r="F2" s="17"/>
      <c r="G2" s="7" t="s">
        <v>84</v>
      </c>
      <c r="H2" s="7" t="s">
        <v>131</v>
      </c>
    </row>
    <row r="3" customFormat="false" ht="15" hidden="false" customHeight="true" outlineLevel="0" collapsed="false">
      <c r="A3" s="15" t="n">
        <v>46247</v>
      </c>
      <c r="B3" s="7" t="s">
        <v>121</v>
      </c>
      <c r="C3" s="16" t="str">
        <f aca="false">IF(B3="","",IFERROR(INDEX(Products!$B$2:$B$501,MATCH(B3,Products!$A$2:$A$501,0)),"CODE NOT FOUND"))</f>
        <v>Handle Grip Set</v>
      </c>
      <c r="D3" s="7" t="n">
        <v>21</v>
      </c>
      <c r="E3" s="13" t="n">
        <v>160</v>
      </c>
      <c r="F3" s="17"/>
      <c r="G3" s="7" t="s">
        <v>79</v>
      </c>
      <c r="H3" s="7" t="s">
        <v>132</v>
      </c>
    </row>
    <row r="4" customFormat="false" ht="15" hidden="false" customHeight="true" outlineLevel="0" collapsed="false">
      <c r="A4" s="15" t="n">
        <v>46247</v>
      </c>
      <c r="B4" s="7" t="s">
        <v>82</v>
      </c>
      <c r="C4" s="16" t="str">
        <f aca="false">IF(B4="","",IFERROR(INDEX(Products!$B$2:$B$501,MATCH(B4,Products!$A$2:$A$501,0)),"CODE NOT FOUND"))</f>
        <v>Clutch Cable</v>
      </c>
      <c r="D4" s="7" t="n">
        <v>42</v>
      </c>
      <c r="E4" s="13" t="n">
        <v>110</v>
      </c>
      <c r="F4" s="17"/>
      <c r="G4" s="7" t="s">
        <v>79</v>
      </c>
      <c r="H4" s="7" t="s">
        <v>133</v>
      </c>
    </row>
    <row r="5" customFormat="false" ht="15" hidden="false" customHeight="true" outlineLevel="0" collapsed="false">
      <c r="A5" s="15" t="n">
        <v>46248</v>
      </c>
      <c r="B5" s="7" t="s">
        <v>99</v>
      </c>
      <c r="C5" s="16" t="str">
        <f aca="false">IF(B5="","",IFERROR(INDEX(Products!$B$2:$B$501,MATCH(B5,Products!$A$2:$A$501,0)),"CODE NOT FOUND"))</f>
        <v>Engine Oil 20W-50 (1L)</v>
      </c>
      <c r="D5" s="7" t="n">
        <v>35</v>
      </c>
      <c r="E5" s="13" t="n">
        <v>780</v>
      </c>
      <c r="F5" s="17"/>
      <c r="G5" s="7" t="s">
        <v>88</v>
      </c>
      <c r="H5" s="7" t="s">
        <v>134</v>
      </c>
    </row>
    <row r="6" customFormat="false" ht="15" hidden="false" customHeight="true" outlineLevel="0" collapsed="false">
      <c r="A6" s="15" t="n">
        <v>46248</v>
      </c>
      <c r="B6" s="7" t="s">
        <v>90</v>
      </c>
      <c r="C6" s="16" t="str">
        <f aca="false">IF(B6="","",IFERROR(INDEX(Products!$B$2:$B$501,MATCH(B6,Products!$A$2:$A$501,0)),"CODE NOT FOUND"))</f>
        <v>Air Filter 150cc</v>
      </c>
      <c r="D6" s="7" t="n">
        <v>31</v>
      </c>
      <c r="E6" s="13" t="n">
        <v>210</v>
      </c>
      <c r="F6" s="17" t="n">
        <f aca="false">IF(OR(D6="",E6=""),"",D6*E6)</f>
        <v>6510</v>
      </c>
      <c r="G6" s="7" t="s">
        <v>84</v>
      </c>
      <c r="H6" s="7" t="s">
        <v>135</v>
      </c>
    </row>
    <row r="7" customFormat="false" ht="15" hidden="false" customHeight="true" outlineLevel="0" collapsed="false">
      <c r="A7" s="15" t="n">
        <v>46248</v>
      </c>
      <c r="B7" s="7" t="s">
        <v>119</v>
      </c>
      <c r="C7" s="16" t="str">
        <f aca="false">IF(B7="","",IFERROR(INDEX(Products!$B$2:$B$501,MATCH(B7,Products!$A$2:$A$501,0)),"CODE NOT FOUND"))</f>
        <v>Chain Lube Spray</v>
      </c>
      <c r="D7" s="7" t="n">
        <v>24</v>
      </c>
      <c r="E7" s="13" t="n">
        <v>170</v>
      </c>
      <c r="F7" s="17" t="n">
        <f aca="false">IF(OR(D7="",E7=""),"",D7*E7)</f>
        <v>4080</v>
      </c>
      <c r="G7" s="7" t="s">
        <v>84</v>
      </c>
      <c r="H7" s="7" t="s">
        <v>136</v>
      </c>
    </row>
    <row r="8" customFormat="false" ht="15" hidden="false" customHeight="true" outlineLevel="0" collapsed="false">
      <c r="A8" s="15" t="n">
        <v>46251</v>
      </c>
      <c r="B8" s="7" t="s">
        <v>102</v>
      </c>
      <c r="C8" s="16" t="str">
        <f aca="false">IF(B8="","",IFERROR(INDEX(Products!$B$2:$B$501,MATCH(B8,Products!$A$2:$A$501,0)),"CODE NOT FOUND"))</f>
        <v>Headlight Bulb H4</v>
      </c>
      <c r="D8" s="7" t="n">
        <v>49</v>
      </c>
      <c r="E8" s="13" t="n">
        <v>140</v>
      </c>
      <c r="F8" s="17" t="n">
        <f aca="false">IF(OR(D8="",E8=""),"",D8*E8)</f>
        <v>6860</v>
      </c>
      <c r="G8" s="7" t="s">
        <v>84</v>
      </c>
      <c r="H8" s="7" t="s">
        <v>137</v>
      </c>
    </row>
    <row r="9" customFormat="false" ht="15" hidden="false" customHeight="true" outlineLevel="0" collapsed="false">
      <c r="A9" s="15" t="n">
        <v>46256</v>
      </c>
      <c r="B9" s="7" t="s">
        <v>114</v>
      </c>
      <c r="C9" s="16" t="str">
        <f aca="false">IF(B9="","",IFERROR(INDEX(Products!$B$2:$B$501,MATCH(B9,Products!$A$2:$A$501,0)),"CODE NOT FOUND"))</f>
        <v>Side Mirror (Pair)</v>
      </c>
      <c r="D9" s="7" t="n">
        <v>17</v>
      </c>
      <c r="E9" s="13" t="n">
        <v>380</v>
      </c>
      <c r="F9" s="17" t="n">
        <f aca="false">IF(OR(D9="",E9=""),"",D9*E9)</f>
        <v>6460</v>
      </c>
      <c r="G9" s="7" t="s">
        <v>88</v>
      </c>
      <c r="H9" s="7" t="s">
        <v>138</v>
      </c>
    </row>
    <row r="10" customFormat="false" ht="15" hidden="false" customHeight="true" outlineLevel="0" collapsed="false">
      <c r="A10" s="15" t="n">
        <v>46256</v>
      </c>
      <c r="B10" s="7" t="s">
        <v>111</v>
      </c>
      <c r="C10" s="16" t="str">
        <f aca="false">IF(B10="","",IFERROR(INDEX(Products!$B$2:$B$501,MATCH(B10,Products!$A$2:$A$501,0)),"CODE NOT FOUND"))</f>
        <v>Tyre 80/100-18 Front</v>
      </c>
      <c r="D10" s="7" t="n">
        <v>7</v>
      </c>
      <c r="E10" s="13" t="n">
        <v>2300</v>
      </c>
      <c r="F10" s="17" t="n">
        <f aca="false">IF(OR(D10="",E10=""),"",D10*E10)</f>
        <v>16100</v>
      </c>
      <c r="G10" s="7" t="s">
        <v>84</v>
      </c>
      <c r="H10" s="7" t="s">
        <v>139</v>
      </c>
    </row>
    <row r="11" customFormat="false" ht="15" hidden="false" customHeight="true" outlineLevel="0" collapsed="false">
      <c r="A11" s="15" t="n">
        <v>46256</v>
      </c>
      <c r="B11" s="7" t="s">
        <v>82</v>
      </c>
      <c r="C11" s="16" t="str">
        <f aca="false">IF(B11="","",IFERROR(INDEX(Products!$B$2:$B$501,MATCH(B11,Products!$A$2:$A$501,0)),"CODE NOT FOUND"))</f>
        <v>Clutch Cable</v>
      </c>
      <c r="D11" s="7" t="n">
        <v>42</v>
      </c>
      <c r="E11" s="13" t="n">
        <v>110</v>
      </c>
      <c r="F11" s="17" t="n">
        <f aca="false">IF(OR(D11="",E11=""),"",D11*E11)</f>
        <v>4620</v>
      </c>
      <c r="G11" s="7" t="s">
        <v>79</v>
      </c>
      <c r="H11" s="7" t="s">
        <v>140</v>
      </c>
    </row>
    <row r="12" customFormat="false" ht="15" hidden="false" customHeight="true" outlineLevel="0" collapsed="false">
      <c r="A12" s="15" t="n">
        <v>46257</v>
      </c>
      <c r="B12" s="7" t="s">
        <v>121</v>
      </c>
      <c r="C12" s="16" t="str">
        <f aca="false">IF(B12="","",IFERROR(INDEX(Products!$B$2:$B$501,MATCH(B12,Products!$A$2:$A$501,0)),"CODE NOT FOUND"))</f>
        <v>Handle Grip Set</v>
      </c>
      <c r="D12" s="7" t="n">
        <v>21</v>
      </c>
      <c r="E12" s="13" t="n">
        <v>160</v>
      </c>
      <c r="F12" s="17" t="n">
        <f aca="false">IF(OR(D12="",E12=""),"",D12*E12)</f>
        <v>3360</v>
      </c>
      <c r="G12" s="7" t="s">
        <v>79</v>
      </c>
      <c r="H12" s="7" t="s">
        <v>141</v>
      </c>
    </row>
    <row r="13" customFormat="false" ht="15" hidden="false" customHeight="true" outlineLevel="0" collapsed="false">
      <c r="A13" s="15" t="n">
        <v>46260</v>
      </c>
      <c r="B13" s="7" t="s">
        <v>77</v>
      </c>
      <c r="C13" s="16" t="str">
        <f aca="false">IF(B13="","",IFERROR(INDEX(Products!$B$2:$B$501,MATCH(B13,Products!$A$2:$A$501,0)),"CODE NOT FOUND"))</f>
        <v>Brake Pad Set - Front</v>
      </c>
      <c r="D13" s="7" t="n">
        <v>28</v>
      </c>
      <c r="E13" s="13" t="n">
        <v>320</v>
      </c>
      <c r="F13" s="17" t="n">
        <f aca="false">IF(OR(D13="",E13=""),"",D13*E13)</f>
        <v>8960</v>
      </c>
      <c r="G13" s="7" t="s">
        <v>84</v>
      </c>
      <c r="H13" s="7" t="s">
        <v>142</v>
      </c>
    </row>
    <row r="14" customFormat="false" ht="15" hidden="false" customHeight="true" outlineLevel="0" collapsed="false">
      <c r="A14" s="15" t="n">
        <v>46260</v>
      </c>
      <c r="B14" s="7" t="s">
        <v>119</v>
      </c>
      <c r="C14" s="16" t="str">
        <f aca="false">IF(B14="","",IFERROR(INDEX(Products!$B$2:$B$501,MATCH(B14,Products!$A$2:$A$501,0)),"CODE NOT FOUND"))</f>
        <v>Chain Lube Spray</v>
      </c>
      <c r="D14" s="7" t="n">
        <v>24</v>
      </c>
      <c r="E14" s="13" t="n">
        <v>170</v>
      </c>
      <c r="F14" s="17" t="n">
        <f aca="false">IF(OR(D14="",E14=""),"",D14*E14)</f>
        <v>4080</v>
      </c>
      <c r="G14" s="7" t="s">
        <v>84</v>
      </c>
      <c r="H14" s="7" t="s">
        <v>143</v>
      </c>
    </row>
    <row r="15" customFormat="false" ht="15" hidden="false" customHeight="true" outlineLevel="0" collapsed="false">
      <c r="A15" s="15" t="n">
        <v>46266</v>
      </c>
      <c r="B15" s="7" t="s">
        <v>86</v>
      </c>
      <c r="C15" s="16" t="str">
        <f aca="false">IF(B15="","",IFERROR(INDEX(Products!$B$2:$B$501,MATCH(B15,Products!$A$2:$A$501,0)),"CODE NOT FOUND"))</f>
        <v>Spark Plug CPR8EA-9</v>
      </c>
      <c r="D15" s="7" t="n">
        <v>70</v>
      </c>
      <c r="E15" s="13" t="n">
        <v>175</v>
      </c>
      <c r="F15" s="17" t="n">
        <f aca="false">IF(OR(D15="",E15=""),"",D15*E15)</f>
        <v>12250</v>
      </c>
      <c r="G15" s="7" t="s">
        <v>79</v>
      </c>
      <c r="H15" s="7" t="s">
        <v>144</v>
      </c>
    </row>
    <row r="16" customFormat="false" ht="15" hidden="false" customHeight="true" outlineLevel="0" collapsed="false">
      <c r="A16" s="15" t="n">
        <v>46267</v>
      </c>
      <c r="B16" s="7" t="s">
        <v>121</v>
      </c>
      <c r="C16" s="16" t="str">
        <f aca="false">IF(B16="","",IFERROR(INDEX(Products!$B$2:$B$501,MATCH(B16,Products!$A$2:$A$501,0)),"CODE NOT FOUND"))</f>
        <v>Handle Grip Set</v>
      </c>
      <c r="D16" s="7" t="n">
        <v>21</v>
      </c>
      <c r="E16" s="13" t="n">
        <v>160</v>
      </c>
      <c r="F16" s="17" t="n">
        <f aca="false">IF(OR(D16="",E16=""),"",D16*E16)</f>
        <v>3360</v>
      </c>
      <c r="G16" s="7" t="s">
        <v>79</v>
      </c>
      <c r="H16" s="7" t="s">
        <v>145</v>
      </c>
    </row>
    <row r="17" customFormat="false" ht="15" hidden="false" customHeight="true" outlineLevel="0" collapsed="false">
      <c r="A17" s="15" t="n">
        <v>46267</v>
      </c>
      <c r="B17" s="7" t="s">
        <v>90</v>
      </c>
      <c r="C17" s="16" t="str">
        <f aca="false">IF(B17="","",IFERROR(INDEX(Products!$B$2:$B$501,MATCH(B17,Products!$A$2:$A$501,0)),"CODE NOT FOUND"))</f>
        <v>Air Filter 150cc</v>
      </c>
      <c r="D17" s="7" t="n">
        <v>31</v>
      </c>
      <c r="E17" s="13" t="n">
        <v>210</v>
      </c>
      <c r="F17" s="17" t="n">
        <f aca="false">IF(OR(D17="",E17=""),"",D17*E17)</f>
        <v>6510</v>
      </c>
      <c r="G17" s="7" t="s">
        <v>84</v>
      </c>
      <c r="H17" s="7" t="s">
        <v>146</v>
      </c>
    </row>
    <row r="18" customFormat="false" ht="15" hidden="false" customHeight="true" outlineLevel="0" collapsed="false">
      <c r="A18" s="15" t="n">
        <v>46267</v>
      </c>
      <c r="B18" s="7" t="s">
        <v>108</v>
      </c>
      <c r="C18" s="16" t="str">
        <f aca="false">IF(B18="","",IFERROR(INDEX(Products!$B$2:$B$501,MATCH(B18,Products!$A$2:$A$501,0)),"CODE NOT FOUND"))</f>
        <v>Tyre 90/90-17 Rear</v>
      </c>
      <c r="D18" s="7" t="n">
        <v>9</v>
      </c>
      <c r="E18" s="13" t="n">
        <v>2750</v>
      </c>
      <c r="F18" s="17" t="n">
        <f aca="false">IF(OR(D18="",E18=""),"",D18*E18)</f>
        <v>24750</v>
      </c>
      <c r="G18" s="7" t="s">
        <v>84</v>
      </c>
      <c r="H18" s="7" t="s">
        <v>147</v>
      </c>
    </row>
    <row r="19" customFormat="false" ht="15" hidden="false" customHeight="true" outlineLevel="0" collapsed="false">
      <c r="A19" s="15" t="n">
        <v>46271</v>
      </c>
      <c r="B19" s="7" t="s">
        <v>82</v>
      </c>
      <c r="C19" s="16" t="str">
        <f aca="false">IF(B19="","",IFERROR(INDEX(Products!$B$2:$B$501,MATCH(B19,Products!$A$2:$A$501,0)),"CODE NOT FOUND"))</f>
        <v>Clutch Cable</v>
      </c>
      <c r="D19" s="7" t="n">
        <v>42</v>
      </c>
      <c r="E19" s="13" t="n">
        <v>110</v>
      </c>
      <c r="F19" s="17" t="n">
        <f aca="false">IF(OR(D19="",E19=""),"",D19*E19)</f>
        <v>4620</v>
      </c>
      <c r="G19" s="7" t="s">
        <v>79</v>
      </c>
      <c r="H19" s="7" t="s">
        <v>148</v>
      </c>
    </row>
    <row r="20" customFormat="false" ht="15" hidden="false" customHeight="true" outlineLevel="0" collapsed="false">
      <c r="A20" s="15" t="n">
        <v>46272</v>
      </c>
      <c r="B20" s="7" t="s">
        <v>114</v>
      </c>
      <c r="C20" s="16" t="str">
        <f aca="false">IF(B20="","",IFERROR(INDEX(Products!$B$2:$B$501,MATCH(B20,Products!$A$2:$A$501,0)),"CODE NOT FOUND"))</f>
        <v>Side Mirror (Pair)</v>
      </c>
      <c r="D20" s="7" t="n">
        <v>17</v>
      </c>
      <c r="E20" s="13" t="n">
        <v>380</v>
      </c>
      <c r="F20" s="17" t="n">
        <f aca="false">IF(OR(D20="",E20=""),"",D20*E20)</f>
        <v>6460</v>
      </c>
      <c r="G20" s="7" t="s">
        <v>88</v>
      </c>
      <c r="H20" s="7" t="s">
        <v>149</v>
      </c>
    </row>
    <row r="21" customFormat="false" ht="15" hidden="false" customHeight="true" outlineLevel="0" collapsed="false">
      <c r="A21" s="15" t="n">
        <v>46273</v>
      </c>
      <c r="B21" s="7" t="s">
        <v>102</v>
      </c>
      <c r="C21" s="16" t="str">
        <f aca="false">IF(B21="","",IFERROR(INDEX(Products!$B$2:$B$501,MATCH(B21,Products!$A$2:$A$501,0)),"CODE NOT FOUND"))</f>
        <v>Headlight Bulb H4</v>
      </c>
      <c r="D21" s="7" t="n">
        <v>49</v>
      </c>
      <c r="E21" s="13" t="n">
        <v>140</v>
      </c>
      <c r="F21" s="17" t="n">
        <f aca="false">IF(OR(D21="",E21=""),"",D21*E21)</f>
        <v>6860</v>
      </c>
      <c r="G21" s="7" t="s">
        <v>84</v>
      </c>
      <c r="H21" s="7" t="s">
        <v>150</v>
      </c>
    </row>
    <row r="22" customFormat="false" ht="15" hidden="false" customHeight="true" outlineLevel="0" collapsed="false">
      <c r="A22" s="15" t="n">
        <v>46274</v>
      </c>
      <c r="B22" s="7" t="s">
        <v>119</v>
      </c>
      <c r="C22" s="16" t="str">
        <f aca="false">IF(B22="","",IFERROR(INDEX(Products!$B$2:$B$501,MATCH(B22,Products!$A$2:$A$501,0)),"CODE NOT FOUND"))</f>
        <v>Chain Lube Spray</v>
      </c>
      <c r="D22" s="7" t="n">
        <v>24</v>
      </c>
      <c r="E22" s="13" t="n">
        <v>170</v>
      </c>
      <c r="F22" s="17" t="n">
        <f aca="false">IF(OR(D22="",E22=""),"",D22*E22)</f>
        <v>4080</v>
      </c>
      <c r="G22" s="7" t="s">
        <v>84</v>
      </c>
      <c r="H22" s="7" t="s">
        <v>151</v>
      </c>
    </row>
    <row r="23" customFormat="false" ht="15" hidden="false" customHeight="true" outlineLevel="0" collapsed="false">
      <c r="A23" s="15" t="n">
        <v>46274</v>
      </c>
      <c r="B23" s="7" t="s">
        <v>77</v>
      </c>
      <c r="C23" s="16" t="str">
        <f aca="false">IF(B23="","",IFERROR(INDEX(Products!$B$2:$B$501,MATCH(B23,Products!$A$2:$A$501,0)),"CODE NOT FOUND"))</f>
        <v>Brake Pad Set - Front</v>
      </c>
      <c r="D23" s="7" t="n">
        <v>28</v>
      </c>
      <c r="E23" s="13" t="n">
        <v>320</v>
      </c>
      <c r="F23" s="17" t="n">
        <f aca="false">IF(OR(D23="",E23=""),"",D23*E23)</f>
        <v>8960</v>
      </c>
      <c r="G23" s="7" t="s">
        <v>84</v>
      </c>
      <c r="H23" s="7" t="s">
        <v>152</v>
      </c>
    </row>
    <row r="24" customFormat="false" ht="15" hidden="false" customHeight="true" outlineLevel="0" collapsed="false">
      <c r="A24" s="15" t="n">
        <v>46276</v>
      </c>
      <c r="B24" s="7" t="s">
        <v>121</v>
      </c>
      <c r="C24" s="16" t="str">
        <f aca="false">IF(B24="","",IFERROR(INDEX(Products!$B$2:$B$501,MATCH(B24,Products!$A$2:$A$501,0)),"CODE NOT FOUND"))</f>
        <v>Handle Grip Set</v>
      </c>
      <c r="D24" s="7" t="n">
        <v>21</v>
      </c>
      <c r="E24" s="13" t="n">
        <v>160</v>
      </c>
      <c r="F24" s="17" t="n">
        <f aca="false">IF(OR(D24="",E24=""),"",D24*E24)</f>
        <v>3360</v>
      </c>
      <c r="G24" s="7" t="s">
        <v>79</v>
      </c>
      <c r="H24" s="7" t="s">
        <v>153</v>
      </c>
    </row>
    <row r="25" customFormat="false" ht="15" hidden="false" customHeight="true" outlineLevel="0" collapsed="false">
      <c r="A25" s="15" t="n">
        <v>46280</v>
      </c>
      <c r="B25" s="7" t="s">
        <v>82</v>
      </c>
      <c r="C25" s="16" t="str">
        <f aca="false">IF(B25="","",IFERROR(INDEX(Products!$B$2:$B$501,MATCH(B25,Products!$A$2:$A$501,0)),"CODE NOT FOUND"))</f>
        <v>Clutch Cable</v>
      </c>
      <c r="D25" s="7" t="n">
        <v>42</v>
      </c>
      <c r="E25" s="13" t="n">
        <v>110</v>
      </c>
      <c r="F25" s="17" t="n">
        <f aca="false">IF(OR(D25="",E25=""),"",D25*E25)</f>
        <v>4620</v>
      </c>
      <c r="G25" s="7" t="s">
        <v>79</v>
      </c>
      <c r="H25" s="7" t="s">
        <v>154</v>
      </c>
    </row>
    <row r="26" customFormat="false" ht="15" hidden="false" customHeight="true" outlineLevel="0" collapsed="false">
      <c r="A26" s="15" t="n">
        <v>46282</v>
      </c>
      <c r="B26" s="7" t="s">
        <v>121</v>
      </c>
      <c r="C26" s="16" t="str">
        <f aca="false">IF(B26="","",IFERROR(INDEX(Products!$B$2:$B$501,MATCH(B26,Products!$A$2:$A$501,0)),"CODE NOT FOUND"))</f>
        <v>Handle Grip Set</v>
      </c>
      <c r="D26" s="7" t="n">
        <v>21</v>
      </c>
      <c r="E26" s="13" t="n">
        <v>160</v>
      </c>
      <c r="F26" s="17" t="n">
        <f aca="false">IF(OR(D26="",E26=""),"",D26*E26)</f>
        <v>3360</v>
      </c>
      <c r="G26" s="7" t="s">
        <v>79</v>
      </c>
      <c r="H26" s="7" t="s">
        <v>155</v>
      </c>
    </row>
    <row r="27" customFormat="false" ht="15" hidden="false" customHeight="true" outlineLevel="0" collapsed="false">
      <c r="A27" s="15" t="n">
        <v>46282</v>
      </c>
      <c r="B27" s="7" t="s">
        <v>96</v>
      </c>
      <c r="C27" s="16" t="str">
        <f aca="false">IF(B27="","",IFERROR(INDEX(Products!$B$2:$B$501,MATCH(B27,Products!$A$2:$A$501,0)),"CODE NOT FOUND"))</f>
        <v>Engine Oil 10W-30 (1L)</v>
      </c>
      <c r="D27" s="7" t="n">
        <v>62</v>
      </c>
      <c r="E27" s="13" t="n">
        <v>620</v>
      </c>
      <c r="F27" s="17" t="n">
        <f aca="false">IF(OR(D27="",E27=""),"",D27*E27)</f>
        <v>38440</v>
      </c>
      <c r="G27" s="7" t="s">
        <v>84</v>
      </c>
      <c r="H27" s="7" t="s">
        <v>156</v>
      </c>
    </row>
    <row r="28" customFormat="false" ht="15" hidden="false" customHeight="true" outlineLevel="0" collapsed="false">
      <c r="A28" s="15" t="n">
        <v>46283</v>
      </c>
      <c r="B28" s="7" t="s">
        <v>90</v>
      </c>
      <c r="C28" s="16" t="str">
        <f aca="false">IF(B28="","",IFERROR(INDEX(Products!$B$2:$B$501,MATCH(B28,Products!$A$2:$A$501,0)),"CODE NOT FOUND"))</f>
        <v>Air Filter 150cc</v>
      </c>
      <c r="D28" s="7" t="n">
        <v>31</v>
      </c>
      <c r="E28" s="13" t="n">
        <v>210</v>
      </c>
      <c r="F28" s="17" t="n">
        <f aca="false">IF(OR(D28="",E28=""),"",D28*E28)</f>
        <v>6510</v>
      </c>
      <c r="G28" s="7" t="s">
        <v>84</v>
      </c>
      <c r="H28" s="7" t="s">
        <v>157</v>
      </c>
    </row>
    <row r="29" customFormat="false" ht="15" hidden="false" customHeight="true" outlineLevel="0" collapsed="false">
      <c r="A29" s="15" t="n">
        <v>46286</v>
      </c>
      <c r="B29" s="7" t="s">
        <v>102</v>
      </c>
      <c r="C29" s="16" t="str">
        <f aca="false">IF(B29="","",IFERROR(INDEX(Products!$B$2:$B$501,MATCH(B29,Products!$A$2:$A$501,0)),"CODE NOT FOUND"))</f>
        <v>Headlight Bulb H4</v>
      </c>
      <c r="D29" s="7" t="n">
        <v>49</v>
      </c>
      <c r="E29" s="13" t="n">
        <v>140</v>
      </c>
      <c r="F29" s="17" t="n">
        <f aca="false">IF(OR(D29="",E29=""),"",D29*E29)</f>
        <v>6860</v>
      </c>
      <c r="G29" s="7" t="s">
        <v>84</v>
      </c>
      <c r="H29" s="7" t="s">
        <v>158</v>
      </c>
    </row>
    <row r="30" customFormat="false" ht="15" hidden="false" customHeight="true" outlineLevel="0" collapsed="false">
      <c r="A30" s="15" t="n">
        <v>46287</v>
      </c>
      <c r="B30" s="7" t="s">
        <v>99</v>
      </c>
      <c r="C30" s="16" t="str">
        <f aca="false">IF(B30="","",IFERROR(INDEX(Products!$B$2:$B$501,MATCH(B30,Products!$A$2:$A$501,0)),"CODE NOT FOUND"))</f>
        <v>Engine Oil 20W-50 (1L)</v>
      </c>
      <c r="D30" s="7" t="n">
        <v>35</v>
      </c>
      <c r="E30" s="13" t="n">
        <v>780</v>
      </c>
      <c r="F30" s="17" t="n">
        <f aca="false">IF(OR(D30="",E30=""),"",D30*E30)</f>
        <v>27300</v>
      </c>
      <c r="G30" s="7" t="s">
        <v>88</v>
      </c>
      <c r="H30" s="7" t="s">
        <v>159</v>
      </c>
    </row>
    <row r="31" customFormat="false" ht="15" hidden="false" customHeight="true" outlineLevel="0" collapsed="false">
      <c r="A31" s="15" t="n">
        <v>46289</v>
      </c>
      <c r="B31" s="7" t="s">
        <v>82</v>
      </c>
      <c r="C31" s="16" t="str">
        <f aca="false">IF(B31="","",IFERROR(INDEX(Products!$B$2:$B$501,MATCH(B31,Products!$A$2:$A$501,0)),"CODE NOT FOUND"))</f>
        <v>Clutch Cable</v>
      </c>
      <c r="D31" s="7" t="n">
        <v>42</v>
      </c>
      <c r="E31" s="13" t="n">
        <v>110</v>
      </c>
      <c r="F31" s="17" t="n">
        <f aca="false">IF(OR(D31="",E31=""),"",D31*E31)</f>
        <v>4620</v>
      </c>
      <c r="G31" s="7" t="s">
        <v>79</v>
      </c>
      <c r="H31" s="7" t="s">
        <v>160</v>
      </c>
    </row>
    <row r="32" customFormat="false" ht="15" hidden="false" customHeight="true" outlineLevel="0" collapsed="false">
      <c r="A32" s="15" t="n">
        <v>46289</v>
      </c>
      <c r="B32" s="7" t="s">
        <v>86</v>
      </c>
      <c r="C32" s="16" t="str">
        <f aca="false">IF(B32="","",IFERROR(INDEX(Products!$B$2:$B$501,MATCH(B32,Products!$A$2:$A$501,0)),"CODE NOT FOUND"))</f>
        <v>Spark Plug CPR8EA-9</v>
      </c>
      <c r="D32" s="7" t="n">
        <v>70</v>
      </c>
      <c r="E32" s="13" t="n">
        <v>175</v>
      </c>
      <c r="F32" s="17" t="n">
        <f aca="false">IF(OR(D32="",E32=""),"",D32*E32)</f>
        <v>12250</v>
      </c>
      <c r="G32" s="7" t="s">
        <v>79</v>
      </c>
      <c r="H32" s="7" t="s">
        <v>161</v>
      </c>
    </row>
    <row r="33" customFormat="false" ht="15" hidden="false" customHeight="true" outlineLevel="0" collapsed="false">
      <c r="A33" s="15" t="n">
        <v>46289</v>
      </c>
      <c r="B33" s="7" t="s">
        <v>90</v>
      </c>
      <c r="C33" s="16" t="str">
        <f aca="false">IF(B33="","",IFERROR(INDEX(Products!$B$2:$B$501,MATCH(B33,Products!$A$2:$A$501,0)),"CODE NOT FOUND"))</f>
        <v>Air Filter 150cc</v>
      </c>
      <c r="D33" s="7" t="n">
        <v>31</v>
      </c>
      <c r="E33" s="13" t="n">
        <v>210</v>
      </c>
      <c r="F33" s="17" t="n">
        <f aca="false">IF(OR(D33="",E33=""),"",D33*E33)</f>
        <v>6510</v>
      </c>
      <c r="G33" s="7" t="s">
        <v>84</v>
      </c>
      <c r="H33" s="7" t="s">
        <v>162</v>
      </c>
    </row>
    <row r="34" customFormat="false" ht="15" hidden="false" customHeight="true" outlineLevel="0" collapsed="false">
      <c r="A34" s="15" t="n">
        <v>46289</v>
      </c>
      <c r="B34" s="7" t="s">
        <v>119</v>
      </c>
      <c r="C34" s="16" t="str">
        <f aca="false">IF(B34="","",IFERROR(INDEX(Products!$B$2:$B$501,MATCH(B34,Products!$A$2:$A$501,0)),"CODE NOT FOUND"))</f>
        <v>Chain Lube Spray</v>
      </c>
      <c r="D34" s="7" t="n">
        <v>24</v>
      </c>
      <c r="E34" s="13" t="n">
        <v>170</v>
      </c>
      <c r="F34" s="17" t="n">
        <f aca="false">IF(OR(D34="",E34=""),"",D34*E34)</f>
        <v>4080</v>
      </c>
      <c r="G34" s="7" t="s">
        <v>84</v>
      </c>
      <c r="H34" s="7" t="s">
        <v>163</v>
      </c>
    </row>
    <row r="35" customFormat="false" ht="15" hidden="false" customHeight="true" outlineLevel="0" collapsed="false">
      <c r="A35" s="15" t="n">
        <v>46290</v>
      </c>
      <c r="B35" s="7" t="s">
        <v>121</v>
      </c>
      <c r="C35" s="16" t="str">
        <f aca="false">IF(B35="","",IFERROR(INDEX(Products!$B$2:$B$501,MATCH(B35,Products!$A$2:$A$501,0)),"CODE NOT FOUND"))</f>
        <v>Handle Grip Set</v>
      </c>
      <c r="D35" s="7" t="n">
        <v>21</v>
      </c>
      <c r="E35" s="13" t="n">
        <v>160</v>
      </c>
      <c r="F35" s="17" t="n">
        <f aca="false">IF(OR(D35="",E35=""),"",D35*E35)</f>
        <v>3360</v>
      </c>
      <c r="G35" s="7" t="s">
        <v>79</v>
      </c>
      <c r="H35" s="7" t="s">
        <v>164</v>
      </c>
    </row>
    <row r="36" customFormat="false" ht="15" hidden="false" customHeight="true" outlineLevel="0" collapsed="false">
      <c r="A36" s="15" t="n">
        <v>46295</v>
      </c>
      <c r="B36" s="7" t="s">
        <v>114</v>
      </c>
      <c r="C36" s="16" t="str">
        <f aca="false">IF(B36="","",IFERROR(INDEX(Products!$B$2:$B$501,MATCH(B36,Products!$A$2:$A$501,0)),"CODE NOT FOUND"))</f>
        <v>Side Mirror (Pair)</v>
      </c>
      <c r="D36" s="7" t="n">
        <v>17</v>
      </c>
      <c r="E36" s="13" t="n">
        <v>380</v>
      </c>
      <c r="F36" s="17" t="n">
        <f aca="false">IF(OR(D36="",E36=""),"",D36*E36)</f>
        <v>6460</v>
      </c>
      <c r="G36" s="7" t="s">
        <v>88</v>
      </c>
      <c r="H36" s="7" t="s">
        <v>165</v>
      </c>
    </row>
    <row r="37" customFormat="false" ht="15" hidden="false" customHeight="true" outlineLevel="0" collapsed="false">
      <c r="A37" s="15" t="n">
        <v>46296</v>
      </c>
      <c r="B37" s="7" t="s">
        <v>121</v>
      </c>
      <c r="C37" s="16" t="str">
        <f aca="false">IF(B37="","",IFERROR(INDEX(Products!$B$2:$B$501,MATCH(B37,Products!$A$2:$A$501,0)),"CODE NOT FOUND"))</f>
        <v>Handle Grip Set</v>
      </c>
      <c r="D37" s="7" t="n">
        <v>21</v>
      </c>
      <c r="E37" s="13" t="n">
        <v>160</v>
      </c>
      <c r="F37" s="17" t="n">
        <f aca="false">IF(OR(D37="",E37=""),"",D37*E37)</f>
        <v>3360</v>
      </c>
      <c r="G37" s="7" t="s">
        <v>79</v>
      </c>
      <c r="H37" s="7" t="s">
        <v>166</v>
      </c>
    </row>
    <row r="38" customFormat="false" ht="15" hidden="false" customHeight="true" outlineLevel="0" collapsed="false">
      <c r="A38" s="15" t="n">
        <v>46296</v>
      </c>
      <c r="B38" s="7" t="s">
        <v>102</v>
      </c>
      <c r="C38" s="16" t="str">
        <f aca="false">IF(B38="","",IFERROR(INDEX(Products!$B$2:$B$501,MATCH(B38,Products!$A$2:$A$501,0)),"CODE NOT FOUND"))</f>
        <v>Headlight Bulb H4</v>
      </c>
      <c r="D38" s="7" t="n">
        <v>49</v>
      </c>
      <c r="E38" s="13" t="n">
        <v>140</v>
      </c>
      <c r="F38" s="17" t="n">
        <f aca="false">IF(OR(D38="",E38=""),"",D38*E38)</f>
        <v>6860</v>
      </c>
      <c r="G38" s="7" t="s">
        <v>84</v>
      </c>
      <c r="H38" s="7" t="s">
        <v>167</v>
      </c>
    </row>
    <row r="39" customFormat="false" ht="15" hidden="false" customHeight="true" outlineLevel="0" collapsed="false">
      <c r="A39" s="15" t="n">
        <v>46298</v>
      </c>
      <c r="B39" s="7" t="s">
        <v>119</v>
      </c>
      <c r="C39" s="16" t="str">
        <f aca="false">IF(B39="","",IFERROR(INDEX(Products!$B$2:$B$501,MATCH(B39,Products!$A$2:$A$501,0)),"CODE NOT FOUND"))</f>
        <v>Chain Lube Spray</v>
      </c>
      <c r="D39" s="7" t="n">
        <v>24</v>
      </c>
      <c r="E39" s="13" t="n">
        <v>170</v>
      </c>
      <c r="F39" s="17" t="n">
        <f aca="false">IF(OR(D39="",E39=""),"",D39*E39)</f>
        <v>4080</v>
      </c>
      <c r="G39" s="7" t="s">
        <v>84</v>
      </c>
      <c r="H39" s="7" t="s">
        <v>168</v>
      </c>
    </row>
    <row r="40" customFormat="false" ht="15" hidden="false" customHeight="true" outlineLevel="0" collapsed="false">
      <c r="A40" s="15" t="n">
        <v>46298</v>
      </c>
      <c r="B40" s="7" t="s">
        <v>82</v>
      </c>
      <c r="C40" s="16" t="str">
        <f aca="false">IF(B40="","",IFERROR(INDEX(Products!$B$2:$B$501,MATCH(B40,Products!$A$2:$A$501,0)),"CODE NOT FOUND"))</f>
        <v>Clutch Cable</v>
      </c>
      <c r="D40" s="7" t="n">
        <v>42</v>
      </c>
      <c r="E40" s="13" t="n">
        <v>110</v>
      </c>
      <c r="F40" s="17" t="n">
        <f aca="false">IF(OR(D40="",E40=""),"",D40*E40)</f>
        <v>4620</v>
      </c>
      <c r="G40" s="7" t="s">
        <v>79</v>
      </c>
      <c r="H40" s="7" t="s">
        <v>169</v>
      </c>
    </row>
    <row r="41" customFormat="false" ht="15" hidden="false" customHeight="true" outlineLevel="0" collapsed="false">
      <c r="A41" s="15" t="n">
        <v>46298</v>
      </c>
      <c r="B41" s="7" t="s">
        <v>77</v>
      </c>
      <c r="C41" s="16" t="str">
        <f aca="false">IF(B41="","",IFERROR(INDEX(Products!$B$2:$B$501,MATCH(B41,Products!$A$2:$A$501,0)),"CODE NOT FOUND"))</f>
        <v>Brake Pad Set - Front</v>
      </c>
      <c r="D41" s="7" t="n">
        <v>28</v>
      </c>
      <c r="E41" s="13" t="n">
        <v>320</v>
      </c>
      <c r="F41" s="17" t="n">
        <f aca="false">IF(OR(D41="",E41=""),"",D41*E41)</f>
        <v>8960</v>
      </c>
      <c r="G41" s="7" t="s">
        <v>84</v>
      </c>
      <c r="H41" s="7" t="s">
        <v>170</v>
      </c>
    </row>
    <row r="42" customFormat="false" ht="15" hidden="false" customHeight="true" outlineLevel="0" collapsed="false">
      <c r="A42" s="15" t="n">
        <v>46304</v>
      </c>
      <c r="B42" s="7" t="s">
        <v>119</v>
      </c>
      <c r="C42" s="16" t="str">
        <f aca="false">IF(B42="","",IFERROR(INDEX(Products!$B$2:$B$501,MATCH(B42,Products!$A$2:$A$501,0)),"CODE NOT FOUND"))</f>
        <v>Chain Lube Spray</v>
      </c>
      <c r="D42" s="7" t="n">
        <v>24</v>
      </c>
      <c r="E42" s="13" t="n">
        <v>170</v>
      </c>
      <c r="F42" s="17" t="n">
        <f aca="false">IF(OR(D42="",E42=""),"",D42*E42)</f>
        <v>4080</v>
      </c>
      <c r="G42" s="7" t="s">
        <v>84</v>
      </c>
      <c r="H42" s="7" t="s">
        <v>171</v>
      </c>
    </row>
    <row r="43" customFormat="false" ht="15" hidden="false" customHeight="true" outlineLevel="0" collapsed="false">
      <c r="A43" s="15" t="n">
        <v>46304</v>
      </c>
      <c r="B43" s="7" t="s">
        <v>121</v>
      </c>
      <c r="C43" s="16" t="str">
        <f aca="false">IF(B43="","",IFERROR(INDEX(Products!$B$2:$B$501,MATCH(B43,Products!$A$2:$A$501,0)),"CODE NOT FOUND"))</f>
        <v>Handle Grip Set</v>
      </c>
      <c r="D43" s="7" t="n">
        <v>21</v>
      </c>
      <c r="E43" s="13" t="n">
        <v>160</v>
      </c>
      <c r="F43" s="17" t="n">
        <f aca="false">IF(OR(D43="",E43=""),"",D43*E43)</f>
        <v>3360</v>
      </c>
      <c r="G43" s="7" t="s">
        <v>79</v>
      </c>
      <c r="H43" s="7" t="s">
        <v>172</v>
      </c>
    </row>
    <row r="44" customFormat="false" ht="15" hidden="false" customHeight="true" outlineLevel="0" collapsed="false">
      <c r="A44" s="15" t="n">
        <v>46307</v>
      </c>
      <c r="B44" s="7" t="s">
        <v>82</v>
      </c>
      <c r="C44" s="16" t="str">
        <f aca="false">IF(B44="","",IFERROR(INDEX(Products!$B$2:$B$501,MATCH(B44,Products!$A$2:$A$501,0)),"CODE NOT FOUND"))</f>
        <v>Clutch Cable</v>
      </c>
      <c r="D44" s="7" t="n">
        <v>42</v>
      </c>
      <c r="E44" s="13" t="n">
        <v>110</v>
      </c>
      <c r="F44" s="17" t="n">
        <f aca="false">IF(OR(D44="",E44=""),"",D44*E44)</f>
        <v>4620</v>
      </c>
      <c r="G44" s="7" t="s">
        <v>79</v>
      </c>
      <c r="H44" s="7" t="s">
        <v>173</v>
      </c>
    </row>
    <row r="45" customFormat="false" ht="15" hidden="false" customHeight="true" outlineLevel="0" collapsed="false">
      <c r="A45" s="15" t="n">
        <v>46309</v>
      </c>
      <c r="B45" s="7" t="s">
        <v>93</v>
      </c>
      <c r="C45" s="16" t="str">
        <f aca="false">IF(B45="","",IFERROR(INDEX(Products!$B$2:$B$501,MATCH(B45,Products!$A$2:$A$501,0)),"CODE NOT FOUND"))</f>
        <v>Chain &amp; Sprocket Kit</v>
      </c>
      <c r="D45" s="7" t="n">
        <v>12</v>
      </c>
      <c r="E45" s="13" t="n">
        <v>1750</v>
      </c>
      <c r="F45" s="17" t="n">
        <f aca="false">IF(OR(D45="",E45=""),"",D45*E45)</f>
        <v>21000</v>
      </c>
      <c r="G45" s="7" t="s">
        <v>84</v>
      </c>
      <c r="H45" s="7" t="s">
        <v>174</v>
      </c>
    </row>
    <row r="46" customFormat="false" ht="15" hidden="false" customHeight="true" outlineLevel="0" collapsed="false">
      <c r="A46" s="15" t="n">
        <v>46309</v>
      </c>
      <c r="B46" s="7" t="s">
        <v>102</v>
      </c>
      <c r="C46" s="16" t="str">
        <f aca="false">IF(B46="","",IFERROR(INDEX(Products!$B$2:$B$501,MATCH(B46,Products!$A$2:$A$501,0)),"CODE NOT FOUND"))</f>
        <v>Headlight Bulb H4</v>
      </c>
      <c r="D46" s="7" t="n">
        <v>49</v>
      </c>
      <c r="E46" s="13" t="n">
        <v>140</v>
      </c>
      <c r="F46" s="17" t="n">
        <f aca="false">IF(OR(D46="",E46=""),"",D46*E46)</f>
        <v>6860</v>
      </c>
      <c r="G46" s="7" t="s">
        <v>84</v>
      </c>
      <c r="H46" s="7" t="s">
        <v>175</v>
      </c>
    </row>
    <row r="47" customFormat="false" ht="15" hidden="false" customHeight="true" outlineLevel="0" collapsed="false">
      <c r="A47" s="15" t="n">
        <v>46309</v>
      </c>
      <c r="B47" s="7" t="s">
        <v>90</v>
      </c>
      <c r="C47" s="16" t="str">
        <f aca="false">IF(B47="","",IFERROR(INDEX(Products!$B$2:$B$501,MATCH(B47,Products!$A$2:$A$501,0)),"CODE NOT FOUND"))</f>
        <v>Air Filter 150cc</v>
      </c>
      <c r="D47" s="7" t="n">
        <v>31</v>
      </c>
      <c r="E47" s="13" t="n">
        <v>210</v>
      </c>
      <c r="F47" s="17" t="n">
        <f aca="false">IF(OR(D47="",E47=""),"",D47*E47)</f>
        <v>6510</v>
      </c>
      <c r="G47" s="7" t="s">
        <v>84</v>
      </c>
      <c r="H47" s="7" t="s">
        <v>176</v>
      </c>
    </row>
    <row r="48" customFormat="false" ht="15" hidden="false" customHeight="true" outlineLevel="0" collapsed="false">
      <c r="A48" s="15" t="n">
        <v>46310</v>
      </c>
      <c r="B48" s="7" t="s">
        <v>121</v>
      </c>
      <c r="C48" s="16" t="str">
        <f aca="false">IF(B48="","",IFERROR(INDEX(Products!$B$2:$B$501,MATCH(B48,Products!$A$2:$A$501,0)),"CODE NOT FOUND"))</f>
        <v>Handle Grip Set</v>
      </c>
      <c r="D48" s="7" t="n">
        <v>21</v>
      </c>
      <c r="E48" s="13" t="n">
        <v>160</v>
      </c>
      <c r="F48" s="17" t="n">
        <f aca="false">IF(OR(D48="",E48=""),"",D48*E48)</f>
        <v>3360</v>
      </c>
      <c r="G48" s="7" t="s">
        <v>79</v>
      </c>
      <c r="H48" s="7" t="s">
        <v>177</v>
      </c>
    </row>
    <row r="49" customFormat="false" ht="15" hidden="false" customHeight="true" outlineLevel="0" collapsed="false">
      <c r="A49" s="15" t="n">
        <v>46310</v>
      </c>
      <c r="B49" s="7" t="s">
        <v>114</v>
      </c>
      <c r="C49" s="16" t="str">
        <f aca="false">IF(B49="","",IFERROR(INDEX(Products!$B$2:$B$501,MATCH(B49,Products!$A$2:$A$501,0)),"CODE NOT FOUND"))</f>
        <v>Side Mirror (Pair)</v>
      </c>
      <c r="D49" s="7" t="n">
        <v>17</v>
      </c>
      <c r="E49" s="13" t="n">
        <v>380</v>
      </c>
      <c r="F49" s="17" t="n">
        <f aca="false">IF(OR(D49="",E49=""),"",D49*E49)</f>
        <v>6460</v>
      </c>
      <c r="G49" s="7" t="s">
        <v>88</v>
      </c>
      <c r="H49" s="7" t="s">
        <v>178</v>
      </c>
    </row>
    <row r="50" customFormat="false" ht="15" hidden="false" customHeight="true" outlineLevel="0" collapsed="false">
      <c r="A50" s="15" t="n">
        <v>46312</v>
      </c>
      <c r="B50" s="7" t="s">
        <v>119</v>
      </c>
      <c r="C50" s="16" t="str">
        <f aca="false">IF(B50="","",IFERROR(INDEX(Products!$B$2:$B$501,MATCH(B50,Products!$A$2:$A$501,0)),"CODE NOT FOUND"))</f>
        <v>Chain Lube Spray</v>
      </c>
      <c r="D50" s="7" t="n">
        <v>24</v>
      </c>
      <c r="E50" s="13" t="n">
        <v>170</v>
      </c>
      <c r="F50" s="17" t="n">
        <f aca="false">IF(OR(D50="",E50=""),"",D50*E50)</f>
        <v>4080</v>
      </c>
      <c r="G50" s="7" t="s">
        <v>84</v>
      </c>
      <c r="H50" s="7" t="s">
        <v>179</v>
      </c>
    </row>
    <row r="51" customFormat="false" ht="15" hidden="false" customHeight="true" outlineLevel="0" collapsed="false">
      <c r="A51" s="15" t="n">
        <v>46315</v>
      </c>
      <c r="B51" s="7" t="s">
        <v>111</v>
      </c>
      <c r="C51" s="16" t="str">
        <f aca="false">IF(B51="","",IFERROR(INDEX(Products!$B$2:$B$501,MATCH(B51,Products!$A$2:$A$501,0)),"CODE NOT FOUND"))</f>
        <v>Tyre 80/100-18 Front</v>
      </c>
      <c r="D51" s="7" t="n">
        <v>7</v>
      </c>
      <c r="E51" s="13" t="n">
        <v>2300</v>
      </c>
      <c r="F51" s="17" t="n">
        <f aca="false">IF(OR(D51="",E51=""),"",D51*E51)</f>
        <v>16100</v>
      </c>
      <c r="G51" s="7" t="s">
        <v>84</v>
      </c>
      <c r="H51" s="7" t="s">
        <v>180</v>
      </c>
    </row>
    <row r="52" customFormat="false" ht="15" hidden="false" customHeight="true" outlineLevel="0" collapsed="false">
      <c r="A52" s="15" t="n">
        <v>46315</v>
      </c>
      <c r="B52" s="7" t="s">
        <v>121</v>
      </c>
      <c r="C52" s="16" t="str">
        <f aca="false">IF(B52="","",IFERROR(INDEX(Products!$B$2:$B$501,MATCH(B52,Products!$A$2:$A$501,0)),"CODE NOT FOUND"))</f>
        <v>Handle Grip Set</v>
      </c>
      <c r="D52" s="7" t="n">
        <v>21</v>
      </c>
      <c r="E52" s="13" t="n">
        <v>160</v>
      </c>
      <c r="F52" s="17" t="n">
        <f aca="false">IF(OR(D52="",E52=""),"",D52*E52)</f>
        <v>3360</v>
      </c>
      <c r="G52" s="7" t="s">
        <v>79</v>
      </c>
      <c r="H52" s="7" t="s">
        <v>181</v>
      </c>
    </row>
    <row r="53" customFormat="false" ht="15" hidden="false" customHeight="true" outlineLevel="0" collapsed="false">
      <c r="A53" s="15" t="n">
        <v>46316</v>
      </c>
      <c r="B53" s="7" t="s">
        <v>99</v>
      </c>
      <c r="C53" s="16" t="str">
        <f aca="false">IF(B53="","",IFERROR(INDEX(Products!$B$2:$B$501,MATCH(B53,Products!$A$2:$A$501,0)),"CODE NOT FOUND"))</f>
        <v>Engine Oil 20W-50 (1L)</v>
      </c>
      <c r="D53" s="7" t="n">
        <v>35</v>
      </c>
      <c r="E53" s="13" t="n">
        <v>780</v>
      </c>
      <c r="F53" s="17" t="n">
        <f aca="false">IF(OR(D53="",E53=""),"",D53*E53)</f>
        <v>27300</v>
      </c>
      <c r="G53" s="7" t="s">
        <v>88</v>
      </c>
      <c r="H53" s="7" t="s">
        <v>182</v>
      </c>
    </row>
    <row r="54" customFormat="false" ht="15" hidden="false" customHeight="true" outlineLevel="0" collapsed="false">
      <c r="A54" s="15" t="n">
        <v>46316</v>
      </c>
      <c r="B54" s="7" t="s">
        <v>86</v>
      </c>
      <c r="C54" s="16" t="str">
        <f aca="false">IF(B54="","",IFERROR(INDEX(Products!$B$2:$B$501,MATCH(B54,Products!$A$2:$A$501,0)),"CODE NOT FOUND"))</f>
        <v>Spark Plug CPR8EA-9</v>
      </c>
      <c r="D54" s="7" t="n">
        <v>70</v>
      </c>
      <c r="E54" s="13" t="n">
        <v>175</v>
      </c>
      <c r="F54" s="17" t="n">
        <f aca="false">IF(OR(D54="",E54=""),"",D54*E54)</f>
        <v>12250</v>
      </c>
      <c r="G54" s="7" t="s">
        <v>79</v>
      </c>
      <c r="H54" s="7" t="s">
        <v>183</v>
      </c>
    </row>
    <row r="55" customFormat="false" ht="15" hidden="false" customHeight="true" outlineLevel="0" collapsed="false">
      <c r="A55" s="15" t="n">
        <v>46317</v>
      </c>
      <c r="B55" s="7" t="s">
        <v>77</v>
      </c>
      <c r="C55" s="16" t="str">
        <f aca="false">IF(B55="","",IFERROR(INDEX(Products!$B$2:$B$501,MATCH(B55,Products!$A$2:$A$501,0)),"CODE NOT FOUND"))</f>
        <v>Brake Pad Set - Front</v>
      </c>
      <c r="D55" s="7" t="n">
        <v>28</v>
      </c>
      <c r="E55" s="13" t="n">
        <v>320</v>
      </c>
      <c r="F55" s="17" t="n">
        <f aca="false">IF(OR(D55="",E55=""),"",D55*E55)</f>
        <v>8960</v>
      </c>
      <c r="G55" s="7" t="s">
        <v>84</v>
      </c>
      <c r="H55" s="7" t="s">
        <v>184</v>
      </c>
    </row>
    <row r="56" customFormat="false" ht="15" hidden="false" customHeight="true" outlineLevel="0" collapsed="false">
      <c r="A56" s="15" t="n">
        <v>46317</v>
      </c>
      <c r="B56" s="7" t="s">
        <v>119</v>
      </c>
      <c r="C56" s="16" t="str">
        <f aca="false">IF(B56="","",IFERROR(INDEX(Products!$B$2:$B$501,MATCH(B56,Products!$A$2:$A$501,0)),"CODE NOT FOUND"))</f>
        <v>Chain Lube Spray</v>
      </c>
      <c r="D56" s="7" t="n">
        <v>24</v>
      </c>
      <c r="E56" s="13" t="n">
        <v>170</v>
      </c>
      <c r="F56" s="17" t="n">
        <f aca="false">IF(OR(D56="",E56=""),"",D56*E56)</f>
        <v>4080</v>
      </c>
      <c r="G56" s="7" t="s">
        <v>84</v>
      </c>
      <c r="H56" s="7" t="s">
        <v>185</v>
      </c>
    </row>
    <row r="57" customFormat="false" ht="15" hidden="false" customHeight="true" outlineLevel="0" collapsed="false">
      <c r="A57" s="15"/>
      <c r="B57" s="7"/>
      <c r="C57" s="16" t="str">
        <f aca="false">IF(B57="","",IFERROR(INDEX(Products!$B$2:$B$501,MATCH(B57,Products!$A$2:$A$501,0)),"CODE NOT FOUND"))</f>
        <v/>
      </c>
      <c r="D57" s="7"/>
      <c r="E57" s="13"/>
      <c r="F57" s="17" t="str">
        <f aca="false">IF(OR(D57="",E57=""),"",D57*E57)</f>
        <v/>
      </c>
      <c r="G57" s="7"/>
      <c r="H57" s="7"/>
    </row>
    <row r="58" customFormat="false" ht="15" hidden="false" customHeight="true" outlineLevel="0" collapsed="false">
      <c r="A58" s="15"/>
      <c r="B58" s="7"/>
      <c r="C58" s="16" t="str">
        <f aca="false">IF(B58="","",IFERROR(INDEX(Products!$B$2:$B$501,MATCH(B58,Products!$A$2:$A$501,0)),"CODE NOT FOUND"))</f>
        <v/>
      </c>
      <c r="D58" s="7"/>
      <c r="E58" s="13"/>
      <c r="F58" s="17" t="str">
        <f aca="false">IF(OR(D58="",E58=""),"",D58*E58)</f>
        <v/>
      </c>
      <c r="G58" s="7"/>
      <c r="H58" s="7"/>
    </row>
    <row r="59" customFormat="false" ht="15" hidden="false" customHeight="true" outlineLevel="0" collapsed="false">
      <c r="A59" s="15"/>
      <c r="B59" s="7"/>
      <c r="C59" s="16" t="str">
        <f aca="false">IF(B59="","",IFERROR(INDEX(Products!$B$2:$B$501,MATCH(B59,Products!$A$2:$A$501,0)),"CODE NOT FOUND"))</f>
        <v/>
      </c>
      <c r="D59" s="7"/>
      <c r="E59" s="13"/>
      <c r="F59" s="17" t="str">
        <f aca="false">IF(OR(D59="",E59=""),"",D59*E59)</f>
        <v/>
      </c>
      <c r="G59" s="7"/>
      <c r="H59" s="7"/>
    </row>
    <row r="60" customFormat="false" ht="15" hidden="false" customHeight="true" outlineLevel="0" collapsed="false">
      <c r="A60" s="15"/>
      <c r="B60" s="7"/>
      <c r="C60" s="16" t="str">
        <f aca="false">IF(B60="","",IFERROR(INDEX(Products!$B$2:$B$501,MATCH(B60,Products!$A$2:$A$501,0)),"CODE NOT FOUND"))</f>
        <v/>
      </c>
      <c r="D60" s="7"/>
      <c r="E60" s="13"/>
      <c r="F60" s="17" t="str">
        <f aca="false">IF(OR(D60="",E60=""),"",D60*E60)</f>
        <v/>
      </c>
      <c r="G60" s="7"/>
      <c r="H60" s="7"/>
    </row>
    <row r="61" customFormat="false" ht="15" hidden="false" customHeight="true" outlineLevel="0" collapsed="false">
      <c r="A61" s="15"/>
      <c r="B61" s="7"/>
      <c r="C61" s="16" t="str">
        <f aca="false">IF(B61="","",IFERROR(INDEX(Products!$B$2:$B$501,MATCH(B61,Products!$A$2:$A$501,0)),"CODE NOT FOUND"))</f>
        <v/>
      </c>
      <c r="D61" s="7"/>
      <c r="E61" s="13"/>
      <c r="F61" s="17" t="str">
        <f aca="false">IF(OR(D61="",E61=""),"",D61*E61)</f>
        <v/>
      </c>
      <c r="G61" s="7"/>
      <c r="H61" s="7"/>
    </row>
    <row r="62" customFormat="false" ht="15" hidden="false" customHeight="true" outlineLevel="0" collapsed="false">
      <c r="A62" s="15"/>
      <c r="B62" s="7"/>
      <c r="C62" s="16" t="str">
        <f aca="false">IF(B62="","",IFERROR(INDEX(Products!$B$2:$B$501,MATCH(B62,Products!$A$2:$A$501,0)),"CODE NOT FOUND"))</f>
        <v/>
      </c>
      <c r="D62" s="7"/>
      <c r="E62" s="13"/>
      <c r="F62" s="17" t="str">
        <f aca="false">IF(OR(D62="",E62=""),"",D62*E62)</f>
        <v/>
      </c>
      <c r="G62" s="7"/>
      <c r="H62" s="7"/>
    </row>
    <row r="63" customFormat="false" ht="15" hidden="false" customHeight="true" outlineLevel="0" collapsed="false">
      <c r="A63" s="15"/>
      <c r="B63" s="7"/>
      <c r="C63" s="16" t="str">
        <f aca="false">IF(B63="","",IFERROR(INDEX(Products!$B$2:$B$501,MATCH(B63,Products!$A$2:$A$501,0)),"CODE NOT FOUND"))</f>
        <v/>
      </c>
      <c r="D63" s="7"/>
      <c r="E63" s="13"/>
      <c r="F63" s="17" t="str">
        <f aca="false">IF(OR(D63="",E63=""),"",D63*E63)</f>
        <v/>
      </c>
      <c r="G63" s="7"/>
      <c r="H63" s="7"/>
    </row>
    <row r="64" customFormat="false" ht="15" hidden="false" customHeight="true" outlineLevel="0" collapsed="false">
      <c r="A64" s="15"/>
      <c r="B64" s="7"/>
      <c r="C64" s="16" t="str">
        <f aca="false">IF(B64="","",IFERROR(INDEX(Products!$B$2:$B$501,MATCH(B64,Products!$A$2:$A$501,0)),"CODE NOT FOUND"))</f>
        <v/>
      </c>
      <c r="D64" s="7"/>
      <c r="E64" s="13"/>
      <c r="F64" s="17" t="str">
        <f aca="false">IF(OR(D64="",E64=""),"",D64*E64)</f>
        <v/>
      </c>
      <c r="G64" s="7"/>
      <c r="H64" s="7"/>
    </row>
    <row r="65" customFormat="false" ht="15" hidden="false" customHeight="true" outlineLevel="0" collapsed="false">
      <c r="A65" s="15"/>
      <c r="B65" s="7"/>
      <c r="C65" s="16" t="str">
        <f aca="false">IF(B65="","",IFERROR(INDEX(Products!$B$2:$B$501,MATCH(B65,Products!$A$2:$A$501,0)),"CODE NOT FOUND"))</f>
        <v/>
      </c>
      <c r="D65" s="7"/>
      <c r="E65" s="13"/>
      <c r="F65" s="17" t="str">
        <f aca="false">IF(OR(D65="",E65=""),"",D65*E65)</f>
        <v/>
      </c>
      <c r="G65" s="7"/>
      <c r="H65" s="7"/>
    </row>
    <row r="66" customFormat="false" ht="15" hidden="false" customHeight="true" outlineLevel="0" collapsed="false">
      <c r="A66" s="15"/>
      <c r="B66" s="7"/>
      <c r="C66" s="16" t="str">
        <f aca="false">IF(B66="","",IFERROR(INDEX(Products!$B$2:$B$501,MATCH(B66,Products!$A$2:$A$501,0)),"CODE NOT FOUND"))</f>
        <v/>
      </c>
      <c r="D66" s="7"/>
      <c r="E66" s="13"/>
      <c r="F66" s="17" t="str">
        <f aca="false">IF(OR(D66="",E66=""),"",D66*E66)</f>
        <v/>
      </c>
      <c r="G66" s="7"/>
      <c r="H66" s="7"/>
    </row>
    <row r="67" customFormat="false" ht="15" hidden="false" customHeight="true" outlineLevel="0" collapsed="false">
      <c r="A67" s="15"/>
      <c r="B67" s="7"/>
      <c r="C67" s="16" t="str">
        <f aca="false">IF(B67="","",IFERROR(INDEX(Products!$B$2:$B$501,MATCH(B67,Products!$A$2:$A$501,0)),"CODE NOT FOUND"))</f>
        <v/>
      </c>
      <c r="D67" s="7"/>
      <c r="E67" s="13"/>
      <c r="F67" s="17" t="str">
        <f aca="false">IF(OR(D67="",E67=""),"",D67*E67)</f>
        <v/>
      </c>
      <c r="G67" s="7"/>
      <c r="H67" s="7"/>
    </row>
    <row r="68" customFormat="false" ht="15" hidden="false" customHeight="true" outlineLevel="0" collapsed="false">
      <c r="A68" s="15"/>
      <c r="B68" s="7"/>
      <c r="C68" s="16" t="str">
        <f aca="false">IF(B68="","",IFERROR(INDEX(Products!$B$2:$B$501,MATCH(B68,Products!$A$2:$A$501,0)),"CODE NOT FOUND"))</f>
        <v/>
      </c>
      <c r="D68" s="7"/>
      <c r="E68" s="13"/>
      <c r="F68" s="17" t="str">
        <f aca="false">IF(OR(D68="",E68=""),"",D68*E68)</f>
        <v/>
      </c>
      <c r="G68" s="7"/>
      <c r="H68" s="7"/>
    </row>
    <row r="69" customFormat="false" ht="15" hidden="false" customHeight="true" outlineLevel="0" collapsed="false">
      <c r="A69" s="15"/>
      <c r="B69" s="7"/>
      <c r="C69" s="16" t="str">
        <f aca="false">IF(B69="","",IFERROR(INDEX(Products!$B$2:$B$501,MATCH(B69,Products!$A$2:$A$501,0)),"CODE NOT FOUND"))</f>
        <v/>
      </c>
      <c r="D69" s="7"/>
      <c r="E69" s="13"/>
      <c r="F69" s="17" t="str">
        <f aca="false">IF(OR(D69="",E69=""),"",D69*E69)</f>
        <v/>
      </c>
      <c r="G69" s="7"/>
      <c r="H69" s="7"/>
    </row>
    <row r="70" customFormat="false" ht="15" hidden="false" customHeight="true" outlineLevel="0" collapsed="false">
      <c r="A70" s="15"/>
      <c r="B70" s="7"/>
      <c r="C70" s="16" t="str">
        <f aca="false">IF(B70="","",IFERROR(INDEX(Products!$B$2:$B$501,MATCH(B70,Products!$A$2:$A$501,0)),"CODE NOT FOUND"))</f>
        <v/>
      </c>
      <c r="D70" s="7"/>
      <c r="E70" s="13"/>
      <c r="F70" s="17" t="str">
        <f aca="false">IF(OR(D70="",E70=""),"",D70*E70)</f>
        <v/>
      </c>
      <c r="G70" s="7"/>
      <c r="H70" s="7"/>
    </row>
    <row r="71" customFormat="false" ht="15" hidden="false" customHeight="true" outlineLevel="0" collapsed="false">
      <c r="A71" s="15"/>
      <c r="B71" s="7"/>
      <c r="C71" s="16" t="str">
        <f aca="false">IF(B71="","",IFERROR(INDEX(Products!$B$2:$B$501,MATCH(B71,Products!$A$2:$A$501,0)),"CODE NOT FOUND"))</f>
        <v/>
      </c>
      <c r="D71" s="7"/>
      <c r="E71" s="13"/>
      <c r="F71" s="17" t="str">
        <f aca="false">IF(OR(D71="",E71=""),"",D71*E71)</f>
        <v/>
      </c>
      <c r="G71" s="7"/>
      <c r="H71" s="7"/>
    </row>
    <row r="72" customFormat="false" ht="15" hidden="false" customHeight="true" outlineLevel="0" collapsed="false">
      <c r="A72" s="15"/>
      <c r="B72" s="7"/>
      <c r="C72" s="16" t="str">
        <f aca="false">IF(B72="","",IFERROR(INDEX(Products!$B$2:$B$501,MATCH(B72,Products!$A$2:$A$501,0)),"CODE NOT FOUND"))</f>
        <v/>
      </c>
      <c r="D72" s="7"/>
      <c r="E72" s="13"/>
      <c r="F72" s="17" t="str">
        <f aca="false">IF(OR(D72="",E72=""),"",D72*E72)</f>
        <v/>
      </c>
      <c r="G72" s="7"/>
      <c r="H72" s="7"/>
    </row>
    <row r="73" customFormat="false" ht="15" hidden="false" customHeight="true" outlineLevel="0" collapsed="false">
      <c r="A73" s="15"/>
      <c r="B73" s="7"/>
      <c r="C73" s="16" t="str">
        <f aca="false">IF(B73="","",IFERROR(INDEX(Products!$B$2:$B$501,MATCH(B73,Products!$A$2:$A$501,0)),"CODE NOT FOUND"))</f>
        <v/>
      </c>
      <c r="D73" s="7"/>
      <c r="E73" s="13"/>
      <c r="F73" s="17" t="str">
        <f aca="false">IF(OR(D73="",E73=""),"",D73*E73)</f>
        <v/>
      </c>
      <c r="G73" s="7"/>
      <c r="H73" s="7"/>
    </row>
    <row r="74" customFormat="false" ht="15" hidden="false" customHeight="true" outlineLevel="0" collapsed="false">
      <c r="A74" s="15"/>
      <c r="B74" s="7"/>
      <c r="C74" s="16" t="str">
        <f aca="false">IF(B74="","",IFERROR(INDEX(Products!$B$2:$B$501,MATCH(B74,Products!$A$2:$A$501,0)),"CODE NOT FOUND"))</f>
        <v/>
      </c>
      <c r="D74" s="7"/>
      <c r="E74" s="13"/>
      <c r="F74" s="17" t="str">
        <f aca="false">IF(OR(D74="",E74=""),"",D74*E74)</f>
        <v/>
      </c>
      <c r="G74" s="7"/>
      <c r="H74" s="7"/>
    </row>
    <row r="75" customFormat="false" ht="15" hidden="false" customHeight="true" outlineLevel="0" collapsed="false">
      <c r="A75" s="15"/>
      <c r="B75" s="7"/>
      <c r="C75" s="16" t="str">
        <f aca="false">IF(B75="","",IFERROR(INDEX(Products!$B$2:$B$501,MATCH(B75,Products!$A$2:$A$501,0)),"CODE NOT FOUND"))</f>
        <v/>
      </c>
      <c r="D75" s="7"/>
      <c r="E75" s="13"/>
      <c r="F75" s="17" t="str">
        <f aca="false">IF(OR(D75="",E75=""),"",D75*E75)</f>
        <v/>
      </c>
      <c r="G75" s="7"/>
      <c r="H75" s="7"/>
    </row>
    <row r="76" customFormat="false" ht="15" hidden="false" customHeight="true" outlineLevel="0" collapsed="false">
      <c r="A76" s="15"/>
      <c r="B76" s="7"/>
      <c r="C76" s="16" t="str">
        <f aca="false">IF(B76="","",IFERROR(INDEX(Products!$B$2:$B$501,MATCH(B76,Products!$A$2:$A$501,0)),"CODE NOT FOUND"))</f>
        <v/>
      </c>
      <c r="D76" s="7"/>
      <c r="E76" s="13"/>
      <c r="F76" s="17" t="str">
        <f aca="false">IF(OR(D76="",E76=""),"",D76*E76)</f>
        <v/>
      </c>
      <c r="G76" s="7"/>
      <c r="H76" s="7"/>
    </row>
    <row r="77" customFormat="false" ht="15" hidden="false" customHeight="true" outlineLevel="0" collapsed="false">
      <c r="A77" s="15"/>
      <c r="B77" s="7"/>
      <c r="C77" s="16" t="str">
        <f aca="false">IF(B77="","",IFERROR(INDEX(Products!$B$2:$B$501,MATCH(B77,Products!$A$2:$A$501,0)),"CODE NOT FOUND"))</f>
        <v/>
      </c>
      <c r="D77" s="7"/>
      <c r="E77" s="13"/>
      <c r="F77" s="17" t="str">
        <f aca="false">IF(OR(D77="",E77=""),"",D77*E77)</f>
        <v/>
      </c>
      <c r="G77" s="7"/>
      <c r="H77" s="7"/>
    </row>
    <row r="78" customFormat="false" ht="15" hidden="false" customHeight="true" outlineLevel="0" collapsed="false">
      <c r="A78" s="15"/>
      <c r="B78" s="7"/>
      <c r="C78" s="16" t="str">
        <f aca="false">IF(B78="","",IFERROR(INDEX(Products!$B$2:$B$501,MATCH(B78,Products!$A$2:$A$501,0)),"CODE NOT FOUND"))</f>
        <v/>
      </c>
      <c r="D78" s="7"/>
      <c r="E78" s="13"/>
      <c r="F78" s="17" t="str">
        <f aca="false">IF(OR(D78="",E78=""),"",D78*E78)</f>
        <v/>
      </c>
      <c r="G78" s="7"/>
      <c r="H78" s="7"/>
    </row>
    <row r="79" customFormat="false" ht="15" hidden="false" customHeight="true" outlineLevel="0" collapsed="false">
      <c r="A79" s="15"/>
      <c r="B79" s="7"/>
      <c r="C79" s="16" t="str">
        <f aca="false">IF(B79="","",IFERROR(INDEX(Products!$B$2:$B$501,MATCH(B79,Products!$A$2:$A$501,0)),"CODE NOT FOUND"))</f>
        <v/>
      </c>
      <c r="D79" s="7"/>
      <c r="E79" s="13"/>
      <c r="F79" s="17" t="str">
        <f aca="false">IF(OR(D79="",E79=""),"",D79*E79)</f>
        <v/>
      </c>
      <c r="G79" s="7"/>
      <c r="H79" s="7"/>
    </row>
    <row r="80" customFormat="false" ht="15" hidden="false" customHeight="true" outlineLevel="0" collapsed="false">
      <c r="A80" s="15"/>
      <c r="B80" s="7"/>
      <c r="C80" s="16" t="str">
        <f aca="false">IF(B80="","",IFERROR(INDEX(Products!$B$2:$B$501,MATCH(B80,Products!$A$2:$A$501,0)),"CODE NOT FOUND"))</f>
        <v/>
      </c>
      <c r="D80" s="7"/>
      <c r="E80" s="13"/>
      <c r="F80" s="17" t="str">
        <f aca="false">IF(OR(D80="",E80=""),"",D80*E80)</f>
        <v/>
      </c>
      <c r="G80" s="7"/>
      <c r="H80" s="7"/>
    </row>
    <row r="81" customFormat="false" ht="15" hidden="false" customHeight="true" outlineLevel="0" collapsed="false">
      <c r="A81" s="15"/>
      <c r="B81" s="7"/>
      <c r="C81" s="16" t="str">
        <f aca="false">IF(B81="","",IFERROR(INDEX(Products!$B$2:$B$501,MATCH(B81,Products!$A$2:$A$501,0)),"CODE NOT FOUND"))</f>
        <v/>
      </c>
      <c r="D81" s="7"/>
      <c r="E81" s="13"/>
      <c r="F81" s="17" t="str">
        <f aca="false">IF(OR(D81="",E81=""),"",D81*E81)</f>
        <v/>
      </c>
      <c r="G81" s="7"/>
      <c r="H81" s="7"/>
    </row>
    <row r="82" customFormat="false" ht="15" hidden="false" customHeight="true" outlineLevel="0" collapsed="false">
      <c r="A82" s="15"/>
      <c r="B82" s="7"/>
      <c r="C82" s="16" t="str">
        <f aca="false">IF(B82="","",IFERROR(INDEX(Products!$B$2:$B$501,MATCH(B82,Products!$A$2:$A$501,0)),"CODE NOT FOUND"))</f>
        <v/>
      </c>
      <c r="D82" s="7"/>
      <c r="E82" s="13"/>
      <c r="F82" s="17" t="str">
        <f aca="false">IF(OR(D82="",E82=""),"",D82*E82)</f>
        <v/>
      </c>
      <c r="G82" s="7"/>
      <c r="H82" s="7"/>
    </row>
    <row r="83" customFormat="false" ht="15" hidden="false" customHeight="true" outlineLevel="0" collapsed="false">
      <c r="A83" s="15"/>
      <c r="B83" s="7"/>
      <c r="C83" s="16" t="str">
        <f aca="false">IF(B83="","",IFERROR(INDEX(Products!$B$2:$B$501,MATCH(B83,Products!$A$2:$A$501,0)),"CODE NOT FOUND"))</f>
        <v/>
      </c>
      <c r="D83" s="7"/>
      <c r="E83" s="13"/>
      <c r="F83" s="17" t="str">
        <f aca="false">IF(OR(D83="",E83=""),"",D83*E83)</f>
        <v/>
      </c>
      <c r="G83" s="7"/>
      <c r="H83" s="7"/>
    </row>
    <row r="84" customFormat="false" ht="15" hidden="false" customHeight="true" outlineLevel="0" collapsed="false">
      <c r="A84" s="15"/>
      <c r="B84" s="7"/>
      <c r="C84" s="16" t="str">
        <f aca="false">IF(B84="","",IFERROR(INDEX(Products!$B$2:$B$501,MATCH(B84,Products!$A$2:$A$501,0)),"CODE NOT FOUND"))</f>
        <v/>
      </c>
      <c r="D84" s="7"/>
      <c r="E84" s="13"/>
      <c r="F84" s="17" t="str">
        <f aca="false">IF(OR(D84="",E84=""),"",D84*E84)</f>
        <v/>
      </c>
      <c r="G84" s="7"/>
      <c r="H84" s="7"/>
    </row>
    <row r="85" customFormat="false" ht="15" hidden="false" customHeight="true" outlineLevel="0" collapsed="false">
      <c r="A85" s="15"/>
      <c r="B85" s="7"/>
      <c r="C85" s="16" t="str">
        <f aca="false">IF(B85="","",IFERROR(INDEX(Products!$B$2:$B$501,MATCH(B85,Products!$A$2:$A$501,0)),"CODE NOT FOUND"))</f>
        <v/>
      </c>
      <c r="D85" s="7"/>
      <c r="E85" s="13"/>
      <c r="F85" s="17" t="str">
        <f aca="false">IF(OR(D85="",E85=""),"",D85*E85)</f>
        <v/>
      </c>
      <c r="G85" s="7"/>
      <c r="H85" s="7"/>
    </row>
    <row r="86" customFormat="false" ht="15" hidden="false" customHeight="true" outlineLevel="0" collapsed="false">
      <c r="A86" s="15"/>
      <c r="B86" s="7"/>
      <c r="C86" s="16" t="str">
        <f aca="false">IF(B86="","",IFERROR(INDEX(Products!$B$2:$B$501,MATCH(B86,Products!$A$2:$A$501,0)),"CODE NOT FOUND"))</f>
        <v/>
      </c>
      <c r="D86" s="7"/>
      <c r="E86" s="13"/>
      <c r="F86" s="17" t="str">
        <f aca="false">IF(OR(D86="",E86=""),"",D86*E86)</f>
        <v/>
      </c>
      <c r="G86" s="7"/>
      <c r="H86" s="7"/>
    </row>
    <row r="87" customFormat="false" ht="15" hidden="false" customHeight="true" outlineLevel="0" collapsed="false">
      <c r="A87" s="15"/>
      <c r="B87" s="7"/>
      <c r="C87" s="16" t="str">
        <f aca="false">IF(B87="","",IFERROR(INDEX(Products!$B$2:$B$501,MATCH(B87,Products!$A$2:$A$501,0)),"CODE NOT FOUND"))</f>
        <v/>
      </c>
      <c r="D87" s="7"/>
      <c r="E87" s="13"/>
      <c r="F87" s="17" t="str">
        <f aca="false">IF(OR(D87="",E87=""),"",D87*E87)</f>
        <v/>
      </c>
      <c r="G87" s="7"/>
      <c r="H87" s="7"/>
    </row>
    <row r="88" customFormat="false" ht="15" hidden="false" customHeight="true" outlineLevel="0" collapsed="false">
      <c r="A88" s="15"/>
      <c r="B88" s="7"/>
      <c r="C88" s="16" t="str">
        <f aca="false">IF(B88="","",IFERROR(INDEX(Products!$B$2:$B$501,MATCH(B88,Products!$A$2:$A$501,0)),"CODE NOT FOUND"))</f>
        <v/>
      </c>
      <c r="D88" s="7"/>
      <c r="E88" s="13"/>
      <c r="F88" s="17" t="str">
        <f aca="false">IF(OR(D88="",E88=""),"",D88*E88)</f>
        <v/>
      </c>
      <c r="G88" s="7"/>
      <c r="H88" s="7"/>
    </row>
    <row r="89" customFormat="false" ht="15" hidden="false" customHeight="true" outlineLevel="0" collapsed="false">
      <c r="A89" s="15"/>
      <c r="B89" s="7"/>
      <c r="C89" s="16" t="str">
        <f aca="false">IF(B89="","",IFERROR(INDEX(Products!$B$2:$B$501,MATCH(B89,Products!$A$2:$A$501,0)),"CODE NOT FOUND"))</f>
        <v/>
      </c>
      <c r="D89" s="7"/>
      <c r="E89" s="13"/>
      <c r="F89" s="17" t="str">
        <f aca="false">IF(OR(D89="",E89=""),"",D89*E89)</f>
        <v/>
      </c>
      <c r="G89" s="7"/>
      <c r="H89" s="7"/>
    </row>
    <row r="90" customFormat="false" ht="15" hidden="false" customHeight="true" outlineLevel="0" collapsed="false">
      <c r="A90" s="15"/>
      <c r="B90" s="7"/>
      <c r="C90" s="16" t="str">
        <f aca="false">IF(B90="","",IFERROR(INDEX(Products!$B$2:$B$501,MATCH(B90,Products!$A$2:$A$501,0)),"CODE NOT FOUND"))</f>
        <v/>
      </c>
      <c r="D90" s="7"/>
      <c r="E90" s="13"/>
      <c r="F90" s="17" t="str">
        <f aca="false">IF(OR(D90="",E90=""),"",D90*E90)</f>
        <v/>
      </c>
      <c r="G90" s="7"/>
      <c r="H90" s="7"/>
    </row>
    <row r="91" customFormat="false" ht="15" hidden="false" customHeight="true" outlineLevel="0" collapsed="false">
      <c r="A91" s="15"/>
      <c r="B91" s="7"/>
      <c r="C91" s="16" t="str">
        <f aca="false">IF(B91="","",IFERROR(INDEX(Products!$B$2:$B$501,MATCH(B91,Products!$A$2:$A$501,0)),"CODE NOT FOUND"))</f>
        <v/>
      </c>
      <c r="D91" s="7"/>
      <c r="E91" s="13"/>
      <c r="F91" s="17" t="str">
        <f aca="false">IF(OR(D91="",E91=""),"",D91*E91)</f>
        <v/>
      </c>
      <c r="G91" s="7"/>
      <c r="H91" s="7"/>
    </row>
    <row r="92" customFormat="false" ht="15" hidden="false" customHeight="true" outlineLevel="0" collapsed="false">
      <c r="A92" s="15"/>
      <c r="B92" s="7"/>
      <c r="C92" s="16" t="str">
        <f aca="false">IF(B92="","",IFERROR(INDEX(Products!$B$2:$B$501,MATCH(B92,Products!$A$2:$A$501,0)),"CODE NOT FOUND"))</f>
        <v/>
      </c>
      <c r="D92" s="7"/>
      <c r="E92" s="13"/>
      <c r="F92" s="17" t="str">
        <f aca="false">IF(OR(D92="",E92=""),"",D92*E92)</f>
        <v/>
      </c>
      <c r="G92" s="7"/>
      <c r="H92" s="7"/>
    </row>
    <row r="93" customFormat="false" ht="15" hidden="false" customHeight="true" outlineLevel="0" collapsed="false">
      <c r="A93" s="15"/>
      <c r="B93" s="7"/>
      <c r="C93" s="16" t="str">
        <f aca="false">IF(B93="","",IFERROR(INDEX(Products!$B$2:$B$501,MATCH(B93,Products!$A$2:$A$501,0)),"CODE NOT FOUND"))</f>
        <v/>
      </c>
      <c r="D93" s="7"/>
      <c r="E93" s="13"/>
      <c r="F93" s="17" t="str">
        <f aca="false">IF(OR(D93="",E93=""),"",D93*E93)</f>
        <v/>
      </c>
      <c r="G93" s="7"/>
      <c r="H93" s="7"/>
    </row>
    <row r="94" customFormat="false" ht="15" hidden="false" customHeight="true" outlineLevel="0" collapsed="false">
      <c r="A94" s="15"/>
      <c r="B94" s="7"/>
      <c r="C94" s="16" t="str">
        <f aca="false">IF(B94="","",IFERROR(INDEX(Products!$B$2:$B$501,MATCH(B94,Products!$A$2:$A$501,0)),"CODE NOT FOUND"))</f>
        <v/>
      </c>
      <c r="D94" s="7"/>
      <c r="E94" s="13"/>
      <c r="F94" s="17" t="str">
        <f aca="false">IF(OR(D94="",E94=""),"",D94*E94)</f>
        <v/>
      </c>
      <c r="G94" s="7"/>
      <c r="H94" s="7"/>
    </row>
    <row r="95" customFormat="false" ht="15" hidden="false" customHeight="true" outlineLevel="0" collapsed="false">
      <c r="A95" s="15"/>
      <c r="B95" s="7"/>
      <c r="C95" s="16" t="str">
        <f aca="false">IF(B95="","",IFERROR(INDEX(Products!$B$2:$B$501,MATCH(B95,Products!$A$2:$A$501,0)),"CODE NOT FOUND"))</f>
        <v/>
      </c>
      <c r="D95" s="7"/>
      <c r="E95" s="13"/>
      <c r="F95" s="17" t="str">
        <f aca="false">IF(OR(D95="",E95=""),"",D95*E95)</f>
        <v/>
      </c>
      <c r="G95" s="7"/>
      <c r="H95" s="7"/>
    </row>
    <row r="96" customFormat="false" ht="15" hidden="false" customHeight="true" outlineLevel="0" collapsed="false">
      <c r="A96" s="15"/>
      <c r="B96" s="7"/>
      <c r="C96" s="16" t="str">
        <f aca="false">IF(B96="","",IFERROR(INDEX(Products!$B$2:$B$501,MATCH(B96,Products!$A$2:$A$501,0)),"CODE NOT FOUND"))</f>
        <v/>
      </c>
      <c r="D96" s="7"/>
      <c r="E96" s="13"/>
      <c r="F96" s="17" t="str">
        <f aca="false">IF(OR(D96="",E96=""),"",D96*E96)</f>
        <v/>
      </c>
      <c r="G96" s="7"/>
      <c r="H96" s="7"/>
    </row>
    <row r="97" customFormat="false" ht="15" hidden="false" customHeight="true" outlineLevel="0" collapsed="false">
      <c r="A97" s="15"/>
      <c r="B97" s="7"/>
      <c r="C97" s="16" t="str">
        <f aca="false">IF(B97="","",IFERROR(INDEX(Products!$B$2:$B$501,MATCH(B97,Products!$A$2:$A$501,0)),"CODE NOT FOUND"))</f>
        <v/>
      </c>
      <c r="D97" s="7"/>
      <c r="E97" s="13"/>
      <c r="F97" s="17" t="str">
        <f aca="false">IF(OR(D97="",E97=""),"",D97*E97)</f>
        <v/>
      </c>
      <c r="G97" s="7"/>
      <c r="H97" s="7"/>
    </row>
    <row r="98" customFormat="false" ht="15" hidden="false" customHeight="true" outlineLevel="0" collapsed="false">
      <c r="A98" s="15"/>
      <c r="B98" s="7"/>
      <c r="C98" s="16" t="str">
        <f aca="false">IF(B98="","",IFERROR(INDEX(Products!$B$2:$B$501,MATCH(B98,Products!$A$2:$A$501,0)),"CODE NOT FOUND"))</f>
        <v/>
      </c>
      <c r="D98" s="7"/>
      <c r="E98" s="13"/>
      <c r="F98" s="17" t="str">
        <f aca="false">IF(OR(D98="",E98=""),"",D98*E98)</f>
        <v/>
      </c>
      <c r="G98" s="7"/>
      <c r="H98" s="7"/>
    </row>
    <row r="99" customFormat="false" ht="15" hidden="false" customHeight="true" outlineLevel="0" collapsed="false">
      <c r="A99" s="15"/>
      <c r="B99" s="7"/>
      <c r="C99" s="16" t="str">
        <f aca="false">IF(B99="","",IFERROR(INDEX(Products!$B$2:$B$501,MATCH(B99,Products!$A$2:$A$501,0)),"CODE NOT FOUND"))</f>
        <v/>
      </c>
      <c r="D99" s="7"/>
      <c r="E99" s="13"/>
      <c r="F99" s="17" t="str">
        <f aca="false">IF(OR(D99="",E99=""),"",D99*E99)</f>
        <v/>
      </c>
      <c r="G99" s="7"/>
      <c r="H99" s="7"/>
    </row>
    <row r="100" customFormat="false" ht="15" hidden="false" customHeight="true" outlineLevel="0" collapsed="false">
      <c r="A100" s="15"/>
      <c r="B100" s="7"/>
      <c r="C100" s="16" t="str">
        <f aca="false">IF(B100="","",IFERROR(INDEX(Products!$B$2:$B$501,MATCH(B100,Products!$A$2:$A$501,0)),"CODE NOT FOUND"))</f>
        <v/>
      </c>
      <c r="D100" s="7"/>
      <c r="E100" s="13"/>
      <c r="F100" s="17" t="str">
        <f aca="false">IF(OR(D100="",E100=""),"",D100*E100)</f>
        <v/>
      </c>
      <c r="G100" s="7"/>
      <c r="H100" s="7"/>
    </row>
    <row r="101" customFormat="false" ht="15" hidden="false" customHeight="true" outlineLevel="0" collapsed="false">
      <c r="A101" s="15"/>
      <c r="B101" s="7"/>
      <c r="C101" s="16" t="str">
        <f aca="false">IF(B101="","",IFERROR(INDEX(Products!$B$2:$B$501,MATCH(B101,Products!$A$2:$A$501,0)),"CODE NOT FOUND"))</f>
        <v/>
      </c>
      <c r="D101" s="7"/>
      <c r="E101" s="13"/>
      <c r="F101" s="17" t="str">
        <f aca="false">IF(OR(D101="",E101=""),"",D101*E101)</f>
        <v/>
      </c>
      <c r="G101" s="7"/>
      <c r="H101" s="7"/>
    </row>
    <row r="102" customFormat="false" ht="15" hidden="false" customHeight="true" outlineLevel="0" collapsed="false">
      <c r="A102" s="15"/>
      <c r="B102" s="7"/>
      <c r="C102" s="16" t="str">
        <f aca="false">IF(B102="","",IFERROR(INDEX(Products!$B$2:$B$501,MATCH(B102,Products!$A$2:$A$501,0)),"CODE NOT FOUND"))</f>
        <v/>
      </c>
      <c r="D102" s="7"/>
      <c r="E102" s="13"/>
      <c r="F102" s="17" t="str">
        <f aca="false">IF(OR(D102="",E102=""),"",D102*E102)</f>
        <v/>
      </c>
      <c r="G102" s="7"/>
      <c r="H102" s="7"/>
    </row>
    <row r="103" customFormat="false" ht="15" hidden="false" customHeight="true" outlineLevel="0" collapsed="false">
      <c r="A103" s="15"/>
      <c r="B103" s="7"/>
      <c r="C103" s="16" t="str">
        <f aca="false">IF(B103="","",IFERROR(INDEX(Products!$B$2:$B$501,MATCH(B103,Products!$A$2:$A$501,0)),"CODE NOT FOUND"))</f>
        <v/>
      </c>
      <c r="D103" s="7"/>
      <c r="E103" s="13"/>
      <c r="F103" s="17" t="str">
        <f aca="false">IF(OR(D103="",E103=""),"",D103*E103)</f>
        <v/>
      </c>
      <c r="G103" s="7"/>
      <c r="H103" s="7"/>
    </row>
    <row r="104" customFormat="false" ht="15" hidden="false" customHeight="true" outlineLevel="0" collapsed="false">
      <c r="A104" s="15"/>
      <c r="B104" s="7"/>
      <c r="C104" s="16" t="str">
        <f aca="false">IF(B104="","",IFERROR(INDEX(Products!$B$2:$B$501,MATCH(B104,Products!$A$2:$A$501,0)),"CODE NOT FOUND"))</f>
        <v/>
      </c>
      <c r="D104" s="7"/>
      <c r="E104" s="13"/>
      <c r="F104" s="17" t="str">
        <f aca="false">IF(OR(D104="",E104=""),"",D104*E104)</f>
        <v/>
      </c>
      <c r="G104" s="7"/>
      <c r="H104" s="7"/>
    </row>
    <row r="105" customFormat="false" ht="15" hidden="false" customHeight="true" outlineLevel="0" collapsed="false">
      <c r="A105" s="15"/>
      <c r="B105" s="7"/>
      <c r="C105" s="16" t="str">
        <f aca="false">IF(B105="","",IFERROR(INDEX(Products!$B$2:$B$501,MATCH(B105,Products!$A$2:$A$501,0)),"CODE NOT FOUND"))</f>
        <v/>
      </c>
      <c r="D105" s="7"/>
      <c r="E105" s="13"/>
      <c r="F105" s="17" t="str">
        <f aca="false">IF(OR(D105="",E105=""),"",D105*E105)</f>
        <v/>
      </c>
      <c r="G105" s="7"/>
      <c r="H105" s="7"/>
    </row>
    <row r="106" customFormat="false" ht="15" hidden="false" customHeight="true" outlineLevel="0" collapsed="false">
      <c r="A106" s="15"/>
      <c r="B106" s="7"/>
      <c r="C106" s="16" t="str">
        <f aca="false">IF(B106="","",IFERROR(INDEX(Products!$B$2:$B$501,MATCH(B106,Products!$A$2:$A$501,0)),"CODE NOT FOUND"))</f>
        <v/>
      </c>
      <c r="D106" s="7"/>
      <c r="E106" s="13"/>
      <c r="F106" s="17" t="str">
        <f aca="false">IF(OR(D106="",E106=""),"",D106*E106)</f>
        <v/>
      </c>
      <c r="G106" s="7"/>
      <c r="H106" s="7"/>
    </row>
    <row r="107" customFormat="false" ht="15" hidden="false" customHeight="true" outlineLevel="0" collapsed="false">
      <c r="A107" s="15"/>
      <c r="B107" s="7"/>
      <c r="C107" s="16" t="str">
        <f aca="false">IF(B107="","",IFERROR(INDEX(Products!$B$2:$B$501,MATCH(B107,Products!$A$2:$A$501,0)),"CODE NOT FOUND"))</f>
        <v/>
      </c>
      <c r="D107" s="7"/>
      <c r="E107" s="13"/>
      <c r="F107" s="17" t="str">
        <f aca="false">IF(OR(D107="",E107=""),"",D107*E107)</f>
        <v/>
      </c>
      <c r="G107" s="7"/>
      <c r="H107" s="7"/>
    </row>
    <row r="108" customFormat="false" ht="15" hidden="false" customHeight="true" outlineLevel="0" collapsed="false">
      <c r="A108" s="15"/>
      <c r="B108" s="7"/>
      <c r="C108" s="16" t="str">
        <f aca="false">IF(B108="","",IFERROR(INDEX(Products!$B$2:$B$501,MATCH(B108,Products!$A$2:$A$501,0)),"CODE NOT FOUND"))</f>
        <v/>
      </c>
      <c r="D108" s="7"/>
      <c r="E108" s="13"/>
      <c r="F108" s="17" t="str">
        <f aca="false">IF(OR(D108="",E108=""),"",D108*E108)</f>
        <v/>
      </c>
      <c r="G108" s="7"/>
      <c r="H108" s="7"/>
    </row>
    <row r="109" customFormat="false" ht="15" hidden="false" customHeight="true" outlineLevel="0" collapsed="false">
      <c r="A109" s="15"/>
      <c r="B109" s="7"/>
      <c r="C109" s="16" t="str">
        <f aca="false">IF(B109="","",IFERROR(INDEX(Products!$B$2:$B$501,MATCH(B109,Products!$A$2:$A$501,0)),"CODE NOT FOUND"))</f>
        <v/>
      </c>
      <c r="D109" s="7"/>
      <c r="E109" s="13"/>
      <c r="F109" s="17" t="str">
        <f aca="false">IF(OR(D109="",E109=""),"",D109*E109)</f>
        <v/>
      </c>
      <c r="G109" s="7"/>
      <c r="H109" s="7"/>
    </row>
    <row r="110" customFormat="false" ht="15" hidden="false" customHeight="true" outlineLevel="0" collapsed="false">
      <c r="A110" s="15"/>
      <c r="B110" s="7"/>
      <c r="C110" s="16" t="str">
        <f aca="false">IF(B110="","",IFERROR(INDEX(Products!$B$2:$B$501,MATCH(B110,Products!$A$2:$A$501,0)),"CODE NOT FOUND"))</f>
        <v/>
      </c>
      <c r="D110" s="7"/>
      <c r="E110" s="13"/>
      <c r="F110" s="17" t="str">
        <f aca="false">IF(OR(D110="",E110=""),"",D110*E110)</f>
        <v/>
      </c>
      <c r="G110" s="7"/>
      <c r="H110" s="7"/>
    </row>
    <row r="111" customFormat="false" ht="15" hidden="false" customHeight="true" outlineLevel="0" collapsed="false">
      <c r="A111" s="15"/>
      <c r="B111" s="7"/>
      <c r="C111" s="16" t="str">
        <f aca="false">IF(B111="","",IFERROR(INDEX(Products!$B$2:$B$501,MATCH(B111,Products!$A$2:$A$501,0)),"CODE NOT FOUND"))</f>
        <v/>
      </c>
      <c r="D111" s="7"/>
      <c r="E111" s="13"/>
      <c r="F111" s="17" t="str">
        <f aca="false">IF(OR(D111="",E111=""),"",D111*E111)</f>
        <v/>
      </c>
      <c r="G111" s="7"/>
      <c r="H111" s="7"/>
    </row>
    <row r="112" customFormat="false" ht="15" hidden="false" customHeight="true" outlineLevel="0" collapsed="false">
      <c r="A112" s="15"/>
      <c r="B112" s="7"/>
      <c r="C112" s="16" t="str">
        <f aca="false">IF(B112="","",IFERROR(INDEX(Products!$B$2:$B$501,MATCH(B112,Products!$A$2:$A$501,0)),"CODE NOT FOUND"))</f>
        <v/>
      </c>
      <c r="D112" s="7"/>
      <c r="E112" s="13"/>
      <c r="F112" s="17" t="str">
        <f aca="false">IF(OR(D112="",E112=""),"",D112*E112)</f>
        <v/>
      </c>
      <c r="G112" s="7"/>
      <c r="H112" s="7"/>
    </row>
    <row r="113" customFormat="false" ht="15" hidden="false" customHeight="true" outlineLevel="0" collapsed="false">
      <c r="A113" s="15"/>
      <c r="B113" s="7"/>
      <c r="C113" s="16" t="str">
        <f aca="false">IF(B113="","",IFERROR(INDEX(Products!$B$2:$B$501,MATCH(B113,Products!$A$2:$A$501,0)),"CODE NOT FOUND"))</f>
        <v/>
      </c>
      <c r="D113" s="7"/>
      <c r="E113" s="13"/>
      <c r="F113" s="17" t="str">
        <f aca="false">IF(OR(D113="",E113=""),"",D113*E113)</f>
        <v/>
      </c>
      <c r="G113" s="7"/>
      <c r="H113" s="7"/>
    </row>
    <row r="114" customFormat="false" ht="15" hidden="false" customHeight="true" outlineLevel="0" collapsed="false">
      <c r="A114" s="15"/>
      <c r="B114" s="7"/>
      <c r="C114" s="16" t="str">
        <f aca="false">IF(B114="","",IFERROR(INDEX(Products!$B$2:$B$501,MATCH(B114,Products!$A$2:$A$501,0)),"CODE NOT FOUND"))</f>
        <v/>
      </c>
      <c r="D114" s="7"/>
      <c r="E114" s="13"/>
      <c r="F114" s="17" t="str">
        <f aca="false">IF(OR(D114="",E114=""),"",D114*E114)</f>
        <v/>
      </c>
      <c r="G114" s="7"/>
      <c r="H114" s="7"/>
    </row>
    <row r="115" customFormat="false" ht="15" hidden="false" customHeight="true" outlineLevel="0" collapsed="false">
      <c r="A115" s="15"/>
      <c r="B115" s="7"/>
      <c r="C115" s="16" t="str">
        <f aca="false">IF(B115="","",IFERROR(INDEX(Products!$B$2:$B$501,MATCH(B115,Products!$A$2:$A$501,0)),"CODE NOT FOUND"))</f>
        <v/>
      </c>
      <c r="D115" s="7"/>
      <c r="E115" s="13"/>
      <c r="F115" s="17" t="str">
        <f aca="false">IF(OR(D115="",E115=""),"",D115*E115)</f>
        <v/>
      </c>
      <c r="G115" s="7"/>
      <c r="H115" s="7"/>
    </row>
    <row r="116" customFormat="false" ht="15" hidden="false" customHeight="true" outlineLevel="0" collapsed="false">
      <c r="A116" s="15"/>
      <c r="B116" s="7"/>
      <c r="C116" s="16" t="str">
        <f aca="false">IF(B116="","",IFERROR(INDEX(Products!$B$2:$B$501,MATCH(B116,Products!$A$2:$A$501,0)),"CODE NOT FOUND"))</f>
        <v/>
      </c>
      <c r="D116" s="7"/>
      <c r="E116" s="13"/>
      <c r="F116" s="17" t="str">
        <f aca="false">IF(OR(D116="",E116=""),"",D116*E116)</f>
        <v/>
      </c>
      <c r="G116" s="7"/>
      <c r="H116" s="7"/>
    </row>
    <row r="117" customFormat="false" ht="15" hidden="false" customHeight="true" outlineLevel="0" collapsed="false">
      <c r="A117" s="15"/>
      <c r="B117" s="7"/>
      <c r="C117" s="16" t="str">
        <f aca="false">IF(B117="","",IFERROR(INDEX(Products!$B$2:$B$501,MATCH(B117,Products!$A$2:$A$501,0)),"CODE NOT FOUND"))</f>
        <v/>
      </c>
      <c r="D117" s="7"/>
      <c r="E117" s="13"/>
      <c r="F117" s="17" t="str">
        <f aca="false">IF(OR(D117="",E117=""),"",D117*E117)</f>
        <v/>
      </c>
      <c r="G117" s="7"/>
      <c r="H117" s="7"/>
    </row>
    <row r="118" customFormat="false" ht="15" hidden="false" customHeight="true" outlineLevel="0" collapsed="false">
      <c r="A118" s="15"/>
      <c r="B118" s="7"/>
      <c r="C118" s="16" t="str">
        <f aca="false">IF(B118="","",IFERROR(INDEX(Products!$B$2:$B$501,MATCH(B118,Products!$A$2:$A$501,0)),"CODE NOT FOUND"))</f>
        <v/>
      </c>
      <c r="D118" s="7"/>
      <c r="E118" s="13"/>
      <c r="F118" s="17" t="str">
        <f aca="false">IF(OR(D118="",E118=""),"",D118*E118)</f>
        <v/>
      </c>
      <c r="G118" s="7"/>
      <c r="H118" s="7"/>
    </row>
    <row r="119" customFormat="false" ht="15" hidden="false" customHeight="true" outlineLevel="0" collapsed="false">
      <c r="A119" s="15"/>
      <c r="B119" s="7"/>
      <c r="C119" s="16" t="str">
        <f aca="false">IF(B119="","",IFERROR(INDEX(Products!$B$2:$B$501,MATCH(B119,Products!$A$2:$A$501,0)),"CODE NOT FOUND"))</f>
        <v/>
      </c>
      <c r="D119" s="7"/>
      <c r="E119" s="13"/>
      <c r="F119" s="17" t="str">
        <f aca="false">IF(OR(D119="",E119=""),"",D119*E119)</f>
        <v/>
      </c>
      <c r="G119" s="7"/>
      <c r="H119" s="7"/>
    </row>
    <row r="120" customFormat="false" ht="15" hidden="false" customHeight="true" outlineLevel="0" collapsed="false">
      <c r="A120" s="15"/>
      <c r="B120" s="7"/>
      <c r="C120" s="16" t="str">
        <f aca="false">IF(B120="","",IFERROR(INDEX(Products!$B$2:$B$501,MATCH(B120,Products!$A$2:$A$501,0)),"CODE NOT FOUND"))</f>
        <v/>
      </c>
      <c r="D120" s="7"/>
      <c r="E120" s="13"/>
      <c r="F120" s="17" t="str">
        <f aca="false">IF(OR(D120="",E120=""),"",D120*E120)</f>
        <v/>
      </c>
      <c r="G120" s="7"/>
      <c r="H120" s="7"/>
    </row>
    <row r="121" customFormat="false" ht="15" hidden="false" customHeight="true" outlineLevel="0" collapsed="false">
      <c r="A121" s="15"/>
      <c r="B121" s="7"/>
      <c r="C121" s="16" t="str">
        <f aca="false">IF(B121="","",IFERROR(INDEX(Products!$B$2:$B$501,MATCH(B121,Products!$A$2:$A$501,0)),"CODE NOT FOUND"))</f>
        <v/>
      </c>
      <c r="D121" s="7"/>
      <c r="E121" s="13"/>
      <c r="F121" s="17" t="str">
        <f aca="false">IF(OR(D121="",E121=""),"",D121*E121)</f>
        <v/>
      </c>
      <c r="G121" s="7"/>
      <c r="H121" s="7"/>
    </row>
    <row r="122" customFormat="false" ht="15" hidden="false" customHeight="true" outlineLevel="0" collapsed="false">
      <c r="A122" s="15"/>
      <c r="B122" s="7"/>
      <c r="C122" s="16" t="str">
        <f aca="false">IF(B122="","",IFERROR(INDEX(Products!$B$2:$B$501,MATCH(B122,Products!$A$2:$A$501,0)),"CODE NOT FOUND"))</f>
        <v/>
      </c>
      <c r="D122" s="7"/>
      <c r="E122" s="13"/>
      <c r="F122" s="17" t="str">
        <f aca="false">IF(OR(D122="",E122=""),"",D122*E122)</f>
        <v/>
      </c>
      <c r="G122" s="7"/>
      <c r="H122" s="7"/>
    </row>
    <row r="123" customFormat="false" ht="15" hidden="false" customHeight="true" outlineLevel="0" collapsed="false">
      <c r="A123" s="15"/>
      <c r="B123" s="7"/>
      <c r="C123" s="16" t="str">
        <f aca="false">IF(B123="","",IFERROR(INDEX(Products!$B$2:$B$501,MATCH(B123,Products!$A$2:$A$501,0)),"CODE NOT FOUND"))</f>
        <v/>
      </c>
      <c r="D123" s="7"/>
      <c r="E123" s="13"/>
      <c r="F123" s="17" t="str">
        <f aca="false">IF(OR(D123="",E123=""),"",D123*E123)</f>
        <v/>
      </c>
      <c r="G123" s="7"/>
      <c r="H123" s="7"/>
    </row>
    <row r="124" customFormat="false" ht="15" hidden="false" customHeight="true" outlineLevel="0" collapsed="false">
      <c r="A124" s="15"/>
      <c r="B124" s="7"/>
      <c r="C124" s="16" t="str">
        <f aca="false">IF(B124="","",IFERROR(INDEX(Products!$B$2:$B$501,MATCH(B124,Products!$A$2:$A$501,0)),"CODE NOT FOUND"))</f>
        <v/>
      </c>
      <c r="D124" s="7"/>
      <c r="E124" s="13"/>
      <c r="F124" s="17" t="str">
        <f aca="false">IF(OR(D124="",E124=""),"",D124*E124)</f>
        <v/>
      </c>
      <c r="G124" s="7"/>
      <c r="H124" s="7"/>
    </row>
    <row r="125" customFormat="false" ht="15" hidden="false" customHeight="true" outlineLevel="0" collapsed="false">
      <c r="A125" s="15"/>
      <c r="B125" s="7"/>
      <c r="C125" s="16" t="str">
        <f aca="false">IF(B125="","",IFERROR(INDEX(Products!$B$2:$B$501,MATCH(B125,Products!$A$2:$A$501,0)),"CODE NOT FOUND"))</f>
        <v/>
      </c>
      <c r="D125" s="7"/>
      <c r="E125" s="13"/>
      <c r="F125" s="17" t="str">
        <f aca="false">IF(OR(D125="",E125=""),"",D125*E125)</f>
        <v/>
      </c>
      <c r="G125" s="7"/>
      <c r="H125" s="7"/>
    </row>
    <row r="126" customFormat="false" ht="15" hidden="false" customHeight="true" outlineLevel="0" collapsed="false">
      <c r="A126" s="15"/>
      <c r="B126" s="7"/>
      <c r="C126" s="16" t="str">
        <f aca="false">IF(B126="","",IFERROR(INDEX(Products!$B$2:$B$501,MATCH(B126,Products!$A$2:$A$501,0)),"CODE NOT FOUND"))</f>
        <v/>
      </c>
      <c r="D126" s="7"/>
      <c r="E126" s="13"/>
      <c r="F126" s="17" t="str">
        <f aca="false">IF(OR(D126="",E126=""),"",D126*E126)</f>
        <v/>
      </c>
      <c r="G126" s="7"/>
      <c r="H126" s="7"/>
    </row>
    <row r="127" customFormat="false" ht="15" hidden="false" customHeight="true" outlineLevel="0" collapsed="false">
      <c r="A127" s="15"/>
      <c r="B127" s="7"/>
      <c r="C127" s="16" t="str">
        <f aca="false">IF(B127="","",IFERROR(INDEX(Products!$B$2:$B$501,MATCH(B127,Products!$A$2:$A$501,0)),"CODE NOT FOUND"))</f>
        <v/>
      </c>
      <c r="D127" s="7"/>
      <c r="E127" s="13"/>
      <c r="F127" s="17" t="str">
        <f aca="false">IF(OR(D127="",E127=""),"",D127*E127)</f>
        <v/>
      </c>
      <c r="G127" s="7"/>
      <c r="H127" s="7"/>
    </row>
    <row r="128" customFormat="false" ht="15" hidden="false" customHeight="true" outlineLevel="0" collapsed="false">
      <c r="A128" s="15"/>
      <c r="B128" s="7"/>
      <c r="C128" s="16" t="str">
        <f aca="false">IF(B128="","",IFERROR(INDEX(Products!$B$2:$B$501,MATCH(B128,Products!$A$2:$A$501,0)),"CODE NOT FOUND"))</f>
        <v/>
      </c>
      <c r="D128" s="7"/>
      <c r="E128" s="13"/>
      <c r="F128" s="17" t="str">
        <f aca="false">IF(OR(D128="",E128=""),"",D128*E128)</f>
        <v/>
      </c>
      <c r="G128" s="7"/>
      <c r="H128" s="7"/>
    </row>
    <row r="129" customFormat="false" ht="15" hidden="false" customHeight="true" outlineLevel="0" collapsed="false">
      <c r="A129" s="15"/>
      <c r="B129" s="7"/>
      <c r="C129" s="16" t="str">
        <f aca="false">IF(B129="","",IFERROR(INDEX(Products!$B$2:$B$501,MATCH(B129,Products!$A$2:$A$501,0)),"CODE NOT FOUND"))</f>
        <v/>
      </c>
      <c r="D129" s="7"/>
      <c r="E129" s="13"/>
      <c r="F129" s="17" t="str">
        <f aca="false">IF(OR(D129="",E129=""),"",D129*E129)</f>
        <v/>
      </c>
      <c r="G129" s="7"/>
      <c r="H129" s="7"/>
    </row>
    <row r="130" customFormat="false" ht="15" hidden="false" customHeight="true" outlineLevel="0" collapsed="false">
      <c r="A130" s="15"/>
      <c r="B130" s="7"/>
      <c r="C130" s="16" t="str">
        <f aca="false">IF(B130="","",IFERROR(INDEX(Products!$B$2:$B$501,MATCH(B130,Products!$A$2:$A$501,0)),"CODE NOT FOUND"))</f>
        <v/>
      </c>
      <c r="D130" s="7"/>
      <c r="E130" s="13"/>
      <c r="F130" s="17" t="str">
        <f aca="false">IF(OR(D130="",E130=""),"",D130*E130)</f>
        <v/>
      </c>
      <c r="G130" s="7"/>
      <c r="H130" s="7"/>
    </row>
    <row r="131" customFormat="false" ht="15" hidden="false" customHeight="true" outlineLevel="0" collapsed="false">
      <c r="A131" s="15"/>
      <c r="B131" s="7"/>
      <c r="C131" s="16" t="str">
        <f aca="false">IF(B131="","",IFERROR(INDEX(Products!$B$2:$B$501,MATCH(B131,Products!$A$2:$A$501,0)),"CODE NOT FOUND"))</f>
        <v/>
      </c>
      <c r="D131" s="7"/>
      <c r="E131" s="13"/>
      <c r="F131" s="17" t="str">
        <f aca="false">IF(OR(D131="",E131=""),"",D131*E131)</f>
        <v/>
      </c>
      <c r="G131" s="7"/>
      <c r="H131" s="7"/>
    </row>
    <row r="132" customFormat="false" ht="15" hidden="false" customHeight="true" outlineLevel="0" collapsed="false">
      <c r="A132" s="15"/>
      <c r="B132" s="7"/>
      <c r="C132" s="16" t="str">
        <f aca="false">IF(B132="","",IFERROR(INDEX(Products!$B$2:$B$501,MATCH(B132,Products!$A$2:$A$501,0)),"CODE NOT FOUND"))</f>
        <v/>
      </c>
      <c r="D132" s="7"/>
      <c r="E132" s="13"/>
      <c r="F132" s="17" t="str">
        <f aca="false">IF(OR(D132="",E132=""),"",D132*E132)</f>
        <v/>
      </c>
      <c r="G132" s="7"/>
      <c r="H132" s="7"/>
    </row>
    <row r="133" customFormat="false" ht="15" hidden="false" customHeight="true" outlineLevel="0" collapsed="false">
      <c r="A133" s="15"/>
      <c r="B133" s="7"/>
      <c r="C133" s="16" t="str">
        <f aca="false">IF(B133="","",IFERROR(INDEX(Products!$B$2:$B$501,MATCH(B133,Products!$A$2:$A$501,0)),"CODE NOT FOUND"))</f>
        <v/>
      </c>
      <c r="D133" s="7"/>
      <c r="E133" s="13"/>
      <c r="F133" s="17" t="str">
        <f aca="false">IF(OR(D133="",E133=""),"",D133*E133)</f>
        <v/>
      </c>
      <c r="G133" s="7"/>
      <c r="H133" s="7"/>
    </row>
    <row r="134" customFormat="false" ht="15" hidden="false" customHeight="true" outlineLevel="0" collapsed="false">
      <c r="A134" s="15"/>
      <c r="B134" s="7"/>
      <c r="C134" s="16" t="str">
        <f aca="false">IF(B134="","",IFERROR(INDEX(Products!$B$2:$B$501,MATCH(B134,Products!$A$2:$A$501,0)),"CODE NOT FOUND"))</f>
        <v/>
      </c>
      <c r="D134" s="7"/>
      <c r="E134" s="13"/>
      <c r="F134" s="17" t="str">
        <f aca="false">IF(OR(D134="",E134=""),"",D134*E134)</f>
        <v/>
      </c>
      <c r="G134" s="7"/>
      <c r="H134" s="7"/>
    </row>
    <row r="135" customFormat="false" ht="15" hidden="false" customHeight="true" outlineLevel="0" collapsed="false">
      <c r="A135" s="15"/>
      <c r="B135" s="7"/>
      <c r="C135" s="16" t="str">
        <f aca="false">IF(B135="","",IFERROR(INDEX(Products!$B$2:$B$501,MATCH(B135,Products!$A$2:$A$501,0)),"CODE NOT FOUND"))</f>
        <v/>
      </c>
      <c r="D135" s="7"/>
      <c r="E135" s="13"/>
      <c r="F135" s="17" t="str">
        <f aca="false">IF(OR(D135="",E135=""),"",D135*E135)</f>
        <v/>
      </c>
      <c r="G135" s="7"/>
      <c r="H135" s="7"/>
    </row>
    <row r="136" customFormat="false" ht="15" hidden="false" customHeight="true" outlineLevel="0" collapsed="false">
      <c r="A136" s="15"/>
      <c r="B136" s="7"/>
      <c r="C136" s="16" t="str">
        <f aca="false">IF(B136="","",IFERROR(INDEX(Products!$B$2:$B$501,MATCH(B136,Products!$A$2:$A$501,0)),"CODE NOT FOUND"))</f>
        <v/>
      </c>
      <c r="D136" s="7"/>
      <c r="E136" s="13"/>
      <c r="F136" s="17" t="str">
        <f aca="false">IF(OR(D136="",E136=""),"",D136*E136)</f>
        <v/>
      </c>
      <c r="G136" s="7"/>
      <c r="H136" s="7"/>
    </row>
    <row r="137" customFormat="false" ht="15" hidden="false" customHeight="true" outlineLevel="0" collapsed="false">
      <c r="A137" s="15"/>
      <c r="B137" s="7"/>
      <c r="C137" s="16" t="str">
        <f aca="false">IF(B137="","",IFERROR(INDEX(Products!$B$2:$B$501,MATCH(B137,Products!$A$2:$A$501,0)),"CODE NOT FOUND"))</f>
        <v/>
      </c>
      <c r="D137" s="7"/>
      <c r="E137" s="13"/>
      <c r="F137" s="17" t="str">
        <f aca="false">IF(OR(D137="",E137=""),"",D137*E137)</f>
        <v/>
      </c>
      <c r="G137" s="7"/>
      <c r="H137" s="7"/>
    </row>
    <row r="138" customFormat="false" ht="15" hidden="false" customHeight="true" outlineLevel="0" collapsed="false">
      <c r="A138" s="15"/>
      <c r="B138" s="7"/>
      <c r="C138" s="16" t="str">
        <f aca="false">IF(B138="","",IFERROR(INDEX(Products!$B$2:$B$501,MATCH(B138,Products!$A$2:$A$501,0)),"CODE NOT FOUND"))</f>
        <v/>
      </c>
      <c r="D138" s="7"/>
      <c r="E138" s="13"/>
      <c r="F138" s="17" t="str">
        <f aca="false">IF(OR(D138="",E138=""),"",D138*E138)</f>
        <v/>
      </c>
      <c r="G138" s="7"/>
      <c r="H138" s="7"/>
    </row>
    <row r="139" customFormat="false" ht="15" hidden="false" customHeight="true" outlineLevel="0" collapsed="false">
      <c r="A139" s="15"/>
      <c r="B139" s="7"/>
      <c r="C139" s="16" t="str">
        <f aca="false">IF(B139="","",IFERROR(INDEX(Products!$B$2:$B$501,MATCH(B139,Products!$A$2:$A$501,0)),"CODE NOT FOUND"))</f>
        <v/>
      </c>
      <c r="D139" s="7"/>
      <c r="E139" s="13"/>
      <c r="F139" s="17" t="str">
        <f aca="false">IF(OR(D139="",E139=""),"",D139*E139)</f>
        <v/>
      </c>
      <c r="G139" s="7"/>
      <c r="H139" s="7"/>
    </row>
    <row r="140" customFormat="false" ht="15" hidden="false" customHeight="true" outlineLevel="0" collapsed="false">
      <c r="A140" s="15"/>
      <c r="B140" s="7"/>
      <c r="C140" s="16" t="str">
        <f aca="false">IF(B140="","",IFERROR(INDEX(Products!$B$2:$B$501,MATCH(B140,Products!$A$2:$A$501,0)),"CODE NOT FOUND"))</f>
        <v/>
      </c>
      <c r="D140" s="7"/>
      <c r="E140" s="13"/>
      <c r="F140" s="17" t="str">
        <f aca="false">IF(OR(D140="",E140=""),"",D140*E140)</f>
        <v/>
      </c>
      <c r="G140" s="7"/>
      <c r="H140" s="7"/>
    </row>
    <row r="141" customFormat="false" ht="15" hidden="false" customHeight="true" outlineLevel="0" collapsed="false">
      <c r="A141" s="15"/>
      <c r="B141" s="7"/>
      <c r="C141" s="16" t="str">
        <f aca="false">IF(B141="","",IFERROR(INDEX(Products!$B$2:$B$501,MATCH(B141,Products!$A$2:$A$501,0)),"CODE NOT FOUND"))</f>
        <v/>
      </c>
      <c r="D141" s="7"/>
      <c r="E141" s="13"/>
      <c r="F141" s="17" t="str">
        <f aca="false">IF(OR(D141="",E141=""),"",D141*E141)</f>
        <v/>
      </c>
      <c r="G141" s="7"/>
      <c r="H141" s="7"/>
    </row>
    <row r="142" customFormat="false" ht="15" hidden="false" customHeight="true" outlineLevel="0" collapsed="false">
      <c r="A142" s="15"/>
      <c r="B142" s="7"/>
      <c r="C142" s="16" t="str">
        <f aca="false">IF(B142="","",IFERROR(INDEX(Products!$B$2:$B$501,MATCH(B142,Products!$A$2:$A$501,0)),"CODE NOT FOUND"))</f>
        <v/>
      </c>
      <c r="D142" s="7"/>
      <c r="E142" s="13"/>
      <c r="F142" s="17" t="str">
        <f aca="false">IF(OR(D142="",E142=""),"",D142*E142)</f>
        <v/>
      </c>
      <c r="G142" s="7"/>
      <c r="H142" s="7"/>
    </row>
    <row r="143" customFormat="false" ht="15" hidden="false" customHeight="true" outlineLevel="0" collapsed="false">
      <c r="A143" s="15"/>
      <c r="B143" s="7"/>
      <c r="C143" s="16" t="str">
        <f aca="false">IF(B143="","",IFERROR(INDEX(Products!$B$2:$B$501,MATCH(B143,Products!$A$2:$A$501,0)),"CODE NOT FOUND"))</f>
        <v/>
      </c>
      <c r="D143" s="7"/>
      <c r="E143" s="13"/>
      <c r="F143" s="17" t="str">
        <f aca="false">IF(OR(D143="",E143=""),"",D143*E143)</f>
        <v/>
      </c>
      <c r="G143" s="7"/>
      <c r="H143" s="7"/>
    </row>
    <row r="144" customFormat="false" ht="15" hidden="false" customHeight="true" outlineLevel="0" collapsed="false">
      <c r="A144" s="15"/>
      <c r="B144" s="7"/>
      <c r="C144" s="16" t="str">
        <f aca="false">IF(B144="","",IFERROR(INDEX(Products!$B$2:$B$501,MATCH(B144,Products!$A$2:$A$501,0)),"CODE NOT FOUND"))</f>
        <v/>
      </c>
      <c r="D144" s="7"/>
      <c r="E144" s="13"/>
      <c r="F144" s="17" t="str">
        <f aca="false">IF(OR(D144="",E144=""),"",D144*E144)</f>
        <v/>
      </c>
      <c r="G144" s="7"/>
      <c r="H144" s="7"/>
    </row>
    <row r="145" customFormat="false" ht="15" hidden="false" customHeight="true" outlineLevel="0" collapsed="false">
      <c r="A145" s="15"/>
      <c r="B145" s="7"/>
      <c r="C145" s="16" t="str">
        <f aca="false">IF(B145="","",IFERROR(INDEX(Products!$B$2:$B$501,MATCH(B145,Products!$A$2:$A$501,0)),"CODE NOT FOUND"))</f>
        <v/>
      </c>
      <c r="D145" s="7"/>
      <c r="E145" s="13"/>
      <c r="F145" s="17" t="str">
        <f aca="false">IF(OR(D145="",E145=""),"",D145*E145)</f>
        <v/>
      </c>
      <c r="G145" s="7"/>
      <c r="H145" s="7"/>
    </row>
    <row r="146" customFormat="false" ht="15" hidden="false" customHeight="true" outlineLevel="0" collapsed="false">
      <c r="A146" s="15"/>
      <c r="B146" s="7"/>
      <c r="C146" s="16" t="str">
        <f aca="false">IF(B146="","",IFERROR(INDEX(Products!$B$2:$B$501,MATCH(B146,Products!$A$2:$A$501,0)),"CODE NOT FOUND"))</f>
        <v/>
      </c>
      <c r="D146" s="7"/>
      <c r="E146" s="13"/>
      <c r="F146" s="17" t="str">
        <f aca="false">IF(OR(D146="",E146=""),"",D146*E146)</f>
        <v/>
      </c>
      <c r="G146" s="7"/>
      <c r="H146" s="7"/>
    </row>
    <row r="147" customFormat="false" ht="15" hidden="false" customHeight="true" outlineLevel="0" collapsed="false">
      <c r="A147" s="15"/>
      <c r="B147" s="7"/>
      <c r="C147" s="16" t="str">
        <f aca="false">IF(B147="","",IFERROR(INDEX(Products!$B$2:$B$501,MATCH(B147,Products!$A$2:$A$501,0)),"CODE NOT FOUND"))</f>
        <v/>
      </c>
      <c r="D147" s="7"/>
      <c r="E147" s="13"/>
      <c r="F147" s="17" t="str">
        <f aca="false">IF(OR(D147="",E147=""),"",D147*E147)</f>
        <v/>
      </c>
      <c r="G147" s="7"/>
      <c r="H147" s="7"/>
    </row>
    <row r="148" customFormat="false" ht="15" hidden="false" customHeight="true" outlineLevel="0" collapsed="false">
      <c r="A148" s="15"/>
      <c r="B148" s="7"/>
      <c r="C148" s="16" t="str">
        <f aca="false">IF(B148="","",IFERROR(INDEX(Products!$B$2:$B$501,MATCH(B148,Products!$A$2:$A$501,0)),"CODE NOT FOUND"))</f>
        <v/>
      </c>
      <c r="D148" s="7"/>
      <c r="E148" s="13"/>
      <c r="F148" s="17" t="str">
        <f aca="false">IF(OR(D148="",E148=""),"",D148*E148)</f>
        <v/>
      </c>
      <c r="G148" s="7"/>
      <c r="H148" s="7"/>
    </row>
    <row r="149" customFormat="false" ht="15" hidden="false" customHeight="true" outlineLevel="0" collapsed="false">
      <c r="A149" s="15"/>
      <c r="B149" s="7"/>
      <c r="C149" s="16" t="str">
        <f aca="false">IF(B149="","",IFERROR(INDEX(Products!$B$2:$B$501,MATCH(B149,Products!$A$2:$A$501,0)),"CODE NOT FOUND"))</f>
        <v/>
      </c>
      <c r="D149" s="7"/>
      <c r="E149" s="13"/>
      <c r="F149" s="17" t="str">
        <f aca="false">IF(OR(D149="",E149=""),"",D149*E149)</f>
        <v/>
      </c>
      <c r="G149" s="7"/>
      <c r="H149" s="7"/>
    </row>
    <row r="150" customFormat="false" ht="15" hidden="false" customHeight="true" outlineLevel="0" collapsed="false">
      <c r="A150" s="15"/>
      <c r="B150" s="7"/>
      <c r="C150" s="16" t="str">
        <f aca="false">IF(B150="","",IFERROR(INDEX(Products!$B$2:$B$501,MATCH(B150,Products!$A$2:$A$501,0)),"CODE NOT FOUND"))</f>
        <v/>
      </c>
      <c r="D150" s="7"/>
      <c r="E150" s="13"/>
      <c r="F150" s="17" t="str">
        <f aca="false">IF(OR(D150="",E150=""),"",D150*E150)</f>
        <v/>
      </c>
      <c r="G150" s="7"/>
      <c r="H150" s="7"/>
    </row>
    <row r="151" customFormat="false" ht="15" hidden="false" customHeight="true" outlineLevel="0" collapsed="false">
      <c r="A151" s="15"/>
      <c r="B151" s="7"/>
      <c r="C151" s="16" t="str">
        <f aca="false">IF(B151="","",IFERROR(INDEX(Products!$B$2:$B$501,MATCH(B151,Products!$A$2:$A$501,0)),"CODE NOT FOUND"))</f>
        <v/>
      </c>
      <c r="D151" s="7"/>
      <c r="E151" s="13"/>
      <c r="F151" s="17" t="str">
        <f aca="false">IF(OR(D151="",E151=""),"",D151*E151)</f>
        <v/>
      </c>
      <c r="G151" s="7"/>
      <c r="H151" s="7"/>
    </row>
    <row r="152" customFormat="false" ht="15" hidden="false" customHeight="true" outlineLevel="0" collapsed="false">
      <c r="A152" s="15"/>
      <c r="B152" s="7"/>
      <c r="C152" s="16" t="str">
        <f aca="false">IF(B152="","",IFERROR(INDEX(Products!$B$2:$B$501,MATCH(B152,Products!$A$2:$A$501,0)),"CODE NOT FOUND"))</f>
        <v/>
      </c>
      <c r="D152" s="7"/>
      <c r="E152" s="13"/>
      <c r="F152" s="17" t="str">
        <f aca="false">IF(OR(D152="",E152=""),"",D152*E152)</f>
        <v/>
      </c>
      <c r="G152" s="7"/>
      <c r="H152" s="7"/>
    </row>
    <row r="153" customFormat="false" ht="15" hidden="false" customHeight="true" outlineLevel="0" collapsed="false">
      <c r="A153" s="15"/>
      <c r="B153" s="7"/>
      <c r="C153" s="16" t="str">
        <f aca="false">IF(B153="","",IFERROR(INDEX(Products!$B$2:$B$501,MATCH(B153,Products!$A$2:$A$501,0)),"CODE NOT FOUND"))</f>
        <v/>
      </c>
      <c r="D153" s="7"/>
      <c r="E153" s="13"/>
      <c r="F153" s="17" t="str">
        <f aca="false">IF(OR(D153="",E153=""),"",D153*E153)</f>
        <v/>
      </c>
      <c r="G153" s="7"/>
      <c r="H153" s="7"/>
    </row>
    <row r="154" customFormat="false" ht="15" hidden="false" customHeight="true" outlineLevel="0" collapsed="false">
      <c r="A154" s="15"/>
      <c r="B154" s="7"/>
      <c r="C154" s="16" t="str">
        <f aca="false">IF(B154="","",IFERROR(INDEX(Products!$B$2:$B$501,MATCH(B154,Products!$A$2:$A$501,0)),"CODE NOT FOUND"))</f>
        <v/>
      </c>
      <c r="D154" s="7"/>
      <c r="E154" s="13"/>
      <c r="F154" s="17" t="str">
        <f aca="false">IF(OR(D154="",E154=""),"",D154*E154)</f>
        <v/>
      </c>
      <c r="G154" s="7"/>
      <c r="H154" s="7"/>
    </row>
    <row r="155" customFormat="false" ht="15" hidden="false" customHeight="true" outlineLevel="0" collapsed="false">
      <c r="A155" s="15"/>
      <c r="B155" s="7"/>
      <c r="C155" s="16" t="str">
        <f aca="false">IF(B155="","",IFERROR(INDEX(Products!$B$2:$B$501,MATCH(B155,Products!$A$2:$A$501,0)),"CODE NOT FOUND"))</f>
        <v/>
      </c>
      <c r="D155" s="7"/>
      <c r="E155" s="13"/>
      <c r="F155" s="17" t="str">
        <f aca="false">IF(OR(D155="",E155=""),"",D155*E155)</f>
        <v/>
      </c>
      <c r="G155" s="7"/>
      <c r="H155" s="7"/>
    </row>
    <row r="156" customFormat="false" ht="15" hidden="false" customHeight="true" outlineLevel="0" collapsed="false">
      <c r="A156" s="15"/>
      <c r="B156" s="7"/>
      <c r="C156" s="16" t="str">
        <f aca="false">IF(B156="","",IFERROR(INDEX(Products!$B$2:$B$501,MATCH(B156,Products!$A$2:$A$501,0)),"CODE NOT FOUND"))</f>
        <v/>
      </c>
      <c r="D156" s="7"/>
      <c r="E156" s="13"/>
      <c r="F156" s="17" t="str">
        <f aca="false">IF(OR(D156="",E156=""),"",D156*E156)</f>
        <v/>
      </c>
      <c r="G156" s="7"/>
      <c r="H156" s="7"/>
    </row>
    <row r="157" customFormat="false" ht="15" hidden="false" customHeight="true" outlineLevel="0" collapsed="false">
      <c r="A157" s="15"/>
      <c r="B157" s="7"/>
      <c r="C157" s="16" t="str">
        <f aca="false">IF(B157="","",IFERROR(INDEX(Products!$B$2:$B$501,MATCH(B157,Products!$A$2:$A$501,0)),"CODE NOT FOUND"))</f>
        <v/>
      </c>
      <c r="D157" s="7"/>
      <c r="E157" s="13"/>
      <c r="F157" s="17" t="str">
        <f aca="false">IF(OR(D157="",E157=""),"",D157*E157)</f>
        <v/>
      </c>
      <c r="G157" s="7"/>
      <c r="H157" s="7"/>
    </row>
    <row r="158" customFormat="false" ht="15" hidden="false" customHeight="true" outlineLevel="0" collapsed="false">
      <c r="A158" s="15"/>
      <c r="B158" s="7"/>
      <c r="C158" s="16" t="str">
        <f aca="false">IF(B158="","",IFERROR(INDEX(Products!$B$2:$B$501,MATCH(B158,Products!$A$2:$A$501,0)),"CODE NOT FOUND"))</f>
        <v/>
      </c>
      <c r="D158" s="7"/>
      <c r="E158" s="13"/>
      <c r="F158" s="17" t="str">
        <f aca="false">IF(OR(D158="",E158=""),"",D158*E158)</f>
        <v/>
      </c>
      <c r="G158" s="7"/>
      <c r="H158" s="7"/>
    </row>
    <row r="159" customFormat="false" ht="15" hidden="false" customHeight="true" outlineLevel="0" collapsed="false">
      <c r="A159" s="15"/>
      <c r="B159" s="7"/>
      <c r="C159" s="16" t="str">
        <f aca="false">IF(B159="","",IFERROR(INDEX(Products!$B$2:$B$501,MATCH(B159,Products!$A$2:$A$501,0)),"CODE NOT FOUND"))</f>
        <v/>
      </c>
      <c r="D159" s="7"/>
      <c r="E159" s="13"/>
      <c r="F159" s="17" t="str">
        <f aca="false">IF(OR(D159="",E159=""),"",D159*E159)</f>
        <v/>
      </c>
      <c r="G159" s="7"/>
      <c r="H159" s="7"/>
    </row>
    <row r="160" customFormat="false" ht="15" hidden="false" customHeight="true" outlineLevel="0" collapsed="false">
      <c r="A160" s="15"/>
      <c r="B160" s="7"/>
      <c r="C160" s="16" t="str">
        <f aca="false">IF(B160="","",IFERROR(INDEX(Products!$B$2:$B$501,MATCH(B160,Products!$A$2:$A$501,0)),"CODE NOT FOUND"))</f>
        <v/>
      </c>
      <c r="D160" s="7"/>
      <c r="E160" s="13"/>
      <c r="F160" s="17" t="str">
        <f aca="false">IF(OR(D160="",E160=""),"",D160*E160)</f>
        <v/>
      </c>
      <c r="G160" s="7"/>
      <c r="H160" s="7"/>
    </row>
    <row r="161" customFormat="false" ht="15" hidden="false" customHeight="true" outlineLevel="0" collapsed="false">
      <c r="A161" s="15"/>
      <c r="B161" s="7"/>
      <c r="C161" s="16" t="str">
        <f aca="false">IF(B161="","",IFERROR(INDEX(Products!$B$2:$B$501,MATCH(B161,Products!$A$2:$A$501,0)),"CODE NOT FOUND"))</f>
        <v/>
      </c>
      <c r="D161" s="7"/>
      <c r="E161" s="13"/>
      <c r="F161" s="17" t="str">
        <f aca="false">IF(OR(D161="",E161=""),"",D161*E161)</f>
        <v/>
      </c>
      <c r="G161" s="7"/>
      <c r="H161" s="7"/>
    </row>
    <row r="162" customFormat="false" ht="15" hidden="false" customHeight="true" outlineLevel="0" collapsed="false">
      <c r="A162" s="15"/>
      <c r="B162" s="7"/>
      <c r="C162" s="16" t="str">
        <f aca="false">IF(B162="","",IFERROR(INDEX(Products!$B$2:$B$501,MATCH(B162,Products!$A$2:$A$501,0)),"CODE NOT FOUND"))</f>
        <v/>
      </c>
      <c r="D162" s="7"/>
      <c r="E162" s="13"/>
      <c r="F162" s="17" t="str">
        <f aca="false">IF(OR(D162="",E162=""),"",D162*E162)</f>
        <v/>
      </c>
      <c r="G162" s="7"/>
      <c r="H162" s="7"/>
    </row>
    <row r="163" customFormat="false" ht="15" hidden="false" customHeight="true" outlineLevel="0" collapsed="false">
      <c r="A163" s="15"/>
      <c r="B163" s="7"/>
      <c r="C163" s="16" t="str">
        <f aca="false">IF(B163="","",IFERROR(INDEX(Products!$B$2:$B$501,MATCH(B163,Products!$A$2:$A$501,0)),"CODE NOT FOUND"))</f>
        <v/>
      </c>
      <c r="D163" s="7"/>
      <c r="E163" s="13"/>
      <c r="F163" s="17" t="str">
        <f aca="false">IF(OR(D163="",E163=""),"",D163*E163)</f>
        <v/>
      </c>
      <c r="G163" s="7"/>
      <c r="H163" s="7"/>
    </row>
    <row r="164" customFormat="false" ht="15" hidden="false" customHeight="true" outlineLevel="0" collapsed="false">
      <c r="A164" s="15"/>
      <c r="B164" s="7"/>
      <c r="C164" s="16" t="str">
        <f aca="false">IF(B164="","",IFERROR(INDEX(Products!$B$2:$B$501,MATCH(B164,Products!$A$2:$A$501,0)),"CODE NOT FOUND"))</f>
        <v/>
      </c>
      <c r="D164" s="7"/>
      <c r="E164" s="13"/>
      <c r="F164" s="17" t="str">
        <f aca="false">IF(OR(D164="",E164=""),"",D164*E164)</f>
        <v/>
      </c>
      <c r="G164" s="7"/>
      <c r="H164" s="7"/>
    </row>
    <row r="165" customFormat="false" ht="15" hidden="false" customHeight="true" outlineLevel="0" collapsed="false">
      <c r="A165" s="15"/>
      <c r="B165" s="7"/>
      <c r="C165" s="16" t="str">
        <f aca="false">IF(B165="","",IFERROR(INDEX(Products!$B$2:$B$501,MATCH(B165,Products!$A$2:$A$501,0)),"CODE NOT FOUND"))</f>
        <v/>
      </c>
      <c r="D165" s="7"/>
      <c r="E165" s="13"/>
      <c r="F165" s="17" t="str">
        <f aca="false">IF(OR(D165="",E165=""),"",D165*E165)</f>
        <v/>
      </c>
      <c r="G165" s="7"/>
      <c r="H165" s="7"/>
    </row>
    <row r="166" customFormat="false" ht="15" hidden="false" customHeight="true" outlineLevel="0" collapsed="false">
      <c r="A166" s="15"/>
      <c r="B166" s="7"/>
      <c r="C166" s="16" t="str">
        <f aca="false">IF(B166="","",IFERROR(INDEX(Products!$B$2:$B$501,MATCH(B166,Products!$A$2:$A$501,0)),"CODE NOT FOUND"))</f>
        <v/>
      </c>
      <c r="D166" s="7"/>
      <c r="E166" s="13"/>
      <c r="F166" s="17" t="str">
        <f aca="false">IF(OR(D166="",E166=""),"",D166*E166)</f>
        <v/>
      </c>
      <c r="G166" s="7"/>
      <c r="H166" s="7"/>
    </row>
    <row r="167" customFormat="false" ht="15" hidden="false" customHeight="true" outlineLevel="0" collapsed="false">
      <c r="A167" s="15"/>
      <c r="B167" s="7"/>
      <c r="C167" s="16" t="str">
        <f aca="false">IF(B167="","",IFERROR(INDEX(Products!$B$2:$B$501,MATCH(B167,Products!$A$2:$A$501,0)),"CODE NOT FOUND"))</f>
        <v/>
      </c>
      <c r="D167" s="7"/>
      <c r="E167" s="13"/>
      <c r="F167" s="17" t="str">
        <f aca="false">IF(OR(D167="",E167=""),"",D167*E167)</f>
        <v/>
      </c>
      <c r="G167" s="7"/>
      <c r="H167" s="7"/>
    </row>
    <row r="168" customFormat="false" ht="15" hidden="false" customHeight="true" outlineLevel="0" collapsed="false">
      <c r="A168" s="15"/>
      <c r="B168" s="7"/>
      <c r="C168" s="16" t="str">
        <f aca="false">IF(B168="","",IFERROR(INDEX(Products!$B$2:$B$501,MATCH(B168,Products!$A$2:$A$501,0)),"CODE NOT FOUND"))</f>
        <v/>
      </c>
      <c r="D168" s="7"/>
      <c r="E168" s="13"/>
      <c r="F168" s="17" t="str">
        <f aca="false">IF(OR(D168="",E168=""),"",D168*E168)</f>
        <v/>
      </c>
      <c r="G168" s="7"/>
      <c r="H168" s="7"/>
    </row>
    <row r="169" customFormat="false" ht="15" hidden="false" customHeight="true" outlineLevel="0" collapsed="false">
      <c r="A169" s="15"/>
      <c r="B169" s="7"/>
      <c r="C169" s="16" t="str">
        <f aca="false">IF(B169="","",IFERROR(INDEX(Products!$B$2:$B$501,MATCH(B169,Products!$A$2:$A$501,0)),"CODE NOT FOUND"))</f>
        <v/>
      </c>
      <c r="D169" s="7"/>
      <c r="E169" s="13"/>
      <c r="F169" s="17" t="str">
        <f aca="false">IF(OR(D169="",E169=""),"",D169*E169)</f>
        <v/>
      </c>
      <c r="G169" s="7"/>
      <c r="H169" s="7"/>
    </row>
    <row r="170" customFormat="false" ht="15" hidden="false" customHeight="true" outlineLevel="0" collapsed="false">
      <c r="A170" s="15"/>
      <c r="B170" s="7"/>
      <c r="C170" s="16" t="str">
        <f aca="false">IF(B170="","",IFERROR(INDEX(Products!$B$2:$B$501,MATCH(B170,Products!$A$2:$A$501,0)),"CODE NOT FOUND"))</f>
        <v/>
      </c>
      <c r="D170" s="7"/>
      <c r="E170" s="13"/>
      <c r="F170" s="17" t="str">
        <f aca="false">IF(OR(D170="",E170=""),"",D170*E170)</f>
        <v/>
      </c>
      <c r="G170" s="7"/>
      <c r="H170" s="7"/>
    </row>
    <row r="171" customFormat="false" ht="15" hidden="false" customHeight="true" outlineLevel="0" collapsed="false">
      <c r="A171" s="15"/>
      <c r="B171" s="7"/>
      <c r="C171" s="16" t="str">
        <f aca="false">IF(B171="","",IFERROR(INDEX(Products!$B$2:$B$501,MATCH(B171,Products!$A$2:$A$501,0)),"CODE NOT FOUND"))</f>
        <v/>
      </c>
      <c r="D171" s="7"/>
      <c r="E171" s="13"/>
      <c r="F171" s="17" t="str">
        <f aca="false">IF(OR(D171="",E171=""),"",D171*E171)</f>
        <v/>
      </c>
      <c r="G171" s="7"/>
      <c r="H171" s="7"/>
    </row>
    <row r="172" customFormat="false" ht="15" hidden="false" customHeight="true" outlineLevel="0" collapsed="false">
      <c r="A172" s="15"/>
      <c r="B172" s="7"/>
      <c r="C172" s="16" t="str">
        <f aca="false">IF(B172="","",IFERROR(INDEX(Products!$B$2:$B$501,MATCH(B172,Products!$A$2:$A$501,0)),"CODE NOT FOUND"))</f>
        <v/>
      </c>
      <c r="D172" s="7"/>
      <c r="E172" s="13"/>
      <c r="F172" s="17" t="str">
        <f aca="false">IF(OR(D172="",E172=""),"",D172*E172)</f>
        <v/>
      </c>
      <c r="G172" s="7"/>
      <c r="H172" s="7"/>
    </row>
    <row r="173" customFormat="false" ht="15" hidden="false" customHeight="true" outlineLevel="0" collapsed="false">
      <c r="A173" s="15"/>
      <c r="B173" s="7"/>
      <c r="C173" s="16" t="str">
        <f aca="false">IF(B173="","",IFERROR(INDEX(Products!$B$2:$B$501,MATCH(B173,Products!$A$2:$A$501,0)),"CODE NOT FOUND"))</f>
        <v/>
      </c>
      <c r="D173" s="7"/>
      <c r="E173" s="13"/>
      <c r="F173" s="17" t="str">
        <f aca="false">IF(OR(D173="",E173=""),"",D173*E173)</f>
        <v/>
      </c>
      <c r="G173" s="7"/>
      <c r="H173" s="7"/>
    </row>
    <row r="174" customFormat="false" ht="15" hidden="false" customHeight="true" outlineLevel="0" collapsed="false">
      <c r="A174" s="15"/>
      <c r="B174" s="7"/>
      <c r="C174" s="16" t="str">
        <f aca="false">IF(B174="","",IFERROR(INDEX(Products!$B$2:$B$501,MATCH(B174,Products!$A$2:$A$501,0)),"CODE NOT FOUND"))</f>
        <v/>
      </c>
      <c r="D174" s="7"/>
      <c r="E174" s="13"/>
      <c r="F174" s="17" t="str">
        <f aca="false">IF(OR(D174="",E174=""),"",D174*E174)</f>
        <v/>
      </c>
      <c r="G174" s="7"/>
      <c r="H174" s="7"/>
    </row>
    <row r="175" customFormat="false" ht="15" hidden="false" customHeight="true" outlineLevel="0" collapsed="false">
      <c r="A175" s="15"/>
      <c r="B175" s="7"/>
      <c r="C175" s="16" t="str">
        <f aca="false">IF(B175="","",IFERROR(INDEX(Products!$B$2:$B$501,MATCH(B175,Products!$A$2:$A$501,0)),"CODE NOT FOUND"))</f>
        <v/>
      </c>
      <c r="D175" s="7"/>
      <c r="E175" s="13"/>
      <c r="F175" s="17" t="str">
        <f aca="false">IF(OR(D175="",E175=""),"",D175*E175)</f>
        <v/>
      </c>
      <c r="G175" s="7"/>
      <c r="H175" s="7"/>
    </row>
    <row r="176" customFormat="false" ht="15" hidden="false" customHeight="true" outlineLevel="0" collapsed="false">
      <c r="A176" s="15"/>
      <c r="B176" s="7"/>
      <c r="C176" s="16" t="str">
        <f aca="false">IF(B176="","",IFERROR(INDEX(Products!$B$2:$B$501,MATCH(B176,Products!$A$2:$A$501,0)),"CODE NOT FOUND"))</f>
        <v/>
      </c>
      <c r="D176" s="7"/>
      <c r="E176" s="13"/>
      <c r="F176" s="17" t="str">
        <f aca="false">IF(OR(D176="",E176=""),"",D176*E176)</f>
        <v/>
      </c>
      <c r="G176" s="7"/>
      <c r="H176" s="7"/>
    </row>
    <row r="177" customFormat="false" ht="15" hidden="false" customHeight="true" outlineLevel="0" collapsed="false">
      <c r="A177" s="15"/>
      <c r="B177" s="7"/>
      <c r="C177" s="16" t="str">
        <f aca="false">IF(B177="","",IFERROR(INDEX(Products!$B$2:$B$501,MATCH(B177,Products!$A$2:$A$501,0)),"CODE NOT FOUND"))</f>
        <v/>
      </c>
      <c r="D177" s="7"/>
      <c r="E177" s="13"/>
      <c r="F177" s="17" t="str">
        <f aca="false">IF(OR(D177="",E177=""),"",D177*E177)</f>
        <v/>
      </c>
      <c r="G177" s="7"/>
      <c r="H177" s="7"/>
    </row>
    <row r="178" customFormat="false" ht="15" hidden="false" customHeight="true" outlineLevel="0" collapsed="false">
      <c r="A178" s="15"/>
      <c r="B178" s="7"/>
      <c r="C178" s="16" t="str">
        <f aca="false">IF(B178="","",IFERROR(INDEX(Products!$B$2:$B$501,MATCH(B178,Products!$A$2:$A$501,0)),"CODE NOT FOUND"))</f>
        <v/>
      </c>
      <c r="D178" s="7"/>
      <c r="E178" s="13"/>
      <c r="F178" s="17" t="str">
        <f aca="false">IF(OR(D178="",E178=""),"",D178*E178)</f>
        <v/>
      </c>
      <c r="G178" s="7"/>
      <c r="H178" s="7"/>
    </row>
    <row r="179" customFormat="false" ht="15" hidden="false" customHeight="true" outlineLevel="0" collapsed="false">
      <c r="A179" s="15"/>
      <c r="B179" s="7"/>
      <c r="C179" s="16" t="str">
        <f aca="false">IF(B179="","",IFERROR(INDEX(Products!$B$2:$B$501,MATCH(B179,Products!$A$2:$A$501,0)),"CODE NOT FOUND"))</f>
        <v/>
      </c>
      <c r="D179" s="7"/>
      <c r="E179" s="13"/>
      <c r="F179" s="17" t="str">
        <f aca="false">IF(OR(D179="",E179=""),"",D179*E179)</f>
        <v/>
      </c>
      <c r="G179" s="7"/>
      <c r="H179" s="7"/>
    </row>
    <row r="180" customFormat="false" ht="15" hidden="false" customHeight="true" outlineLevel="0" collapsed="false">
      <c r="A180" s="15"/>
      <c r="B180" s="7"/>
      <c r="C180" s="16" t="str">
        <f aca="false">IF(B180="","",IFERROR(INDEX(Products!$B$2:$B$501,MATCH(B180,Products!$A$2:$A$501,0)),"CODE NOT FOUND"))</f>
        <v/>
      </c>
      <c r="D180" s="7"/>
      <c r="E180" s="13"/>
      <c r="F180" s="17" t="str">
        <f aca="false">IF(OR(D180="",E180=""),"",D180*E180)</f>
        <v/>
      </c>
      <c r="G180" s="7"/>
      <c r="H180" s="7"/>
    </row>
    <row r="181" customFormat="false" ht="15" hidden="false" customHeight="true" outlineLevel="0" collapsed="false">
      <c r="A181" s="15"/>
      <c r="B181" s="7"/>
      <c r="C181" s="16" t="str">
        <f aca="false">IF(B181="","",IFERROR(INDEX(Products!$B$2:$B$501,MATCH(B181,Products!$A$2:$A$501,0)),"CODE NOT FOUND"))</f>
        <v/>
      </c>
      <c r="D181" s="7"/>
      <c r="E181" s="13"/>
      <c r="F181" s="17" t="str">
        <f aca="false">IF(OR(D181="",E181=""),"",D181*E181)</f>
        <v/>
      </c>
      <c r="G181" s="7"/>
      <c r="H181" s="7"/>
    </row>
    <row r="182" customFormat="false" ht="15" hidden="false" customHeight="true" outlineLevel="0" collapsed="false">
      <c r="A182" s="15"/>
      <c r="B182" s="7"/>
      <c r="C182" s="16" t="str">
        <f aca="false">IF(B182="","",IFERROR(INDEX(Products!$B$2:$B$501,MATCH(B182,Products!$A$2:$A$501,0)),"CODE NOT FOUND"))</f>
        <v/>
      </c>
      <c r="D182" s="7"/>
      <c r="E182" s="13"/>
      <c r="F182" s="17" t="str">
        <f aca="false">IF(OR(D182="",E182=""),"",D182*E182)</f>
        <v/>
      </c>
      <c r="G182" s="7"/>
      <c r="H182" s="7"/>
    </row>
    <row r="183" customFormat="false" ht="15" hidden="false" customHeight="true" outlineLevel="0" collapsed="false">
      <c r="A183" s="15"/>
      <c r="B183" s="7"/>
      <c r="C183" s="16" t="str">
        <f aca="false">IF(B183="","",IFERROR(INDEX(Products!$B$2:$B$501,MATCH(B183,Products!$A$2:$A$501,0)),"CODE NOT FOUND"))</f>
        <v/>
      </c>
      <c r="D183" s="7"/>
      <c r="E183" s="13"/>
      <c r="F183" s="17" t="str">
        <f aca="false">IF(OR(D183="",E183=""),"",D183*E183)</f>
        <v/>
      </c>
      <c r="G183" s="7"/>
      <c r="H183" s="7"/>
    </row>
    <row r="184" customFormat="false" ht="15" hidden="false" customHeight="true" outlineLevel="0" collapsed="false">
      <c r="A184" s="15"/>
      <c r="B184" s="7"/>
      <c r="C184" s="16" t="str">
        <f aca="false">IF(B184="","",IFERROR(INDEX(Products!$B$2:$B$501,MATCH(B184,Products!$A$2:$A$501,0)),"CODE NOT FOUND"))</f>
        <v/>
      </c>
      <c r="D184" s="7"/>
      <c r="E184" s="13"/>
      <c r="F184" s="17" t="str">
        <f aca="false">IF(OR(D184="",E184=""),"",D184*E184)</f>
        <v/>
      </c>
      <c r="G184" s="7"/>
      <c r="H184" s="7"/>
    </row>
    <row r="185" customFormat="false" ht="15" hidden="false" customHeight="true" outlineLevel="0" collapsed="false">
      <c r="A185" s="15"/>
      <c r="B185" s="7"/>
      <c r="C185" s="16" t="str">
        <f aca="false">IF(B185="","",IFERROR(INDEX(Products!$B$2:$B$501,MATCH(B185,Products!$A$2:$A$501,0)),"CODE NOT FOUND"))</f>
        <v/>
      </c>
      <c r="D185" s="7"/>
      <c r="E185" s="13"/>
      <c r="F185" s="17" t="str">
        <f aca="false">IF(OR(D185="",E185=""),"",D185*E185)</f>
        <v/>
      </c>
      <c r="G185" s="7"/>
      <c r="H185" s="7"/>
    </row>
    <row r="186" customFormat="false" ht="15" hidden="false" customHeight="true" outlineLevel="0" collapsed="false">
      <c r="A186" s="15"/>
      <c r="B186" s="7"/>
      <c r="C186" s="16" t="str">
        <f aca="false">IF(B186="","",IFERROR(INDEX(Products!$B$2:$B$501,MATCH(B186,Products!$A$2:$A$501,0)),"CODE NOT FOUND"))</f>
        <v/>
      </c>
      <c r="D186" s="7"/>
      <c r="E186" s="13"/>
      <c r="F186" s="17" t="str">
        <f aca="false">IF(OR(D186="",E186=""),"",D186*E186)</f>
        <v/>
      </c>
      <c r="G186" s="7"/>
      <c r="H186" s="7"/>
    </row>
    <row r="187" customFormat="false" ht="15" hidden="false" customHeight="true" outlineLevel="0" collapsed="false">
      <c r="A187" s="15"/>
      <c r="B187" s="7"/>
      <c r="C187" s="16" t="str">
        <f aca="false">IF(B187="","",IFERROR(INDEX(Products!$B$2:$B$501,MATCH(B187,Products!$A$2:$A$501,0)),"CODE NOT FOUND"))</f>
        <v/>
      </c>
      <c r="D187" s="7"/>
      <c r="E187" s="13"/>
      <c r="F187" s="17" t="str">
        <f aca="false">IF(OR(D187="",E187=""),"",D187*E187)</f>
        <v/>
      </c>
      <c r="G187" s="7"/>
      <c r="H187" s="7"/>
    </row>
    <row r="188" customFormat="false" ht="15" hidden="false" customHeight="true" outlineLevel="0" collapsed="false">
      <c r="A188" s="15"/>
      <c r="B188" s="7"/>
      <c r="C188" s="16" t="str">
        <f aca="false">IF(B188="","",IFERROR(INDEX(Products!$B$2:$B$501,MATCH(B188,Products!$A$2:$A$501,0)),"CODE NOT FOUND"))</f>
        <v/>
      </c>
      <c r="D188" s="7"/>
      <c r="E188" s="13"/>
      <c r="F188" s="17" t="str">
        <f aca="false">IF(OR(D188="",E188=""),"",D188*E188)</f>
        <v/>
      </c>
      <c r="G188" s="7"/>
      <c r="H188" s="7"/>
    </row>
    <row r="189" customFormat="false" ht="15" hidden="false" customHeight="true" outlineLevel="0" collapsed="false">
      <c r="A189" s="15"/>
      <c r="B189" s="7"/>
      <c r="C189" s="16" t="str">
        <f aca="false">IF(B189="","",IFERROR(INDEX(Products!$B$2:$B$501,MATCH(B189,Products!$A$2:$A$501,0)),"CODE NOT FOUND"))</f>
        <v/>
      </c>
      <c r="D189" s="7"/>
      <c r="E189" s="13"/>
      <c r="F189" s="17" t="str">
        <f aca="false">IF(OR(D189="",E189=""),"",D189*E189)</f>
        <v/>
      </c>
      <c r="G189" s="7"/>
      <c r="H189" s="7"/>
    </row>
    <row r="190" customFormat="false" ht="15" hidden="false" customHeight="true" outlineLevel="0" collapsed="false">
      <c r="A190" s="15"/>
      <c r="B190" s="7"/>
      <c r="C190" s="16" t="str">
        <f aca="false">IF(B190="","",IFERROR(INDEX(Products!$B$2:$B$501,MATCH(B190,Products!$A$2:$A$501,0)),"CODE NOT FOUND"))</f>
        <v/>
      </c>
      <c r="D190" s="7"/>
      <c r="E190" s="13"/>
      <c r="F190" s="17" t="str">
        <f aca="false">IF(OR(D190="",E190=""),"",D190*E190)</f>
        <v/>
      </c>
      <c r="G190" s="7"/>
      <c r="H190" s="7"/>
    </row>
    <row r="191" customFormat="false" ht="15" hidden="false" customHeight="true" outlineLevel="0" collapsed="false">
      <c r="A191" s="15"/>
      <c r="B191" s="7"/>
      <c r="C191" s="16" t="str">
        <f aca="false">IF(B191="","",IFERROR(INDEX(Products!$B$2:$B$501,MATCH(B191,Products!$A$2:$A$501,0)),"CODE NOT FOUND"))</f>
        <v/>
      </c>
      <c r="D191" s="7"/>
      <c r="E191" s="13"/>
      <c r="F191" s="17" t="str">
        <f aca="false">IF(OR(D191="",E191=""),"",D191*E191)</f>
        <v/>
      </c>
      <c r="G191" s="7"/>
      <c r="H191" s="7"/>
    </row>
    <row r="192" customFormat="false" ht="15" hidden="false" customHeight="true" outlineLevel="0" collapsed="false">
      <c r="A192" s="15"/>
      <c r="B192" s="7"/>
      <c r="C192" s="16" t="str">
        <f aca="false">IF(B192="","",IFERROR(INDEX(Products!$B$2:$B$501,MATCH(B192,Products!$A$2:$A$501,0)),"CODE NOT FOUND"))</f>
        <v/>
      </c>
      <c r="D192" s="7"/>
      <c r="E192" s="13"/>
      <c r="F192" s="17" t="str">
        <f aca="false">IF(OR(D192="",E192=""),"",D192*E192)</f>
        <v/>
      </c>
      <c r="G192" s="7"/>
      <c r="H192" s="7"/>
    </row>
    <row r="193" customFormat="false" ht="15" hidden="false" customHeight="true" outlineLevel="0" collapsed="false">
      <c r="A193" s="15"/>
      <c r="B193" s="7"/>
      <c r="C193" s="16" t="str">
        <f aca="false">IF(B193="","",IFERROR(INDEX(Products!$B$2:$B$501,MATCH(B193,Products!$A$2:$A$501,0)),"CODE NOT FOUND"))</f>
        <v/>
      </c>
      <c r="D193" s="7"/>
      <c r="E193" s="13"/>
      <c r="F193" s="17" t="str">
        <f aca="false">IF(OR(D193="",E193=""),"",D193*E193)</f>
        <v/>
      </c>
      <c r="G193" s="7"/>
      <c r="H193" s="7"/>
    </row>
    <row r="194" customFormat="false" ht="15" hidden="false" customHeight="true" outlineLevel="0" collapsed="false">
      <c r="A194" s="15"/>
      <c r="B194" s="7"/>
      <c r="C194" s="16" t="str">
        <f aca="false">IF(B194="","",IFERROR(INDEX(Products!$B$2:$B$501,MATCH(B194,Products!$A$2:$A$501,0)),"CODE NOT FOUND"))</f>
        <v/>
      </c>
      <c r="D194" s="7"/>
      <c r="E194" s="13"/>
      <c r="F194" s="17" t="str">
        <f aca="false">IF(OR(D194="",E194=""),"",D194*E194)</f>
        <v/>
      </c>
      <c r="G194" s="7"/>
      <c r="H194" s="7"/>
    </row>
    <row r="195" customFormat="false" ht="15" hidden="false" customHeight="true" outlineLevel="0" collapsed="false">
      <c r="A195" s="15"/>
      <c r="B195" s="7"/>
      <c r="C195" s="16" t="str">
        <f aca="false">IF(B195="","",IFERROR(INDEX(Products!$B$2:$B$501,MATCH(B195,Products!$A$2:$A$501,0)),"CODE NOT FOUND"))</f>
        <v/>
      </c>
      <c r="D195" s="7"/>
      <c r="E195" s="13"/>
      <c r="F195" s="17" t="str">
        <f aca="false">IF(OR(D195="",E195=""),"",D195*E195)</f>
        <v/>
      </c>
      <c r="G195" s="7"/>
      <c r="H195" s="7"/>
    </row>
    <row r="196" customFormat="false" ht="15" hidden="false" customHeight="true" outlineLevel="0" collapsed="false">
      <c r="A196" s="15"/>
      <c r="B196" s="7"/>
      <c r="C196" s="16" t="str">
        <f aca="false">IF(B196="","",IFERROR(INDEX(Products!$B$2:$B$501,MATCH(B196,Products!$A$2:$A$501,0)),"CODE NOT FOUND"))</f>
        <v/>
      </c>
      <c r="D196" s="7"/>
      <c r="E196" s="13"/>
      <c r="F196" s="17" t="str">
        <f aca="false">IF(OR(D196="",E196=""),"",D196*E196)</f>
        <v/>
      </c>
      <c r="G196" s="7"/>
      <c r="H196" s="7"/>
    </row>
    <row r="197" customFormat="false" ht="15" hidden="false" customHeight="true" outlineLevel="0" collapsed="false">
      <c r="A197" s="15"/>
      <c r="B197" s="7"/>
      <c r="C197" s="16" t="str">
        <f aca="false">IF(B197="","",IFERROR(INDEX(Products!$B$2:$B$501,MATCH(B197,Products!$A$2:$A$501,0)),"CODE NOT FOUND"))</f>
        <v/>
      </c>
      <c r="D197" s="7"/>
      <c r="E197" s="13"/>
      <c r="F197" s="17" t="str">
        <f aca="false">IF(OR(D197="",E197=""),"",D197*E197)</f>
        <v/>
      </c>
      <c r="G197" s="7"/>
      <c r="H197" s="7"/>
    </row>
    <row r="198" customFormat="false" ht="15" hidden="false" customHeight="true" outlineLevel="0" collapsed="false">
      <c r="A198" s="15"/>
      <c r="B198" s="7"/>
      <c r="C198" s="16" t="str">
        <f aca="false">IF(B198="","",IFERROR(INDEX(Products!$B$2:$B$501,MATCH(B198,Products!$A$2:$A$501,0)),"CODE NOT FOUND"))</f>
        <v/>
      </c>
      <c r="D198" s="7"/>
      <c r="E198" s="13"/>
      <c r="F198" s="17" t="str">
        <f aca="false">IF(OR(D198="",E198=""),"",D198*E198)</f>
        <v/>
      </c>
      <c r="G198" s="7"/>
      <c r="H198" s="7"/>
    </row>
    <row r="199" customFormat="false" ht="15" hidden="false" customHeight="true" outlineLevel="0" collapsed="false">
      <c r="A199" s="15"/>
      <c r="B199" s="7"/>
      <c r="C199" s="16" t="str">
        <f aca="false">IF(B199="","",IFERROR(INDEX(Products!$B$2:$B$501,MATCH(B199,Products!$A$2:$A$501,0)),"CODE NOT FOUND"))</f>
        <v/>
      </c>
      <c r="D199" s="7"/>
      <c r="E199" s="13"/>
      <c r="F199" s="17" t="str">
        <f aca="false">IF(OR(D199="",E199=""),"",D199*E199)</f>
        <v/>
      </c>
      <c r="G199" s="7"/>
      <c r="H199" s="7"/>
    </row>
    <row r="200" customFormat="false" ht="15" hidden="false" customHeight="true" outlineLevel="0" collapsed="false">
      <c r="A200" s="15"/>
      <c r="B200" s="7"/>
      <c r="C200" s="16" t="str">
        <f aca="false">IF(B200="","",IFERROR(INDEX(Products!$B$2:$B$501,MATCH(B200,Products!$A$2:$A$501,0)),"CODE NOT FOUND"))</f>
        <v/>
      </c>
      <c r="D200" s="7"/>
      <c r="E200" s="13"/>
      <c r="F200" s="17" t="str">
        <f aca="false">IF(OR(D200="",E200=""),"",D200*E200)</f>
        <v/>
      </c>
      <c r="G200" s="7"/>
      <c r="H200" s="7"/>
    </row>
    <row r="201" customFormat="false" ht="15" hidden="false" customHeight="true" outlineLevel="0" collapsed="false">
      <c r="A201" s="15"/>
      <c r="B201" s="7"/>
      <c r="C201" s="16" t="str">
        <f aca="false">IF(B201="","",IFERROR(INDEX(Products!$B$2:$B$501,MATCH(B201,Products!$A$2:$A$501,0)),"CODE NOT FOUND"))</f>
        <v/>
      </c>
      <c r="D201" s="7"/>
      <c r="E201" s="13"/>
      <c r="F201" s="17" t="str">
        <f aca="false">IF(OR(D201="",E201=""),"",D201*E201)</f>
        <v/>
      </c>
      <c r="G201" s="7"/>
      <c r="H201" s="7"/>
    </row>
    <row r="202" customFormat="false" ht="15" hidden="false" customHeight="true" outlineLevel="0" collapsed="false">
      <c r="A202" s="15"/>
      <c r="B202" s="7"/>
      <c r="C202" s="16" t="str">
        <f aca="false">IF(B202="","",IFERROR(INDEX(Products!$B$2:$B$501,MATCH(B202,Products!$A$2:$A$501,0)),"CODE NOT FOUND"))</f>
        <v/>
      </c>
      <c r="D202" s="7"/>
      <c r="E202" s="13"/>
      <c r="F202" s="17" t="str">
        <f aca="false">IF(OR(D202="",E202=""),"",D202*E202)</f>
        <v/>
      </c>
      <c r="G202" s="7"/>
      <c r="H202" s="7"/>
    </row>
    <row r="203" customFormat="false" ht="15" hidden="false" customHeight="true" outlineLevel="0" collapsed="false">
      <c r="A203" s="15"/>
      <c r="B203" s="7"/>
      <c r="C203" s="16" t="str">
        <f aca="false">IF(B203="","",IFERROR(INDEX(Products!$B$2:$B$501,MATCH(B203,Products!$A$2:$A$501,0)),"CODE NOT FOUND"))</f>
        <v/>
      </c>
      <c r="D203" s="7"/>
      <c r="E203" s="13"/>
      <c r="F203" s="17" t="str">
        <f aca="false">IF(OR(D203="",E203=""),"",D203*E203)</f>
        <v/>
      </c>
      <c r="G203" s="7"/>
      <c r="H203" s="7"/>
    </row>
    <row r="204" customFormat="false" ht="15" hidden="false" customHeight="true" outlineLevel="0" collapsed="false">
      <c r="A204" s="15"/>
      <c r="B204" s="7"/>
      <c r="C204" s="16" t="str">
        <f aca="false">IF(B204="","",IFERROR(INDEX(Products!$B$2:$B$501,MATCH(B204,Products!$A$2:$A$501,0)),"CODE NOT FOUND"))</f>
        <v/>
      </c>
      <c r="D204" s="7"/>
      <c r="E204" s="13"/>
      <c r="F204" s="17" t="str">
        <f aca="false">IF(OR(D204="",E204=""),"",D204*E204)</f>
        <v/>
      </c>
      <c r="G204" s="7"/>
      <c r="H204" s="7"/>
    </row>
    <row r="205" customFormat="false" ht="15" hidden="false" customHeight="true" outlineLevel="0" collapsed="false">
      <c r="A205" s="15"/>
      <c r="B205" s="7"/>
      <c r="C205" s="16" t="str">
        <f aca="false">IF(B205="","",IFERROR(INDEX(Products!$B$2:$B$501,MATCH(B205,Products!$A$2:$A$501,0)),"CODE NOT FOUND"))</f>
        <v/>
      </c>
      <c r="D205" s="7"/>
      <c r="E205" s="13"/>
      <c r="F205" s="17" t="str">
        <f aca="false">IF(OR(D205="",E205=""),"",D205*E205)</f>
        <v/>
      </c>
      <c r="G205" s="7"/>
      <c r="H205" s="7"/>
    </row>
    <row r="206" customFormat="false" ht="15" hidden="false" customHeight="true" outlineLevel="0" collapsed="false">
      <c r="A206" s="15"/>
      <c r="B206" s="7"/>
      <c r="C206" s="16" t="str">
        <f aca="false">IF(B206="","",IFERROR(INDEX(Products!$B$2:$B$501,MATCH(B206,Products!$A$2:$A$501,0)),"CODE NOT FOUND"))</f>
        <v/>
      </c>
      <c r="D206" s="7"/>
      <c r="E206" s="13"/>
      <c r="F206" s="17" t="str">
        <f aca="false">IF(OR(D206="",E206=""),"",D206*E206)</f>
        <v/>
      </c>
      <c r="G206" s="7"/>
      <c r="H206" s="7"/>
    </row>
    <row r="207" customFormat="false" ht="15" hidden="false" customHeight="true" outlineLevel="0" collapsed="false">
      <c r="A207" s="15"/>
      <c r="B207" s="7"/>
      <c r="C207" s="16" t="str">
        <f aca="false">IF(B207="","",IFERROR(INDEX(Products!$B$2:$B$501,MATCH(B207,Products!$A$2:$A$501,0)),"CODE NOT FOUND"))</f>
        <v/>
      </c>
      <c r="D207" s="7"/>
      <c r="E207" s="13"/>
      <c r="F207" s="17" t="str">
        <f aca="false">IF(OR(D207="",E207=""),"",D207*E207)</f>
        <v/>
      </c>
      <c r="G207" s="7"/>
      <c r="H207" s="7"/>
    </row>
    <row r="208" customFormat="false" ht="15" hidden="false" customHeight="true" outlineLevel="0" collapsed="false">
      <c r="A208" s="15"/>
      <c r="B208" s="7"/>
      <c r="C208" s="16" t="str">
        <f aca="false">IF(B208="","",IFERROR(INDEX(Products!$B$2:$B$501,MATCH(B208,Products!$A$2:$A$501,0)),"CODE NOT FOUND"))</f>
        <v/>
      </c>
      <c r="D208" s="7"/>
      <c r="E208" s="13"/>
      <c r="F208" s="17" t="str">
        <f aca="false">IF(OR(D208="",E208=""),"",D208*E208)</f>
        <v/>
      </c>
      <c r="G208" s="7"/>
      <c r="H208" s="7"/>
    </row>
    <row r="209" customFormat="false" ht="15" hidden="false" customHeight="true" outlineLevel="0" collapsed="false">
      <c r="A209" s="15"/>
      <c r="B209" s="7"/>
      <c r="C209" s="16" t="str">
        <f aca="false">IF(B209="","",IFERROR(INDEX(Products!$B$2:$B$501,MATCH(B209,Products!$A$2:$A$501,0)),"CODE NOT FOUND"))</f>
        <v/>
      </c>
      <c r="D209" s="7"/>
      <c r="E209" s="13"/>
      <c r="F209" s="17" t="str">
        <f aca="false">IF(OR(D209="",E209=""),"",D209*E209)</f>
        <v/>
      </c>
      <c r="G209" s="7"/>
      <c r="H209" s="7"/>
    </row>
    <row r="210" customFormat="false" ht="15" hidden="false" customHeight="true" outlineLevel="0" collapsed="false">
      <c r="A210" s="15"/>
      <c r="B210" s="7"/>
      <c r="C210" s="16" t="str">
        <f aca="false">IF(B210="","",IFERROR(INDEX(Products!$B$2:$B$501,MATCH(B210,Products!$A$2:$A$501,0)),"CODE NOT FOUND"))</f>
        <v/>
      </c>
      <c r="D210" s="7"/>
      <c r="E210" s="13"/>
      <c r="F210" s="17" t="str">
        <f aca="false">IF(OR(D210="",E210=""),"",D210*E210)</f>
        <v/>
      </c>
      <c r="G210" s="7"/>
      <c r="H210" s="7"/>
    </row>
    <row r="211" customFormat="false" ht="15" hidden="false" customHeight="true" outlineLevel="0" collapsed="false">
      <c r="A211" s="15"/>
      <c r="B211" s="7"/>
      <c r="C211" s="16" t="str">
        <f aca="false">IF(B211="","",IFERROR(INDEX(Products!$B$2:$B$501,MATCH(B211,Products!$A$2:$A$501,0)),"CODE NOT FOUND"))</f>
        <v/>
      </c>
      <c r="D211" s="7"/>
      <c r="E211" s="13"/>
      <c r="F211" s="17" t="str">
        <f aca="false">IF(OR(D211="",E211=""),"",D211*E211)</f>
        <v/>
      </c>
      <c r="G211" s="7"/>
      <c r="H211" s="7"/>
    </row>
    <row r="212" customFormat="false" ht="15" hidden="false" customHeight="true" outlineLevel="0" collapsed="false">
      <c r="A212" s="15"/>
      <c r="B212" s="7"/>
      <c r="C212" s="16" t="str">
        <f aca="false">IF(B212="","",IFERROR(INDEX(Products!$B$2:$B$501,MATCH(B212,Products!$A$2:$A$501,0)),"CODE NOT FOUND"))</f>
        <v/>
      </c>
      <c r="D212" s="7"/>
      <c r="E212" s="13"/>
      <c r="F212" s="17" t="str">
        <f aca="false">IF(OR(D212="",E212=""),"",D212*E212)</f>
        <v/>
      </c>
      <c r="G212" s="7"/>
      <c r="H212" s="7"/>
    </row>
    <row r="213" customFormat="false" ht="15" hidden="false" customHeight="true" outlineLevel="0" collapsed="false">
      <c r="A213" s="15"/>
      <c r="B213" s="7"/>
      <c r="C213" s="16" t="str">
        <f aca="false">IF(B213="","",IFERROR(INDEX(Products!$B$2:$B$501,MATCH(B213,Products!$A$2:$A$501,0)),"CODE NOT FOUND"))</f>
        <v/>
      </c>
      <c r="D213" s="7"/>
      <c r="E213" s="13"/>
      <c r="F213" s="17" t="str">
        <f aca="false">IF(OR(D213="",E213=""),"",D213*E213)</f>
        <v/>
      </c>
      <c r="G213" s="7"/>
      <c r="H213" s="7"/>
    </row>
    <row r="214" customFormat="false" ht="15" hidden="false" customHeight="true" outlineLevel="0" collapsed="false">
      <c r="A214" s="15"/>
      <c r="B214" s="7"/>
      <c r="C214" s="16" t="str">
        <f aca="false">IF(B214="","",IFERROR(INDEX(Products!$B$2:$B$501,MATCH(B214,Products!$A$2:$A$501,0)),"CODE NOT FOUND"))</f>
        <v/>
      </c>
      <c r="D214" s="7"/>
      <c r="E214" s="13"/>
      <c r="F214" s="17" t="str">
        <f aca="false">IF(OR(D214="",E214=""),"",D214*E214)</f>
        <v/>
      </c>
      <c r="G214" s="7"/>
      <c r="H214" s="7"/>
    </row>
    <row r="215" customFormat="false" ht="15" hidden="false" customHeight="true" outlineLevel="0" collapsed="false">
      <c r="A215" s="15"/>
      <c r="B215" s="7"/>
      <c r="C215" s="16" t="str">
        <f aca="false">IF(B215="","",IFERROR(INDEX(Products!$B$2:$B$501,MATCH(B215,Products!$A$2:$A$501,0)),"CODE NOT FOUND"))</f>
        <v/>
      </c>
      <c r="D215" s="7"/>
      <c r="E215" s="13"/>
      <c r="F215" s="17" t="str">
        <f aca="false">IF(OR(D215="",E215=""),"",D215*E215)</f>
        <v/>
      </c>
      <c r="G215" s="7"/>
      <c r="H215" s="7"/>
    </row>
    <row r="216" customFormat="false" ht="15" hidden="false" customHeight="true" outlineLevel="0" collapsed="false">
      <c r="A216" s="15"/>
      <c r="B216" s="7"/>
      <c r="C216" s="16" t="str">
        <f aca="false">IF(B216="","",IFERROR(INDEX(Products!$B$2:$B$501,MATCH(B216,Products!$A$2:$A$501,0)),"CODE NOT FOUND"))</f>
        <v/>
      </c>
      <c r="D216" s="7"/>
      <c r="E216" s="13"/>
      <c r="F216" s="17" t="str">
        <f aca="false">IF(OR(D216="",E216=""),"",D216*E216)</f>
        <v/>
      </c>
      <c r="G216" s="7"/>
      <c r="H216" s="7"/>
    </row>
    <row r="217" customFormat="false" ht="15" hidden="false" customHeight="true" outlineLevel="0" collapsed="false">
      <c r="A217" s="15"/>
      <c r="B217" s="7"/>
      <c r="C217" s="16" t="str">
        <f aca="false">IF(B217="","",IFERROR(INDEX(Products!$B$2:$B$501,MATCH(B217,Products!$A$2:$A$501,0)),"CODE NOT FOUND"))</f>
        <v/>
      </c>
      <c r="D217" s="7"/>
      <c r="E217" s="13"/>
      <c r="F217" s="17" t="str">
        <f aca="false">IF(OR(D217="",E217=""),"",D217*E217)</f>
        <v/>
      </c>
      <c r="G217" s="7"/>
      <c r="H217" s="7"/>
    </row>
    <row r="218" customFormat="false" ht="15" hidden="false" customHeight="true" outlineLevel="0" collapsed="false">
      <c r="A218" s="15"/>
      <c r="B218" s="7"/>
      <c r="C218" s="16" t="str">
        <f aca="false">IF(B218="","",IFERROR(INDEX(Products!$B$2:$B$501,MATCH(B218,Products!$A$2:$A$501,0)),"CODE NOT FOUND"))</f>
        <v/>
      </c>
      <c r="D218" s="7"/>
      <c r="E218" s="13"/>
      <c r="F218" s="17" t="str">
        <f aca="false">IF(OR(D218="",E218=""),"",D218*E218)</f>
        <v/>
      </c>
      <c r="G218" s="7"/>
      <c r="H218" s="7"/>
    </row>
    <row r="219" customFormat="false" ht="15" hidden="false" customHeight="true" outlineLevel="0" collapsed="false">
      <c r="A219" s="15"/>
      <c r="B219" s="7"/>
      <c r="C219" s="16" t="str">
        <f aca="false">IF(B219="","",IFERROR(INDEX(Products!$B$2:$B$501,MATCH(B219,Products!$A$2:$A$501,0)),"CODE NOT FOUND"))</f>
        <v/>
      </c>
      <c r="D219" s="7"/>
      <c r="E219" s="13"/>
      <c r="F219" s="17" t="str">
        <f aca="false">IF(OR(D219="",E219=""),"",D219*E219)</f>
        <v/>
      </c>
      <c r="G219" s="7"/>
      <c r="H219" s="7"/>
    </row>
    <row r="220" customFormat="false" ht="15" hidden="false" customHeight="true" outlineLevel="0" collapsed="false">
      <c r="A220" s="15"/>
      <c r="B220" s="7"/>
      <c r="C220" s="16" t="str">
        <f aca="false">IF(B220="","",IFERROR(INDEX(Products!$B$2:$B$501,MATCH(B220,Products!$A$2:$A$501,0)),"CODE NOT FOUND"))</f>
        <v/>
      </c>
      <c r="D220" s="7"/>
      <c r="E220" s="13"/>
      <c r="F220" s="17" t="str">
        <f aca="false">IF(OR(D220="",E220=""),"",D220*E220)</f>
        <v/>
      </c>
      <c r="G220" s="7"/>
      <c r="H220" s="7"/>
    </row>
    <row r="221" customFormat="false" ht="15" hidden="false" customHeight="true" outlineLevel="0" collapsed="false">
      <c r="A221" s="15"/>
      <c r="B221" s="7"/>
      <c r="C221" s="16" t="str">
        <f aca="false">IF(B221="","",IFERROR(INDEX(Products!$B$2:$B$501,MATCH(B221,Products!$A$2:$A$501,0)),"CODE NOT FOUND"))</f>
        <v/>
      </c>
      <c r="D221" s="7"/>
      <c r="E221" s="13"/>
      <c r="F221" s="17" t="str">
        <f aca="false">IF(OR(D221="",E221=""),"",D221*E221)</f>
        <v/>
      </c>
      <c r="G221" s="7"/>
      <c r="H221" s="7"/>
    </row>
    <row r="222" customFormat="false" ht="15" hidden="false" customHeight="true" outlineLevel="0" collapsed="false">
      <c r="A222" s="15"/>
      <c r="B222" s="7"/>
      <c r="C222" s="16" t="str">
        <f aca="false">IF(B222="","",IFERROR(INDEX(Products!$B$2:$B$501,MATCH(B222,Products!$A$2:$A$501,0)),"CODE NOT FOUND"))</f>
        <v/>
      </c>
      <c r="D222" s="7"/>
      <c r="E222" s="13"/>
      <c r="F222" s="17" t="str">
        <f aca="false">IF(OR(D222="",E222=""),"",D222*E222)</f>
        <v/>
      </c>
      <c r="G222" s="7"/>
      <c r="H222" s="7"/>
    </row>
    <row r="223" customFormat="false" ht="15" hidden="false" customHeight="true" outlineLevel="0" collapsed="false">
      <c r="A223" s="15"/>
      <c r="B223" s="7"/>
      <c r="C223" s="16" t="str">
        <f aca="false">IF(B223="","",IFERROR(INDEX(Products!$B$2:$B$501,MATCH(B223,Products!$A$2:$A$501,0)),"CODE NOT FOUND"))</f>
        <v/>
      </c>
      <c r="D223" s="7"/>
      <c r="E223" s="13"/>
      <c r="F223" s="17" t="str">
        <f aca="false">IF(OR(D223="",E223=""),"",D223*E223)</f>
        <v/>
      </c>
      <c r="G223" s="7"/>
      <c r="H223" s="7"/>
    </row>
    <row r="224" customFormat="false" ht="15" hidden="false" customHeight="true" outlineLevel="0" collapsed="false">
      <c r="A224" s="15"/>
      <c r="B224" s="7"/>
      <c r="C224" s="16" t="str">
        <f aca="false">IF(B224="","",IFERROR(INDEX(Products!$B$2:$B$501,MATCH(B224,Products!$A$2:$A$501,0)),"CODE NOT FOUND"))</f>
        <v/>
      </c>
      <c r="D224" s="7"/>
      <c r="E224" s="13"/>
      <c r="F224" s="17" t="str">
        <f aca="false">IF(OR(D224="",E224=""),"",D224*E224)</f>
        <v/>
      </c>
      <c r="G224" s="7"/>
      <c r="H224" s="7"/>
    </row>
    <row r="225" customFormat="false" ht="15" hidden="false" customHeight="true" outlineLevel="0" collapsed="false">
      <c r="A225" s="15"/>
      <c r="B225" s="7"/>
      <c r="C225" s="16" t="str">
        <f aca="false">IF(B225="","",IFERROR(INDEX(Products!$B$2:$B$501,MATCH(B225,Products!$A$2:$A$501,0)),"CODE NOT FOUND"))</f>
        <v/>
      </c>
      <c r="D225" s="7"/>
      <c r="E225" s="13"/>
      <c r="F225" s="17" t="str">
        <f aca="false">IF(OR(D225="",E225=""),"",D225*E225)</f>
        <v/>
      </c>
      <c r="G225" s="7"/>
      <c r="H225" s="7"/>
    </row>
    <row r="226" customFormat="false" ht="15" hidden="false" customHeight="true" outlineLevel="0" collapsed="false">
      <c r="A226" s="15"/>
      <c r="B226" s="7"/>
      <c r="C226" s="16" t="str">
        <f aca="false">IF(B226="","",IFERROR(INDEX(Products!$B$2:$B$501,MATCH(B226,Products!$A$2:$A$501,0)),"CODE NOT FOUND"))</f>
        <v/>
      </c>
      <c r="D226" s="7"/>
      <c r="E226" s="13"/>
      <c r="F226" s="17" t="str">
        <f aca="false">IF(OR(D226="",E226=""),"",D226*E226)</f>
        <v/>
      </c>
      <c r="G226" s="7"/>
      <c r="H226" s="7"/>
    </row>
    <row r="227" customFormat="false" ht="15" hidden="false" customHeight="true" outlineLevel="0" collapsed="false">
      <c r="A227" s="15"/>
      <c r="B227" s="7"/>
      <c r="C227" s="16" t="str">
        <f aca="false">IF(B227="","",IFERROR(INDEX(Products!$B$2:$B$501,MATCH(B227,Products!$A$2:$A$501,0)),"CODE NOT FOUND"))</f>
        <v/>
      </c>
      <c r="D227" s="7"/>
      <c r="E227" s="13"/>
      <c r="F227" s="17" t="str">
        <f aca="false">IF(OR(D227="",E227=""),"",D227*E227)</f>
        <v/>
      </c>
      <c r="G227" s="7"/>
      <c r="H227" s="7"/>
    </row>
    <row r="228" customFormat="false" ht="15" hidden="false" customHeight="true" outlineLevel="0" collapsed="false">
      <c r="A228" s="15"/>
      <c r="B228" s="7"/>
      <c r="C228" s="16" t="str">
        <f aca="false">IF(B228="","",IFERROR(INDEX(Products!$B$2:$B$501,MATCH(B228,Products!$A$2:$A$501,0)),"CODE NOT FOUND"))</f>
        <v/>
      </c>
      <c r="D228" s="7"/>
      <c r="E228" s="13"/>
      <c r="F228" s="17" t="str">
        <f aca="false">IF(OR(D228="",E228=""),"",D228*E228)</f>
        <v/>
      </c>
      <c r="G228" s="7"/>
      <c r="H228" s="7"/>
    </row>
    <row r="229" customFormat="false" ht="15" hidden="false" customHeight="true" outlineLevel="0" collapsed="false">
      <c r="A229" s="15"/>
      <c r="B229" s="7"/>
      <c r="C229" s="16" t="str">
        <f aca="false">IF(B229="","",IFERROR(INDEX(Products!$B$2:$B$501,MATCH(B229,Products!$A$2:$A$501,0)),"CODE NOT FOUND"))</f>
        <v/>
      </c>
      <c r="D229" s="7"/>
      <c r="E229" s="13"/>
      <c r="F229" s="17" t="str">
        <f aca="false">IF(OR(D229="",E229=""),"",D229*E229)</f>
        <v/>
      </c>
      <c r="G229" s="7"/>
      <c r="H229" s="7"/>
    </row>
    <row r="230" customFormat="false" ht="15" hidden="false" customHeight="true" outlineLevel="0" collapsed="false">
      <c r="A230" s="15"/>
      <c r="B230" s="7"/>
      <c r="C230" s="16" t="str">
        <f aca="false">IF(B230="","",IFERROR(INDEX(Products!$B$2:$B$501,MATCH(B230,Products!$A$2:$A$501,0)),"CODE NOT FOUND"))</f>
        <v/>
      </c>
      <c r="D230" s="7"/>
      <c r="E230" s="13"/>
      <c r="F230" s="17" t="str">
        <f aca="false">IF(OR(D230="",E230=""),"",D230*E230)</f>
        <v/>
      </c>
      <c r="G230" s="7"/>
      <c r="H230" s="7"/>
    </row>
    <row r="231" customFormat="false" ht="15" hidden="false" customHeight="true" outlineLevel="0" collapsed="false">
      <c r="A231" s="15"/>
      <c r="B231" s="7"/>
      <c r="C231" s="16" t="str">
        <f aca="false">IF(B231="","",IFERROR(INDEX(Products!$B$2:$B$501,MATCH(B231,Products!$A$2:$A$501,0)),"CODE NOT FOUND"))</f>
        <v/>
      </c>
      <c r="D231" s="7"/>
      <c r="E231" s="13"/>
      <c r="F231" s="17" t="str">
        <f aca="false">IF(OR(D231="",E231=""),"",D231*E231)</f>
        <v/>
      </c>
      <c r="G231" s="7"/>
      <c r="H231" s="7"/>
    </row>
    <row r="232" customFormat="false" ht="15" hidden="false" customHeight="true" outlineLevel="0" collapsed="false">
      <c r="A232" s="15"/>
      <c r="B232" s="7"/>
      <c r="C232" s="16" t="str">
        <f aca="false">IF(B232="","",IFERROR(INDEX(Products!$B$2:$B$501,MATCH(B232,Products!$A$2:$A$501,0)),"CODE NOT FOUND"))</f>
        <v/>
      </c>
      <c r="D232" s="7"/>
      <c r="E232" s="13"/>
      <c r="F232" s="17" t="str">
        <f aca="false">IF(OR(D232="",E232=""),"",D232*E232)</f>
        <v/>
      </c>
      <c r="G232" s="7"/>
      <c r="H232" s="7"/>
    </row>
    <row r="233" customFormat="false" ht="15" hidden="false" customHeight="true" outlineLevel="0" collapsed="false">
      <c r="A233" s="15"/>
      <c r="B233" s="7"/>
      <c r="C233" s="16" t="str">
        <f aca="false">IF(B233="","",IFERROR(INDEX(Products!$B$2:$B$501,MATCH(B233,Products!$A$2:$A$501,0)),"CODE NOT FOUND"))</f>
        <v/>
      </c>
      <c r="D233" s="7"/>
      <c r="E233" s="13"/>
      <c r="F233" s="17" t="str">
        <f aca="false">IF(OR(D233="",E233=""),"",D233*E233)</f>
        <v/>
      </c>
      <c r="G233" s="7"/>
      <c r="H233" s="7"/>
    </row>
    <row r="234" customFormat="false" ht="15" hidden="false" customHeight="true" outlineLevel="0" collapsed="false">
      <c r="A234" s="15"/>
      <c r="B234" s="7"/>
      <c r="C234" s="16" t="str">
        <f aca="false">IF(B234="","",IFERROR(INDEX(Products!$B$2:$B$501,MATCH(B234,Products!$A$2:$A$501,0)),"CODE NOT FOUND"))</f>
        <v/>
      </c>
      <c r="D234" s="7"/>
      <c r="E234" s="13"/>
      <c r="F234" s="17" t="str">
        <f aca="false">IF(OR(D234="",E234=""),"",D234*E234)</f>
        <v/>
      </c>
      <c r="G234" s="7"/>
      <c r="H234" s="7"/>
    </row>
    <row r="235" customFormat="false" ht="15" hidden="false" customHeight="true" outlineLevel="0" collapsed="false">
      <c r="A235" s="15"/>
      <c r="B235" s="7"/>
      <c r="C235" s="16" t="str">
        <f aca="false">IF(B235="","",IFERROR(INDEX(Products!$B$2:$B$501,MATCH(B235,Products!$A$2:$A$501,0)),"CODE NOT FOUND"))</f>
        <v/>
      </c>
      <c r="D235" s="7"/>
      <c r="E235" s="13"/>
      <c r="F235" s="17" t="str">
        <f aca="false">IF(OR(D235="",E235=""),"",D235*E235)</f>
        <v/>
      </c>
      <c r="G235" s="7"/>
      <c r="H235" s="7"/>
    </row>
    <row r="236" customFormat="false" ht="15" hidden="false" customHeight="true" outlineLevel="0" collapsed="false">
      <c r="A236" s="15"/>
      <c r="B236" s="7"/>
      <c r="C236" s="16" t="str">
        <f aca="false">IF(B236="","",IFERROR(INDEX(Products!$B$2:$B$501,MATCH(B236,Products!$A$2:$A$501,0)),"CODE NOT FOUND"))</f>
        <v/>
      </c>
      <c r="D236" s="7"/>
      <c r="E236" s="13"/>
      <c r="F236" s="17" t="str">
        <f aca="false">IF(OR(D236="",E236=""),"",D236*E236)</f>
        <v/>
      </c>
      <c r="G236" s="7"/>
      <c r="H236" s="7"/>
    </row>
    <row r="237" customFormat="false" ht="15" hidden="false" customHeight="true" outlineLevel="0" collapsed="false">
      <c r="A237" s="15"/>
      <c r="B237" s="7"/>
      <c r="C237" s="16" t="str">
        <f aca="false">IF(B237="","",IFERROR(INDEX(Products!$B$2:$B$501,MATCH(B237,Products!$A$2:$A$501,0)),"CODE NOT FOUND"))</f>
        <v/>
      </c>
      <c r="D237" s="7"/>
      <c r="E237" s="13"/>
      <c r="F237" s="17" t="str">
        <f aca="false">IF(OR(D237="",E237=""),"",D237*E237)</f>
        <v/>
      </c>
      <c r="G237" s="7"/>
      <c r="H237" s="7"/>
    </row>
    <row r="238" customFormat="false" ht="15" hidden="false" customHeight="true" outlineLevel="0" collapsed="false">
      <c r="A238" s="15"/>
      <c r="B238" s="7"/>
      <c r="C238" s="16" t="str">
        <f aca="false">IF(B238="","",IFERROR(INDEX(Products!$B$2:$B$501,MATCH(B238,Products!$A$2:$A$501,0)),"CODE NOT FOUND"))</f>
        <v/>
      </c>
      <c r="D238" s="7"/>
      <c r="E238" s="13"/>
      <c r="F238" s="17" t="str">
        <f aca="false">IF(OR(D238="",E238=""),"",D238*E238)</f>
        <v/>
      </c>
      <c r="G238" s="7"/>
      <c r="H238" s="7"/>
    </row>
    <row r="239" customFormat="false" ht="15" hidden="false" customHeight="true" outlineLevel="0" collapsed="false">
      <c r="A239" s="15"/>
      <c r="B239" s="7"/>
      <c r="C239" s="16" t="str">
        <f aca="false">IF(B239="","",IFERROR(INDEX(Products!$B$2:$B$501,MATCH(B239,Products!$A$2:$A$501,0)),"CODE NOT FOUND"))</f>
        <v/>
      </c>
      <c r="D239" s="7"/>
      <c r="E239" s="13"/>
      <c r="F239" s="17" t="str">
        <f aca="false">IF(OR(D239="",E239=""),"",D239*E239)</f>
        <v/>
      </c>
      <c r="G239" s="7"/>
      <c r="H239" s="7"/>
    </row>
    <row r="240" customFormat="false" ht="15" hidden="false" customHeight="true" outlineLevel="0" collapsed="false">
      <c r="A240" s="15"/>
      <c r="B240" s="7"/>
      <c r="C240" s="16" t="str">
        <f aca="false">IF(B240="","",IFERROR(INDEX(Products!$B$2:$B$501,MATCH(B240,Products!$A$2:$A$501,0)),"CODE NOT FOUND"))</f>
        <v/>
      </c>
      <c r="D240" s="7"/>
      <c r="E240" s="13"/>
      <c r="F240" s="17" t="str">
        <f aca="false">IF(OR(D240="",E240=""),"",D240*E240)</f>
        <v/>
      </c>
      <c r="G240" s="7"/>
      <c r="H240" s="7"/>
    </row>
    <row r="241" customFormat="false" ht="15" hidden="false" customHeight="true" outlineLevel="0" collapsed="false">
      <c r="A241" s="15"/>
      <c r="B241" s="7"/>
      <c r="C241" s="16" t="str">
        <f aca="false">IF(B241="","",IFERROR(INDEX(Products!$B$2:$B$501,MATCH(B241,Products!$A$2:$A$501,0)),"CODE NOT FOUND"))</f>
        <v/>
      </c>
      <c r="D241" s="7"/>
      <c r="E241" s="13"/>
      <c r="F241" s="17" t="str">
        <f aca="false">IF(OR(D241="",E241=""),"",D241*E241)</f>
        <v/>
      </c>
      <c r="G241" s="7"/>
      <c r="H241" s="7"/>
    </row>
    <row r="242" customFormat="false" ht="15" hidden="false" customHeight="true" outlineLevel="0" collapsed="false">
      <c r="A242" s="15"/>
      <c r="B242" s="7"/>
      <c r="C242" s="16" t="str">
        <f aca="false">IF(B242="","",IFERROR(INDEX(Products!$B$2:$B$501,MATCH(B242,Products!$A$2:$A$501,0)),"CODE NOT FOUND"))</f>
        <v/>
      </c>
      <c r="D242" s="7"/>
      <c r="E242" s="13"/>
      <c r="F242" s="17" t="str">
        <f aca="false">IF(OR(D242="",E242=""),"",D242*E242)</f>
        <v/>
      </c>
      <c r="G242" s="7"/>
      <c r="H242" s="7"/>
    </row>
    <row r="243" customFormat="false" ht="15" hidden="false" customHeight="true" outlineLevel="0" collapsed="false">
      <c r="A243" s="15"/>
      <c r="B243" s="7"/>
      <c r="C243" s="16" t="str">
        <f aca="false">IF(B243="","",IFERROR(INDEX(Products!$B$2:$B$501,MATCH(B243,Products!$A$2:$A$501,0)),"CODE NOT FOUND"))</f>
        <v/>
      </c>
      <c r="D243" s="7"/>
      <c r="E243" s="13"/>
      <c r="F243" s="17" t="str">
        <f aca="false">IF(OR(D243="",E243=""),"",D243*E243)</f>
        <v/>
      </c>
      <c r="G243" s="7"/>
      <c r="H243" s="7"/>
    </row>
    <row r="244" customFormat="false" ht="15" hidden="false" customHeight="true" outlineLevel="0" collapsed="false">
      <c r="A244" s="15"/>
      <c r="B244" s="7"/>
      <c r="C244" s="16" t="str">
        <f aca="false">IF(B244="","",IFERROR(INDEX(Products!$B$2:$B$501,MATCH(B244,Products!$A$2:$A$501,0)),"CODE NOT FOUND"))</f>
        <v/>
      </c>
      <c r="D244" s="7"/>
      <c r="E244" s="13"/>
      <c r="F244" s="17" t="str">
        <f aca="false">IF(OR(D244="",E244=""),"",D244*E244)</f>
        <v/>
      </c>
      <c r="G244" s="7"/>
      <c r="H244" s="7"/>
    </row>
    <row r="245" customFormat="false" ht="15" hidden="false" customHeight="true" outlineLevel="0" collapsed="false">
      <c r="A245" s="15"/>
      <c r="B245" s="7"/>
      <c r="C245" s="16" t="str">
        <f aca="false">IF(B245="","",IFERROR(INDEX(Products!$B$2:$B$501,MATCH(B245,Products!$A$2:$A$501,0)),"CODE NOT FOUND"))</f>
        <v/>
      </c>
      <c r="D245" s="7"/>
      <c r="E245" s="13"/>
      <c r="F245" s="17" t="str">
        <f aca="false">IF(OR(D245="",E245=""),"",D245*E245)</f>
        <v/>
      </c>
      <c r="G245" s="7"/>
      <c r="H245" s="7"/>
    </row>
    <row r="246" customFormat="false" ht="15" hidden="false" customHeight="true" outlineLevel="0" collapsed="false">
      <c r="A246" s="15"/>
      <c r="B246" s="7"/>
      <c r="C246" s="16" t="str">
        <f aca="false">IF(B246="","",IFERROR(INDEX(Products!$B$2:$B$501,MATCH(B246,Products!$A$2:$A$501,0)),"CODE NOT FOUND"))</f>
        <v/>
      </c>
      <c r="D246" s="7"/>
      <c r="E246" s="13"/>
      <c r="F246" s="17" t="str">
        <f aca="false">IF(OR(D246="",E246=""),"",D246*E246)</f>
        <v/>
      </c>
      <c r="G246" s="7"/>
      <c r="H246" s="7"/>
    </row>
    <row r="247" customFormat="false" ht="15" hidden="false" customHeight="true" outlineLevel="0" collapsed="false">
      <c r="A247" s="15"/>
      <c r="B247" s="7"/>
      <c r="C247" s="16" t="str">
        <f aca="false">IF(B247="","",IFERROR(INDEX(Products!$B$2:$B$501,MATCH(B247,Products!$A$2:$A$501,0)),"CODE NOT FOUND"))</f>
        <v/>
      </c>
      <c r="D247" s="7"/>
      <c r="E247" s="13"/>
      <c r="F247" s="17" t="str">
        <f aca="false">IF(OR(D247="",E247=""),"",D247*E247)</f>
        <v/>
      </c>
      <c r="G247" s="7"/>
      <c r="H247" s="7"/>
    </row>
    <row r="248" customFormat="false" ht="15" hidden="false" customHeight="true" outlineLevel="0" collapsed="false">
      <c r="A248" s="15"/>
      <c r="B248" s="7"/>
      <c r="C248" s="16" t="str">
        <f aca="false">IF(B248="","",IFERROR(INDEX(Products!$B$2:$B$501,MATCH(B248,Products!$A$2:$A$501,0)),"CODE NOT FOUND"))</f>
        <v/>
      </c>
      <c r="D248" s="7"/>
      <c r="E248" s="13"/>
      <c r="F248" s="17" t="str">
        <f aca="false">IF(OR(D248="",E248=""),"",D248*E248)</f>
        <v/>
      </c>
      <c r="G248" s="7"/>
      <c r="H248" s="7"/>
    </row>
    <row r="249" customFormat="false" ht="15" hidden="false" customHeight="true" outlineLevel="0" collapsed="false">
      <c r="A249" s="15"/>
      <c r="B249" s="7"/>
      <c r="C249" s="16" t="str">
        <f aca="false">IF(B249="","",IFERROR(INDEX(Products!$B$2:$B$501,MATCH(B249,Products!$A$2:$A$501,0)),"CODE NOT FOUND"))</f>
        <v/>
      </c>
      <c r="D249" s="7"/>
      <c r="E249" s="13"/>
      <c r="F249" s="17" t="str">
        <f aca="false">IF(OR(D249="",E249=""),"",D249*E249)</f>
        <v/>
      </c>
      <c r="G249" s="7"/>
      <c r="H249" s="7"/>
    </row>
    <row r="250" customFormat="false" ht="15" hidden="false" customHeight="true" outlineLevel="0" collapsed="false">
      <c r="A250" s="15"/>
      <c r="B250" s="7"/>
      <c r="C250" s="16" t="str">
        <f aca="false">IF(B250="","",IFERROR(INDEX(Products!$B$2:$B$501,MATCH(B250,Products!$A$2:$A$501,0)),"CODE NOT FOUND"))</f>
        <v/>
      </c>
      <c r="D250" s="7"/>
      <c r="E250" s="13"/>
      <c r="F250" s="17" t="str">
        <f aca="false">IF(OR(D250="",E250=""),"",D250*E250)</f>
        <v/>
      </c>
      <c r="G250" s="7"/>
      <c r="H250" s="7"/>
    </row>
    <row r="251" customFormat="false" ht="15" hidden="false" customHeight="true" outlineLevel="0" collapsed="false">
      <c r="A251" s="15"/>
      <c r="B251" s="7"/>
      <c r="C251" s="16" t="str">
        <f aca="false">IF(B251="","",IFERROR(INDEX(Products!$B$2:$B$501,MATCH(B251,Products!$A$2:$A$501,0)),"CODE NOT FOUND"))</f>
        <v/>
      </c>
      <c r="D251" s="7"/>
      <c r="E251" s="13"/>
      <c r="F251" s="17" t="str">
        <f aca="false">IF(OR(D251="",E251=""),"",D251*E251)</f>
        <v/>
      </c>
      <c r="G251" s="7"/>
      <c r="H251" s="7"/>
    </row>
    <row r="252" customFormat="false" ht="15" hidden="false" customHeight="true" outlineLevel="0" collapsed="false">
      <c r="A252" s="15"/>
      <c r="B252" s="7"/>
      <c r="C252" s="16" t="str">
        <f aca="false">IF(B252="","",IFERROR(INDEX(Products!$B$2:$B$501,MATCH(B252,Products!$A$2:$A$501,0)),"CODE NOT FOUND"))</f>
        <v/>
      </c>
      <c r="D252" s="7"/>
      <c r="E252" s="13"/>
      <c r="F252" s="17" t="str">
        <f aca="false">IF(OR(D252="",E252=""),"",D252*E252)</f>
        <v/>
      </c>
      <c r="G252" s="7"/>
      <c r="H252" s="7"/>
    </row>
    <row r="253" customFormat="false" ht="15" hidden="false" customHeight="true" outlineLevel="0" collapsed="false">
      <c r="A253" s="15"/>
      <c r="B253" s="7"/>
      <c r="C253" s="16" t="str">
        <f aca="false">IF(B253="","",IFERROR(INDEX(Products!$B$2:$B$501,MATCH(B253,Products!$A$2:$A$501,0)),"CODE NOT FOUND"))</f>
        <v/>
      </c>
      <c r="D253" s="7"/>
      <c r="E253" s="13"/>
      <c r="F253" s="17" t="str">
        <f aca="false">IF(OR(D253="",E253=""),"",D253*E253)</f>
        <v/>
      </c>
      <c r="G253" s="7"/>
      <c r="H253" s="7"/>
    </row>
    <row r="254" customFormat="false" ht="15" hidden="false" customHeight="true" outlineLevel="0" collapsed="false">
      <c r="A254" s="15"/>
      <c r="B254" s="7"/>
      <c r="C254" s="16" t="str">
        <f aca="false">IF(B254="","",IFERROR(INDEX(Products!$B$2:$B$501,MATCH(B254,Products!$A$2:$A$501,0)),"CODE NOT FOUND"))</f>
        <v/>
      </c>
      <c r="D254" s="7"/>
      <c r="E254" s="13"/>
      <c r="F254" s="17" t="str">
        <f aca="false">IF(OR(D254="",E254=""),"",D254*E254)</f>
        <v/>
      </c>
      <c r="G254" s="7"/>
      <c r="H254" s="7"/>
    </row>
    <row r="255" customFormat="false" ht="15" hidden="false" customHeight="true" outlineLevel="0" collapsed="false">
      <c r="A255" s="15"/>
      <c r="B255" s="7"/>
      <c r="C255" s="16" t="str">
        <f aca="false">IF(B255="","",IFERROR(INDEX(Products!$B$2:$B$501,MATCH(B255,Products!$A$2:$A$501,0)),"CODE NOT FOUND"))</f>
        <v/>
      </c>
      <c r="D255" s="7"/>
      <c r="E255" s="13"/>
      <c r="F255" s="17" t="str">
        <f aca="false">IF(OR(D255="",E255=""),"",D255*E255)</f>
        <v/>
      </c>
      <c r="G255" s="7"/>
      <c r="H255" s="7"/>
    </row>
    <row r="256" customFormat="false" ht="15" hidden="false" customHeight="true" outlineLevel="0" collapsed="false">
      <c r="A256" s="15"/>
      <c r="B256" s="7"/>
      <c r="C256" s="16" t="str">
        <f aca="false">IF(B256="","",IFERROR(INDEX(Products!$B$2:$B$501,MATCH(B256,Products!$A$2:$A$501,0)),"CODE NOT FOUND"))</f>
        <v/>
      </c>
      <c r="D256" s="7"/>
      <c r="E256" s="13"/>
      <c r="F256" s="17" t="str">
        <f aca="false">IF(OR(D256="",E256=""),"",D256*E256)</f>
        <v/>
      </c>
      <c r="G256" s="7"/>
      <c r="H256" s="7"/>
    </row>
    <row r="257" customFormat="false" ht="15" hidden="false" customHeight="true" outlineLevel="0" collapsed="false">
      <c r="A257" s="15"/>
      <c r="B257" s="7"/>
      <c r="C257" s="16" t="str">
        <f aca="false">IF(B257="","",IFERROR(INDEX(Products!$B$2:$B$501,MATCH(B257,Products!$A$2:$A$501,0)),"CODE NOT FOUND"))</f>
        <v/>
      </c>
      <c r="D257" s="7"/>
      <c r="E257" s="13"/>
      <c r="F257" s="17" t="str">
        <f aca="false">IF(OR(D257="",E257=""),"",D257*E257)</f>
        <v/>
      </c>
      <c r="G257" s="7"/>
      <c r="H257" s="7"/>
    </row>
    <row r="258" customFormat="false" ht="15" hidden="false" customHeight="true" outlineLevel="0" collapsed="false">
      <c r="A258" s="15"/>
      <c r="B258" s="7"/>
      <c r="C258" s="16" t="str">
        <f aca="false">IF(B258="","",IFERROR(INDEX(Products!$B$2:$B$501,MATCH(B258,Products!$A$2:$A$501,0)),"CODE NOT FOUND"))</f>
        <v/>
      </c>
      <c r="D258" s="7"/>
      <c r="E258" s="13"/>
      <c r="F258" s="17" t="str">
        <f aca="false">IF(OR(D258="",E258=""),"",D258*E258)</f>
        <v/>
      </c>
      <c r="G258" s="7"/>
      <c r="H258" s="7"/>
    </row>
    <row r="259" customFormat="false" ht="15" hidden="false" customHeight="true" outlineLevel="0" collapsed="false">
      <c r="A259" s="15"/>
      <c r="B259" s="7"/>
      <c r="C259" s="16" t="str">
        <f aca="false">IF(B259="","",IFERROR(INDEX(Products!$B$2:$B$501,MATCH(B259,Products!$A$2:$A$501,0)),"CODE NOT FOUND"))</f>
        <v/>
      </c>
      <c r="D259" s="7"/>
      <c r="E259" s="13"/>
      <c r="F259" s="17" t="str">
        <f aca="false">IF(OR(D259="",E259=""),"",D259*E259)</f>
        <v/>
      </c>
      <c r="G259" s="7"/>
      <c r="H259" s="7"/>
    </row>
    <row r="260" customFormat="false" ht="15" hidden="false" customHeight="true" outlineLevel="0" collapsed="false">
      <c r="A260" s="15"/>
      <c r="B260" s="7"/>
      <c r="C260" s="16" t="str">
        <f aca="false">IF(B260="","",IFERROR(INDEX(Products!$B$2:$B$501,MATCH(B260,Products!$A$2:$A$501,0)),"CODE NOT FOUND"))</f>
        <v/>
      </c>
      <c r="D260" s="7"/>
      <c r="E260" s="13"/>
      <c r="F260" s="17" t="str">
        <f aca="false">IF(OR(D260="",E260=""),"",D260*E260)</f>
        <v/>
      </c>
      <c r="G260" s="7"/>
      <c r="H260" s="7"/>
    </row>
    <row r="261" customFormat="false" ht="15" hidden="false" customHeight="true" outlineLevel="0" collapsed="false">
      <c r="A261" s="15"/>
      <c r="B261" s="7"/>
      <c r="C261" s="16" t="str">
        <f aca="false">IF(B261="","",IFERROR(INDEX(Products!$B$2:$B$501,MATCH(B261,Products!$A$2:$A$501,0)),"CODE NOT FOUND"))</f>
        <v/>
      </c>
      <c r="D261" s="7"/>
      <c r="E261" s="13"/>
      <c r="F261" s="17" t="str">
        <f aca="false">IF(OR(D261="",E261=""),"",D261*E261)</f>
        <v/>
      </c>
      <c r="G261" s="7"/>
      <c r="H261" s="7"/>
    </row>
    <row r="262" customFormat="false" ht="15" hidden="false" customHeight="true" outlineLevel="0" collapsed="false">
      <c r="A262" s="15"/>
      <c r="B262" s="7"/>
      <c r="C262" s="16" t="str">
        <f aca="false">IF(B262="","",IFERROR(INDEX(Products!$B$2:$B$501,MATCH(B262,Products!$A$2:$A$501,0)),"CODE NOT FOUND"))</f>
        <v/>
      </c>
      <c r="D262" s="7"/>
      <c r="E262" s="13"/>
      <c r="F262" s="17" t="str">
        <f aca="false">IF(OR(D262="",E262=""),"",D262*E262)</f>
        <v/>
      </c>
      <c r="G262" s="7"/>
      <c r="H262" s="7"/>
    </row>
    <row r="263" customFormat="false" ht="15" hidden="false" customHeight="true" outlineLevel="0" collapsed="false">
      <c r="A263" s="15"/>
      <c r="B263" s="7"/>
      <c r="C263" s="16" t="str">
        <f aca="false">IF(B263="","",IFERROR(INDEX(Products!$B$2:$B$501,MATCH(B263,Products!$A$2:$A$501,0)),"CODE NOT FOUND"))</f>
        <v/>
      </c>
      <c r="D263" s="7"/>
      <c r="E263" s="13"/>
      <c r="F263" s="17" t="str">
        <f aca="false">IF(OR(D263="",E263=""),"",D263*E263)</f>
        <v/>
      </c>
      <c r="G263" s="7"/>
      <c r="H263" s="7"/>
    </row>
    <row r="264" customFormat="false" ht="15" hidden="false" customHeight="true" outlineLevel="0" collapsed="false">
      <c r="A264" s="15"/>
      <c r="B264" s="7"/>
      <c r="C264" s="16" t="str">
        <f aca="false">IF(B264="","",IFERROR(INDEX(Products!$B$2:$B$501,MATCH(B264,Products!$A$2:$A$501,0)),"CODE NOT FOUND"))</f>
        <v/>
      </c>
      <c r="D264" s="7"/>
      <c r="E264" s="13"/>
      <c r="F264" s="17" t="str">
        <f aca="false">IF(OR(D264="",E264=""),"",D264*E264)</f>
        <v/>
      </c>
      <c r="G264" s="7"/>
      <c r="H264" s="7"/>
    </row>
    <row r="265" customFormat="false" ht="15" hidden="false" customHeight="true" outlineLevel="0" collapsed="false">
      <c r="A265" s="15"/>
      <c r="B265" s="7"/>
      <c r="C265" s="16" t="str">
        <f aca="false">IF(B265="","",IFERROR(INDEX(Products!$B$2:$B$501,MATCH(B265,Products!$A$2:$A$501,0)),"CODE NOT FOUND"))</f>
        <v/>
      </c>
      <c r="D265" s="7"/>
      <c r="E265" s="13"/>
      <c r="F265" s="17" t="str">
        <f aca="false">IF(OR(D265="",E265=""),"",D265*E265)</f>
        <v/>
      </c>
      <c r="G265" s="7"/>
      <c r="H265" s="7"/>
    </row>
    <row r="266" customFormat="false" ht="15" hidden="false" customHeight="true" outlineLevel="0" collapsed="false">
      <c r="A266" s="15"/>
      <c r="B266" s="7"/>
      <c r="C266" s="16" t="str">
        <f aca="false">IF(B266="","",IFERROR(INDEX(Products!$B$2:$B$501,MATCH(B266,Products!$A$2:$A$501,0)),"CODE NOT FOUND"))</f>
        <v/>
      </c>
      <c r="D266" s="7"/>
      <c r="E266" s="13"/>
      <c r="F266" s="17" t="str">
        <f aca="false">IF(OR(D266="",E266=""),"",D266*E266)</f>
        <v/>
      </c>
      <c r="G266" s="7"/>
      <c r="H266" s="7"/>
    </row>
    <row r="267" customFormat="false" ht="15" hidden="false" customHeight="true" outlineLevel="0" collapsed="false">
      <c r="A267" s="15"/>
      <c r="B267" s="7"/>
      <c r="C267" s="16" t="str">
        <f aca="false">IF(B267="","",IFERROR(INDEX(Products!$B$2:$B$501,MATCH(B267,Products!$A$2:$A$501,0)),"CODE NOT FOUND"))</f>
        <v/>
      </c>
      <c r="D267" s="7"/>
      <c r="E267" s="13"/>
      <c r="F267" s="17" t="str">
        <f aca="false">IF(OR(D267="",E267=""),"",D267*E267)</f>
        <v/>
      </c>
      <c r="G267" s="7"/>
      <c r="H267" s="7"/>
    </row>
    <row r="268" customFormat="false" ht="15" hidden="false" customHeight="true" outlineLevel="0" collapsed="false">
      <c r="A268" s="15"/>
      <c r="B268" s="7"/>
      <c r="C268" s="16" t="str">
        <f aca="false">IF(B268="","",IFERROR(INDEX(Products!$B$2:$B$501,MATCH(B268,Products!$A$2:$A$501,0)),"CODE NOT FOUND"))</f>
        <v/>
      </c>
      <c r="D268" s="7"/>
      <c r="E268" s="13"/>
      <c r="F268" s="17" t="str">
        <f aca="false">IF(OR(D268="",E268=""),"",D268*E268)</f>
        <v/>
      </c>
      <c r="G268" s="7"/>
      <c r="H268" s="7"/>
    </row>
    <row r="269" customFormat="false" ht="15" hidden="false" customHeight="true" outlineLevel="0" collapsed="false">
      <c r="A269" s="15"/>
      <c r="B269" s="7"/>
      <c r="C269" s="16" t="str">
        <f aca="false">IF(B269="","",IFERROR(INDEX(Products!$B$2:$B$501,MATCH(B269,Products!$A$2:$A$501,0)),"CODE NOT FOUND"))</f>
        <v/>
      </c>
      <c r="D269" s="7"/>
      <c r="E269" s="13"/>
      <c r="F269" s="17" t="str">
        <f aca="false">IF(OR(D269="",E269=""),"",D269*E269)</f>
        <v/>
      </c>
      <c r="G269" s="7"/>
      <c r="H269" s="7"/>
    </row>
    <row r="270" customFormat="false" ht="15" hidden="false" customHeight="true" outlineLevel="0" collapsed="false">
      <c r="A270" s="15"/>
      <c r="B270" s="7"/>
      <c r="C270" s="16" t="str">
        <f aca="false">IF(B270="","",IFERROR(INDEX(Products!$B$2:$B$501,MATCH(B270,Products!$A$2:$A$501,0)),"CODE NOT FOUND"))</f>
        <v/>
      </c>
      <c r="D270" s="7"/>
      <c r="E270" s="13"/>
      <c r="F270" s="17" t="str">
        <f aca="false">IF(OR(D270="",E270=""),"",D270*E270)</f>
        <v/>
      </c>
      <c r="G270" s="7"/>
      <c r="H270" s="7"/>
    </row>
    <row r="271" customFormat="false" ht="15" hidden="false" customHeight="true" outlineLevel="0" collapsed="false">
      <c r="A271" s="15"/>
      <c r="B271" s="7"/>
      <c r="C271" s="16" t="str">
        <f aca="false">IF(B271="","",IFERROR(INDEX(Products!$B$2:$B$501,MATCH(B271,Products!$A$2:$A$501,0)),"CODE NOT FOUND"))</f>
        <v/>
      </c>
      <c r="D271" s="7"/>
      <c r="E271" s="13"/>
      <c r="F271" s="17" t="str">
        <f aca="false">IF(OR(D271="",E271=""),"",D271*E271)</f>
        <v/>
      </c>
      <c r="G271" s="7"/>
      <c r="H271" s="7"/>
    </row>
    <row r="272" customFormat="false" ht="15" hidden="false" customHeight="true" outlineLevel="0" collapsed="false">
      <c r="A272" s="15"/>
      <c r="B272" s="7"/>
      <c r="C272" s="16" t="str">
        <f aca="false">IF(B272="","",IFERROR(INDEX(Products!$B$2:$B$501,MATCH(B272,Products!$A$2:$A$501,0)),"CODE NOT FOUND"))</f>
        <v/>
      </c>
      <c r="D272" s="7"/>
      <c r="E272" s="13"/>
      <c r="F272" s="17" t="str">
        <f aca="false">IF(OR(D272="",E272=""),"",D272*E272)</f>
        <v/>
      </c>
      <c r="G272" s="7"/>
      <c r="H272" s="7"/>
    </row>
    <row r="273" customFormat="false" ht="15" hidden="false" customHeight="true" outlineLevel="0" collapsed="false">
      <c r="A273" s="15"/>
      <c r="B273" s="7"/>
      <c r="C273" s="16" t="str">
        <f aca="false">IF(B273="","",IFERROR(INDEX(Products!$B$2:$B$501,MATCH(B273,Products!$A$2:$A$501,0)),"CODE NOT FOUND"))</f>
        <v/>
      </c>
      <c r="D273" s="7"/>
      <c r="E273" s="13"/>
      <c r="F273" s="17" t="str">
        <f aca="false">IF(OR(D273="",E273=""),"",D273*E273)</f>
        <v/>
      </c>
      <c r="G273" s="7"/>
      <c r="H273" s="7"/>
    </row>
    <row r="274" customFormat="false" ht="15" hidden="false" customHeight="true" outlineLevel="0" collapsed="false">
      <c r="A274" s="15"/>
      <c r="B274" s="7"/>
      <c r="C274" s="16" t="str">
        <f aca="false">IF(B274="","",IFERROR(INDEX(Products!$B$2:$B$501,MATCH(B274,Products!$A$2:$A$501,0)),"CODE NOT FOUND"))</f>
        <v/>
      </c>
      <c r="D274" s="7"/>
      <c r="E274" s="13"/>
      <c r="F274" s="17" t="str">
        <f aca="false">IF(OR(D274="",E274=""),"",D274*E274)</f>
        <v/>
      </c>
      <c r="G274" s="7"/>
      <c r="H274" s="7"/>
    </row>
    <row r="275" customFormat="false" ht="15" hidden="false" customHeight="true" outlineLevel="0" collapsed="false">
      <c r="A275" s="15"/>
      <c r="B275" s="7"/>
      <c r="C275" s="16" t="str">
        <f aca="false">IF(B275="","",IFERROR(INDEX(Products!$B$2:$B$501,MATCH(B275,Products!$A$2:$A$501,0)),"CODE NOT FOUND"))</f>
        <v/>
      </c>
      <c r="D275" s="7"/>
      <c r="E275" s="13"/>
      <c r="F275" s="17" t="str">
        <f aca="false">IF(OR(D275="",E275=""),"",D275*E275)</f>
        <v/>
      </c>
      <c r="G275" s="7"/>
      <c r="H275" s="7"/>
    </row>
    <row r="276" customFormat="false" ht="15" hidden="false" customHeight="true" outlineLevel="0" collapsed="false">
      <c r="A276" s="15"/>
      <c r="B276" s="7"/>
      <c r="C276" s="16" t="str">
        <f aca="false">IF(B276="","",IFERROR(INDEX(Products!$B$2:$B$501,MATCH(B276,Products!$A$2:$A$501,0)),"CODE NOT FOUND"))</f>
        <v/>
      </c>
      <c r="D276" s="7"/>
      <c r="E276" s="13"/>
      <c r="F276" s="17" t="str">
        <f aca="false">IF(OR(D276="",E276=""),"",D276*E276)</f>
        <v/>
      </c>
      <c r="G276" s="7"/>
      <c r="H276" s="7"/>
    </row>
    <row r="277" customFormat="false" ht="15" hidden="false" customHeight="true" outlineLevel="0" collapsed="false">
      <c r="A277" s="15"/>
      <c r="B277" s="7"/>
      <c r="C277" s="16" t="str">
        <f aca="false">IF(B277="","",IFERROR(INDEX(Products!$B$2:$B$501,MATCH(B277,Products!$A$2:$A$501,0)),"CODE NOT FOUND"))</f>
        <v/>
      </c>
      <c r="D277" s="7"/>
      <c r="E277" s="13"/>
      <c r="F277" s="17" t="str">
        <f aca="false">IF(OR(D277="",E277=""),"",D277*E277)</f>
        <v/>
      </c>
      <c r="G277" s="7"/>
      <c r="H277" s="7"/>
    </row>
    <row r="278" customFormat="false" ht="15" hidden="false" customHeight="true" outlineLevel="0" collapsed="false">
      <c r="A278" s="15"/>
      <c r="B278" s="7"/>
      <c r="C278" s="16" t="str">
        <f aca="false">IF(B278="","",IFERROR(INDEX(Products!$B$2:$B$501,MATCH(B278,Products!$A$2:$A$501,0)),"CODE NOT FOUND"))</f>
        <v/>
      </c>
      <c r="D278" s="7"/>
      <c r="E278" s="13"/>
      <c r="F278" s="17" t="str">
        <f aca="false">IF(OR(D278="",E278=""),"",D278*E278)</f>
        <v/>
      </c>
      <c r="G278" s="7"/>
      <c r="H278" s="7"/>
    </row>
    <row r="279" customFormat="false" ht="15" hidden="false" customHeight="true" outlineLevel="0" collapsed="false">
      <c r="A279" s="15"/>
      <c r="B279" s="7"/>
      <c r="C279" s="16" t="str">
        <f aca="false">IF(B279="","",IFERROR(INDEX(Products!$B$2:$B$501,MATCH(B279,Products!$A$2:$A$501,0)),"CODE NOT FOUND"))</f>
        <v/>
      </c>
      <c r="D279" s="7"/>
      <c r="E279" s="13"/>
      <c r="F279" s="17" t="str">
        <f aca="false">IF(OR(D279="",E279=""),"",D279*E279)</f>
        <v/>
      </c>
      <c r="G279" s="7"/>
      <c r="H279" s="7"/>
    </row>
    <row r="280" customFormat="false" ht="15" hidden="false" customHeight="true" outlineLevel="0" collapsed="false">
      <c r="A280" s="15"/>
      <c r="B280" s="7"/>
      <c r="C280" s="16" t="str">
        <f aca="false">IF(B280="","",IFERROR(INDEX(Products!$B$2:$B$501,MATCH(B280,Products!$A$2:$A$501,0)),"CODE NOT FOUND"))</f>
        <v/>
      </c>
      <c r="D280" s="7"/>
      <c r="E280" s="13"/>
      <c r="F280" s="17" t="str">
        <f aca="false">IF(OR(D280="",E280=""),"",D280*E280)</f>
        <v/>
      </c>
      <c r="G280" s="7"/>
      <c r="H280" s="7"/>
    </row>
    <row r="281" customFormat="false" ht="15" hidden="false" customHeight="true" outlineLevel="0" collapsed="false">
      <c r="A281" s="15"/>
      <c r="B281" s="7"/>
      <c r="C281" s="16" t="str">
        <f aca="false">IF(B281="","",IFERROR(INDEX(Products!$B$2:$B$501,MATCH(B281,Products!$A$2:$A$501,0)),"CODE NOT FOUND"))</f>
        <v/>
      </c>
      <c r="D281" s="7"/>
      <c r="E281" s="13"/>
      <c r="F281" s="17" t="str">
        <f aca="false">IF(OR(D281="",E281=""),"",D281*E281)</f>
        <v/>
      </c>
      <c r="G281" s="7"/>
      <c r="H281" s="7"/>
    </row>
    <row r="282" customFormat="false" ht="15" hidden="false" customHeight="true" outlineLevel="0" collapsed="false">
      <c r="A282" s="15"/>
      <c r="B282" s="7"/>
      <c r="C282" s="16" t="str">
        <f aca="false">IF(B282="","",IFERROR(INDEX(Products!$B$2:$B$501,MATCH(B282,Products!$A$2:$A$501,0)),"CODE NOT FOUND"))</f>
        <v/>
      </c>
      <c r="D282" s="7"/>
      <c r="E282" s="13"/>
      <c r="F282" s="17" t="str">
        <f aca="false">IF(OR(D282="",E282=""),"",D282*E282)</f>
        <v/>
      </c>
      <c r="G282" s="7"/>
      <c r="H282" s="7"/>
    </row>
    <row r="283" customFormat="false" ht="15" hidden="false" customHeight="true" outlineLevel="0" collapsed="false">
      <c r="A283" s="15"/>
      <c r="B283" s="7"/>
      <c r="C283" s="16" t="str">
        <f aca="false">IF(B283="","",IFERROR(INDEX(Products!$B$2:$B$501,MATCH(B283,Products!$A$2:$A$501,0)),"CODE NOT FOUND"))</f>
        <v/>
      </c>
      <c r="D283" s="7"/>
      <c r="E283" s="13"/>
      <c r="F283" s="17" t="str">
        <f aca="false">IF(OR(D283="",E283=""),"",D283*E283)</f>
        <v/>
      </c>
      <c r="G283" s="7"/>
      <c r="H283" s="7"/>
    </row>
    <row r="284" customFormat="false" ht="15" hidden="false" customHeight="true" outlineLevel="0" collapsed="false">
      <c r="A284" s="15"/>
      <c r="B284" s="7"/>
      <c r="C284" s="16" t="str">
        <f aca="false">IF(B284="","",IFERROR(INDEX(Products!$B$2:$B$501,MATCH(B284,Products!$A$2:$A$501,0)),"CODE NOT FOUND"))</f>
        <v/>
      </c>
      <c r="D284" s="7"/>
      <c r="E284" s="13"/>
      <c r="F284" s="17" t="str">
        <f aca="false">IF(OR(D284="",E284=""),"",D284*E284)</f>
        <v/>
      </c>
      <c r="G284" s="7"/>
      <c r="H284" s="7"/>
    </row>
    <row r="285" customFormat="false" ht="15" hidden="false" customHeight="true" outlineLevel="0" collapsed="false">
      <c r="A285" s="15"/>
      <c r="B285" s="7"/>
      <c r="C285" s="16" t="str">
        <f aca="false">IF(B285="","",IFERROR(INDEX(Products!$B$2:$B$501,MATCH(B285,Products!$A$2:$A$501,0)),"CODE NOT FOUND"))</f>
        <v/>
      </c>
      <c r="D285" s="7"/>
      <c r="E285" s="13"/>
      <c r="F285" s="17" t="str">
        <f aca="false">IF(OR(D285="",E285=""),"",D285*E285)</f>
        <v/>
      </c>
      <c r="G285" s="7"/>
      <c r="H285" s="7"/>
    </row>
    <row r="286" customFormat="false" ht="15" hidden="false" customHeight="true" outlineLevel="0" collapsed="false">
      <c r="A286" s="15"/>
      <c r="B286" s="7"/>
      <c r="C286" s="16" t="str">
        <f aca="false">IF(B286="","",IFERROR(INDEX(Products!$B$2:$B$501,MATCH(B286,Products!$A$2:$A$501,0)),"CODE NOT FOUND"))</f>
        <v/>
      </c>
      <c r="D286" s="7"/>
      <c r="E286" s="13"/>
      <c r="F286" s="17" t="str">
        <f aca="false">IF(OR(D286="",E286=""),"",D286*E286)</f>
        <v/>
      </c>
      <c r="G286" s="7"/>
      <c r="H286" s="7"/>
    </row>
    <row r="287" customFormat="false" ht="15" hidden="false" customHeight="true" outlineLevel="0" collapsed="false">
      <c r="A287" s="15"/>
      <c r="B287" s="7"/>
      <c r="C287" s="16" t="str">
        <f aca="false">IF(B287="","",IFERROR(INDEX(Products!$B$2:$B$501,MATCH(B287,Products!$A$2:$A$501,0)),"CODE NOT FOUND"))</f>
        <v/>
      </c>
      <c r="D287" s="7"/>
      <c r="E287" s="13"/>
      <c r="F287" s="17" t="str">
        <f aca="false">IF(OR(D287="",E287=""),"",D287*E287)</f>
        <v/>
      </c>
      <c r="G287" s="7"/>
      <c r="H287" s="7"/>
    </row>
    <row r="288" customFormat="false" ht="15" hidden="false" customHeight="true" outlineLevel="0" collapsed="false">
      <c r="A288" s="15"/>
      <c r="B288" s="7"/>
      <c r="C288" s="16" t="str">
        <f aca="false">IF(B288="","",IFERROR(INDEX(Products!$B$2:$B$501,MATCH(B288,Products!$A$2:$A$501,0)),"CODE NOT FOUND"))</f>
        <v/>
      </c>
      <c r="D288" s="7"/>
      <c r="E288" s="13"/>
      <c r="F288" s="17" t="str">
        <f aca="false">IF(OR(D288="",E288=""),"",D288*E288)</f>
        <v/>
      </c>
      <c r="G288" s="7"/>
      <c r="H288" s="7"/>
    </row>
    <row r="289" customFormat="false" ht="15" hidden="false" customHeight="true" outlineLevel="0" collapsed="false">
      <c r="A289" s="15"/>
      <c r="B289" s="7"/>
      <c r="C289" s="16" t="str">
        <f aca="false">IF(B289="","",IFERROR(INDEX(Products!$B$2:$B$501,MATCH(B289,Products!$A$2:$A$501,0)),"CODE NOT FOUND"))</f>
        <v/>
      </c>
      <c r="D289" s="7"/>
      <c r="E289" s="13"/>
      <c r="F289" s="17" t="str">
        <f aca="false">IF(OR(D289="",E289=""),"",D289*E289)</f>
        <v/>
      </c>
      <c r="G289" s="7"/>
      <c r="H289" s="7"/>
    </row>
    <row r="290" customFormat="false" ht="15" hidden="false" customHeight="true" outlineLevel="0" collapsed="false">
      <c r="A290" s="15"/>
      <c r="B290" s="7"/>
      <c r="C290" s="16" t="str">
        <f aca="false">IF(B290="","",IFERROR(INDEX(Products!$B$2:$B$501,MATCH(B290,Products!$A$2:$A$501,0)),"CODE NOT FOUND"))</f>
        <v/>
      </c>
      <c r="D290" s="7"/>
      <c r="E290" s="13"/>
      <c r="F290" s="17" t="str">
        <f aca="false">IF(OR(D290="",E290=""),"",D290*E290)</f>
        <v/>
      </c>
      <c r="G290" s="7"/>
      <c r="H290" s="7"/>
    </row>
    <row r="291" customFormat="false" ht="15" hidden="false" customHeight="true" outlineLevel="0" collapsed="false">
      <c r="A291" s="15"/>
      <c r="B291" s="7"/>
      <c r="C291" s="16" t="str">
        <f aca="false">IF(B291="","",IFERROR(INDEX(Products!$B$2:$B$501,MATCH(B291,Products!$A$2:$A$501,0)),"CODE NOT FOUND"))</f>
        <v/>
      </c>
      <c r="D291" s="7"/>
      <c r="E291" s="13"/>
      <c r="F291" s="17" t="str">
        <f aca="false">IF(OR(D291="",E291=""),"",D291*E291)</f>
        <v/>
      </c>
      <c r="G291" s="7"/>
      <c r="H291" s="7"/>
    </row>
    <row r="292" customFormat="false" ht="15" hidden="false" customHeight="true" outlineLevel="0" collapsed="false">
      <c r="A292" s="15"/>
      <c r="B292" s="7"/>
      <c r="C292" s="16" t="str">
        <f aca="false">IF(B292="","",IFERROR(INDEX(Products!$B$2:$B$501,MATCH(B292,Products!$A$2:$A$501,0)),"CODE NOT FOUND"))</f>
        <v/>
      </c>
      <c r="D292" s="7"/>
      <c r="E292" s="13"/>
      <c r="F292" s="17" t="str">
        <f aca="false">IF(OR(D292="",E292=""),"",D292*E292)</f>
        <v/>
      </c>
      <c r="G292" s="7"/>
      <c r="H292" s="7"/>
    </row>
    <row r="293" customFormat="false" ht="15" hidden="false" customHeight="true" outlineLevel="0" collapsed="false">
      <c r="A293" s="15"/>
      <c r="B293" s="7"/>
      <c r="C293" s="16" t="str">
        <f aca="false">IF(B293="","",IFERROR(INDEX(Products!$B$2:$B$501,MATCH(B293,Products!$A$2:$A$501,0)),"CODE NOT FOUND"))</f>
        <v/>
      </c>
      <c r="D293" s="7"/>
      <c r="E293" s="13"/>
      <c r="F293" s="17" t="str">
        <f aca="false">IF(OR(D293="",E293=""),"",D293*E293)</f>
        <v/>
      </c>
      <c r="G293" s="7"/>
      <c r="H293" s="7"/>
    </row>
    <row r="294" customFormat="false" ht="15" hidden="false" customHeight="true" outlineLevel="0" collapsed="false">
      <c r="A294" s="15"/>
      <c r="B294" s="7"/>
      <c r="C294" s="16" t="str">
        <f aca="false">IF(B294="","",IFERROR(INDEX(Products!$B$2:$B$501,MATCH(B294,Products!$A$2:$A$501,0)),"CODE NOT FOUND"))</f>
        <v/>
      </c>
      <c r="D294" s="7"/>
      <c r="E294" s="13"/>
      <c r="F294" s="17" t="str">
        <f aca="false">IF(OR(D294="",E294=""),"",D294*E294)</f>
        <v/>
      </c>
      <c r="G294" s="7"/>
      <c r="H294" s="7"/>
    </row>
    <row r="295" customFormat="false" ht="15" hidden="false" customHeight="true" outlineLevel="0" collapsed="false">
      <c r="A295" s="15"/>
      <c r="B295" s="7"/>
      <c r="C295" s="16" t="str">
        <f aca="false">IF(B295="","",IFERROR(INDEX(Products!$B$2:$B$501,MATCH(B295,Products!$A$2:$A$501,0)),"CODE NOT FOUND"))</f>
        <v/>
      </c>
      <c r="D295" s="7"/>
      <c r="E295" s="13"/>
      <c r="F295" s="17" t="str">
        <f aca="false">IF(OR(D295="",E295=""),"",D295*E295)</f>
        <v/>
      </c>
      <c r="G295" s="7"/>
      <c r="H295" s="7"/>
    </row>
    <row r="296" customFormat="false" ht="15" hidden="false" customHeight="true" outlineLevel="0" collapsed="false">
      <c r="A296" s="15"/>
      <c r="B296" s="7"/>
      <c r="C296" s="16" t="str">
        <f aca="false">IF(B296="","",IFERROR(INDEX(Products!$B$2:$B$501,MATCH(B296,Products!$A$2:$A$501,0)),"CODE NOT FOUND"))</f>
        <v/>
      </c>
      <c r="D296" s="7"/>
      <c r="E296" s="13"/>
      <c r="F296" s="17" t="str">
        <f aca="false">IF(OR(D296="",E296=""),"",D296*E296)</f>
        <v/>
      </c>
      <c r="G296" s="7"/>
      <c r="H296" s="7"/>
    </row>
    <row r="297" customFormat="false" ht="15" hidden="false" customHeight="true" outlineLevel="0" collapsed="false">
      <c r="A297" s="15"/>
      <c r="B297" s="7"/>
      <c r="C297" s="16" t="str">
        <f aca="false">IF(B297="","",IFERROR(INDEX(Products!$B$2:$B$501,MATCH(B297,Products!$A$2:$A$501,0)),"CODE NOT FOUND"))</f>
        <v/>
      </c>
      <c r="D297" s="7"/>
      <c r="E297" s="13"/>
      <c r="F297" s="17" t="str">
        <f aca="false">IF(OR(D297="",E297=""),"",D297*E297)</f>
        <v/>
      </c>
      <c r="G297" s="7"/>
      <c r="H297" s="7"/>
    </row>
    <row r="298" customFormat="false" ht="15" hidden="false" customHeight="true" outlineLevel="0" collapsed="false">
      <c r="A298" s="15"/>
      <c r="B298" s="7"/>
      <c r="C298" s="16" t="str">
        <f aca="false">IF(B298="","",IFERROR(INDEX(Products!$B$2:$B$501,MATCH(B298,Products!$A$2:$A$501,0)),"CODE NOT FOUND"))</f>
        <v/>
      </c>
      <c r="D298" s="7"/>
      <c r="E298" s="13"/>
      <c r="F298" s="17" t="str">
        <f aca="false">IF(OR(D298="",E298=""),"",D298*E298)</f>
        <v/>
      </c>
      <c r="G298" s="7"/>
      <c r="H298" s="7"/>
    </row>
    <row r="299" customFormat="false" ht="15" hidden="false" customHeight="true" outlineLevel="0" collapsed="false">
      <c r="A299" s="15"/>
      <c r="B299" s="7"/>
      <c r="C299" s="16" t="str">
        <f aca="false">IF(B299="","",IFERROR(INDEX(Products!$B$2:$B$501,MATCH(B299,Products!$A$2:$A$501,0)),"CODE NOT FOUND"))</f>
        <v/>
      </c>
      <c r="D299" s="7"/>
      <c r="E299" s="13"/>
      <c r="F299" s="17" t="str">
        <f aca="false">IF(OR(D299="",E299=""),"",D299*E299)</f>
        <v/>
      </c>
      <c r="G299" s="7"/>
      <c r="H299" s="7"/>
    </row>
    <row r="300" customFormat="false" ht="15" hidden="false" customHeight="true" outlineLevel="0" collapsed="false">
      <c r="A300" s="15"/>
      <c r="B300" s="7"/>
      <c r="C300" s="16" t="str">
        <f aca="false">IF(B300="","",IFERROR(INDEX(Products!$B$2:$B$501,MATCH(B300,Products!$A$2:$A$501,0)),"CODE NOT FOUND"))</f>
        <v/>
      </c>
      <c r="D300" s="7"/>
      <c r="E300" s="13"/>
      <c r="F300" s="17" t="str">
        <f aca="false">IF(OR(D300="",E300=""),"",D300*E300)</f>
        <v/>
      </c>
      <c r="G300" s="7"/>
      <c r="H300" s="7"/>
    </row>
    <row r="301" customFormat="false" ht="15" hidden="false" customHeight="true" outlineLevel="0" collapsed="false">
      <c r="A301" s="15"/>
      <c r="B301" s="7"/>
      <c r="C301" s="16" t="str">
        <f aca="false">IF(B301="","",IFERROR(INDEX(Products!$B$2:$B$501,MATCH(B301,Products!$A$2:$A$501,0)),"CODE NOT FOUND"))</f>
        <v/>
      </c>
      <c r="D301" s="7"/>
      <c r="E301" s="13"/>
      <c r="F301" s="17" t="str">
        <f aca="false">IF(OR(D301="",E301=""),"",D301*E301)</f>
        <v/>
      </c>
      <c r="G301" s="7"/>
      <c r="H301" s="7"/>
    </row>
    <row r="302" customFormat="false" ht="15" hidden="false" customHeight="true" outlineLevel="0" collapsed="false">
      <c r="A302" s="15"/>
      <c r="B302" s="7"/>
      <c r="C302" s="16" t="str">
        <f aca="false">IF(B302="","",IFERROR(INDEX(Products!$B$2:$B$501,MATCH(B302,Products!$A$2:$A$501,0)),"CODE NOT FOUND"))</f>
        <v/>
      </c>
      <c r="D302" s="7"/>
      <c r="E302" s="13"/>
      <c r="F302" s="17" t="str">
        <f aca="false">IF(OR(D302="",E302=""),"",D302*E302)</f>
        <v/>
      </c>
      <c r="G302" s="7"/>
      <c r="H302" s="7"/>
    </row>
    <row r="303" customFormat="false" ht="15" hidden="false" customHeight="true" outlineLevel="0" collapsed="false">
      <c r="A303" s="15"/>
      <c r="B303" s="7"/>
      <c r="C303" s="16" t="str">
        <f aca="false">IF(B303="","",IFERROR(INDEX(Products!$B$2:$B$501,MATCH(B303,Products!$A$2:$A$501,0)),"CODE NOT FOUND"))</f>
        <v/>
      </c>
      <c r="D303" s="7"/>
      <c r="E303" s="13"/>
      <c r="F303" s="17" t="str">
        <f aca="false">IF(OR(D303="",E303=""),"",D303*E303)</f>
        <v/>
      </c>
      <c r="G303" s="7"/>
      <c r="H303" s="7"/>
    </row>
    <row r="304" customFormat="false" ht="15" hidden="false" customHeight="true" outlineLevel="0" collapsed="false">
      <c r="A304" s="15"/>
      <c r="B304" s="7"/>
      <c r="C304" s="16" t="str">
        <f aca="false">IF(B304="","",IFERROR(INDEX(Products!$B$2:$B$501,MATCH(B304,Products!$A$2:$A$501,0)),"CODE NOT FOUND"))</f>
        <v/>
      </c>
      <c r="D304" s="7"/>
      <c r="E304" s="13"/>
      <c r="F304" s="17" t="str">
        <f aca="false">IF(OR(D304="",E304=""),"",D304*E304)</f>
        <v/>
      </c>
      <c r="G304" s="7"/>
      <c r="H304" s="7"/>
    </row>
    <row r="305" customFormat="false" ht="15" hidden="false" customHeight="true" outlineLevel="0" collapsed="false">
      <c r="A305" s="15"/>
      <c r="B305" s="7"/>
      <c r="C305" s="16" t="str">
        <f aca="false">IF(B305="","",IFERROR(INDEX(Products!$B$2:$B$501,MATCH(B305,Products!$A$2:$A$501,0)),"CODE NOT FOUND"))</f>
        <v/>
      </c>
      <c r="D305" s="7"/>
      <c r="E305" s="13"/>
      <c r="F305" s="17" t="str">
        <f aca="false">IF(OR(D305="",E305=""),"",D305*E305)</f>
        <v/>
      </c>
      <c r="G305" s="7"/>
      <c r="H305" s="7"/>
    </row>
    <row r="306" customFormat="false" ht="15" hidden="false" customHeight="true" outlineLevel="0" collapsed="false">
      <c r="A306" s="15"/>
      <c r="B306" s="7"/>
      <c r="C306" s="16" t="str">
        <f aca="false">IF(B306="","",IFERROR(INDEX(Products!$B$2:$B$501,MATCH(B306,Products!$A$2:$A$501,0)),"CODE NOT FOUND"))</f>
        <v/>
      </c>
      <c r="D306" s="7"/>
      <c r="E306" s="13"/>
      <c r="F306" s="17" t="str">
        <f aca="false">IF(OR(D306="",E306=""),"",D306*E306)</f>
        <v/>
      </c>
      <c r="G306" s="7"/>
      <c r="H306" s="7"/>
    </row>
    <row r="307" customFormat="false" ht="15" hidden="false" customHeight="true" outlineLevel="0" collapsed="false">
      <c r="A307" s="15"/>
      <c r="B307" s="7"/>
      <c r="C307" s="16" t="str">
        <f aca="false">IF(B307="","",IFERROR(INDEX(Products!$B$2:$B$501,MATCH(B307,Products!$A$2:$A$501,0)),"CODE NOT FOUND"))</f>
        <v/>
      </c>
      <c r="D307" s="7"/>
      <c r="E307" s="13"/>
      <c r="F307" s="17" t="str">
        <f aca="false">IF(OR(D307="",E307=""),"",D307*E307)</f>
        <v/>
      </c>
      <c r="G307" s="7"/>
      <c r="H307" s="7"/>
    </row>
    <row r="308" customFormat="false" ht="15" hidden="false" customHeight="true" outlineLevel="0" collapsed="false">
      <c r="A308" s="15"/>
      <c r="B308" s="7"/>
      <c r="C308" s="16" t="str">
        <f aca="false">IF(B308="","",IFERROR(INDEX(Products!$B$2:$B$501,MATCH(B308,Products!$A$2:$A$501,0)),"CODE NOT FOUND"))</f>
        <v/>
      </c>
      <c r="D308" s="7"/>
      <c r="E308" s="13"/>
      <c r="F308" s="17" t="str">
        <f aca="false">IF(OR(D308="",E308=""),"",D308*E308)</f>
        <v/>
      </c>
      <c r="G308" s="7"/>
      <c r="H308" s="7"/>
    </row>
    <row r="309" customFormat="false" ht="15" hidden="false" customHeight="true" outlineLevel="0" collapsed="false">
      <c r="A309" s="15"/>
      <c r="B309" s="7"/>
      <c r="C309" s="16" t="str">
        <f aca="false">IF(B309="","",IFERROR(INDEX(Products!$B$2:$B$501,MATCH(B309,Products!$A$2:$A$501,0)),"CODE NOT FOUND"))</f>
        <v/>
      </c>
      <c r="D309" s="7"/>
      <c r="E309" s="13"/>
      <c r="F309" s="17" t="str">
        <f aca="false">IF(OR(D309="",E309=""),"",D309*E309)</f>
        <v/>
      </c>
      <c r="G309" s="7"/>
      <c r="H309" s="7"/>
    </row>
    <row r="310" customFormat="false" ht="15" hidden="false" customHeight="true" outlineLevel="0" collapsed="false">
      <c r="A310" s="15"/>
      <c r="B310" s="7"/>
      <c r="C310" s="16" t="str">
        <f aca="false">IF(B310="","",IFERROR(INDEX(Products!$B$2:$B$501,MATCH(B310,Products!$A$2:$A$501,0)),"CODE NOT FOUND"))</f>
        <v/>
      </c>
      <c r="D310" s="7"/>
      <c r="E310" s="13"/>
      <c r="F310" s="17" t="str">
        <f aca="false">IF(OR(D310="",E310=""),"",D310*E310)</f>
        <v/>
      </c>
      <c r="G310" s="7"/>
      <c r="H310" s="7"/>
    </row>
    <row r="311" customFormat="false" ht="15" hidden="false" customHeight="true" outlineLevel="0" collapsed="false">
      <c r="A311" s="15"/>
      <c r="B311" s="7"/>
      <c r="C311" s="16" t="str">
        <f aca="false">IF(B311="","",IFERROR(INDEX(Products!$B$2:$B$501,MATCH(B311,Products!$A$2:$A$501,0)),"CODE NOT FOUND"))</f>
        <v/>
      </c>
      <c r="D311" s="7"/>
      <c r="E311" s="13"/>
      <c r="F311" s="17" t="str">
        <f aca="false">IF(OR(D311="",E311=""),"",D311*E311)</f>
        <v/>
      </c>
      <c r="G311" s="7"/>
      <c r="H311" s="7"/>
    </row>
    <row r="312" customFormat="false" ht="15" hidden="false" customHeight="true" outlineLevel="0" collapsed="false">
      <c r="A312" s="15"/>
      <c r="B312" s="7"/>
      <c r="C312" s="16" t="str">
        <f aca="false">IF(B312="","",IFERROR(INDEX(Products!$B$2:$B$501,MATCH(B312,Products!$A$2:$A$501,0)),"CODE NOT FOUND"))</f>
        <v/>
      </c>
      <c r="D312" s="7"/>
      <c r="E312" s="13"/>
      <c r="F312" s="17" t="str">
        <f aca="false">IF(OR(D312="",E312=""),"",D312*E312)</f>
        <v/>
      </c>
      <c r="G312" s="7"/>
      <c r="H312" s="7"/>
    </row>
    <row r="313" customFormat="false" ht="15" hidden="false" customHeight="true" outlineLevel="0" collapsed="false">
      <c r="A313" s="15"/>
      <c r="B313" s="7"/>
      <c r="C313" s="16" t="str">
        <f aca="false">IF(B313="","",IFERROR(INDEX(Products!$B$2:$B$501,MATCH(B313,Products!$A$2:$A$501,0)),"CODE NOT FOUND"))</f>
        <v/>
      </c>
      <c r="D313" s="7"/>
      <c r="E313" s="13"/>
      <c r="F313" s="17" t="str">
        <f aca="false">IF(OR(D313="",E313=""),"",D313*E313)</f>
        <v/>
      </c>
      <c r="G313" s="7"/>
      <c r="H313" s="7"/>
    </row>
    <row r="314" customFormat="false" ht="15" hidden="false" customHeight="true" outlineLevel="0" collapsed="false">
      <c r="A314" s="15"/>
      <c r="B314" s="7"/>
      <c r="C314" s="16" t="str">
        <f aca="false">IF(B314="","",IFERROR(INDEX(Products!$B$2:$B$501,MATCH(B314,Products!$A$2:$A$501,0)),"CODE NOT FOUND"))</f>
        <v/>
      </c>
      <c r="D314" s="7"/>
      <c r="E314" s="13"/>
      <c r="F314" s="17" t="str">
        <f aca="false">IF(OR(D314="",E314=""),"",D314*E314)</f>
        <v/>
      </c>
      <c r="G314" s="7"/>
      <c r="H314" s="7"/>
    </row>
    <row r="315" customFormat="false" ht="15" hidden="false" customHeight="true" outlineLevel="0" collapsed="false">
      <c r="A315" s="15"/>
      <c r="B315" s="7"/>
      <c r="C315" s="16" t="str">
        <f aca="false">IF(B315="","",IFERROR(INDEX(Products!$B$2:$B$501,MATCH(B315,Products!$A$2:$A$501,0)),"CODE NOT FOUND"))</f>
        <v/>
      </c>
      <c r="D315" s="7"/>
      <c r="E315" s="13"/>
      <c r="F315" s="17" t="str">
        <f aca="false">IF(OR(D315="",E315=""),"",D315*E315)</f>
        <v/>
      </c>
      <c r="G315" s="7"/>
      <c r="H315" s="7"/>
    </row>
    <row r="316" customFormat="false" ht="15" hidden="false" customHeight="true" outlineLevel="0" collapsed="false">
      <c r="A316" s="15"/>
      <c r="B316" s="7"/>
      <c r="C316" s="16" t="str">
        <f aca="false">IF(B316="","",IFERROR(INDEX(Products!$B$2:$B$501,MATCH(B316,Products!$A$2:$A$501,0)),"CODE NOT FOUND"))</f>
        <v/>
      </c>
      <c r="D316" s="7"/>
      <c r="E316" s="13"/>
      <c r="F316" s="17" t="str">
        <f aca="false">IF(OR(D316="",E316=""),"",D316*E316)</f>
        <v/>
      </c>
      <c r="G316" s="7"/>
      <c r="H316" s="7"/>
    </row>
    <row r="317" customFormat="false" ht="15" hidden="false" customHeight="true" outlineLevel="0" collapsed="false">
      <c r="A317" s="15"/>
      <c r="B317" s="7"/>
      <c r="C317" s="16" t="str">
        <f aca="false">IF(B317="","",IFERROR(INDEX(Products!$B$2:$B$501,MATCH(B317,Products!$A$2:$A$501,0)),"CODE NOT FOUND"))</f>
        <v/>
      </c>
      <c r="D317" s="7"/>
      <c r="E317" s="13"/>
      <c r="F317" s="17" t="str">
        <f aca="false">IF(OR(D317="",E317=""),"",D317*E317)</f>
        <v/>
      </c>
      <c r="G317" s="7"/>
      <c r="H317" s="7"/>
    </row>
    <row r="318" customFormat="false" ht="15" hidden="false" customHeight="true" outlineLevel="0" collapsed="false">
      <c r="A318" s="15"/>
      <c r="B318" s="7"/>
      <c r="C318" s="16" t="str">
        <f aca="false">IF(B318="","",IFERROR(INDEX(Products!$B$2:$B$501,MATCH(B318,Products!$A$2:$A$501,0)),"CODE NOT FOUND"))</f>
        <v/>
      </c>
      <c r="D318" s="7"/>
      <c r="E318" s="13"/>
      <c r="F318" s="17" t="str">
        <f aca="false">IF(OR(D318="",E318=""),"",D318*E318)</f>
        <v/>
      </c>
      <c r="G318" s="7"/>
      <c r="H318" s="7"/>
    </row>
    <row r="319" customFormat="false" ht="15" hidden="false" customHeight="true" outlineLevel="0" collapsed="false">
      <c r="A319" s="15"/>
      <c r="B319" s="7"/>
      <c r="C319" s="16" t="str">
        <f aca="false">IF(B319="","",IFERROR(INDEX(Products!$B$2:$B$501,MATCH(B319,Products!$A$2:$A$501,0)),"CODE NOT FOUND"))</f>
        <v/>
      </c>
      <c r="D319" s="7"/>
      <c r="E319" s="13"/>
      <c r="F319" s="17" t="str">
        <f aca="false">IF(OR(D319="",E319=""),"",D319*E319)</f>
        <v/>
      </c>
      <c r="G319" s="7"/>
      <c r="H319" s="7"/>
    </row>
    <row r="320" customFormat="false" ht="15" hidden="false" customHeight="true" outlineLevel="0" collapsed="false">
      <c r="A320" s="15"/>
      <c r="B320" s="7"/>
      <c r="C320" s="16" t="str">
        <f aca="false">IF(B320="","",IFERROR(INDEX(Products!$B$2:$B$501,MATCH(B320,Products!$A$2:$A$501,0)),"CODE NOT FOUND"))</f>
        <v/>
      </c>
      <c r="D320" s="7"/>
      <c r="E320" s="13"/>
      <c r="F320" s="17" t="str">
        <f aca="false">IF(OR(D320="",E320=""),"",D320*E320)</f>
        <v/>
      </c>
      <c r="G320" s="7"/>
      <c r="H320" s="7"/>
    </row>
    <row r="321" customFormat="false" ht="15" hidden="false" customHeight="true" outlineLevel="0" collapsed="false">
      <c r="A321" s="15"/>
      <c r="B321" s="7"/>
      <c r="C321" s="16" t="str">
        <f aca="false">IF(B321="","",IFERROR(INDEX(Products!$B$2:$B$501,MATCH(B321,Products!$A$2:$A$501,0)),"CODE NOT FOUND"))</f>
        <v/>
      </c>
      <c r="D321" s="7"/>
      <c r="E321" s="13"/>
      <c r="F321" s="17" t="str">
        <f aca="false">IF(OR(D321="",E321=""),"",D321*E321)</f>
        <v/>
      </c>
      <c r="G321" s="7"/>
      <c r="H321" s="7"/>
    </row>
    <row r="322" customFormat="false" ht="15" hidden="false" customHeight="true" outlineLevel="0" collapsed="false">
      <c r="A322" s="15"/>
      <c r="B322" s="7"/>
      <c r="C322" s="16" t="str">
        <f aca="false">IF(B322="","",IFERROR(INDEX(Products!$B$2:$B$501,MATCH(B322,Products!$A$2:$A$501,0)),"CODE NOT FOUND"))</f>
        <v/>
      </c>
      <c r="D322" s="7"/>
      <c r="E322" s="13"/>
      <c r="F322" s="17" t="str">
        <f aca="false">IF(OR(D322="",E322=""),"",D322*E322)</f>
        <v/>
      </c>
      <c r="G322" s="7"/>
      <c r="H322" s="7"/>
    </row>
    <row r="323" customFormat="false" ht="15" hidden="false" customHeight="true" outlineLevel="0" collapsed="false">
      <c r="A323" s="15"/>
      <c r="B323" s="7"/>
      <c r="C323" s="16" t="str">
        <f aca="false">IF(B323="","",IFERROR(INDEX(Products!$B$2:$B$501,MATCH(B323,Products!$A$2:$A$501,0)),"CODE NOT FOUND"))</f>
        <v/>
      </c>
      <c r="D323" s="7"/>
      <c r="E323" s="13"/>
      <c r="F323" s="17" t="str">
        <f aca="false">IF(OR(D323="",E323=""),"",D323*E323)</f>
        <v/>
      </c>
      <c r="G323" s="7"/>
      <c r="H323" s="7"/>
    </row>
    <row r="324" customFormat="false" ht="15" hidden="false" customHeight="true" outlineLevel="0" collapsed="false">
      <c r="A324" s="15"/>
      <c r="B324" s="7"/>
      <c r="C324" s="16" t="str">
        <f aca="false">IF(B324="","",IFERROR(INDEX(Products!$B$2:$B$501,MATCH(B324,Products!$A$2:$A$501,0)),"CODE NOT FOUND"))</f>
        <v/>
      </c>
      <c r="D324" s="7"/>
      <c r="E324" s="13"/>
      <c r="F324" s="17" t="str">
        <f aca="false">IF(OR(D324="",E324=""),"",D324*E324)</f>
        <v/>
      </c>
      <c r="G324" s="7"/>
      <c r="H324" s="7"/>
    </row>
    <row r="325" customFormat="false" ht="15" hidden="false" customHeight="true" outlineLevel="0" collapsed="false">
      <c r="A325" s="15"/>
      <c r="B325" s="7"/>
      <c r="C325" s="16" t="str">
        <f aca="false">IF(B325="","",IFERROR(INDEX(Products!$B$2:$B$501,MATCH(B325,Products!$A$2:$A$501,0)),"CODE NOT FOUND"))</f>
        <v/>
      </c>
      <c r="D325" s="7"/>
      <c r="E325" s="13"/>
      <c r="F325" s="17" t="str">
        <f aca="false">IF(OR(D325="",E325=""),"",D325*E325)</f>
        <v/>
      </c>
      <c r="G325" s="7"/>
      <c r="H325" s="7"/>
    </row>
    <row r="326" customFormat="false" ht="15" hidden="false" customHeight="true" outlineLevel="0" collapsed="false">
      <c r="A326" s="15"/>
      <c r="B326" s="7"/>
      <c r="C326" s="16" t="str">
        <f aca="false">IF(B326="","",IFERROR(INDEX(Products!$B$2:$B$501,MATCH(B326,Products!$A$2:$A$501,0)),"CODE NOT FOUND"))</f>
        <v/>
      </c>
      <c r="D326" s="7"/>
      <c r="E326" s="13"/>
      <c r="F326" s="17" t="str">
        <f aca="false">IF(OR(D326="",E326=""),"",D326*E326)</f>
        <v/>
      </c>
      <c r="G326" s="7"/>
      <c r="H326" s="7"/>
    </row>
    <row r="327" customFormat="false" ht="15" hidden="false" customHeight="true" outlineLevel="0" collapsed="false">
      <c r="A327" s="15"/>
      <c r="B327" s="7"/>
      <c r="C327" s="16" t="str">
        <f aca="false">IF(B327="","",IFERROR(INDEX(Products!$B$2:$B$501,MATCH(B327,Products!$A$2:$A$501,0)),"CODE NOT FOUND"))</f>
        <v/>
      </c>
      <c r="D327" s="7"/>
      <c r="E327" s="13"/>
      <c r="F327" s="17" t="str">
        <f aca="false">IF(OR(D327="",E327=""),"",D327*E327)</f>
        <v/>
      </c>
      <c r="G327" s="7"/>
      <c r="H327" s="7"/>
    </row>
    <row r="328" customFormat="false" ht="15" hidden="false" customHeight="true" outlineLevel="0" collapsed="false">
      <c r="A328" s="15"/>
      <c r="B328" s="7"/>
      <c r="C328" s="16" t="str">
        <f aca="false">IF(B328="","",IFERROR(INDEX(Products!$B$2:$B$501,MATCH(B328,Products!$A$2:$A$501,0)),"CODE NOT FOUND"))</f>
        <v/>
      </c>
      <c r="D328" s="7"/>
      <c r="E328" s="13"/>
      <c r="F328" s="17" t="str">
        <f aca="false">IF(OR(D328="",E328=""),"",D328*E328)</f>
        <v/>
      </c>
      <c r="G328" s="7"/>
      <c r="H328" s="7"/>
    </row>
    <row r="329" customFormat="false" ht="15" hidden="false" customHeight="true" outlineLevel="0" collapsed="false">
      <c r="A329" s="15"/>
      <c r="B329" s="7"/>
      <c r="C329" s="16" t="str">
        <f aca="false">IF(B329="","",IFERROR(INDEX(Products!$B$2:$B$501,MATCH(B329,Products!$A$2:$A$501,0)),"CODE NOT FOUND"))</f>
        <v/>
      </c>
      <c r="D329" s="7"/>
      <c r="E329" s="13"/>
      <c r="F329" s="17" t="str">
        <f aca="false">IF(OR(D329="",E329=""),"",D329*E329)</f>
        <v/>
      </c>
      <c r="G329" s="7"/>
      <c r="H329" s="7"/>
    </row>
    <row r="330" customFormat="false" ht="15" hidden="false" customHeight="true" outlineLevel="0" collapsed="false">
      <c r="A330" s="15"/>
      <c r="B330" s="7"/>
      <c r="C330" s="16" t="str">
        <f aca="false">IF(B330="","",IFERROR(INDEX(Products!$B$2:$B$501,MATCH(B330,Products!$A$2:$A$501,0)),"CODE NOT FOUND"))</f>
        <v/>
      </c>
      <c r="D330" s="7"/>
      <c r="E330" s="13"/>
      <c r="F330" s="17" t="str">
        <f aca="false">IF(OR(D330="",E330=""),"",D330*E330)</f>
        <v/>
      </c>
      <c r="G330" s="7"/>
      <c r="H330" s="7"/>
    </row>
    <row r="331" customFormat="false" ht="15" hidden="false" customHeight="true" outlineLevel="0" collapsed="false">
      <c r="A331" s="15"/>
      <c r="B331" s="7"/>
      <c r="C331" s="16" t="str">
        <f aca="false">IF(B331="","",IFERROR(INDEX(Products!$B$2:$B$501,MATCH(B331,Products!$A$2:$A$501,0)),"CODE NOT FOUND"))</f>
        <v/>
      </c>
      <c r="D331" s="7"/>
      <c r="E331" s="13"/>
      <c r="F331" s="17" t="str">
        <f aca="false">IF(OR(D331="",E331=""),"",D331*E331)</f>
        <v/>
      </c>
      <c r="G331" s="7"/>
      <c r="H331" s="7"/>
    </row>
    <row r="332" customFormat="false" ht="15" hidden="false" customHeight="true" outlineLevel="0" collapsed="false">
      <c r="A332" s="15"/>
      <c r="B332" s="7"/>
      <c r="C332" s="16" t="str">
        <f aca="false">IF(B332="","",IFERROR(INDEX(Products!$B$2:$B$501,MATCH(B332,Products!$A$2:$A$501,0)),"CODE NOT FOUND"))</f>
        <v/>
      </c>
      <c r="D332" s="7"/>
      <c r="E332" s="13"/>
      <c r="F332" s="17" t="str">
        <f aca="false">IF(OR(D332="",E332=""),"",D332*E332)</f>
        <v/>
      </c>
      <c r="G332" s="7"/>
      <c r="H332" s="7"/>
    </row>
    <row r="333" customFormat="false" ht="15" hidden="false" customHeight="true" outlineLevel="0" collapsed="false">
      <c r="A333" s="15"/>
      <c r="B333" s="7"/>
      <c r="C333" s="16" t="str">
        <f aca="false">IF(B333="","",IFERROR(INDEX(Products!$B$2:$B$501,MATCH(B333,Products!$A$2:$A$501,0)),"CODE NOT FOUND"))</f>
        <v/>
      </c>
      <c r="D333" s="7"/>
      <c r="E333" s="13"/>
      <c r="F333" s="17" t="str">
        <f aca="false">IF(OR(D333="",E333=""),"",D333*E333)</f>
        <v/>
      </c>
      <c r="G333" s="7"/>
      <c r="H333" s="7"/>
    </row>
    <row r="334" customFormat="false" ht="15" hidden="false" customHeight="true" outlineLevel="0" collapsed="false">
      <c r="A334" s="15"/>
      <c r="B334" s="7"/>
      <c r="C334" s="16" t="str">
        <f aca="false">IF(B334="","",IFERROR(INDEX(Products!$B$2:$B$501,MATCH(B334,Products!$A$2:$A$501,0)),"CODE NOT FOUND"))</f>
        <v/>
      </c>
      <c r="D334" s="7"/>
      <c r="E334" s="13"/>
      <c r="F334" s="17" t="str">
        <f aca="false">IF(OR(D334="",E334=""),"",D334*E334)</f>
        <v/>
      </c>
      <c r="G334" s="7"/>
      <c r="H334" s="7"/>
    </row>
    <row r="335" customFormat="false" ht="15" hidden="false" customHeight="true" outlineLevel="0" collapsed="false">
      <c r="A335" s="15"/>
      <c r="B335" s="7"/>
      <c r="C335" s="16" t="str">
        <f aca="false">IF(B335="","",IFERROR(INDEX(Products!$B$2:$B$501,MATCH(B335,Products!$A$2:$A$501,0)),"CODE NOT FOUND"))</f>
        <v/>
      </c>
      <c r="D335" s="7"/>
      <c r="E335" s="13"/>
      <c r="F335" s="17" t="str">
        <f aca="false">IF(OR(D335="",E335=""),"",D335*E335)</f>
        <v/>
      </c>
      <c r="G335" s="7"/>
      <c r="H335" s="7"/>
    </row>
    <row r="336" customFormat="false" ht="15" hidden="false" customHeight="true" outlineLevel="0" collapsed="false">
      <c r="A336" s="15"/>
      <c r="B336" s="7"/>
      <c r="C336" s="16" t="str">
        <f aca="false">IF(B336="","",IFERROR(INDEX(Products!$B$2:$B$501,MATCH(B336,Products!$A$2:$A$501,0)),"CODE NOT FOUND"))</f>
        <v/>
      </c>
      <c r="D336" s="7"/>
      <c r="E336" s="13"/>
      <c r="F336" s="17" t="str">
        <f aca="false">IF(OR(D336="",E336=""),"",D336*E336)</f>
        <v/>
      </c>
      <c r="G336" s="7"/>
      <c r="H336" s="7"/>
    </row>
    <row r="337" customFormat="false" ht="15" hidden="false" customHeight="true" outlineLevel="0" collapsed="false">
      <c r="A337" s="15"/>
      <c r="B337" s="7"/>
      <c r="C337" s="16" t="str">
        <f aca="false">IF(B337="","",IFERROR(INDEX(Products!$B$2:$B$501,MATCH(B337,Products!$A$2:$A$501,0)),"CODE NOT FOUND"))</f>
        <v/>
      </c>
      <c r="D337" s="7"/>
      <c r="E337" s="13"/>
      <c r="F337" s="17" t="str">
        <f aca="false">IF(OR(D337="",E337=""),"",D337*E337)</f>
        <v/>
      </c>
      <c r="G337" s="7"/>
      <c r="H337" s="7"/>
    </row>
    <row r="338" customFormat="false" ht="15" hidden="false" customHeight="true" outlineLevel="0" collapsed="false">
      <c r="A338" s="15"/>
      <c r="B338" s="7"/>
      <c r="C338" s="16" t="str">
        <f aca="false">IF(B338="","",IFERROR(INDEX(Products!$B$2:$B$501,MATCH(B338,Products!$A$2:$A$501,0)),"CODE NOT FOUND"))</f>
        <v/>
      </c>
      <c r="D338" s="7"/>
      <c r="E338" s="13"/>
      <c r="F338" s="17" t="str">
        <f aca="false">IF(OR(D338="",E338=""),"",D338*E338)</f>
        <v/>
      </c>
      <c r="G338" s="7"/>
      <c r="H338" s="7"/>
    </row>
    <row r="339" customFormat="false" ht="15" hidden="false" customHeight="true" outlineLevel="0" collapsed="false">
      <c r="A339" s="15"/>
      <c r="B339" s="7"/>
      <c r="C339" s="16" t="str">
        <f aca="false">IF(B339="","",IFERROR(INDEX(Products!$B$2:$B$501,MATCH(B339,Products!$A$2:$A$501,0)),"CODE NOT FOUND"))</f>
        <v/>
      </c>
      <c r="D339" s="7"/>
      <c r="E339" s="13"/>
      <c r="F339" s="17" t="str">
        <f aca="false">IF(OR(D339="",E339=""),"",D339*E339)</f>
        <v/>
      </c>
      <c r="G339" s="7"/>
      <c r="H339" s="7"/>
    </row>
    <row r="340" customFormat="false" ht="15" hidden="false" customHeight="true" outlineLevel="0" collapsed="false">
      <c r="A340" s="15"/>
      <c r="B340" s="7"/>
      <c r="C340" s="16" t="str">
        <f aca="false">IF(B340="","",IFERROR(INDEX(Products!$B$2:$B$501,MATCH(B340,Products!$A$2:$A$501,0)),"CODE NOT FOUND"))</f>
        <v/>
      </c>
      <c r="D340" s="7"/>
      <c r="E340" s="13"/>
      <c r="F340" s="17" t="str">
        <f aca="false">IF(OR(D340="",E340=""),"",D340*E340)</f>
        <v/>
      </c>
      <c r="G340" s="7"/>
      <c r="H340" s="7"/>
    </row>
    <row r="341" customFormat="false" ht="15" hidden="false" customHeight="true" outlineLevel="0" collapsed="false">
      <c r="A341" s="15"/>
      <c r="B341" s="7"/>
      <c r="C341" s="16" t="str">
        <f aca="false">IF(B341="","",IFERROR(INDEX(Products!$B$2:$B$501,MATCH(B341,Products!$A$2:$A$501,0)),"CODE NOT FOUND"))</f>
        <v/>
      </c>
      <c r="D341" s="7"/>
      <c r="E341" s="13"/>
      <c r="F341" s="17" t="str">
        <f aca="false">IF(OR(D341="",E341=""),"",D341*E341)</f>
        <v/>
      </c>
      <c r="G341" s="7"/>
      <c r="H341" s="7"/>
    </row>
    <row r="342" customFormat="false" ht="15" hidden="false" customHeight="true" outlineLevel="0" collapsed="false">
      <c r="A342" s="15"/>
      <c r="B342" s="7"/>
      <c r="C342" s="16" t="str">
        <f aca="false">IF(B342="","",IFERROR(INDEX(Products!$B$2:$B$501,MATCH(B342,Products!$A$2:$A$501,0)),"CODE NOT FOUND"))</f>
        <v/>
      </c>
      <c r="D342" s="7"/>
      <c r="E342" s="13"/>
      <c r="F342" s="17" t="str">
        <f aca="false">IF(OR(D342="",E342=""),"",D342*E342)</f>
        <v/>
      </c>
      <c r="G342" s="7"/>
      <c r="H342" s="7"/>
    </row>
    <row r="343" customFormat="false" ht="15" hidden="false" customHeight="true" outlineLevel="0" collapsed="false">
      <c r="A343" s="15"/>
      <c r="B343" s="7"/>
      <c r="C343" s="16" t="str">
        <f aca="false">IF(B343="","",IFERROR(INDEX(Products!$B$2:$B$501,MATCH(B343,Products!$A$2:$A$501,0)),"CODE NOT FOUND"))</f>
        <v/>
      </c>
      <c r="D343" s="7"/>
      <c r="E343" s="13"/>
      <c r="F343" s="17" t="str">
        <f aca="false">IF(OR(D343="",E343=""),"",D343*E343)</f>
        <v/>
      </c>
      <c r="G343" s="7"/>
      <c r="H343" s="7"/>
    </row>
    <row r="344" customFormat="false" ht="15" hidden="false" customHeight="true" outlineLevel="0" collapsed="false">
      <c r="A344" s="15"/>
      <c r="B344" s="7"/>
      <c r="C344" s="16" t="str">
        <f aca="false">IF(B344="","",IFERROR(INDEX(Products!$B$2:$B$501,MATCH(B344,Products!$A$2:$A$501,0)),"CODE NOT FOUND"))</f>
        <v/>
      </c>
      <c r="D344" s="7"/>
      <c r="E344" s="13"/>
      <c r="F344" s="17" t="str">
        <f aca="false">IF(OR(D344="",E344=""),"",D344*E344)</f>
        <v/>
      </c>
      <c r="G344" s="7"/>
      <c r="H344" s="7"/>
    </row>
    <row r="345" customFormat="false" ht="15" hidden="false" customHeight="true" outlineLevel="0" collapsed="false">
      <c r="A345" s="15"/>
      <c r="B345" s="7"/>
      <c r="C345" s="16" t="str">
        <f aca="false">IF(B345="","",IFERROR(INDEX(Products!$B$2:$B$501,MATCH(B345,Products!$A$2:$A$501,0)),"CODE NOT FOUND"))</f>
        <v/>
      </c>
      <c r="D345" s="7"/>
      <c r="E345" s="13"/>
      <c r="F345" s="17" t="str">
        <f aca="false">IF(OR(D345="",E345=""),"",D345*E345)</f>
        <v/>
      </c>
      <c r="G345" s="7"/>
      <c r="H345" s="7"/>
    </row>
    <row r="346" customFormat="false" ht="15" hidden="false" customHeight="true" outlineLevel="0" collapsed="false">
      <c r="A346" s="15"/>
      <c r="B346" s="7"/>
      <c r="C346" s="16" t="str">
        <f aca="false">IF(B346="","",IFERROR(INDEX(Products!$B$2:$B$501,MATCH(B346,Products!$A$2:$A$501,0)),"CODE NOT FOUND"))</f>
        <v/>
      </c>
      <c r="D346" s="7"/>
      <c r="E346" s="13"/>
      <c r="F346" s="17" t="str">
        <f aca="false">IF(OR(D346="",E346=""),"",D346*E346)</f>
        <v/>
      </c>
      <c r="G346" s="7"/>
      <c r="H346" s="7"/>
    </row>
    <row r="347" customFormat="false" ht="15" hidden="false" customHeight="true" outlineLevel="0" collapsed="false">
      <c r="A347" s="15"/>
      <c r="B347" s="7"/>
      <c r="C347" s="16" t="str">
        <f aca="false">IF(B347="","",IFERROR(INDEX(Products!$B$2:$B$501,MATCH(B347,Products!$A$2:$A$501,0)),"CODE NOT FOUND"))</f>
        <v/>
      </c>
      <c r="D347" s="7"/>
      <c r="E347" s="13"/>
      <c r="F347" s="17" t="str">
        <f aca="false">IF(OR(D347="",E347=""),"",D347*E347)</f>
        <v/>
      </c>
      <c r="G347" s="7"/>
      <c r="H347" s="7"/>
    </row>
    <row r="348" customFormat="false" ht="15" hidden="false" customHeight="true" outlineLevel="0" collapsed="false">
      <c r="A348" s="15"/>
      <c r="B348" s="7"/>
      <c r="C348" s="16" t="str">
        <f aca="false">IF(B348="","",IFERROR(INDEX(Products!$B$2:$B$501,MATCH(B348,Products!$A$2:$A$501,0)),"CODE NOT FOUND"))</f>
        <v/>
      </c>
      <c r="D348" s="7"/>
      <c r="E348" s="13"/>
      <c r="F348" s="17" t="str">
        <f aca="false">IF(OR(D348="",E348=""),"",D348*E348)</f>
        <v/>
      </c>
      <c r="G348" s="7"/>
      <c r="H348" s="7"/>
    </row>
    <row r="349" customFormat="false" ht="15" hidden="false" customHeight="true" outlineLevel="0" collapsed="false">
      <c r="A349" s="15"/>
      <c r="B349" s="7"/>
      <c r="C349" s="16" t="str">
        <f aca="false">IF(B349="","",IFERROR(INDEX(Products!$B$2:$B$501,MATCH(B349,Products!$A$2:$A$501,0)),"CODE NOT FOUND"))</f>
        <v/>
      </c>
      <c r="D349" s="7"/>
      <c r="E349" s="13"/>
      <c r="F349" s="17" t="str">
        <f aca="false">IF(OR(D349="",E349=""),"",D349*E349)</f>
        <v/>
      </c>
      <c r="G349" s="7"/>
      <c r="H349" s="7"/>
    </row>
    <row r="350" customFormat="false" ht="15" hidden="false" customHeight="true" outlineLevel="0" collapsed="false">
      <c r="A350" s="15"/>
      <c r="B350" s="7"/>
      <c r="C350" s="16" t="str">
        <f aca="false">IF(B350="","",IFERROR(INDEX(Products!$B$2:$B$501,MATCH(B350,Products!$A$2:$A$501,0)),"CODE NOT FOUND"))</f>
        <v/>
      </c>
      <c r="D350" s="7"/>
      <c r="E350" s="13"/>
      <c r="F350" s="17" t="str">
        <f aca="false">IF(OR(D350="",E350=""),"",D350*E350)</f>
        <v/>
      </c>
      <c r="G350" s="7"/>
      <c r="H350" s="7"/>
    </row>
    <row r="351" customFormat="false" ht="15" hidden="false" customHeight="true" outlineLevel="0" collapsed="false">
      <c r="A351" s="15"/>
      <c r="B351" s="7"/>
      <c r="C351" s="16" t="str">
        <f aca="false">IF(B351="","",IFERROR(INDEX(Products!$B$2:$B$501,MATCH(B351,Products!$A$2:$A$501,0)),"CODE NOT FOUND"))</f>
        <v/>
      </c>
      <c r="D351" s="7"/>
      <c r="E351" s="13"/>
      <c r="F351" s="17" t="str">
        <f aca="false">IF(OR(D351="",E351=""),"",D351*E351)</f>
        <v/>
      </c>
      <c r="G351" s="7"/>
      <c r="H351" s="7"/>
    </row>
    <row r="352" customFormat="false" ht="15" hidden="false" customHeight="true" outlineLevel="0" collapsed="false">
      <c r="A352" s="15"/>
      <c r="B352" s="7"/>
      <c r="C352" s="16" t="str">
        <f aca="false">IF(B352="","",IFERROR(INDEX(Products!$B$2:$B$501,MATCH(B352,Products!$A$2:$A$501,0)),"CODE NOT FOUND"))</f>
        <v/>
      </c>
      <c r="D352" s="7"/>
      <c r="E352" s="13"/>
      <c r="F352" s="17" t="str">
        <f aca="false">IF(OR(D352="",E352=""),"",D352*E352)</f>
        <v/>
      </c>
      <c r="G352" s="7"/>
      <c r="H352" s="7"/>
    </row>
    <row r="353" customFormat="false" ht="15" hidden="false" customHeight="true" outlineLevel="0" collapsed="false">
      <c r="A353" s="15"/>
      <c r="B353" s="7"/>
      <c r="C353" s="16" t="str">
        <f aca="false">IF(B353="","",IFERROR(INDEX(Products!$B$2:$B$501,MATCH(B353,Products!$A$2:$A$501,0)),"CODE NOT FOUND"))</f>
        <v/>
      </c>
      <c r="D353" s="7"/>
      <c r="E353" s="13"/>
      <c r="F353" s="17" t="str">
        <f aca="false">IF(OR(D353="",E353=""),"",D353*E353)</f>
        <v/>
      </c>
      <c r="G353" s="7"/>
      <c r="H353" s="7"/>
    </row>
    <row r="354" customFormat="false" ht="15" hidden="false" customHeight="true" outlineLevel="0" collapsed="false">
      <c r="A354" s="15"/>
      <c r="B354" s="7"/>
      <c r="C354" s="16" t="str">
        <f aca="false">IF(B354="","",IFERROR(INDEX(Products!$B$2:$B$501,MATCH(B354,Products!$A$2:$A$501,0)),"CODE NOT FOUND"))</f>
        <v/>
      </c>
      <c r="D354" s="7"/>
      <c r="E354" s="13"/>
      <c r="F354" s="17" t="str">
        <f aca="false">IF(OR(D354="",E354=""),"",D354*E354)</f>
        <v/>
      </c>
      <c r="G354" s="7"/>
      <c r="H354" s="7"/>
    </row>
    <row r="355" customFormat="false" ht="15" hidden="false" customHeight="true" outlineLevel="0" collapsed="false">
      <c r="A355" s="15"/>
      <c r="B355" s="7"/>
      <c r="C355" s="16" t="str">
        <f aca="false">IF(B355="","",IFERROR(INDEX(Products!$B$2:$B$501,MATCH(B355,Products!$A$2:$A$501,0)),"CODE NOT FOUND"))</f>
        <v/>
      </c>
      <c r="D355" s="7"/>
      <c r="E355" s="13"/>
      <c r="F355" s="17" t="str">
        <f aca="false">IF(OR(D355="",E355=""),"",D355*E355)</f>
        <v/>
      </c>
      <c r="G355" s="7"/>
      <c r="H355" s="7"/>
    </row>
    <row r="356" customFormat="false" ht="15" hidden="false" customHeight="true" outlineLevel="0" collapsed="false">
      <c r="A356" s="15"/>
      <c r="B356" s="7"/>
      <c r="C356" s="16" t="str">
        <f aca="false">IF(B356="","",IFERROR(INDEX(Products!$B$2:$B$501,MATCH(B356,Products!$A$2:$A$501,0)),"CODE NOT FOUND"))</f>
        <v/>
      </c>
      <c r="D356" s="7"/>
      <c r="E356" s="13"/>
      <c r="F356" s="17" t="str">
        <f aca="false">IF(OR(D356="",E356=""),"",D356*E356)</f>
        <v/>
      </c>
      <c r="G356" s="7"/>
      <c r="H356" s="7"/>
    </row>
    <row r="357" customFormat="false" ht="15" hidden="false" customHeight="true" outlineLevel="0" collapsed="false">
      <c r="A357" s="15"/>
      <c r="B357" s="7"/>
      <c r="C357" s="16" t="str">
        <f aca="false">IF(B357="","",IFERROR(INDEX(Products!$B$2:$B$501,MATCH(B357,Products!$A$2:$A$501,0)),"CODE NOT FOUND"))</f>
        <v/>
      </c>
      <c r="D357" s="7"/>
      <c r="E357" s="13"/>
      <c r="F357" s="17" t="str">
        <f aca="false">IF(OR(D357="",E357=""),"",D357*E357)</f>
        <v/>
      </c>
      <c r="G357" s="7"/>
      <c r="H357" s="7"/>
    </row>
    <row r="358" customFormat="false" ht="15" hidden="false" customHeight="true" outlineLevel="0" collapsed="false">
      <c r="A358" s="15"/>
      <c r="B358" s="7"/>
      <c r="C358" s="16" t="str">
        <f aca="false">IF(B358="","",IFERROR(INDEX(Products!$B$2:$B$501,MATCH(B358,Products!$A$2:$A$501,0)),"CODE NOT FOUND"))</f>
        <v/>
      </c>
      <c r="D358" s="7"/>
      <c r="E358" s="13"/>
      <c r="F358" s="17" t="str">
        <f aca="false">IF(OR(D358="",E358=""),"",D358*E358)</f>
        <v/>
      </c>
      <c r="G358" s="7"/>
      <c r="H358" s="7"/>
    </row>
    <row r="359" customFormat="false" ht="15" hidden="false" customHeight="true" outlineLevel="0" collapsed="false">
      <c r="A359" s="15"/>
      <c r="B359" s="7"/>
      <c r="C359" s="16" t="str">
        <f aca="false">IF(B359="","",IFERROR(INDEX(Products!$B$2:$B$501,MATCH(B359,Products!$A$2:$A$501,0)),"CODE NOT FOUND"))</f>
        <v/>
      </c>
      <c r="D359" s="7"/>
      <c r="E359" s="13"/>
      <c r="F359" s="17" t="str">
        <f aca="false">IF(OR(D359="",E359=""),"",D359*E359)</f>
        <v/>
      </c>
      <c r="G359" s="7"/>
      <c r="H359" s="7"/>
    </row>
    <row r="360" customFormat="false" ht="15" hidden="false" customHeight="true" outlineLevel="0" collapsed="false">
      <c r="A360" s="15"/>
      <c r="B360" s="7"/>
      <c r="C360" s="16" t="str">
        <f aca="false">IF(B360="","",IFERROR(INDEX(Products!$B$2:$B$501,MATCH(B360,Products!$A$2:$A$501,0)),"CODE NOT FOUND"))</f>
        <v/>
      </c>
      <c r="D360" s="7"/>
      <c r="E360" s="13"/>
      <c r="F360" s="17" t="str">
        <f aca="false">IF(OR(D360="",E360=""),"",D360*E360)</f>
        <v/>
      </c>
      <c r="G360" s="7"/>
      <c r="H360" s="7"/>
    </row>
    <row r="361" customFormat="false" ht="15" hidden="false" customHeight="true" outlineLevel="0" collapsed="false">
      <c r="A361" s="15"/>
      <c r="B361" s="7"/>
      <c r="C361" s="16" t="str">
        <f aca="false">IF(B361="","",IFERROR(INDEX(Products!$B$2:$B$501,MATCH(B361,Products!$A$2:$A$501,0)),"CODE NOT FOUND"))</f>
        <v/>
      </c>
      <c r="D361" s="7"/>
      <c r="E361" s="13"/>
      <c r="F361" s="17" t="str">
        <f aca="false">IF(OR(D361="",E361=""),"",D361*E361)</f>
        <v/>
      </c>
      <c r="G361" s="7"/>
      <c r="H361" s="7"/>
    </row>
    <row r="362" customFormat="false" ht="15" hidden="false" customHeight="true" outlineLevel="0" collapsed="false">
      <c r="A362" s="15"/>
      <c r="B362" s="7"/>
      <c r="C362" s="16" t="str">
        <f aca="false">IF(B362="","",IFERROR(INDEX(Products!$B$2:$B$501,MATCH(B362,Products!$A$2:$A$501,0)),"CODE NOT FOUND"))</f>
        <v/>
      </c>
      <c r="D362" s="7"/>
      <c r="E362" s="13"/>
      <c r="F362" s="17" t="str">
        <f aca="false">IF(OR(D362="",E362=""),"",D362*E362)</f>
        <v/>
      </c>
      <c r="G362" s="7"/>
      <c r="H362" s="7"/>
    </row>
    <row r="363" customFormat="false" ht="15" hidden="false" customHeight="true" outlineLevel="0" collapsed="false">
      <c r="A363" s="15"/>
      <c r="B363" s="7"/>
      <c r="C363" s="16" t="str">
        <f aca="false">IF(B363="","",IFERROR(INDEX(Products!$B$2:$B$501,MATCH(B363,Products!$A$2:$A$501,0)),"CODE NOT FOUND"))</f>
        <v/>
      </c>
      <c r="D363" s="7"/>
      <c r="E363" s="13"/>
      <c r="F363" s="17" t="str">
        <f aca="false">IF(OR(D363="",E363=""),"",D363*E363)</f>
        <v/>
      </c>
      <c r="G363" s="7"/>
      <c r="H363" s="7"/>
    </row>
    <row r="364" customFormat="false" ht="15" hidden="false" customHeight="true" outlineLevel="0" collapsed="false">
      <c r="A364" s="15"/>
      <c r="B364" s="7"/>
      <c r="C364" s="16" t="str">
        <f aca="false">IF(B364="","",IFERROR(INDEX(Products!$B$2:$B$501,MATCH(B364,Products!$A$2:$A$501,0)),"CODE NOT FOUND"))</f>
        <v/>
      </c>
      <c r="D364" s="7"/>
      <c r="E364" s="13"/>
      <c r="F364" s="17" t="str">
        <f aca="false">IF(OR(D364="",E364=""),"",D364*E364)</f>
        <v/>
      </c>
      <c r="G364" s="7"/>
      <c r="H364" s="7"/>
    </row>
    <row r="365" customFormat="false" ht="15" hidden="false" customHeight="true" outlineLevel="0" collapsed="false">
      <c r="A365" s="15"/>
      <c r="B365" s="7"/>
      <c r="C365" s="16" t="str">
        <f aca="false">IF(B365="","",IFERROR(INDEX(Products!$B$2:$B$501,MATCH(B365,Products!$A$2:$A$501,0)),"CODE NOT FOUND"))</f>
        <v/>
      </c>
      <c r="D365" s="7"/>
      <c r="E365" s="13"/>
      <c r="F365" s="17" t="str">
        <f aca="false">IF(OR(D365="",E365=""),"",D365*E365)</f>
        <v/>
      </c>
      <c r="G365" s="7"/>
      <c r="H365" s="7"/>
    </row>
    <row r="366" customFormat="false" ht="15" hidden="false" customHeight="true" outlineLevel="0" collapsed="false">
      <c r="A366" s="15"/>
      <c r="B366" s="7"/>
      <c r="C366" s="16" t="str">
        <f aca="false">IF(B366="","",IFERROR(INDEX(Products!$B$2:$B$501,MATCH(B366,Products!$A$2:$A$501,0)),"CODE NOT FOUND"))</f>
        <v/>
      </c>
      <c r="D366" s="7"/>
      <c r="E366" s="13"/>
      <c r="F366" s="17" t="str">
        <f aca="false">IF(OR(D366="",E366=""),"",D366*E366)</f>
        <v/>
      </c>
      <c r="G366" s="7"/>
      <c r="H366" s="7"/>
    </row>
    <row r="367" customFormat="false" ht="15" hidden="false" customHeight="true" outlineLevel="0" collapsed="false">
      <c r="A367" s="15"/>
      <c r="B367" s="7"/>
      <c r="C367" s="16" t="str">
        <f aca="false">IF(B367="","",IFERROR(INDEX(Products!$B$2:$B$501,MATCH(B367,Products!$A$2:$A$501,0)),"CODE NOT FOUND"))</f>
        <v/>
      </c>
      <c r="D367" s="7"/>
      <c r="E367" s="13"/>
      <c r="F367" s="17" t="str">
        <f aca="false">IF(OR(D367="",E367=""),"",D367*E367)</f>
        <v/>
      </c>
      <c r="G367" s="7"/>
      <c r="H367" s="7"/>
    </row>
    <row r="368" customFormat="false" ht="15" hidden="false" customHeight="true" outlineLevel="0" collapsed="false">
      <c r="A368" s="15"/>
      <c r="B368" s="7"/>
      <c r="C368" s="16" t="str">
        <f aca="false">IF(B368="","",IFERROR(INDEX(Products!$B$2:$B$501,MATCH(B368,Products!$A$2:$A$501,0)),"CODE NOT FOUND"))</f>
        <v/>
      </c>
      <c r="D368" s="7"/>
      <c r="E368" s="13"/>
      <c r="F368" s="17" t="str">
        <f aca="false">IF(OR(D368="",E368=""),"",D368*E368)</f>
        <v/>
      </c>
      <c r="G368" s="7"/>
      <c r="H368" s="7"/>
    </row>
    <row r="369" customFormat="false" ht="15" hidden="false" customHeight="true" outlineLevel="0" collapsed="false">
      <c r="A369" s="15"/>
      <c r="B369" s="7"/>
      <c r="C369" s="16" t="str">
        <f aca="false">IF(B369="","",IFERROR(INDEX(Products!$B$2:$B$501,MATCH(B369,Products!$A$2:$A$501,0)),"CODE NOT FOUND"))</f>
        <v/>
      </c>
      <c r="D369" s="7"/>
      <c r="E369" s="13"/>
      <c r="F369" s="17" t="str">
        <f aca="false">IF(OR(D369="",E369=""),"",D369*E369)</f>
        <v/>
      </c>
      <c r="G369" s="7"/>
      <c r="H369" s="7"/>
    </row>
    <row r="370" customFormat="false" ht="15" hidden="false" customHeight="true" outlineLevel="0" collapsed="false">
      <c r="A370" s="15"/>
      <c r="B370" s="7"/>
      <c r="C370" s="16" t="str">
        <f aca="false">IF(B370="","",IFERROR(INDEX(Products!$B$2:$B$501,MATCH(B370,Products!$A$2:$A$501,0)),"CODE NOT FOUND"))</f>
        <v/>
      </c>
      <c r="D370" s="7"/>
      <c r="E370" s="13"/>
      <c r="F370" s="17" t="str">
        <f aca="false">IF(OR(D370="",E370=""),"",D370*E370)</f>
        <v/>
      </c>
      <c r="G370" s="7"/>
      <c r="H370" s="7"/>
    </row>
    <row r="371" customFormat="false" ht="15" hidden="false" customHeight="true" outlineLevel="0" collapsed="false">
      <c r="A371" s="15"/>
      <c r="B371" s="7"/>
      <c r="C371" s="16" t="str">
        <f aca="false">IF(B371="","",IFERROR(INDEX(Products!$B$2:$B$501,MATCH(B371,Products!$A$2:$A$501,0)),"CODE NOT FOUND"))</f>
        <v/>
      </c>
      <c r="D371" s="7"/>
      <c r="E371" s="13"/>
      <c r="F371" s="17" t="str">
        <f aca="false">IF(OR(D371="",E371=""),"",D371*E371)</f>
        <v/>
      </c>
      <c r="G371" s="7"/>
      <c r="H371" s="7"/>
    </row>
    <row r="372" customFormat="false" ht="15" hidden="false" customHeight="true" outlineLevel="0" collapsed="false">
      <c r="A372" s="15"/>
      <c r="B372" s="7"/>
      <c r="C372" s="16" t="str">
        <f aca="false">IF(B372="","",IFERROR(INDEX(Products!$B$2:$B$501,MATCH(B372,Products!$A$2:$A$501,0)),"CODE NOT FOUND"))</f>
        <v/>
      </c>
      <c r="D372" s="7"/>
      <c r="E372" s="13"/>
      <c r="F372" s="17" t="str">
        <f aca="false">IF(OR(D372="",E372=""),"",D372*E372)</f>
        <v/>
      </c>
      <c r="G372" s="7"/>
      <c r="H372" s="7"/>
    </row>
    <row r="373" customFormat="false" ht="15" hidden="false" customHeight="true" outlineLevel="0" collapsed="false">
      <c r="A373" s="15"/>
      <c r="B373" s="7"/>
      <c r="C373" s="16" t="str">
        <f aca="false">IF(B373="","",IFERROR(INDEX(Products!$B$2:$B$501,MATCH(B373,Products!$A$2:$A$501,0)),"CODE NOT FOUND"))</f>
        <v/>
      </c>
      <c r="D373" s="7"/>
      <c r="E373" s="13"/>
      <c r="F373" s="17" t="str">
        <f aca="false">IF(OR(D373="",E373=""),"",D373*E373)</f>
        <v/>
      </c>
      <c r="G373" s="7"/>
      <c r="H373" s="7"/>
    </row>
    <row r="374" customFormat="false" ht="15" hidden="false" customHeight="true" outlineLevel="0" collapsed="false">
      <c r="A374" s="15"/>
      <c r="B374" s="7"/>
      <c r="C374" s="16" t="str">
        <f aca="false">IF(B374="","",IFERROR(INDEX(Products!$B$2:$B$501,MATCH(B374,Products!$A$2:$A$501,0)),"CODE NOT FOUND"))</f>
        <v/>
      </c>
      <c r="D374" s="7"/>
      <c r="E374" s="13"/>
      <c r="F374" s="17" t="str">
        <f aca="false">IF(OR(D374="",E374=""),"",D374*E374)</f>
        <v/>
      </c>
      <c r="G374" s="7"/>
      <c r="H374" s="7"/>
    </row>
    <row r="375" customFormat="false" ht="15" hidden="false" customHeight="true" outlineLevel="0" collapsed="false">
      <c r="A375" s="15"/>
      <c r="B375" s="7"/>
      <c r="C375" s="16" t="str">
        <f aca="false">IF(B375="","",IFERROR(INDEX(Products!$B$2:$B$501,MATCH(B375,Products!$A$2:$A$501,0)),"CODE NOT FOUND"))</f>
        <v/>
      </c>
      <c r="D375" s="7"/>
      <c r="E375" s="13"/>
      <c r="F375" s="17" t="str">
        <f aca="false">IF(OR(D375="",E375=""),"",D375*E375)</f>
        <v/>
      </c>
      <c r="G375" s="7"/>
      <c r="H375" s="7"/>
    </row>
    <row r="376" customFormat="false" ht="15" hidden="false" customHeight="true" outlineLevel="0" collapsed="false">
      <c r="A376" s="15"/>
      <c r="B376" s="7"/>
      <c r="C376" s="16" t="str">
        <f aca="false">IF(B376="","",IFERROR(INDEX(Products!$B$2:$B$501,MATCH(B376,Products!$A$2:$A$501,0)),"CODE NOT FOUND"))</f>
        <v/>
      </c>
      <c r="D376" s="7"/>
      <c r="E376" s="13"/>
      <c r="F376" s="17" t="str">
        <f aca="false">IF(OR(D376="",E376=""),"",D376*E376)</f>
        <v/>
      </c>
      <c r="G376" s="7"/>
      <c r="H376" s="7"/>
    </row>
    <row r="377" customFormat="false" ht="15" hidden="false" customHeight="true" outlineLevel="0" collapsed="false">
      <c r="A377" s="15"/>
      <c r="B377" s="7"/>
      <c r="C377" s="16" t="str">
        <f aca="false">IF(B377="","",IFERROR(INDEX(Products!$B$2:$B$501,MATCH(B377,Products!$A$2:$A$501,0)),"CODE NOT FOUND"))</f>
        <v/>
      </c>
      <c r="D377" s="7"/>
      <c r="E377" s="13"/>
      <c r="F377" s="17" t="str">
        <f aca="false">IF(OR(D377="",E377=""),"",D377*E377)</f>
        <v/>
      </c>
      <c r="G377" s="7"/>
      <c r="H377" s="7"/>
    </row>
    <row r="378" customFormat="false" ht="15" hidden="false" customHeight="true" outlineLevel="0" collapsed="false">
      <c r="A378" s="15"/>
      <c r="B378" s="7"/>
      <c r="C378" s="16" t="str">
        <f aca="false">IF(B378="","",IFERROR(INDEX(Products!$B$2:$B$501,MATCH(B378,Products!$A$2:$A$501,0)),"CODE NOT FOUND"))</f>
        <v/>
      </c>
      <c r="D378" s="7"/>
      <c r="E378" s="13"/>
      <c r="F378" s="17" t="str">
        <f aca="false">IF(OR(D378="",E378=""),"",D378*E378)</f>
        <v/>
      </c>
      <c r="G378" s="7"/>
      <c r="H378" s="7"/>
    </row>
    <row r="379" customFormat="false" ht="15" hidden="false" customHeight="true" outlineLevel="0" collapsed="false">
      <c r="A379" s="15"/>
      <c r="B379" s="7"/>
      <c r="C379" s="16" t="str">
        <f aca="false">IF(B379="","",IFERROR(INDEX(Products!$B$2:$B$501,MATCH(B379,Products!$A$2:$A$501,0)),"CODE NOT FOUND"))</f>
        <v/>
      </c>
      <c r="D379" s="7"/>
      <c r="E379" s="13"/>
      <c r="F379" s="17" t="str">
        <f aca="false">IF(OR(D379="",E379=""),"",D379*E379)</f>
        <v/>
      </c>
      <c r="G379" s="7"/>
      <c r="H379" s="7"/>
    </row>
    <row r="380" customFormat="false" ht="15" hidden="false" customHeight="true" outlineLevel="0" collapsed="false">
      <c r="A380" s="15"/>
      <c r="B380" s="7"/>
      <c r="C380" s="16" t="str">
        <f aca="false">IF(B380="","",IFERROR(INDEX(Products!$B$2:$B$501,MATCH(B380,Products!$A$2:$A$501,0)),"CODE NOT FOUND"))</f>
        <v/>
      </c>
      <c r="D380" s="7"/>
      <c r="E380" s="13"/>
      <c r="F380" s="17" t="str">
        <f aca="false">IF(OR(D380="",E380=""),"",D380*E380)</f>
        <v/>
      </c>
      <c r="G380" s="7"/>
      <c r="H380" s="7"/>
    </row>
    <row r="381" customFormat="false" ht="15" hidden="false" customHeight="true" outlineLevel="0" collapsed="false">
      <c r="A381" s="15"/>
      <c r="B381" s="7"/>
      <c r="C381" s="16" t="str">
        <f aca="false">IF(B381="","",IFERROR(INDEX(Products!$B$2:$B$501,MATCH(B381,Products!$A$2:$A$501,0)),"CODE NOT FOUND"))</f>
        <v/>
      </c>
      <c r="D381" s="7"/>
      <c r="E381" s="13"/>
      <c r="F381" s="17" t="str">
        <f aca="false">IF(OR(D381="",E381=""),"",D381*E381)</f>
        <v/>
      </c>
      <c r="G381" s="7"/>
      <c r="H381" s="7"/>
    </row>
    <row r="382" customFormat="false" ht="15" hidden="false" customHeight="true" outlineLevel="0" collapsed="false">
      <c r="A382" s="15"/>
      <c r="B382" s="7"/>
      <c r="C382" s="16" t="str">
        <f aca="false">IF(B382="","",IFERROR(INDEX(Products!$B$2:$B$501,MATCH(B382,Products!$A$2:$A$501,0)),"CODE NOT FOUND"))</f>
        <v/>
      </c>
      <c r="D382" s="7"/>
      <c r="E382" s="13"/>
      <c r="F382" s="17" t="str">
        <f aca="false">IF(OR(D382="",E382=""),"",D382*E382)</f>
        <v/>
      </c>
      <c r="G382" s="7"/>
      <c r="H382" s="7"/>
    </row>
    <row r="383" customFormat="false" ht="15" hidden="false" customHeight="true" outlineLevel="0" collapsed="false">
      <c r="A383" s="15"/>
      <c r="B383" s="7"/>
      <c r="C383" s="16" t="str">
        <f aca="false">IF(B383="","",IFERROR(INDEX(Products!$B$2:$B$501,MATCH(B383,Products!$A$2:$A$501,0)),"CODE NOT FOUND"))</f>
        <v/>
      </c>
      <c r="D383" s="7"/>
      <c r="E383" s="13"/>
      <c r="F383" s="17" t="str">
        <f aca="false">IF(OR(D383="",E383=""),"",D383*E383)</f>
        <v/>
      </c>
      <c r="G383" s="7"/>
      <c r="H383" s="7"/>
    </row>
    <row r="384" customFormat="false" ht="15" hidden="false" customHeight="true" outlineLevel="0" collapsed="false">
      <c r="A384" s="15"/>
      <c r="B384" s="7"/>
      <c r="C384" s="16" t="str">
        <f aca="false">IF(B384="","",IFERROR(INDEX(Products!$B$2:$B$501,MATCH(B384,Products!$A$2:$A$501,0)),"CODE NOT FOUND"))</f>
        <v/>
      </c>
      <c r="D384" s="7"/>
      <c r="E384" s="13"/>
      <c r="F384" s="17" t="str">
        <f aca="false">IF(OR(D384="",E384=""),"",D384*E384)</f>
        <v/>
      </c>
      <c r="G384" s="7"/>
      <c r="H384" s="7"/>
    </row>
    <row r="385" customFormat="false" ht="15" hidden="false" customHeight="true" outlineLevel="0" collapsed="false">
      <c r="A385" s="15"/>
      <c r="B385" s="7"/>
      <c r="C385" s="16" t="str">
        <f aca="false">IF(B385="","",IFERROR(INDEX(Products!$B$2:$B$501,MATCH(B385,Products!$A$2:$A$501,0)),"CODE NOT FOUND"))</f>
        <v/>
      </c>
      <c r="D385" s="7"/>
      <c r="E385" s="13"/>
      <c r="F385" s="17" t="str">
        <f aca="false">IF(OR(D385="",E385=""),"",D385*E385)</f>
        <v/>
      </c>
      <c r="G385" s="7"/>
      <c r="H385" s="7"/>
    </row>
    <row r="386" customFormat="false" ht="15" hidden="false" customHeight="true" outlineLevel="0" collapsed="false">
      <c r="A386" s="15"/>
      <c r="B386" s="7"/>
      <c r="C386" s="16" t="str">
        <f aca="false">IF(B386="","",IFERROR(INDEX(Products!$B$2:$B$501,MATCH(B386,Products!$A$2:$A$501,0)),"CODE NOT FOUND"))</f>
        <v/>
      </c>
      <c r="D386" s="7"/>
      <c r="E386" s="13"/>
      <c r="F386" s="17" t="str">
        <f aca="false">IF(OR(D386="",E386=""),"",D386*E386)</f>
        <v/>
      </c>
      <c r="G386" s="7"/>
      <c r="H386" s="7"/>
    </row>
    <row r="387" customFormat="false" ht="15" hidden="false" customHeight="true" outlineLevel="0" collapsed="false">
      <c r="A387" s="15"/>
      <c r="B387" s="7"/>
      <c r="C387" s="16" t="str">
        <f aca="false">IF(B387="","",IFERROR(INDEX(Products!$B$2:$B$501,MATCH(B387,Products!$A$2:$A$501,0)),"CODE NOT FOUND"))</f>
        <v/>
      </c>
      <c r="D387" s="7"/>
      <c r="E387" s="13"/>
      <c r="F387" s="17" t="str">
        <f aca="false">IF(OR(D387="",E387=""),"",D387*E387)</f>
        <v/>
      </c>
      <c r="G387" s="7"/>
      <c r="H387" s="7"/>
    </row>
    <row r="388" customFormat="false" ht="15" hidden="false" customHeight="true" outlineLevel="0" collapsed="false">
      <c r="A388" s="15"/>
      <c r="B388" s="7"/>
      <c r="C388" s="16" t="str">
        <f aca="false">IF(B388="","",IFERROR(INDEX(Products!$B$2:$B$501,MATCH(B388,Products!$A$2:$A$501,0)),"CODE NOT FOUND"))</f>
        <v/>
      </c>
      <c r="D388" s="7"/>
      <c r="E388" s="13"/>
      <c r="F388" s="17" t="str">
        <f aca="false">IF(OR(D388="",E388=""),"",D388*E388)</f>
        <v/>
      </c>
      <c r="G388" s="7"/>
      <c r="H388" s="7"/>
    </row>
    <row r="389" customFormat="false" ht="15" hidden="false" customHeight="true" outlineLevel="0" collapsed="false">
      <c r="A389" s="15"/>
      <c r="B389" s="7"/>
      <c r="C389" s="16" t="str">
        <f aca="false">IF(B389="","",IFERROR(INDEX(Products!$B$2:$B$501,MATCH(B389,Products!$A$2:$A$501,0)),"CODE NOT FOUND"))</f>
        <v/>
      </c>
      <c r="D389" s="7"/>
      <c r="E389" s="13"/>
      <c r="F389" s="17" t="str">
        <f aca="false">IF(OR(D389="",E389=""),"",D389*E389)</f>
        <v/>
      </c>
      <c r="G389" s="7"/>
      <c r="H389" s="7"/>
    </row>
    <row r="390" customFormat="false" ht="15" hidden="false" customHeight="true" outlineLevel="0" collapsed="false">
      <c r="A390" s="15"/>
      <c r="B390" s="7"/>
      <c r="C390" s="16" t="str">
        <f aca="false">IF(B390="","",IFERROR(INDEX(Products!$B$2:$B$501,MATCH(B390,Products!$A$2:$A$501,0)),"CODE NOT FOUND"))</f>
        <v/>
      </c>
      <c r="D390" s="7"/>
      <c r="E390" s="13"/>
      <c r="F390" s="17" t="str">
        <f aca="false">IF(OR(D390="",E390=""),"",D390*E390)</f>
        <v/>
      </c>
      <c r="G390" s="7"/>
      <c r="H390" s="7"/>
    </row>
    <row r="391" customFormat="false" ht="15" hidden="false" customHeight="true" outlineLevel="0" collapsed="false">
      <c r="A391" s="15"/>
      <c r="B391" s="7"/>
      <c r="C391" s="16" t="str">
        <f aca="false">IF(B391="","",IFERROR(INDEX(Products!$B$2:$B$501,MATCH(B391,Products!$A$2:$A$501,0)),"CODE NOT FOUND"))</f>
        <v/>
      </c>
      <c r="D391" s="7"/>
      <c r="E391" s="13"/>
      <c r="F391" s="17" t="str">
        <f aca="false">IF(OR(D391="",E391=""),"",D391*E391)</f>
        <v/>
      </c>
      <c r="G391" s="7"/>
      <c r="H391" s="7"/>
    </row>
    <row r="392" customFormat="false" ht="15" hidden="false" customHeight="true" outlineLevel="0" collapsed="false">
      <c r="A392" s="15"/>
      <c r="B392" s="7"/>
      <c r="C392" s="16" t="str">
        <f aca="false">IF(B392="","",IFERROR(INDEX(Products!$B$2:$B$501,MATCH(B392,Products!$A$2:$A$501,0)),"CODE NOT FOUND"))</f>
        <v/>
      </c>
      <c r="D392" s="7"/>
      <c r="E392" s="13"/>
      <c r="F392" s="17" t="str">
        <f aca="false">IF(OR(D392="",E392=""),"",D392*E392)</f>
        <v/>
      </c>
      <c r="G392" s="7"/>
      <c r="H392" s="7"/>
    </row>
    <row r="393" customFormat="false" ht="15" hidden="false" customHeight="true" outlineLevel="0" collapsed="false">
      <c r="A393" s="15"/>
      <c r="B393" s="7"/>
      <c r="C393" s="16" t="str">
        <f aca="false">IF(B393="","",IFERROR(INDEX(Products!$B$2:$B$501,MATCH(B393,Products!$A$2:$A$501,0)),"CODE NOT FOUND"))</f>
        <v/>
      </c>
      <c r="D393" s="7"/>
      <c r="E393" s="13"/>
      <c r="F393" s="17" t="str">
        <f aca="false">IF(OR(D393="",E393=""),"",D393*E393)</f>
        <v/>
      </c>
      <c r="G393" s="7"/>
      <c r="H393" s="7"/>
    </row>
    <row r="394" customFormat="false" ht="15" hidden="false" customHeight="true" outlineLevel="0" collapsed="false">
      <c r="A394" s="15"/>
      <c r="B394" s="7"/>
      <c r="C394" s="16" t="str">
        <f aca="false">IF(B394="","",IFERROR(INDEX(Products!$B$2:$B$501,MATCH(B394,Products!$A$2:$A$501,0)),"CODE NOT FOUND"))</f>
        <v/>
      </c>
      <c r="D394" s="7"/>
      <c r="E394" s="13"/>
      <c r="F394" s="17" t="str">
        <f aca="false">IF(OR(D394="",E394=""),"",D394*E394)</f>
        <v/>
      </c>
      <c r="G394" s="7"/>
      <c r="H394" s="7"/>
    </row>
    <row r="395" customFormat="false" ht="15" hidden="false" customHeight="true" outlineLevel="0" collapsed="false">
      <c r="A395" s="15"/>
      <c r="B395" s="7"/>
      <c r="C395" s="16" t="str">
        <f aca="false">IF(B395="","",IFERROR(INDEX(Products!$B$2:$B$501,MATCH(B395,Products!$A$2:$A$501,0)),"CODE NOT FOUND"))</f>
        <v/>
      </c>
      <c r="D395" s="7"/>
      <c r="E395" s="13"/>
      <c r="F395" s="17" t="str">
        <f aca="false">IF(OR(D395="",E395=""),"",D395*E395)</f>
        <v/>
      </c>
      <c r="G395" s="7"/>
      <c r="H395" s="7"/>
    </row>
    <row r="396" customFormat="false" ht="15" hidden="false" customHeight="true" outlineLevel="0" collapsed="false">
      <c r="A396" s="15"/>
      <c r="B396" s="7"/>
      <c r="C396" s="16" t="str">
        <f aca="false">IF(B396="","",IFERROR(INDEX(Products!$B$2:$B$501,MATCH(B396,Products!$A$2:$A$501,0)),"CODE NOT FOUND"))</f>
        <v/>
      </c>
      <c r="D396" s="7"/>
      <c r="E396" s="13"/>
      <c r="F396" s="17" t="str">
        <f aca="false">IF(OR(D396="",E396=""),"",D396*E396)</f>
        <v/>
      </c>
      <c r="G396" s="7"/>
      <c r="H396" s="7"/>
    </row>
    <row r="397" customFormat="false" ht="15" hidden="false" customHeight="true" outlineLevel="0" collapsed="false">
      <c r="A397" s="15"/>
      <c r="B397" s="7"/>
      <c r="C397" s="16" t="str">
        <f aca="false">IF(B397="","",IFERROR(INDEX(Products!$B$2:$B$501,MATCH(B397,Products!$A$2:$A$501,0)),"CODE NOT FOUND"))</f>
        <v/>
      </c>
      <c r="D397" s="7"/>
      <c r="E397" s="13"/>
      <c r="F397" s="17" t="str">
        <f aca="false">IF(OR(D397="",E397=""),"",D397*E397)</f>
        <v/>
      </c>
      <c r="G397" s="7"/>
      <c r="H397" s="7"/>
    </row>
    <row r="398" customFormat="false" ht="15" hidden="false" customHeight="true" outlineLevel="0" collapsed="false">
      <c r="A398" s="15"/>
      <c r="B398" s="7"/>
      <c r="C398" s="16" t="str">
        <f aca="false">IF(B398="","",IFERROR(INDEX(Products!$B$2:$B$501,MATCH(B398,Products!$A$2:$A$501,0)),"CODE NOT FOUND"))</f>
        <v/>
      </c>
      <c r="D398" s="7"/>
      <c r="E398" s="13"/>
      <c r="F398" s="17" t="str">
        <f aca="false">IF(OR(D398="",E398=""),"",D398*E398)</f>
        <v/>
      </c>
      <c r="G398" s="7"/>
      <c r="H398" s="7"/>
    </row>
    <row r="399" customFormat="false" ht="15" hidden="false" customHeight="true" outlineLevel="0" collapsed="false">
      <c r="A399" s="15"/>
      <c r="B399" s="7"/>
      <c r="C399" s="16" t="str">
        <f aca="false">IF(B399="","",IFERROR(INDEX(Products!$B$2:$B$501,MATCH(B399,Products!$A$2:$A$501,0)),"CODE NOT FOUND"))</f>
        <v/>
      </c>
      <c r="D399" s="7"/>
      <c r="E399" s="13"/>
      <c r="F399" s="17" t="str">
        <f aca="false">IF(OR(D399="",E399=""),"",D399*E399)</f>
        <v/>
      </c>
      <c r="G399" s="7"/>
      <c r="H399" s="7"/>
    </row>
    <row r="400" customFormat="false" ht="15" hidden="false" customHeight="true" outlineLevel="0" collapsed="false">
      <c r="A400" s="15"/>
      <c r="B400" s="7"/>
      <c r="C400" s="16" t="str">
        <f aca="false">IF(B400="","",IFERROR(INDEX(Products!$B$2:$B$501,MATCH(B400,Products!$A$2:$A$501,0)),"CODE NOT FOUND"))</f>
        <v/>
      </c>
      <c r="D400" s="7"/>
      <c r="E400" s="13"/>
      <c r="F400" s="17" t="str">
        <f aca="false">IF(OR(D400="",E400=""),"",D400*E400)</f>
        <v/>
      </c>
      <c r="G400" s="7"/>
      <c r="H400" s="7"/>
    </row>
    <row r="401" customFormat="false" ht="15" hidden="false" customHeight="true" outlineLevel="0" collapsed="false">
      <c r="A401" s="15"/>
      <c r="B401" s="7"/>
      <c r="C401" s="16" t="str">
        <f aca="false">IF(B401="","",IFERROR(INDEX(Products!$B$2:$B$501,MATCH(B401,Products!$A$2:$A$501,0)),"CODE NOT FOUND"))</f>
        <v/>
      </c>
      <c r="D401" s="7"/>
      <c r="E401" s="13"/>
      <c r="F401" s="17" t="str">
        <f aca="false">IF(OR(D401="",E401=""),"",D401*E401)</f>
        <v/>
      </c>
      <c r="G401" s="7"/>
      <c r="H401" s="7"/>
    </row>
    <row r="402" customFormat="false" ht="15" hidden="false" customHeight="true" outlineLevel="0" collapsed="false">
      <c r="A402" s="15"/>
      <c r="B402" s="7"/>
      <c r="C402" s="16" t="str">
        <f aca="false">IF(B402="","",IFERROR(INDEX(Products!$B$2:$B$501,MATCH(B402,Products!$A$2:$A$501,0)),"CODE NOT FOUND"))</f>
        <v/>
      </c>
      <c r="D402" s="7"/>
      <c r="E402" s="13"/>
      <c r="F402" s="17" t="str">
        <f aca="false">IF(OR(D402="",E402=""),"",D402*E402)</f>
        <v/>
      </c>
      <c r="G402" s="7"/>
      <c r="H402" s="7"/>
    </row>
    <row r="403" customFormat="false" ht="15" hidden="false" customHeight="true" outlineLevel="0" collapsed="false">
      <c r="A403" s="15"/>
      <c r="B403" s="7"/>
      <c r="C403" s="16" t="str">
        <f aca="false">IF(B403="","",IFERROR(INDEX(Products!$B$2:$B$501,MATCH(B403,Products!$A$2:$A$501,0)),"CODE NOT FOUND"))</f>
        <v/>
      </c>
      <c r="D403" s="7"/>
      <c r="E403" s="13"/>
      <c r="F403" s="17" t="str">
        <f aca="false">IF(OR(D403="",E403=""),"",D403*E403)</f>
        <v/>
      </c>
      <c r="G403" s="7"/>
      <c r="H403" s="7"/>
    </row>
    <row r="404" customFormat="false" ht="15" hidden="false" customHeight="true" outlineLevel="0" collapsed="false">
      <c r="A404" s="15"/>
      <c r="B404" s="7"/>
      <c r="C404" s="16" t="str">
        <f aca="false">IF(B404="","",IFERROR(INDEX(Products!$B$2:$B$501,MATCH(B404,Products!$A$2:$A$501,0)),"CODE NOT FOUND"))</f>
        <v/>
      </c>
      <c r="D404" s="7"/>
      <c r="E404" s="13"/>
      <c r="F404" s="17" t="str">
        <f aca="false">IF(OR(D404="",E404=""),"",D404*E404)</f>
        <v/>
      </c>
      <c r="G404" s="7"/>
      <c r="H404" s="7"/>
    </row>
    <row r="405" customFormat="false" ht="15" hidden="false" customHeight="true" outlineLevel="0" collapsed="false">
      <c r="A405" s="15"/>
      <c r="B405" s="7"/>
      <c r="C405" s="16" t="str">
        <f aca="false">IF(B405="","",IFERROR(INDEX(Products!$B$2:$B$501,MATCH(B405,Products!$A$2:$A$501,0)),"CODE NOT FOUND"))</f>
        <v/>
      </c>
      <c r="D405" s="7"/>
      <c r="E405" s="13"/>
      <c r="F405" s="17" t="str">
        <f aca="false">IF(OR(D405="",E405=""),"",D405*E405)</f>
        <v/>
      </c>
      <c r="G405" s="7"/>
      <c r="H405" s="7"/>
    </row>
    <row r="406" customFormat="false" ht="15" hidden="false" customHeight="true" outlineLevel="0" collapsed="false">
      <c r="A406" s="15"/>
      <c r="B406" s="7"/>
      <c r="C406" s="16" t="str">
        <f aca="false">IF(B406="","",IFERROR(INDEX(Products!$B$2:$B$501,MATCH(B406,Products!$A$2:$A$501,0)),"CODE NOT FOUND"))</f>
        <v/>
      </c>
      <c r="D406" s="7"/>
      <c r="E406" s="13"/>
      <c r="F406" s="17" t="str">
        <f aca="false">IF(OR(D406="",E406=""),"",D406*E406)</f>
        <v/>
      </c>
      <c r="G406" s="7"/>
      <c r="H406" s="7"/>
    </row>
    <row r="407" customFormat="false" ht="15" hidden="false" customHeight="true" outlineLevel="0" collapsed="false">
      <c r="A407" s="15"/>
      <c r="B407" s="7"/>
      <c r="C407" s="16" t="str">
        <f aca="false">IF(B407="","",IFERROR(INDEX(Products!$B$2:$B$501,MATCH(B407,Products!$A$2:$A$501,0)),"CODE NOT FOUND"))</f>
        <v/>
      </c>
      <c r="D407" s="7"/>
      <c r="E407" s="13"/>
      <c r="F407" s="17" t="str">
        <f aca="false">IF(OR(D407="",E407=""),"",D407*E407)</f>
        <v/>
      </c>
      <c r="G407" s="7"/>
      <c r="H407" s="7"/>
    </row>
    <row r="408" customFormat="false" ht="15" hidden="false" customHeight="true" outlineLevel="0" collapsed="false">
      <c r="A408" s="15"/>
      <c r="B408" s="7"/>
      <c r="C408" s="16" t="str">
        <f aca="false">IF(B408="","",IFERROR(INDEX(Products!$B$2:$B$501,MATCH(B408,Products!$A$2:$A$501,0)),"CODE NOT FOUND"))</f>
        <v/>
      </c>
      <c r="D408" s="7"/>
      <c r="E408" s="13"/>
      <c r="F408" s="17" t="str">
        <f aca="false">IF(OR(D408="",E408=""),"",D408*E408)</f>
        <v/>
      </c>
      <c r="G408" s="7"/>
      <c r="H408" s="7"/>
    </row>
    <row r="409" customFormat="false" ht="15" hidden="false" customHeight="true" outlineLevel="0" collapsed="false">
      <c r="A409" s="15"/>
      <c r="B409" s="7"/>
      <c r="C409" s="16" t="str">
        <f aca="false">IF(B409="","",IFERROR(INDEX(Products!$B$2:$B$501,MATCH(B409,Products!$A$2:$A$501,0)),"CODE NOT FOUND"))</f>
        <v/>
      </c>
      <c r="D409" s="7"/>
      <c r="E409" s="13"/>
      <c r="F409" s="17" t="str">
        <f aca="false">IF(OR(D409="",E409=""),"",D409*E409)</f>
        <v/>
      </c>
      <c r="G409" s="7"/>
      <c r="H409" s="7"/>
    </row>
    <row r="410" customFormat="false" ht="15" hidden="false" customHeight="true" outlineLevel="0" collapsed="false">
      <c r="A410" s="15"/>
      <c r="B410" s="7"/>
      <c r="C410" s="16" t="str">
        <f aca="false">IF(B410="","",IFERROR(INDEX(Products!$B$2:$B$501,MATCH(B410,Products!$A$2:$A$501,0)),"CODE NOT FOUND"))</f>
        <v/>
      </c>
      <c r="D410" s="7"/>
      <c r="E410" s="13"/>
      <c r="F410" s="17" t="str">
        <f aca="false">IF(OR(D410="",E410=""),"",D410*E410)</f>
        <v/>
      </c>
      <c r="G410" s="7"/>
      <c r="H410" s="7"/>
    </row>
    <row r="411" customFormat="false" ht="15" hidden="false" customHeight="true" outlineLevel="0" collapsed="false">
      <c r="A411" s="15"/>
      <c r="B411" s="7"/>
      <c r="C411" s="16" t="str">
        <f aca="false">IF(B411="","",IFERROR(INDEX(Products!$B$2:$B$501,MATCH(B411,Products!$A$2:$A$501,0)),"CODE NOT FOUND"))</f>
        <v/>
      </c>
      <c r="D411" s="7"/>
      <c r="E411" s="13"/>
      <c r="F411" s="17" t="str">
        <f aca="false">IF(OR(D411="",E411=""),"",D411*E411)</f>
        <v/>
      </c>
      <c r="G411" s="7"/>
      <c r="H411" s="7"/>
    </row>
    <row r="412" customFormat="false" ht="15" hidden="false" customHeight="true" outlineLevel="0" collapsed="false">
      <c r="A412" s="15"/>
      <c r="B412" s="7"/>
      <c r="C412" s="16" t="str">
        <f aca="false">IF(B412="","",IFERROR(INDEX(Products!$B$2:$B$501,MATCH(B412,Products!$A$2:$A$501,0)),"CODE NOT FOUND"))</f>
        <v/>
      </c>
      <c r="D412" s="7"/>
      <c r="E412" s="13"/>
      <c r="F412" s="17" t="str">
        <f aca="false">IF(OR(D412="",E412=""),"",D412*E412)</f>
        <v/>
      </c>
      <c r="G412" s="7"/>
      <c r="H412" s="7"/>
    </row>
    <row r="413" customFormat="false" ht="15" hidden="false" customHeight="true" outlineLevel="0" collapsed="false">
      <c r="A413" s="15"/>
      <c r="B413" s="7"/>
      <c r="C413" s="16" t="str">
        <f aca="false">IF(B413="","",IFERROR(INDEX(Products!$B$2:$B$501,MATCH(B413,Products!$A$2:$A$501,0)),"CODE NOT FOUND"))</f>
        <v/>
      </c>
      <c r="D413" s="7"/>
      <c r="E413" s="13"/>
      <c r="F413" s="17" t="str">
        <f aca="false">IF(OR(D413="",E413=""),"",D413*E413)</f>
        <v/>
      </c>
      <c r="G413" s="7"/>
      <c r="H413" s="7"/>
    </row>
    <row r="414" customFormat="false" ht="15" hidden="false" customHeight="true" outlineLevel="0" collapsed="false">
      <c r="A414" s="15"/>
      <c r="B414" s="7"/>
      <c r="C414" s="16" t="str">
        <f aca="false">IF(B414="","",IFERROR(INDEX(Products!$B$2:$B$501,MATCH(B414,Products!$A$2:$A$501,0)),"CODE NOT FOUND"))</f>
        <v/>
      </c>
      <c r="D414" s="7"/>
      <c r="E414" s="13"/>
      <c r="F414" s="17" t="str">
        <f aca="false">IF(OR(D414="",E414=""),"",D414*E414)</f>
        <v/>
      </c>
      <c r="G414" s="7"/>
      <c r="H414" s="7"/>
    </row>
    <row r="415" customFormat="false" ht="15" hidden="false" customHeight="true" outlineLevel="0" collapsed="false">
      <c r="A415" s="15"/>
      <c r="B415" s="7"/>
      <c r="C415" s="16" t="str">
        <f aca="false">IF(B415="","",IFERROR(INDEX(Products!$B$2:$B$501,MATCH(B415,Products!$A$2:$A$501,0)),"CODE NOT FOUND"))</f>
        <v/>
      </c>
      <c r="D415" s="7"/>
      <c r="E415" s="13"/>
      <c r="F415" s="17" t="str">
        <f aca="false">IF(OR(D415="",E415=""),"",D415*E415)</f>
        <v/>
      </c>
      <c r="G415" s="7"/>
      <c r="H415" s="7"/>
    </row>
    <row r="416" customFormat="false" ht="15" hidden="false" customHeight="true" outlineLevel="0" collapsed="false">
      <c r="A416" s="15"/>
      <c r="B416" s="7"/>
      <c r="C416" s="16" t="str">
        <f aca="false">IF(B416="","",IFERROR(INDEX(Products!$B$2:$B$501,MATCH(B416,Products!$A$2:$A$501,0)),"CODE NOT FOUND"))</f>
        <v/>
      </c>
      <c r="D416" s="7"/>
      <c r="E416" s="13"/>
      <c r="F416" s="17" t="str">
        <f aca="false">IF(OR(D416="",E416=""),"",D416*E416)</f>
        <v/>
      </c>
      <c r="G416" s="7"/>
      <c r="H416" s="7"/>
    </row>
    <row r="417" customFormat="false" ht="15" hidden="false" customHeight="true" outlineLevel="0" collapsed="false">
      <c r="A417" s="15"/>
      <c r="B417" s="7"/>
      <c r="C417" s="16" t="str">
        <f aca="false">IF(B417="","",IFERROR(INDEX(Products!$B$2:$B$501,MATCH(B417,Products!$A$2:$A$501,0)),"CODE NOT FOUND"))</f>
        <v/>
      </c>
      <c r="D417" s="7"/>
      <c r="E417" s="13"/>
      <c r="F417" s="17" t="str">
        <f aca="false">IF(OR(D417="",E417=""),"",D417*E417)</f>
        <v/>
      </c>
      <c r="G417" s="7"/>
      <c r="H417" s="7"/>
    </row>
    <row r="418" customFormat="false" ht="15" hidden="false" customHeight="true" outlineLevel="0" collapsed="false">
      <c r="A418" s="15"/>
      <c r="B418" s="7"/>
      <c r="C418" s="16" t="str">
        <f aca="false">IF(B418="","",IFERROR(INDEX(Products!$B$2:$B$501,MATCH(B418,Products!$A$2:$A$501,0)),"CODE NOT FOUND"))</f>
        <v/>
      </c>
      <c r="D418" s="7"/>
      <c r="E418" s="13"/>
      <c r="F418" s="17" t="str">
        <f aca="false">IF(OR(D418="",E418=""),"",D418*E418)</f>
        <v/>
      </c>
      <c r="G418" s="7"/>
      <c r="H418" s="7"/>
    </row>
    <row r="419" customFormat="false" ht="15" hidden="false" customHeight="true" outlineLevel="0" collapsed="false">
      <c r="A419" s="15"/>
      <c r="B419" s="7"/>
      <c r="C419" s="16" t="str">
        <f aca="false">IF(B419="","",IFERROR(INDEX(Products!$B$2:$B$501,MATCH(B419,Products!$A$2:$A$501,0)),"CODE NOT FOUND"))</f>
        <v/>
      </c>
      <c r="D419" s="7"/>
      <c r="E419" s="13"/>
      <c r="F419" s="17" t="str">
        <f aca="false">IF(OR(D419="",E419=""),"",D419*E419)</f>
        <v/>
      </c>
      <c r="G419" s="7"/>
      <c r="H419" s="7"/>
    </row>
    <row r="420" customFormat="false" ht="15" hidden="false" customHeight="true" outlineLevel="0" collapsed="false">
      <c r="A420" s="15"/>
      <c r="B420" s="7"/>
      <c r="C420" s="16" t="str">
        <f aca="false">IF(B420="","",IFERROR(INDEX(Products!$B$2:$B$501,MATCH(B420,Products!$A$2:$A$501,0)),"CODE NOT FOUND"))</f>
        <v/>
      </c>
      <c r="D420" s="7"/>
      <c r="E420" s="13"/>
      <c r="F420" s="17" t="str">
        <f aca="false">IF(OR(D420="",E420=""),"",D420*E420)</f>
        <v/>
      </c>
      <c r="G420" s="7"/>
      <c r="H420" s="7"/>
    </row>
    <row r="421" customFormat="false" ht="15" hidden="false" customHeight="true" outlineLevel="0" collapsed="false">
      <c r="A421" s="15"/>
      <c r="B421" s="7"/>
      <c r="C421" s="16" t="str">
        <f aca="false">IF(B421="","",IFERROR(INDEX(Products!$B$2:$B$501,MATCH(B421,Products!$A$2:$A$501,0)),"CODE NOT FOUND"))</f>
        <v/>
      </c>
      <c r="D421" s="7"/>
      <c r="E421" s="13"/>
      <c r="F421" s="17" t="str">
        <f aca="false">IF(OR(D421="",E421=""),"",D421*E421)</f>
        <v/>
      </c>
      <c r="G421" s="7"/>
      <c r="H421" s="7"/>
    </row>
    <row r="422" customFormat="false" ht="15" hidden="false" customHeight="true" outlineLevel="0" collapsed="false">
      <c r="A422" s="15"/>
      <c r="B422" s="7"/>
      <c r="C422" s="16" t="str">
        <f aca="false">IF(B422="","",IFERROR(INDEX(Products!$B$2:$B$501,MATCH(B422,Products!$A$2:$A$501,0)),"CODE NOT FOUND"))</f>
        <v/>
      </c>
      <c r="D422" s="7"/>
      <c r="E422" s="13"/>
      <c r="F422" s="17" t="str">
        <f aca="false">IF(OR(D422="",E422=""),"",D422*E422)</f>
        <v/>
      </c>
      <c r="G422" s="7"/>
      <c r="H422" s="7"/>
    </row>
    <row r="423" customFormat="false" ht="15" hidden="false" customHeight="true" outlineLevel="0" collapsed="false">
      <c r="A423" s="15"/>
      <c r="B423" s="7"/>
      <c r="C423" s="16" t="str">
        <f aca="false">IF(B423="","",IFERROR(INDEX(Products!$B$2:$B$501,MATCH(B423,Products!$A$2:$A$501,0)),"CODE NOT FOUND"))</f>
        <v/>
      </c>
      <c r="D423" s="7"/>
      <c r="E423" s="13"/>
      <c r="F423" s="17" t="str">
        <f aca="false">IF(OR(D423="",E423=""),"",D423*E423)</f>
        <v/>
      </c>
      <c r="G423" s="7"/>
      <c r="H423" s="7"/>
    </row>
    <row r="424" customFormat="false" ht="15" hidden="false" customHeight="true" outlineLevel="0" collapsed="false">
      <c r="A424" s="15"/>
      <c r="B424" s="7"/>
      <c r="C424" s="16" t="str">
        <f aca="false">IF(B424="","",IFERROR(INDEX(Products!$B$2:$B$501,MATCH(B424,Products!$A$2:$A$501,0)),"CODE NOT FOUND"))</f>
        <v/>
      </c>
      <c r="D424" s="7"/>
      <c r="E424" s="13"/>
      <c r="F424" s="17" t="str">
        <f aca="false">IF(OR(D424="",E424=""),"",D424*E424)</f>
        <v/>
      </c>
      <c r="G424" s="7"/>
      <c r="H424" s="7"/>
    </row>
    <row r="425" customFormat="false" ht="15" hidden="false" customHeight="true" outlineLevel="0" collapsed="false">
      <c r="A425" s="15"/>
      <c r="B425" s="7"/>
      <c r="C425" s="16" t="str">
        <f aca="false">IF(B425="","",IFERROR(INDEX(Products!$B$2:$B$501,MATCH(B425,Products!$A$2:$A$501,0)),"CODE NOT FOUND"))</f>
        <v/>
      </c>
      <c r="D425" s="7"/>
      <c r="E425" s="13"/>
      <c r="F425" s="17" t="str">
        <f aca="false">IF(OR(D425="",E425=""),"",D425*E425)</f>
        <v/>
      </c>
      <c r="G425" s="7"/>
      <c r="H425" s="7"/>
    </row>
    <row r="426" customFormat="false" ht="15" hidden="false" customHeight="true" outlineLevel="0" collapsed="false">
      <c r="A426" s="15"/>
      <c r="B426" s="7"/>
      <c r="C426" s="16" t="str">
        <f aca="false">IF(B426="","",IFERROR(INDEX(Products!$B$2:$B$501,MATCH(B426,Products!$A$2:$A$501,0)),"CODE NOT FOUND"))</f>
        <v/>
      </c>
      <c r="D426" s="7"/>
      <c r="E426" s="13"/>
      <c r="F426" s="17" t="str">
        <f aca="false">IF(OR(D426="",E426=""),"",D426*E426)</f>
        <v/>
      </c>
      <c r="G426" s="7"/>
      <c r="H426" s="7"/>
    </row>
    <row r="427" customFormat="false" ht="15" hidden="false" customHeight="true" outlineLevel="0" collapsed="false">
      <c r="A427" s="15"/>
      <c r="B427" s="7"/>
      <c r="C427" s="16" t="str">
        <f aca="false">IF(B427="","",IFERROR(INDEX(Products!$B$2:$B$501,MATCH(B427,Products!$A$2:$A$501,0)),"CODE NOT FOUND"))</f>
        <v/>
      </c>
      <c r="D427" s="7"/>
      <c r="E427" s="13"/>
      <c r="F427" s="17" t="str">
        <f aca="false">IF(OR(D427="",E427=""),"",D427*E427)</f>
        <v/>
      </c>
      <c r="G427" s="7"/>
      <c r="H427" s="7"/>
    </row>
    <row r="428" customFormat="false" ht="15" hidden="false" customHeight="true" outlineLevel="0" collapsed="false">
      <c r="A428" s="15"/>
      <c r="B428" s="7"/>
      <c r="C428" s="16" t="str">
        <f aca="false">IF(B428="","",IFERROR(INDEX(Products!$B$2:$B$501,MATCH(B428,Products!$A$2:$A$501,0)),"CODE NOT FOUND"))</f>
        <v/>
      </c>
      <c r="D428" s="7"/>
      <c r="E428" s="13"/>
      <c r="F428" s="17" t="str">
        <f aca="false">IF(OR(D428="",E428=""),"",D428*E428)</f>
        <v/>
      </c>
      <c r="G428" s="7"/>
      <c r="H428" s="7"/>
    </row>
    <row r="429" customFormat="false" ht="15" hidden="false" customHeight="true" outlineLevel="0" collapsed="false">
      <c r="A429" s="15"/>
      <c r="B429" s="7"/>
      <c r="C429" s="16" t="str">
        <f aca="false">IF(B429="","",IFERROR(INDEX(Products!$B$2:$B$501,MATCH(B429,Products!$A$2:$A$501,0)),"CODE NOT FOUND"))</f>
        <v/>
      </c>
      <c r="D429" s="7"/>
      <c r="E429" s="13"/>
      <c r="F429" s="17" t="str">
        <f aca="false">IF(OR(D429="",E429=""),"",D429*E429)</f>
        <v/>
      </c>
      <c r="G429" s="7"/>
      <c r="H429" s="7"/>
    </row>
    <row r="430" customFormat="false" ht="15" hidden="false" customHeight="true" outlineLevel="0" collapsed="false">
      <c r="A430" s="15"/>
      <c r="B430" s="7"/>
      <c r="C430" s="16" t="str">
        <f aca="false">IF(B430="","",IFERROR(INDEX(Products!$B$2:$B$501,MATCH(B430,Products!$A$2:$A$501,0)),"CODE NOT FOUND"))</f>
        <v/>
      </c>
      <c r="D430" s="7"/>
      <c r="E430" s="13"/>
      <c r="F430" s="17" t="str">
        <f aca="false">IF(OR(D430="",E430=""),"",D430*E430)</f>
        <v/>
      </c>
      <c r="G430" s="7"/>
      <c r="H430" s="7"/>
    </row>
    <row r="431" customFormat="false" ht="15" hidden="false" customHeight="true" outlineLevel="0" collapsed="false">
      <c r="A431" s="15"/>
      <c r="B431" s="7"/>
      <c r="C431" s="16" t="str">
        <f aca="false">IF(B431="","",IFERROR(INDEX(Products!$B$2:$B$501,MATCH(B431,Products!$A$2:$A$501,0)),"CODE NOT FOUND"))</f>
        <v/>
      </c>
      <c r="D431" s="7"/>
      <c r="E431" s="13"/>
      <c r="F431" s="17" t="str">
        <f aca="false">IF(OR(D431="",E431=""),"",D431*E431)</f>
        <v/>
      </c>
      <c r="G431" s="7"/>
      <c r="H431" s="7"/>
    </row>
    <row r="432" customFormat="false" ht="15" hidden="false" customHeight="true" outlineLevel="0" collapsed="false">
      <c r="A432" s="15"/>
      <c r="B432" s="7"/>
      <c r="C432" s="16" t="str">
        <f aca="false">IF(B432="","",IFERROR(INDEX(Products!$B$2:$B$501,MATCH(B432,Products!$A$2:$A$501,0)),"CODE NOT FOUND"))</f>
        <v/>
      </c>
      <c r="D432" s="7"/>
      <c r="E432" s="13"/>
      <c r="F432" s="17" t="str">
        <f aca="false">IF(OR(D432="",E432=""),"",D432*E432)</f>
        <v/>
      </c>
      <c r="G432" s="7"/>
      <c r="H432" s="7"/>
    </row>
    <row r="433" customFormat="false" ht="15" hidden="false" customHeight="true" outlineLevel="0" collapsed="false">
      <c r="A433" s="15"/>
      <c r="B433" s="7"/>
      <c r="C433" s="16" t="str">
        <f aca="false">IF(B433="","",IFERROR(INDEX(Products!$B$2:$B$501,MATCH(B433,Products!$A$2:$A$501,0)),"CODE NOT FOUND"))</f>
        <v/>
      </c>
      <c r="D433" s="7"/>
      <c r="E433" s="13"/>
      <c r="F433" s="17" t="str">
        <f aca="false">IF(OR(D433="",E433=""),"",D433*E433)</f>
        <v/>
      </c>
      <c r="G433" s="7"/>
      <c r="H433" s="7"/>
    </row>
    <row r="434" customFormat="false" ht="15" hidden="false" customHeight="true" outlineLevel="0" collapsed="false">
      <c r="A434" s="15"/>
      <c r="B434" s="7"/>
      <c r="C434" s="16" t="str">
        <f aca="false">IF(B434="","",IFERROR(INDEX(Products!$B$2:$B$501,MATCH(B434,Products!$A$2:$A$501,0)),"CODE NOT FOUND"))</f>
        <v/>
      </c>
      <c r="D434" s="7"/>
      <c r="E434" s="13"/>
      <c r="F434" s="17" t="str">
        <f aca="false">IF(OR(D434="",E434=""),"",D434*E434)</f>
        <v/>
      </c>
      <c r="G434" s="7"/>
      <c r="H434" s="7"/>
    </row>
    <row r="435" customFormat="false" ht="15" hidden="false" customHeight="true" outlineLevel="0" collapsed="false">
      <c r="A435" s="15"/>
      <c r="B435" s="7"/>
      <c r="C435" s="16" t="str">
        <f aca="false">IF(B435="","",IFERROR(INDEX(Products!$B$2:$B$501,MATCH(B435,Products!$A$2:$A$501,0)),"CODE NOT FOUND"))</f>
        <v/>
      </c>
      <c r="D435" s="7"/>
      <c r="E435" s="13"/>
      <c r="F435" s="17" t="str">
        <f aca="false">IF(OR(D435="",E435=""),"",D435*E435)</f>
        <v/>
      </c>
      <c r="G435" s="7"/>
      <c r="H435" s="7"/>
    </row>
    <row r="436" customFormat="false" ht="15" hidden="false" customHeight="true" outlineLevel="0" collapsed="false">
      <c r="A436" s="15"/>
      <c r="B436" s="7"/>
      <c r="C436" s="16" t="str">
        <f aca="false">IF(B436="","",IFERROR(INDEX(Products!$B$2:$B$501,MATCH(B436,Products!$A$2:$A$501,0)),"CODE NOT FOUND"))</f>
        <v/>
      </c>
      <c r="D436" s="7"/>
      <c r="E436" s="13"/>
      <c r="F436" s="17" t="str">
        <f aca="false">IF(OR(D436="",E436=""),"",D436*E436)</f>
        <v/>
      </c>
      <c r="G436" s="7"/>
      <c r="H436" s="7"/>
    </row>
    <row r="437" customFormat="false" ht="15" hidden="false" customHeight="true" outlineLevel="0" collapsed="false">
      <c r="A437" s="15"/>
      <c r="B437" s="7"/>
      <c r="C437" s="16" t="str">
        <f aca="false">IF(B437="","",IFERROR(INDEX(Products!$B$2:$B$501,MATCH(B437,Products!$A$2:$A$501,0)),"CODE NOT FOUND"))</f>
        <v/>
      </c>
      <c r="D437" s="7"/>
      <c r="E437" s="13"/>
      <c r="F437" s="17" t="str">
        <f aca="false">IF(OR(D437="",E437=""),"",D437*E437)</f>
        <v/>
      </c>
      <c r="G437" s="7"/>
      <c r="H437" s="7"/>
    </row>
    <row r="438" customFormat="false" ht="15" hidden="false" customHeight="true" outlineLevel="0" collapsed="false">
      <c r="A438" s="15"/>
      <c r="B438" s="7"/>
      <c r="C438" s="16" t="str">
        <f aca="false">IF(B438="","",IFERROR(INDEX(Products!$B$2:$B$501,MATCH(B438,Products!$A$2:$A$501,0)),"CODE NOT FOUND"))</f>
        <v/>
      </c>
      <c r="D438" s="7"/>
      <c r="E438" s="13"/>
      <c r="F438" s="17" t="str">
        <f aca="false">IF(OR(D438="",E438=""),"",D438*E438)</f>
        <v/>
      </c>
      <c r="G438" s="7"/>
      <c r="H438" s="7"/>
    </row>
    <row r="439" customFormat="false" ht="15" hidden="false" customHeight="true" outlineLevel="0" collapsed="false">
      <c r="A439" s="15"/>
      <c r="B439" s="7"/>
      <c r="C439" s="16" t="str">
        <f aca="false">IF(B439="","",IFERROR(INDEX(Products!$B$2:$B$501,MATCH(B439,Products!$A$2:$A$501,0)),"CODE NOT FOUND"))</f>
        <v/>
      </c>
      <c r="D439" s="7"/>
      <c r="E439" s="13"/>
      <c r="F439" s="17" t="str">
        <f aca="false">IF(OR(D439="",E439=""),"",D439*E439)</f>
        <v/>
      </c>
      <c r="G439" s="7"/>
      <c r="H439" s="7"/>
    </row>
    <row r="440" customFormat="false" ht="15" hidden="false" customHeight="true" outlineLevel="0" collapsed="false">
      <c r="A440" s="15"/>
      <c r="B440" s="7"/>
      <c r="C440" s="16" t="str">
        <f aca="false">IF(B440="","",IFERROR(INDEX(Products!$B$2:$B$501,MATCH(B440,Products!$A$2:$A$501,0)),"CODE NOT FOUND"))</f>
        <v/>
      </c>
      <c r="D440" s="7"/>
      <c r="E440" s="13"/>
      <c r="F440" s="17" t="str">
        <f aca="false">IF(OR(D440="",E440=""),"",D440*E440)</f>
        <v/>
      </c>
      <c r="G440" s="7"/>
      <c r="H440" s="7"/>
    </row>
    <row r="441" customFormat="false" ht="15" hidden="false" customHeight="true" outlineLevel="0" collapsed="false">
      <c r="A441" s="15"/>
      <c r="B441" s="7"/>
      <c r="C441" s="16" t="str">
        <f aca="false">IF(B441="","",IFERROR(INDEX(Products!$B$2:$B$501,MATCH(B441,Products!$A$2:$A$501,0)),"CODE NOT FOUND"))</f>
        <v/>
      </c>
      <c r="D441" s="7"/>
      <c r="E441" s="13"/>
      <c r="F441" s="17" t="str">
        <f aca="false">IF(OR(D441="",E441=""),"",D441*E441)</f>
        <v/>
      </c>
      <c r="G441" s="7"/>
      <c r="H441" s="7"/>
    </row>
    <row r="442" customFormat="false" ht="15" hidden="false" customHeight="true" outlineLevel="0" collapsed="false">
      <c r="A442" s="15"/>
      <c r="B442" s="7"/>
      <c r="C442" s="16" t="str">
        <f aca="false">IF(B442="","",IFERROR(INDEX(Products!$B$2:$B$501,MATCH(B442,Products!$A$2:$A$501,0)),"CODE NOT FOUND"))</f>
        <v/>
      </c>
      <c r="D442" s="7"/>
      <c r="E442" s="13"/>
      <c r="F442" s="17" t="str">
        <f aca="false">IF(OR(D442="",E442=""),"",D442*E442)</f>
        <v/>
      </c>
      <c r="G442" s="7"/>
      <c r="H442" s="7"/>
    </row>
    <row r="443" customFormat="false" ht="15" hidden="false" customHeight="true" outlineLevel="0" collapsed="false">
      <c r="A443" s="15"/>
      <c r="B443" s="7"/>
      <c r="C443" s="16" t="str">
        <f aca="false">IF(B443="","",IFERROR(INDEX(Products!$B$2:$B$501,MATCH(B443,Products!$A$2:$A$501,0)),"CODE NOT FOUND"))</f>
        <v/>
      </c>
      <c r="D443" s="7"/>
      <c r="E443" s="13"/>
      <c r="F443" s="17" t="str">
        <f aca="false">IF(OR(D443="",E443=""),"",D443*E443)</f>
        <v/>
      </c>
      <c r="G443" s="7"/>
      <c r="H443" s="7"/>
    </row>
    <row r="444" customFormat="false" ht="15" hidden="false" customHeight="true" outlineLevel="0" collapsed="false">
      <c r="A444" s="15"/>
      <c r="B444" s="7"/>
      <c r="C444" s="16" t="str">
        <f aca="false">IF(B444="","",IFERROR(INDEX(Products!$B$2:$B$501,MATCH(B444,Products!$A$2:$A$501,0)),"CODE NOT FOUND"))</f>
        <v/>
      </c>
      <c r="D444" s="7"/>
      <c r="E444" s="13"/>
      <c r="F444" s="17" t="str">
        <f aca="false">IF(OR(D444="",E444=""),"",D444*E444)</f>
        <v/>
      </c>
      <c r="G444" s="7"/>
      <c r="H444" s="7"/>
    </row>
    <row r="445" customFormat="false" ht="15" hidden="false" customHeight="true" outlineLevel="0" collapsed="false">
      <c r="A445" s="15"/>
      <c r="B445" s="7"/>
      <c r="C445" s="16" t="str">
        <f aca="false">IF(B445="","",IFERROR(INDEX(Products!$B$2:$B$501,MATCH(B445,Products!$A$2:$A$501,0)),"CODE NOT FOUND"))</f>
        <v/>
      </c>
      <c r="D445" s="7"/>
      <c r="E445" s="13"/>
      <c r="F445" s="17" t="str">
        <f aca="false">IF(OR(D445="",E445=""),"",D445*E445)</f>
        <v/>
      </c>
      <c r="G445" s="7"/>
      <c r="H445" s="7"/>
    </row>
    <row r="446" customFormat="false" ht="15" hidden="false" customHeight="true" outlineLevel="0" collapsed="false">
      <c r="A446" s="15"/>
      <c r="B446" s="7"/>
      <c r="C446" s="16" t="str">
        <f aca="false">IF(B446="","",IFERROR(INDEX(Products!$B$2:$B$501,MATCH(B446,Products!$A$2:$A$501,0)),"CODE NOT FOUND"))</f>
        <v/>
      </c>
      <c r="D446" s="7"/>
      <c r="E446" s="13"/>
      <c r="F446" s="17" t="str">
        <f aca="false">IF(OR(D446="",E446=""),"",D446*E446)</f>
        <v/>
      </c>
      <c r="G446" s="7"/>
      <c r="H446" s="7"/>
    </row>
    <row r="447" customFormat="false" ht="15" hidden="false" customHeight="true" outlineLevel="0" collapsed="false">
      <c r="A447" s="15"/>
      <c r="B447" s="7"/>
      <c r="C447" s="16" t="str">
        <f aca="false">IF(B447="","",IFERROR(INDEX(Products!$B$2:$B$501,MATCH(B447,Products!$A$2:$A$501,0)),"CODE NOT FOUND"))</f>
        <v/>
      </c>
      <c r="D447" s="7"/>
      <c r="E447" s="13"/>
      <c r="F447" s="17" t="str">
        <f aca="false">IF(OR(D447="",E447=""),"",D447*E447)</f>
        <v/>
      </c>
      <c r="G447" s="7"/>
      <c r="H447" s="7"/>
    </row>
    <row r="448" customFormat="false" ht="15" hidden="false" customHeight="true" outlineLevel="0" collapsed="false">
      <c r="A448" s="15"/>
      <c r="B448" s="7"/>
      <c r="C448" s="16" t="str">
        <f aca="false">IF(B448="","",IFERROR(INDEX(Products!$B$2:$B$501,MATCH(B448,Products!$A$2:$A$501,0)),"CODE NOT FOUND"))</f>
        <v/>
      </c>
      <c r="D448" s="7"/>
      <c r="E448" s="13"/>
      <c r="F448" s="17" t="str">
        <f aca="false">IF(OR(D448="",E448=""),"",D448*E448)</f>
        <v/>
      </c>
      <c r="G448" s="7"/>
      <c r="H448" s="7"/>
    </row>
    <row r="449" customFormat="false" ht="15" hidden="false" customHeight="true" outlineLevel="0" collapsed="false">
      <c r="A449" s="15"/>
      <c r="B449" s="7"/>
      <c r="C449" s="16" t="str">
        <f aca="false">IF(B449="","",IFERROR(INDEX(Products!$B$2:$B$501,MATCH(B449,Products!$A$2:$A$501,0)),"CODE NOT FOUND"))</f>
        <v/>
      </c>
      <c r="D449" s="7"/>
      <c r="E449" s="13"/>
      <c r="F449" s="17" t="str">
        <f aca="false">IF(OR(D449="",E449=""),"",D449*E449)</f>
        <v/>
      </c>
      <c r="G449" s="7"/>
      <c r="H449" s="7"/>
    </row>
    <row r="450" customFormat="false" ht="15" hidden="false" customHeight="true" outlineLevel="0" collapsed="false">
      <c r="A450" s="15"/>
      <c r="B450" s="7"/>
      <c r="C450" s="16" t="str">
        <f aca="false">IF(B450="","",IFERROR(INDEX(Products!$B$2:$B$501,MATCH(B450,Products!$A$2:$A$501,0)),"CODE NOT FOUND"))</f>
        <v/>
      </c>
      <c r="D450" s="7"/>
      <c r="E450" s="13"/>
      <c r="F450" s="17" t="str">
        <f aca="false">IF(OR(D450="",E450=""),"",D450*E450)</f>
        <v/>
      </c>
      <c r="G450" s="7"/>
      <c r="H450" s="7"/>
    </row>
    <row r="451" customFormat="false" ht="15" hidden="false" customHeight="true" outlineLevel="0" collapsed="false">
      <c r="A451" s="15"/>
      <c r="B451" s="7"/>
      <c r="C451" s="16" t="str">
        <f aca="false">IF(B451="","",IFERROR(INDEX(Products!$B$2:$B$501,MATCH(B451,Products!$A$2:$A$501,0)),"CODE NOT FOUND"))</f>
        <v/>
      </c>
      <c r="D451" s="7"/>
      <c r="E451" s="13"/>
      <c r="F451" s="17" t="str">
        <f aca="false">IF(OR(D451="",E451=""),"",D451*E451)</f>
        <v/>
      </c>
      <c r="G451" s="7"/>
      <c r="H451" s="7"/>
    </row>
    <row r="452" customFormat="false" ht="15" hidden="false" customHeight="true" outlineLevel="0" collapsed="false">
      <c r="A452" s="15"/>
      <c r="B452" s="7"/>
      <c r="C452" s="16" t="str">
        <f aca="false">IF(B452="","",IFERROR(INDEX(Products!$B$2:$B$501,MATCH(B452,Products!$A$2:$A$501,0)),"CODE NOT FOUND"))</f>
        <v/>
      </c>
      <c r="D452" s="7"/>
      <c r="E452" s="13"/>
      <c r="F452" s="17" t="str">
        <f aca="false">IF(OR(D452="",E452=""),"",D452*E452)</f>
        <v/>
      </c>
      <c r="G452" s="7"/>
      <c r="H452" s="7"/>
    </row>
    <row r="453" customFormat="false" ht="15" hidden="false" customHeight="true" outlineLevel="0" collapsed="false">
      <c r="A453" s="15"/>
      <c r="B453" s="7"/>
      <c r="C453" s="16" t="str">
        <f aca="false">IF(B453="","",IFERROR(INDEX(Products!$B$2:$B$501,MATCH(B453,Products!$A$2:$A$501,0)),"CODE NOT FOUND"))</f>
        <v/>
      </c>
      <c r="D453" s="7"/>
      <c r="E453" s="13"/>
      <c r="F453" s="17" t="str">
        <f aca="false">IF(OR(D453="",E453=""),"",D453*E453)</f>
        <v/>
      </c>
      <c r="G453" s="7"/>
      <c r="H453" s="7"/>
    </row>
    <row r="454" customFormat="false" ht="15" hidden="false" customHeight="true" outlineLevel="0" collapsed="false">
      <c r="A454" s="15"/>
      <c r="B454" s="7"/>
      <c r="C454" s="16" t="str">
        <f aca="false">IF(B454="","",IFERROR(INDEX(Products!$B$2:$B$501,MATCH(B454,Products!$A$2:$A$501,0)),"CODE NOT FOUND"))</f>
        <v/>
      </c>
      <c r="D454" s="7"/>
      <c r="E454" s="13"/>
      <c r="F454" s="17" t="str">
        <f aca="false">IF(OR(D454="",E454=""),"",D454*E454)</f>
        <v/>
      </c>
      <c r="G454" s="7"/>
      <c r="H454" s="7"/>
    </row>
    <row r="455" customFormat="false" ht="15" hidden="false" customHeight="true" outlineLevel="0" collapsed="false">
      <c r="A455" s="15"/>
      <c r="B455" s="7"/>
      <c r="C455" s="16" t="str">
        <f aca="false">IF(B455="","",IFERROR(INDEX(Products!$B$2:$B$501,MATCH(B455,Products!$A$2:$A$501,0)),"CODE NOT FOUND"))</f>
        <v/>
      </c>
      <c r="D455" s="7"/>
      <c r="E455" s="13"/>
      <c r="F455" s="17" t="str">
        <f aca="false">IF(OR(D455="",E455=""),"",D455*E455)</f>
        <v/>
      </c>
      <c r="G455" s="7"/>
      <c r="H455" s="7"/>
    </row>
    <row r="456" customFormat="false" ht="15" hidden="false" customHeight="true" outlineLevel="0" collapsed="false">
      <c r="A456" s="15"/>
      <c r="B456" s="7"/>
      <c r="C456" s="16" t="str">
        <f aca="false">IF(B456="","",IFERROR(INDEX(Products!$B$2:$B$501,MATCH(B456,Products!$A$2:$A$501,0)),"CODE NOT FOUND"))</f>
        <v/>
      </c>
      <c r="D456" s="7"/>
      <c r="E456" s="13"/>
      <c r="F456" s="17" t="str">
        <f aca="false">IF(OR(D456="",E456=""),"",D456*E456)</f>
        <v/>
      </c>
      <c r="G456" s="7"/>
      <c r="H456" s="7"/>
    </row>
    <row r="457" customFormat="false" ht="15" hidden="false" customHeight="true" outlineLevel="0" collapsed="false">
      <c r="A457" s="15"/>
      <c r="B457" s="7"/>
      <c r="C457" s="16" t="str">
        <f aca="false">IF(B457="","",IFERROR(INDEX(Products!$B$2:$B$501,MATCH(B457,Products!$A$2:$A$501,0)),"CODE NOT FOUND"))</f>
        <v/>
      </c>
      <c r="D457" s="7"/>
      <c r="E457" s="13"/>
      <c r="F457" s="17" t="str">
        <f aca="false">IF(OR(D457="",E457=""),"",D457*E457)</f>
        <v/>
      </c>
      <c r="G457" s="7"/>
      <c r="H457" s="7"/>
    </row>
    <row r="458" customFormat="false" ht="15" hidden="false" customHeight="true" outlineLevel="0" collapsed="false">
      <c r="A458" s="15"/>
      <c r="B458" s="7"/>
      <c r="C458" s="16" t="str">
        <f aca="false">IF(B458="","",IFERROR(INDEX(Products!$B$2:$B$501,MATCH(B458,Products!$A$2:$A$501,0)),"CODE NOT FOUND"))</f>
        <v/>
      </c>
      <c r="D458" s="7"/>
      <c r="E458" s="13"/>
      <c r="F458" s="17" t="str">
        <f aca="false">IF(OR(D458="",E458=""),"",D458*E458)</f>
        <v/>
      </c>
      <c r="G458" s="7"/>
      <c r="H458" s="7"/>
    </row>
    <row r="459" customFormat="false" ht="15" hidden="false" customHeight="true" outlineLevel="0" collapsed="false">
      <c r="A459" s="15"/>
      <c r="B459" s="7"/>
      <c r="C459" s="16" t="str">
        <f aca="false">IF(B459="","",IFERROR(INDEX(Products!$B$2:$B$501,MATCH(B459,Products!$A$2:$A$501,0)),"CODE NOT FOUND"))</f>
        <v/>
      </c>
      <c r="D459" s="7"/>
      <c r="E459" s="13"/>
      <c r="F459" s="17" t="str">
        <f aca="false">IF(OR(D459="",E459=""),"",D459*E459)</f>
        <v/>
      </c>
      <c r="G459" s="7"/>
      <c r="H459" s="7"/>
    </row>
    <row r="460" customFormat="false" ht="15" hidden="false" customHeight="true" outlineLevel="0" collapsed="false">
      <c r="A460" s="15"/>
      <c r="B460" s="7"/>
      <c r="C460" s="16" t="str">
        <f aca="false">IF(B460="","",IFERROR(INDEX(Products!$B$2:$B$501,MATCH(B460,Products!$A$2:$A$501,0)),"CODE NOT FOUND"))</f>
        <v/>
      </c>
      <c r="D460" s="7"/>
      <c r="E460" s="13"/>
      <c r="F460" s="17" t="str">
        <f aca="false">IF(OR(D460="",E460=""),"",D460*E460)</f>
        <v/>
      </c>
      <c r="G460" s="7"/>
      <c r="H460" s="7"/>
    </row>
    <row r="461" customFormat="false" ht="15" hidden="false" customHeight="true" outlineLevel="0" collapsed="false">
      <c r="A461" s="15"/>
      <c r="B461" s="7"/>
      <c r="C461" s="16" t="str">
        <f aca="false">IF(B461="","",IFERROR(INDEX(Products!$B$2:$B$501,MATCH(B461,Products!$A$2:$A$501,0)),"CODE NOT FOUND"))</f>
        <v/>
      </c>
      <c r="D461" s="7"/>
      <c r="E461" s="13"/>
      <c r="F461" s="17" t="str">
        <f aca="false">IF(OR(D461="",E461=""),"",D461*E461)</f>
        <v/>
      </c>
      <c r="G461" s="7"/>
      <c r="H461" s="7"/>
    </row>
    <row r="462" customFormat="false" ht="15" hidden="false" customHeight="true" outlineLevel="0" collapsed="false">
      <c r="A462" s="15"/>
      <c r="B462" s="7"/>
      <c r="C462" s="16" t="str">
        <f aca="false">IF(B462="","",IFERROR(INDEX(Products!$B$2:$B$501,MATCH(B462,Products!$A$2:$A$501,0)),"CODE NOT FOUND"))</f>
        <v/>
      </c>
      <c r="D462" s="7"/>
      <c r="E462" s="13"/>
      <c r="F462" s="17" t="str">
        <f aca="false">IF(OR(D462="",E462=""),"",D462*E462)</f>
        <v/>
      </c>
      <c r="G462" s="7"/>
      <c r="H462" s="7"/>
    </row>
    <row r="463" customFormat="false" ht="15" hidden="false" customHeight="true" outlineLevel="0" collapsed="false">
      <c r="A463" s="15"/>
      <c r="B463" s="7"/>
      <c r="C463" s="16" t="str">
        <f aca="false">IF(B463="","",IFERROR(INDEX(Products!$B$2:$B$501,MATCH(B463,Products!$A$2:$A$501,0)),"CODE NOT FOUND"))</f>
        <v/>
      </c>
      <c r="D463" s="7"/>
      <c r="E463" s="13"/>
      <c r="F463" s="17" t="str">
        <f aca="false">IF(OR(D463="",E463=""),"",D463*E463)</f>
        <v/>
      </c>
      <c r="G463" s="7"/>
      <c r="H463" s="7"/>
    </row>
    <row r="464" customFormat="false" ht="15" hidden="false" customHeight="true" outlineLevel="0" collapsed="false">
      <c r="A464" s="15"/>
      <c r="B464" s="7"/>
      <c r="C464" s="16" t="str">
        <f aca="false">IF(B464="","",IFERROR(INDEX(Products!$B$2:$B$501,MATCH(B464,Products!$A$2:$A$501,0)),"CODE NOT FOUND"))</f>
        <v/>
      </c>
      <c r="D464" s="7"/>
      <c r="E464" s="13"/>
      <c r="F464" s="17" t="str">
        <f aca="false">IF(OR(D464="",E464=""),"",D464*E464)</f>
        <v/>
      </c>
      <c r="G464" s="7"/>
      <c r="H464" s="7"/>
    </row>
    <row r="465" customFormat="false" ht="15" hidden="false" customHeight="true" outlineLevel="0" collapsed="false">
      <c r="A465" s="15"/>
      <c r="B465" s="7"/>
      <c r="C465" s="16" t="str">
        <f aca="false">IF(B465="","",IFERROR(INDEX(Products!$B$2:$B$501,MATCH(B465,Products!$A$2:$A$501,0)),"CODE NOT FOUND"))</f>
        <v/>
      </c>
      <c r="D465" s="7"/>
      <c r="E465" s="13"/>
      <c r="F465" s="17" t="str">
        <f aca="false">IF(OR(D465="",E465=""),"",D465*E465)</f>
        <v/>
      </c>
      <c r="G465" s="7"/>
      <c r="H465" s="7"/>
    </row>
    <row r="466" customFormat="false" ht="15" hidden="false" customHeight="true" outlineLevel="0" collapsed="false">
      <c r="A466" s="15"/>
      <c r="B466" s="7"/>
      <c r="C466" s="16" t="str">
        <f aca="false">IF(B466="","",IFERROR(INDEX(Products!$B$2:$B$501,MATCH(B466,Products!$A$2:$A$501,0)),"CODE NOT FOUND"))</f>
        <v/>
      </c>
      <c r="D466" s="7"/>
      <c r="E466" s="13"/>
      <c r="F466" s="17" t="str">
        <f aca="false">IF(OR(D466="",E466=""),"",D466*E466)</f>
        <v/>
      </c>
      <c r="G466" s="7"/>
      <c r="H466" s="7"/>
    </row>
    <row r="467" customFormat="false" ht="15" hidden="false" customHeight="true" outlineLevel="0" collapsed="false">
      <c r="A467" s="15"/>
      <c r="B467" s="7"/>
      <c r="C467" s="16" t="str">
        <f aca="false">IF(B467="","",IFERROR(INDEX(Products!$B$2:$B$501,MATCH(B467,Products!$A$2:$A$501,0)),"CODE NOT FOUND"))</f>
        <v/>
      </c>
      <c r="D467" s="7"/>
      <c r="E467" s="13"/>
      <c r="F467" s="17" t="str">
        <f aca="false">IF(OR(D467="",E467=""),"",D467*E467)</f>
        <v/>
      </c>
      <c r="G467" s="7"/>
      <c r="H467" s="7"/>
    </row>
    <row r="468" customFormat="false" ht="15" hidden="false" customHeight="true" outlineLevel="0" collapsed="false">
      <c r="A468" s="15"/>
      <c r="B468" s="7"/>
      <c r="C468" s="16" t="str">
        <f aca="false">IF(B468="","",IFERROR(INDEX(Products!$B$2:$B$501,MATCH(B468,Products!$A$2:$A$501,0)),"CODE NOT FOUND"))</f>
        <v/>
      </c>
      <c r="D468" s="7"/>
      <c r="E468" s="13"/>
      <c r="F468" s="17" t="str">
        <f aca="false">IF(OR(D468="",E468=""),"",D468*E468)</f>
        <v/>
      </c>
      <c r="G468" s="7"/>
      <c r="H468" s="7"/>
    </row>
    <row r="469" customFormat="false" ht="15" hidden="false" customHeight="true" outlineLevel="0" collapsed="false">
      <c r="A469" s="15"/>
      <c r="B469" s="7"/>
      <c r="C469" s="16" t="str">
        <f aca="false">IF(B469="","",IFERROR(INDEX(Products!$B$2:$B$501,MATCH(B469,Products!$A$2:$A$501,0)),"CODE NOT FOUND"))</f>
        <v/>
      </c>
      <c r="D469" s="7"/>
      <c r="E469" s="13"/>
      <c r="F469" s="17" t="str">
        <f aca="false">IF(OR(D469="",E469=""),"",D469*E469)</f>
        <v/>
      </c>
      <c r="G469" s="7"/>
      <c r="H469" s="7"/>
    </row>
    <row r="470" customFormat="false" ht="15" hidden="false" customHeight="true" outlineLevel="0" collapsed="false">
      <c r="A470" s="15"/>
      <c r="B470" s="7"/>
      <c r="C470" s="16" t="str">
        <f aca="false">IF(B470="","",IFERROR(INDEX(Products!$B$2:$B$501,MATCH(B470,Products!$A$2:$A$501,0)),"CODE NOT FOUND"))</f>
        <v/>
      </c>
      <c r="D470" s="7"/>
      <c r="E470" s="13"/>
      <c r="F470" s="17" t="str">
        <f aca="false">IF(OR(D470="",E470=""),"",D470*E470)</f>
        <v/>
      </c>
      <c r="G470" s="7"/>
      <c r="H470" s="7"/>
    </row>
    <row r="471" customFormat="false" ht="15" hidden="false" customHeight="true" outlineLevel="0" collapsed="false">
      <c r="A471" s="15"/>
      <c r="B471" s="7"/>
      <c r="C471" s="16" t="str">
        <f aca="false">IF(B471="","",IFERROR(INDEX(Products!$B$2:$B$501,MATCH(B471,Products!$A$2:$A$501,0)),"CODE NOT FOUND"))</f>
        <v/>
      </c>
      <c r="D471" s="7"/>
      <c r="E471" s="13"/>
      <c r="F471" s="17" t="str">
        <f aca="false">IF(OR(D471="",E471=""),"",D471*E471)</f>
        <v/>
      </c>
      <c r="G471" s="7"/>
      <c r="H471" s="7"/>
    </row>
    <row r="472" customFormat="false" ht="15" hidden="false" customHeight="true" outlineLevel="0" collapsed="false">
      <c r="A472" s="15"/>
      <c r="B472" s="7"/>
      <c r="C472" s="16" t="str">
        <f aca="false">IF(B472="","",IFERROR(INDEX(Products!$B$2:$B$501,MATCH(B472,Products!$A$2:$A$501,0)),"CODE NOT FOUND"))</f>
        <v/>
      </c>
      <c r="D472" s="7"/>
      <c r="E472" s="13"/>
      <c r="F472" s="17" t="str">
        <f aca="false">IF(OR(D472="",E472=""),"",D472*E472)</f>
        <v/>
      </c>
      <c r="G472" s="7"/>
      <c r="H472" s="7"/>
    </row>
    <row r="473" customFormat="false" ht="15" hidden="false" customHeight="true" outlineLevel="0" collapsed="false">
      <c r="A473" s="15"/>
      <c r="B473" s="7"/>
      <c r="C473" s="16" t="str">
        <f aca="false">IF(B473="","",IFERROR(INDEX(Products!$B$2:$B$501,MATCH(B473,Products!$A$2:$A$501,0)),"CODE NOT FOUND"))</f>
        <v/>
      </c>
      <c r="D473" s="7"/>
      <c r="E473" s="13"/>
      <c r="F473" s="17" t="str">
        <f aca="false">IF(OR(D473="",E473=""),"",D473*E473)</f>
        <v/>
      </c>
      <c r="G473" s="7"/>
      <c r="H473" s="7"/>
    </row>
    <row r="474" customFormat="false" ht="15" hidden="false" customHeight="true" outlineLevel="0" collapsed="false">
      <c r="A474" s="15"/>
      <c r="B474" s="7"/>
      <c r="C474" s="16" t="str">
        <f aca="false">IF(B474="","",IFERROR(INDEX(Products!$B$2:$B$501,MATCH(B474,Products!$A$2:$A$501,0)),"CODE NOT FOUND"))</f>
        <v/>
      </c>
      <c r="D474" s="7"/>
      <c r="E474" s="13"/>
      <c r="F474" s="17" t="str">
        <f aca="false">IF(OR(D474="",E474=""),"",D474*E474)</f>
        <v/>
      </c>
      <c r="G474" s="7"/>
      <c r="H474" s="7"/>
    </row>
    <row r="475" customFormat="false" ht="15" hidden="false" customHeight="true" outlineLevel="0" collapsed="false">
      <c r="A475" s="15"/>
      <c r="B475" s="7"/>
      <c r="C475" s="16" t="str">
        <f aca="false">IF(B475="","",IFERROR(INDEX(Products!$B$2:$B$501,MATCH(B475,Products!$A$2:$A$501,0)),"CODE NOT FOUND"))</f>
        <v/>
      </c>
      <c r="D475" s="7"/>
      <c r="E475" s="13"/>
      <c r="F475" s="17" t="str">
        <f aca="false">IF(OR(D475="",E475=""),"",D475*E475)</f>
        <v/>
      </c>
      <c r="G475" s="7"/>
      <c r="H475" s="7"/>
    </row>
    <row r="476" customFormat="false" ht="15" hidden="false" customHeight="true" outlineLevel="0" collapsed="false">
      <c r="A476" s="15"/>
      <c r="B476" s="7"/>
      <c r="C476" s="16" t="str">
        <f aca="false">IF(B476="","",IFERROR(INDEX(Products!$B$2:$B$501,MATCH(B476,Products!$A$2:$A$501,0)),"CODE NOT FOUND"))</f>
        <v/>
      </c>
      <c r="D476" s="7"/>
      <c r="E476" s="13"/>
      <c r="F476" s="17" t="str">
        <f aca="false">IF(OR(D476="",E476=""),"",D476*E476)</f>
        <v/>
      </c>
      <c r="G476" s="7"/>
      <c r="H476" s="7"/>
    </row>
    <row r="477" customFormat="false" ht="15" hidden="false" customHeight="true" outlineLevel="0" collapsed="false">
      <c r="A477" s="15"/>
      <c r="B477" s="7"/>
      <c r="C477" s="16" t="str">
        <f aca="false">IF(B477="","",IFERROR(INDEX(Products!$B$2:$B$501,MATCH(B477,Products!$A$2:$A$501,0)),"CODE NOT FOUND"))</f>
        <v/>
      </c>
      <c r="D477" s="7"/>
      <c r="E477" s="13"/>
      <c r="F477" s="17" t="str">
        <f aca="false">IF(OR(D477="",E477=""),"",D477*E477)</f>
        <v/>
      </c>
      <c r="G477" s="7"/>
      <c r="H477" s="7"/>
    </row>
    <row r="478" customFormat="false" ht="15" hidden="false" customHeight="true" outlineLevel="0" collapsed="false">
      <c r="A478" s="15"/>
      <c r="B478" s="7"/>
      <c r="C478" s="16" t="str">
        <f aca="false">IF(B478="","",IFERROR(INDEX(Products!$B$2:$B$501,MATCH(B478,Products!$A$2:$A$501,0)),"CODE NOT FOUND"))</f>
        <v/>
      </c>
      <c r="D478" s="7"/>
      <c r="E478" s="13"/>
      <c r="F478" s="17" t="str">
        <f aca="false">IF(OR(D478="",E478=""),"",D478*E478)</f>
        <v/>
      </c>
      <c r="G478" s="7"/>
      <c r="H478" s="7"/>
    </row>
    <row r="479" customFormat="false" ht="15" hidden="false" customHeight="true" outlineLevel="0" collapsed="false">
      <c r="A479" s="15"/>
      <c r="B479" s="7"/>
      <c r="C479" s="16" t="str">
        <f aca="false">IF(B479="","",IFERROR(INDEX(Products!$B$2:$B$501,MATCH(B479,Products!$A$2:$A$501,0)),"CODE NOT FOUND"))</f>
        <v/>
      </c>
      <c r="D479" s="7"/>
      <c r="E479" s="13"/>
      <c r="F479" s="17" t="str">
        <f aca="false">IF(OR(D479="",E479=""),"",D479*E479)</f>
        <v/>
      </c>
      <c r="G479" s="7"/>
      <c r="H479" s="7"/>
    </row>
    <row r="480" customFormat="false" ht="15" hidden="false" customHeight="true" outlineLevel="0" collapsed="false">
      <c r="A480" s="15"/>
      <c r="B480" s="7"/>
      <c r="C480" s="16" t="str">
        <f aca="false">IF(B480="","",IFERROR(INDEX(Products!$B$2:$B$501,MATCH(B480,Products!$A$2:$A$501,0)),"CODE NOT FOUND"))</f>
        <v/>
      </c>
      <c r="D480" s="7"/>
      <c r="E480" s="13"/>
      <c r="F480" s="17" t="str">
        <f aca="false">IF(OR(D480="",E480=""),"",D480*E480)</f>
        <v/>
      </c>
      <c r="G480" s="7"/>
      <c r="H480" s="7"/>
    </row>
    <row r="481" customFormat="false" ht="15" hidden="false" customHeight="true" outlineLevel="0" collapsed="false">
      <c r="A481" s="15"/>
      <c r="B481" s="7"/>
      <c r="C481" s="16" t="str">
        <f aca="false">IF(B481="","",IFERROR(INDEX(Products!$B$2:$B$501,MATCH(B481,Products!$A$2:$A$501,0)),"CODE NOT FOUND"))</f>
        <v/>
      </c>
      <c r="D481" s="7"/>
      <c r="E481" s="13"/>
      <c r="F481" s="17" t="str">
        <f aca="false">IF(OR(D481="",E481=""),"",D481*E481)</f>
        <v/>
      </c>
      <c r="G481" s="7"/>
      <c r="H481" s="7"/>
    </row>
    <row r="482" customFormat="false" ht="15" hidden="false" customHeight="true" outlineLevel="0" collapsed="false">
      <c r="A482" s="15"/>
      <c r="B482" s="7"/>
      <c r="C482" s="16" t="str">
        <f aca="false">IF(B482="","",IFERROR(INDEX(Products!$B$2:$B$501,MATCH(B482,Products!$A$2:$A$501,0)),"CODE NOT FOUND"))</f>
        <v/>
      </c>
      <c r="D482" s="7"/>
      <c r="E482" s="13"/>
      <c r="F482" s="17" t="str">
        <f aca="false">IF(OR(D482="",E482=""),"",D482*E482)</f>
        <v/>
      </c>
      <c r="G482" s="7"/>
      <c r="H482" s="7"/>
    </row>
    <row r="483" customFormat="false" ht="15" hidden="false" customHeight="true" outlineLevel="0" collapsed="false">
      <c r="A483" s="15"/>
      <c r="B483" s="7"/>
      <c r="C483" s="16" t="str">
        <f aca="false">IF(B483="","",IFERROR(INDEX(Products!$B$2:$B$501,MATCH(B483,Products!$A$2:$A$501,0)),"CODE NOT FOUND"))</f>
        <v/>
      </c>
      <c r="D483" s="7"/>
      <c r="E483" s="13"/>
      <c r="F483" s="17" t="str">
        <f aca="false">IF(OR(D483="",E483=""),"",D483*E483)</f>
        <v/>
      </c>
      <c r="G483" s="7"/>
      <c r="H483" s="7"/>
    </row>
    <row r="484" customFormat="false" ht="15" hidden="false" customHeight="true" outlineLevel="0" collapsed="false">
      <c r="A484" s="15"/>
      <c r="B484" s="7"/>
      <c r="C484" s="16" t="str">
        <f aca="false">IF(B484="","",IFERROR(INDEX(Products!$B$2:$B$501,MATCH(B484,Products!$A$2:$A$501,0)),"CODE NOT FOUND"))</f>
        <v/>
      </c>
      <c r="D484" s="7"/>
      <c r="E484" s="13"/>
      <c r="F484" s="17" t="str">
        <f aca="false">IF(OR(D484="",E484=""),"",D484*E484)</f>
        <v/>
      </c>
      <c r="G484" s="7"/>
      <c r="H484" s="7"/>
    </row>
    <row r="485" customFormat="false" ht="15" hidden="false" customHeight="true" outlineLevel="0" collapsed="false">
      <c r="A485" s="15"/>
      <c r="B485" s="7"/>
      <c r="C485" s="16" t="str">
        <f aca="false">IF(B485="","",IFERROR(INDEX(Products!$B$2:$B$501,MATCH(B485,Products!$A$2:$A$501,0)),"CODE NOT FOUND"))</f>
        <v/>
      </c>
      <c r="D485" s="7"/>
      <c r="E485" s="13"/>
      <c r="F485" s="17" t="str">
        <f aca="false">IF(OR(D485="",E485=""),"",D485*E485)</f>
        <v/>
      </c>
      <c r="G485" s="7"/>
      <c r="H485" s="7"/>
    </row>
    <row r="486" customFormat="false" ht="15" hidden="false" customHeight="true" outlineLevel="0" collapsed="false">
      <c r="A486" s="15"/>
      <c r="B486" s="7"/>
      <c r="C486" s="16" t="str">
        <f aca="false">IF(B486="","",IFERROR(INDEX(Products!$B$2:$B$501,MATCH(B486,Products!$A$2:$A$501,0)),"CODE NOT FOUND"))</f>
        <v/>
      </c>
      <c r="D486" s="7"/>
      <c r="E486" s="13"/>
      <c r="F486" s="17" t="str">
        <f aca="false">IF(OR(D486="",E486=""),"",D486*E486)</f>
        <v/>
      </c>
      <c r="G486" s="7"/>
      <c r="H486" s="7"/>
    </row>
    <row r="487" customFormat="false" ht="15" hidden="false" customHeight="true" outlineLevel="0" collapsed="false">
      <c r="A487" s="15"/>
      <c r="B487" s="7"/>
      <c r="C487" s="16" t="str">
        <f aca="false">IF(B487="","",IFERROR(INDEX(Products!$B$2:$B$501,MATCH(B487,Products!$A$2:$A$501,0)),"CODE NOT FOUND"))</f>
        <v/>
      </c>
      <c r="D487" s="7"/>
      <c r="E487" s="13"/>
      <c r="F487" s="17" t="str">
        <f aca="false">IF(OR(D487="",E487=""),"",D487*E487)</f>
        <v/>
      </c>
      <c r="G487" s="7"/>
      <c r="H487" s="7"/>
    </row>
    <row r="488" customFormat="false" ht="15" hidden="false" customHeight="true" outlineLevel="0" collapsed="false">
      <c r="A488" s="15"/>
      <c r="B488" s="7"/>
      <c r="C488" s="16" t="str">
        <f aca="false">IF(B488="","",IFERROR(INDEX(Products!$B$2:$B$501,MATCH(B488,Products!$A$2:$A$501,0)),"CODE NOT FOUND"))</f>
        <v/>
      </c>
      <c r="D488" s="7"/>
      <c r="E488" s="13"/>
      <c r="F488" s="17" t="str">
        <f aca="false">IF(OR(D488="",E488=""),"",D488*E488)</f>
        <v/>
      </c>
      <c r="G488" s="7"/>
      <c r="H488" s="7"/>
    </row>
    <row r="489" customFormat="false" ht="15" hidden="false" customHeight="true" outlineLevel="0" collapsed="false">
      <c r="A489" s="15"/>
      <c r="B489" s="7"/>
      <c r="C489" s="16" t="str">
        <f aca="false">IF(B489="","",IFERROR(INDEX(Products!$B$2:$B$501,MATCH(B489,Products!$A$2:$A$501,0)),"CODE NOT FOUND"))</f>
        <v/>
      </c>
      <c r="D489" s="7"/>
      <c r="E489" s="13"/>
      <c r="F489" s="17" t="str">
        <f aca="false">IF(OR(D489="",E489=""),"",D489*E489)</f>
        <v/>
      </c>
      <c r="G489" s="7"/>
      <c r="H489" s="7"/>
    </row>
    <row r="490" customFormat="false" ht="15" hidden="false" customHeight="true" outlineLevel="0" collapsed="false">
      <c r="A490" s="15"/>
      <c r="B490" s="7"/>
      <c r="C490" s="16" t="str">
        <f aca="false">IF(B490="","",IFERROR(INDEX(Products!$B$2:$B$501,MATCH(B490,Products!$A$2:$A$501,0)),"CODE NOT FOUND"))</f>
        <v/>
      </c>
      <c r="D490" s="7"/>
      <c r="E490" s="13"/>
      <c r="F490" s="17" t="str">
        <f aca="false">IF(OR(D490="",E490=""),"",D490*E490)</f>
        <v/>
      </c>
      <c r="G490" s="7"/>
      <c r="H490" s="7"/>
    </row>
    <row r="491" customFormat="false" ht="15" hidden="false" customHeight="true" outlineLevel="0" collapsed="false">
      <c r="A491" s="15"/>
      <c r="B491" s="7"/>
      <c r="C491" s="16" t="str">
        <f aca="false">IF(B491="","",IFERROR(INDEX(Products!$B$2:$B$501,MATCH(B491,Products!$A$2:$A$501,0)),"CODE NOT FOUND"))</f>
        <v/>
      </c>
      <c r="D491" s="7"/>
      <c r="E491" s="13"/>
      <c r="F491" s="17" t="str">
        <f aca="false">IF(OR(D491="",E491=""),"",D491*E491)</f>
        <v/>
      </c>
      <c r="G491" s="7"/>
      <c r="H491" s="7"/>
    </row>
    <row r="492" customFormat="false" ht="15" hidden="false" customHeight="true" outlineLevel="0" collapsed="false">
      <c r="A492" s="15"/>
      <c r="B492" s="7"/>
      <c r="C492" s="16" t="str">
        <f aca="false">IF(B492="","",IFERROR(INDEX(Products!$B$2:$B$501,MATCH(B492,Products!$A$2:$A$501,0)),"CODE NOT FOUND"))</f>
        <v/>
      </c>
      <c r="D492" s="7"/>
      <c r="E492" s="13"/>
      <c r="F492" s="17" t="str">
        <f aca="false">IF(OR(D492="",E492=""),"",D492*E492)</f>
        <v/>
      </c>
      <c r="G492" s="7"/>
      <c r="H492" s="7"/>
    </row>
    <row r="493" customFormat="false" ht="15" hidden="false" customHeight="true" outlineLevel="0" collapsed="false">
      <c r="A493" s="15"/>
      <c r="B493" s="7"/>
      <c r="C493" s="16" t="str">
        <f aca="false">IF(B493="","",IFERROR(INDEX(Products!$B$2:$B$501,MATCH(B493,Products!$A$2:$A$501,0)),"CODE NOT FOUND"))</f>
        <v/>
      </c>
      <c r="D493" s="7"/>
      <c r="E493" s="13"/>
      <c r="F493" s="17" t="str">
        <f aca="false">IF(OR(D493="",E493=""),"",D493*E493)</f>
        <v/>
      </c>
      <c r="G493" s="7"/>
      <c r="H493" s="7"/>
    </row>
    <row r="494" customFormat="false" ht="15" hidden="false" customHeight="true" outlineLevel="0" collapsed="false">
      <c r="A494" s="15"/>
      <c r="B494" s="7"/>
      <c r="C494" s="16" t="str">
        <f aca="false">IF(B494="","",IFERROR(INDEX(Products!$B$2:$B$501,MATCH(B494,Products!$A$2:$A$501,0)),"CODE NOT FOUND"))</f>
        <v/>
      </c>
      <c r="D494" s="7"/>
      <c r="E494" s="13"/>
      <c r="F494" s="17" t="str">
        <f aca="false">IF(OR(D494="",E494=""),"",D494*E494)</f>
        <v/>
      </c>
      <c r="G494" s="7"/>
      <c r="H494" s="7"/>
    </row>
    <row r="495" customFormat="false" ht="15" hidden="false" customHeight="true" outlineLevel="0" collapsed="false">
      <c r="A495" s="15"/>
      <c r="B495" s="7"/>
      <c r="C495" s="16" t="str">
        <f aca="false">IF(B495="","",IFERROR(INDEX(Products!$B$2:$B$501,MATCH(B495,Products!$A$2:$A$501,0)),"CODE NOT FOUND"))</f>
        <v/>
      </c>
      <c r="D495" s="7"/>
      <c r="E495" s="13"/>
      <c r="F495" s="17" t="str">
        <f aca="false">IF(OR(D495="",E495=""),"",D495*E495)</f>
        <v/>
      </c>
      <c r="G495" s="7"/>
      <c r="H495" s="7"/>
    </row>
    <row r="496" customFormat="false" ht="15" hidden="false" customHeight="true" outlineLevel="0" collapsed="false">
      <c r="A496" s="15"/>
      <c r="B496" s="7"/>
      <c r="C496" s="16" t="str">
        <f aca="false">IF(B496="","",IFERROR(INDEX(Products!$B$2:$B$501,MATCH(B496,Products!$A$2:$A$501,0)),"CODE NOT FOUND"))</f>
        <v/>
      </c>
      <c r="D496" s="7"/>
      <c r="E496" s="13"/>
      <c r="F496" s="17" t="str">
        <f aca="false">IF(OR(D496="",E496=""),"",D496*E496)</f>
        <v/>
      </c>
      <c r="G496" s="7"/>
      <c r="H496" s="7"/>
    </row>
    <row r="497" customFormat="false" ht="15" hidden="false" customHeight="true" outlineLevel="0" collapsed="false">
      <c r="A497" s="15"/>
      <c r="B497" s="7"/>
      <c r="C497" s="16" t="str">
        <f aca="false">IF(B497="","",IFERROR(INDEX(Products!$B$2:$B$501,MATCH(B497,Products!$A$2:$A$501,0)),"CODE NOT FOUND"))</f>
        <v/>
      </c>
      <c r="D497" s="7"/>
      <c r="E497" s="13"/>
      <c r="F497" s="17" t="str">
        <f aca="false">IF(OR(D497="",E497=""),"",D497*E497)</f>
        <v/>
      </c>
      <c r="G497" s="7"/>
      <c r="H497" s="7"/>
    </row>
    <row r="498" customFormat="false" ht="15" hidden="false" customHeight="true" outlineLevel="0" collapsed="false">
      <c r="A498" s="15"/>
      <c r="B498" s="7"/>
      <c r="C498" s="16" t="str">
        <f aca="false">IF(B498="","",IFERROR(INDEX(Products!$B$2:$B$501,MATCH(B498,Products!$A$2:$A$501,0)),"CODE NOT FOUND"))</f>
        <v/>
      </c>
      <c r="D498" s="7"/>
      <c r="E498" s="13"/>
      <c r="F498" s="17" t="str">
        <f aca="false">IF(OR(D498="",E498=""),"",D498*E498)</f>
        <v/>
      </c>
      <c r="G498" s="7"/>
      <c r="H498" s="7"/>
    </row>
    <row r="499" customFormat="false" ht="15" hidden="false" customHeight="true" outlineLevel="0" collapsed="false">
      <c r="A499" s="15"/>
      <c r="B499" s="7"/>
      <c r="C499" s="16" t="str">
        <f aca="false">IF(B499="","",IFERROR(INDEX(Products!$B$2:$B$501,MATCH(B499,Products!$A$2:$A$501,0)),"CODE NOT FOUND"))</f>
        <v/>
      </c>
      <c r="D499" s="7"/>
      <c r="E499" s="13"/>
      <c r="F499" s="17" t="str">
        <f aca="false">IF(OR(D499="",E499=""),"",D499*E499)</f>
        <v/>
      </c>
      <c r="G499" s="7"/>
      <c r="H499" s="7"/>
    </row>
    <row r="500" customFormat="false" ht="15" hidden="false" customHeight="true" outlineLevel="0" collapsed="false">
      <c r="A500" s="15"/>
      <c r="B500" s="7"/>
      <c r="C500" s="16" t="str">
        <f aca="false">IF(B500="","",IFERROR(INDEX(Products!$B$2:$B$501,MATCH(B500,Products!$A$2:$A$501,0)),"CODE NOT FOUND"))</f>
        <v/>
      </c>
      <c r="D500" s="7"/>
      <c r="E500" s="13"/>
      <c r="F500" s="17" t="str">
        <f aca="false">IF(OR(D500="",E500=""),"",D500*E500)</f>
        <v/>
      </c>
      <c r="G500" s="7"/>
      <c r="H500" s="7"/>
    </row>
    <row r="501" customFormat="false" ht="15" hidden="false" customHeight="true" outlineLevel="0" collapsed="false">
      <c r="A501" s="15"/>
      <c r="B501" s="7"/>
      <c r="C501" s="16" t="str">
        <f aca="false">IF(B501="","",IFERROR(INDEX(Products!$B$2:$B$501,MATCH(B501,Products!$A$2:$A$501,0)),"CODE NOT FOUND"))</f>
        <v/>
      </c>
      <c r="D501" s="7"/>
      <c r="E501" s="13"/>
      <c r="F501" s="17" t="str">
        <f aca="false">IF(OR(D501="",E501=""),"",D501*E501)</f>
        <v/>
      </c>
      <c r="G501" s="7"/>
      <c r="H501" s="7"/>
    </row>
    <row r="502" customFormat="false" ht="15" hidden="false" customHeight="true" outlineLevel="0" collapsed="false">
      <c r="A502" s="15"/>
      <c r="B502" s="7"/>
      <c r="C502" s="16" t="str">
        <f aca="false">IF(B502="","",IFERROR(INDEX(Products!$B$2:$B$501,MATCH(B502,Products!$A$2:$A$501,0)),"CODE NOT FOUND"))</f>
        <v/>
      </c>
      <c r="D502" s="7"/>
      <c r="E502" s="13"/>
      <c r="F502" s="17" t="str">
        <f aca="false">IF(OR(D502="",E502=""),"",D502*E502)</f>
        <v/>
      </c>
      <c r="G502" s="7"/>
      <c r="H502" s="7"/>
    </row>
    <row r="503" customFormat="false" ht="15" hidden="false" customHeight="true" outlineLevel="0" collapsed="false">
      <c r="A503" s="15"/>
      <c r="B503" s="7"/>
      <c r="C503" s="16" t="str">
        <f aca="false">IF(B503="","",IFERROR(INDEX(Products!$B$2:$B$501,MATCH(B503,Products!$A$2:$A$501,0)),"CODE NOT FOUND"))</f>
        <v/>
      </c>
      <c r="D503" s="7"/>
      <c r="E503" s="13"/>
      <c r="F503" s="17" t="str">
        <f aca="false">IF(OR(D503="",E503=""),"",D503*E503)</f>
        <v/>
      </c>
      <c r="G503" s="7"/>
      <c r="H503" s="7"/>
    </row>
    <row r="504" customFormat="false" ht="15" hidden="false" customHeight="true" outlineLevel="0" collapsed="false">
      <c r="A504" s="15"/>
      <c r="B504" s="7"/>
      <c r="C504" s="16" t="str">
        <f aca="false">IF(B504="","",IFERROR(INDEX(Products!$B$2:$B$501,MATCH(B504,Products!$A$2:$A$501,0)),"CODE NOT FOUND"))</f>
        <v/>
      </c>
      <c r="D504" s="7"/>
      <c r="E504" s="13"/>
      <c r="F504" s="17" t="str">
        <f aca="false">IF(OR(D504="",E504=""),"",D504*E504)</f>
        <v/>
      </c>
      <c r="G504" s="7"/>
      <c r="H504" s="7"/>
    </row>
    <row r="505" customFormat="false" ht="15" hidden="false" customHeight="true" outlineLevel="0" collapsed="false">
      <c r="A505" s="15"/>
      <c r="B505" s="7"/>
      <c r="C505" s="16" t="str">
        <f aca="false">IF(B505="","",IFERROR(INDEX(Products!$B$2:$B$501,MATCH(B505,Products!$A$2:$A$501,0)),"CODE NOT FOUND"))</f>
        <v/>
      </c>
      <c r="D505" s="7"/>
      <c r="E505" s="13"/>
      <c r="F505" s="17" t="str">
        <f aca="false">IF(OR(D505="",E505=""),"",D505*E505)</f>
        <v/>
      </c>
      <c r="G505" s="7"/>
      <c r="H505" s="7"/>
    </row>
    <row r="506" customFormat="false" ht="15" hidden="false" customHeight="true" outlineLevel="0" collapsed="false">
      <c r="A506" s="15"/>
      <c r="B506" s="7"/>
      <c r="C506" s="16" t="str">
        <f aca="false">IF(B506="","",IFERROR(INDEX(Products!$B$2:$B$501,MATCH(B506,Products!$A$2:$A$501,0)),"CODE NOT FOUND"))</f>
        <v/>
      </c>
      <c r="D506" s="7"/>
      <c r="E506" s="13"/>
      <c r="F506" s="17" t="str">
        <f aca="false">IF(OR(D506="",E506=""),"",D506*E506)</f>
        <v/>
      </c>
      <c r="G506" s="7"/>
      <c r="H506" s="7"/>
    </row>
    <row r="507" customFormat="false" ht="15" hidden="false" customHeight="true" outlineLevel="0" collapsed="false">
      <c r="A507" s="15"/>
      <c r="B507" s="7"/>
      <c r="C507" s="16" t="str">
        <f aca="false">IF(B507="","",IFERROR(INDEX(Products!$B$2:$B$501,MATCH(B507,Products!$A$2:$A$501,0)),"CODE NOT FOUND"))</f>
        <v/>
      </c>
      <c r="D507" s="7"/>
      <c r="E507" s="13"/>
      <c r="F507" s="17" t="str">
        <f aca="false">IF(OR(D507="",E507=""),"",D507*E507)</f>
        <v/>
      </c>
      <c r="G507" s="7"/>
      <c r="H507" s="7"/>
    </row>
    <row r="508" customFormat="false" ht="15" hidden="false" customHeight="true" outlineLevel="0" collapsed="false">
      <c r="A508" s="15"/>
      <c r="B508" s="7"/>
      <c r="C508" s="16" t="str">
        <f aca="false">IF(B508="","",IFERROR(INDEX(Products!$B$2:$B$501,MATCH(B508,Products!$A$2:$A$501,0)),"CODE NOT FOUND"))</f>
        <v/>
      </c>
      <c r="D508" s="7"/>
      <c r="E508" s="13"/>
      <c r="F508" s="17" t="str">
        <f aca="false">IF(OR(D508="",E508=""),"",D508*E508)</f>
        <v/>
      </c>
      <c r="G508" s="7"/>
      <c r="H508" s="7"/>
    </row>
    <row r="509" customFormat="false" ht="15" hidden="false" customHeight="true" outlineLevel="0" collapsed="false">
      <c r="A509" s="15"/>
      <c r="B509" s="7"/>
      <c r="C509" s="16" t="str">
        <f aca="false">IF(B509="","",IFERROR(INDEX(Products!$B$2:$B$501,MATCH(B509,Products!$A$2:$A$501,0)),"CODE NOT FOUND"))</f>
        <v/>
      </c>
      <c r="D509" s="7"/>
      <c r="E509" s="13"/>
      <c r="F509" s="17" t="str">
        <f aca="false">IF(OR(D509="",E509=""),"",D509*E509)</f>
        <v/>
      </c>
      <c r="G509" s="7"/>
      <c r="H509" s="7"/>
    </row>
    <row r="510" customFormat="false" ht="15" hidden="false" customHeight="true" outlineLevel="0" collapsed="false">
      <c r="A510" s="15"/>
      <c r="B510" s="7"/>
      <c r="C510" s="16" t="str">
        <f aca="false">IF(B510="","",IFERROR(INDEX(Products!$B$2:$B$501,MATCH(B510,Products!$A$2:$A$501,0)),"CODE NOT FOUND"))</f>
        <v/>
      </c>
      <c r="D510" s="7"/>
      <c r="E510" s="13"/>
      <c r="F510" s="17" t="str">
        <f aca="false">IF(OR(D510="",E510=""),"",D510*E510)</f>
        <v/>
      </c>
      <c r="G510" s="7"/>
      <c r="H510" s="7"/>
    </row>
    <row r="511" customFormat="false" ht="15" hidden="false" customHeight="true" outlineLevel="0" collapsed="false">
      <c r="A511" s="15"/>
      <c r="B511" s="7"/>
      <c r="C511" s="16" t="str">
        <f aca="false">IF(B511="","",IFERROR(INDEX(Products!$B$2:$B$501,MATCH(B511,Products!$A$2:$A$501,0)),"CODE NOT FOUND"))</f>
        <v/>
      </c>
      <c r="D511" s="7"/>
      <c r="E511" s="13"/>
      <c r="F511" s="17" t="str">
        <f aca="false">IF(OR(D511="",E511=""),"",D511*E511)</f>
        <v/>
      </c>
      <c r="G511" s="7"/>
      <c r="H511" s="7"/>
    </row>
    <row r="512" customFormat="false" ht="15" hidden="false" customHeight="true" outlineLevel="0" collapsed="false">
      <c r="A512" s="15"/>
      <c r="B512" s="7"/>
      <c r="C512" s="16" t="str">
        <f aca="false">IF(B512="","",IFERROR(INDEX(Products!$B$2:$B$501,MATCH(B512,Products!$A$2:$A$501,0)),"CODE NOT FOUND"))</f>
        <v/>
      </c>
      <c r="D512" s="7"/>
      <c r="E512" s="13"/>
      <c r="F512" s="17" t="str">
        <f aca="false">IF(OR(D512="",E512=""),"",D512*E512)</f>
        <v/>
      </c>
      <c r="G512" s="7"/>
      <c r="H512" s="7"/>
    </row>
    <row r="513" customFormat="false" ht="15" hidden="false" customHeight="true" outlineLevel="0" collapsed="false">
      <c r="A513" s="15"/>
      <c r="B513" s="7"/>
      <c r="C513" s="16" t="str">
        <f aca="false">IF(B513="","",IFERROR(INDEX(Products!$B$2:$B$501,MATCH(B513,Products!$A$2:$A$501,0)),"CODE NOT FOUND"))</f>
        <v/>
      </c>
      <c r="D513" s="7"/>
      <c r="E513" s="13"/>
      <c r="F513" s="17" t="str">
        <f aca="false">IF(OR(D513="",E513=""),"",D513*E513)</f>
        <v/>
      </c>
      <c r="G513" s="7"/>
      <c r="H513" s="7"/>
    </row>
    <row r="514" customFormat="false" ht="15" hidden="false" customHeight="true" outlineLevel="0" collapsed="false">
      <c r="A514" s="15"/>
      <c r="B514" s="7"/>
      <c r="C514" s="16" t="str">
        <f aca="false">IF(B514="","",IFERROR(INDEX(Products!$B$2:$B$501,MATCH(B514,Products!$A$2:$A$501,0)),"CODE NOT FOUND"))</f>
        <v/>
      </c>
      <c r="D514" s="7"/>
      <c r="E514" s="13"/>
      <c r="F514" s="17" t="str">
        <f aca="false">IF(OR(D514="",E514=""),"",D514*E514)</f>
        <v/>
      </c>
      <c r="G514" s="7"/>
      <c r="H514" s="7"/>
    </row>
    <row r="515" customFormat="false" ht="15" hidden="false" customHeight="true" outlineLevel="0" collapsed="false">
      <c r="A515" s="15"/>
      <c r="B515" s="7"/>
      <c r="C515" s="16" t="str">
        <f aca="false">IF(B515="","",IFERROR(INDEX(Products!$B$2:$B$501,MATCH(B515,Products!$A$2:$A$501,0)),"CODE NOT FOUND"))</f>
        <v/>
      </c>
      <c r="D515" s="7"/>
      <c r="E515" s="13"/>
      <c r="F515" s="17" t="str">
        <f aca="false">IF(OR(D515="",E515=""),"",D515*E515)</f>
        <v/>
      </c>
      <c r="G515" s="7"/>
      <c r="H515" s="7"/>
    </row>
    <row r="516" customFormat="false" ht="15" hidden="false" customHeight="true" outlineLevel="0" collapsed="false">
      <c r="A516" s="15"/>
      <c r="B516" s="7"/>
      <c r="C516" s="16" t="str">
        <f aca="false">IF(B516="","",IFERROR(INDEX(Products!$B$2:$B$501,MATCH(B516,Products!$A$2:$A$501,0)),"CODE NOT FOUND"))</f>
        <v/>
      </c>
      <c r="D516" s="7"/>
      <c r="E516" s="13"/>
      <c r="F516" s="17" t="str">
        <f aca="false">IF(OR(D516="",E516=""),"",D516*E516)</f>
        <v/>
      </c>
      <c r="G516" s="7"/>
      <c r="H516" s="7"/>
    </row>
    <row r="517" customFormat="false" ht="15" hidden="false" customHeight="true" outlineLevel="0" collapsed="false">
      <c r="A517" s="15"/>
      <c r="B517" s="7"/>
      <c r="C517" s="16" t="str">
        <f aca="false">IF(B517="","",IFERROR(INDEX(Products!$B$2:$B$501,MATCH(B517,Products!$A$2:$A$501,0)),"CODE NOT FOUND"))</f>
        <v/>
      </c>
      <c r="D517" s="7"/>
      <c r="E517" s="13"/>
      <c r="F517" s="17" t="str">
        <f aca="false">IF(OR(D517="",E517=""),"",D517*E517)</f>
        <v/>
      </c>
      <c r="G517" s="7"/>
      <c r="H517" s="7"/>
    </row>
    <row r="518" customFormat="false" ht="15" hidden="false" customHeight="true" outlineLevel="0" collapsed="false">
      <c r="A518" s="15"/>
      <c r="B518" s="7"/>
      <c r="C518" s="16" t="str">
        <f aca="false">IF(B518="","",IFERROR(INDEX(Products!$B$2:$B$501,MATCH(B518,Products!$A$2:$A$501,0)),"CODE NOT FOUND"))</f>
        <v/>
      </c>
      <c r="D518" s="7"/>
      <c r="E518" s="13"/>
      <c r="F518" s="17" t="str">
        <f aca="false">IF(OR(D518="",E518=""),"",D518*E518)</f>
        <v/>
      </c>
      <c r="G518" s="7"/>
      <c r="H518" s="7"/>
    </row>
    <row r="519" customFormat="false" ht="15" hidden="false" customHeight="true" outlineLevel="0" collapsed="false">
      <c r="A519" s="15"/>
      <c r="B519" s="7"/>
      <c r="C519" s="16" t="str">
        <f aca="false">IF(B519="","",IFERROR(INDEX(Products!$B$2:$B$501,MATCH(B519,Products!$A$2:$A$501,0)),"CODE NOT FOUND"))</f>
        <v/>
      </c>
      <c r="D519" s="7"/>
      <c r="E519" s="13"/>
      <c r="F519" s="17" t="str">
        <f aca="false">IF(OR(D519="",E519=""),"",D519*E519)</f>
        <v/>
      </c>
      <c r="G519" s="7"/>
      <c r="H519" s="7"/>
    </row>
    <row r="520" customFormat="false" ht="15" hidden="false" customHeight="true" outlineLevel="0" collapsed="false">
      <c r="A520" s="15"/>
      <c r="B520" s="7"/>
      <c r="C520" s="16" t="str">
        <f aca="false">IF(B520="","",IFERROR(INDEX(Products!$B$2:$B$501,MATCH(B520,Products!$A$2:$A$501,0)),"CODE NOT FOUND"))</f>
        <v/>
      </c>
      <c r="D520" s="7"/>
      <c r="E520" s="13"/>
      <c r="F520" s="17" t="str">
        <f aca="false">IF(OR(D520="",E520=""),"",D520*E520)</f>
        <v/>
      </c>
      <c r="G520" s="7"/>
      <c r="H520" s="7"/>
    </row>
    <row r="521" customFormat="false" ht="15" hidden="false" customHeight="true" outlineLevel="0" collapsed="false">
      <c r="A521" s="15"/>
      <c r="B521" s="7"/>
      <c r="C521" s="16" t="str">
        <f aca="false">IF(B521="","",IFERROR(INDEX(Products!$B$2:$B$501,MATCH(B521,Products!$A$2:$A$501,0)),"CODE NOT FOUND"))</f>
        <v/>
      </c>
      <c r="D521" s="7"/>
      <c r="E521" s="13"/>
      <c r="F521" s="17" t="str">
        <f aca="false">IF(OR(D521="",E521=""),"",D521*E521)</f>
        <v/>
      </c>
      <c r="G521" s="7"/>
      <c r="H521" s="7"/>
    </row>
    <row r="522" customFormat="false" ht="15" hidden="false" customHeight="true" outlineLevel="0" collapsed="false">
      <c r="A522" s="15"/>
      <c r="B522" s="7"/>
      <c r="C522" s="16" t="str">
        <f aca="false">IF(B522="","",IFERROR(INDEX(Products!$B$2:$B$501,MATCH(B522,Products!$A$2:$A$501,0)),"CODE NOT FOUND"))</f>
        <v/>
      </c>
      <c r="D522" s="7"/>
      <c r="E522" s="13"/>
      <c r="F522" s="17" t="str">
        <f aca="false">IF(OR(D522="",E522=""),"",D522*E522)</f>
        <v/>
      </c>
      <c r="G522" s="7"/>
      <c r="H522" s="7"/>
    </row>
    <row r="523" customFormat="false" ht="15" hidden="false" customHeight="true" outlineLevel="0" collapsed="false">
      <c r="A523" s="15"/>
      <c r="B523" s="7"/>
      <c r="C523" s="16" t="str">
        <f aca="false">IF(B523="","",IFERROR(INDEX(Products!$B$2:$B$501,MATCH(B523,Products!$A$2:$A$501,0)),"CODE NOT FOUND"))</f>
        <v/>
      </c>
      <c r="D523" s="7"/>
      <c r="E523" s="13"/>
      <c r="F523" s="17" t="str">
        <f aca="false">IF(OR(D523="",E523=""),"",D523*E523)</f>
        <v/>
      </c>
      <c r="G523" s="7"/>
      <c r="H523" s="7"/>
    </row>
    <row r="524" customFormat="false" ht="15" hidden="false" customHeight="true" outlineLevel="0" collapsed="false">
      <c r="A524" s="15"/>
      <c r="B524" s="7"/>
      <c r="C524" s="16" t="str">
        <f aca="false">IF(B524="","",IFERROR(INDEX(Products!$B$2:$B$501,MATCH(B524,Products!$A$2:$A$501,0)),"CODE NOT FOUND"))</f>
        <v/>
      </c>
      <c r="D524" s="7"/>
      <c r="E524" s="13"/>
      <c r="F524" s="17" t="str">
        <f aca="false">IF(OR(D524="",E524=""),"",D524*E524)</f>
        <v/>
      </c>
      <c r="G524" s="7"/>
      <c r="H524" s="7"/>
    </row>
    <row r="525" customFormat="false" ht="15" hidden="false" customHeight="true" outlineLevel="0" collapsed="false">
      <c r="A525" s="15"/>
      <c r="B525" s="7"/>
      <c r="C525" s="16" t="str">
        <f aca="false">IF(B525="","",IFERROR(INDEX(Products!$B$2:$B$501,MATCH(B525,Products!$A$2:$A$501,0)),"CODE NOT FOUND"))</f>
        <v/>
      </c>
      <c r="D525" s="7"/>
      <c r="E525" s="13"/>
      <c r="F525" s="17" t="str">
        <f aca="false">IF(OR(D525="",E525=""),"",D525*E525)</f>
        <v/>
      </c>
      <c r="G525" s="7"/>
      <c r="H525" s="7"/>
    </row>
    <row r="526" customFormat="false" ht="15" hidden="false" customHeight="true" outlineLevel="0" collapsed="false">
      <c r="A526" s="15"/>
      <c r="B526" s="7"/>
      <c r="C526" s="16" t="str">
        <f aca="false">IF(B526="","",IFERROR(INDEX(Products!$B$2:$B$501,MATCH(B526,Products!$A$2:$A$501,0)),"CODE NOT FOUND"))</f>
        <v/>
      </c>
      <c r="D526" s="7"/>
      <c r="E526" s="13"/>
      <c r="F526" s="17" t="str">
        <f aca="false">IF(OR(D526="",E526=""),"",D526*E526)</f>
        <v/>
      </c>
      <c r="G526" s="7"/>
      <c r="H526" s="7"/>
    </row>
    <row r="527" customFormat="false" ht="15" hidden="false" customHeight="true" outlineLevel="0" collapsed="false">
      <c r="A527" s="15"/>
      <c r="B527" s="7"/>
      <c r="C527" s="16" t="str">
        <f aca="false">IF(B527="","",IFERROR(INDEX(Products!$B$2:$B$501,MATCH(B527,Products!$A$2:$A$501,0)),"CODE NOT FOUND"))</f>
        <v/>
      </c>
      <c r="D527" s="7"/>
      <c r="E527" s="13"/>
      <c r="F527" s="17" t="str">
        <f aca="false">IF(OR(D527="",E527=""),"",D527*E527)</f>
        <v/>
      </c>
      <c r="G527" s="7"/>
      <c r="H527" s="7"/>
    </row>
    <row r="528" customFormat="false" ht="15" hidden="false" customHeight="true" outlineLevel="0" collapsed="false">
      <c r="A528" s="15"/>
      <c r="B528" s="7"/>
      <c r="C528" s="16" t="str">
        <f aca="false">IF(B528="","",IFERROR(INDEX(Products!$B$2:$B$501,MATCH(B528,Products!$A$2:$A$501,0)),"CODE NOT FOUND"))</f>
        <v/>
      </c>
      <c r="D528" s="7"/>
      <c r="E528" s="13"/>
      <c r="F528" s="17" t="str">
        <f aca="false">IF(OR(D528="",E528=""),"",D528*E528)</f>
        <v/>
      </c>
      <c r="G528" s="7"/>
      <c r="H528" s="7"/>
    </row>
    <row r="529" customFormat="false" ht="15" hidden="false" customHeight="true" outlineLevel="0" collapsed="false">
      <c r="A529" s="15"/>
      <c r="B529" s="7"/>
      <c r="C529" s="16" t="str">
        <f aca="false">IF(B529="","",IFERROR(INDEX(Products!$B$2:$B$501,MATCH(B529,Products!$A$2:$A$501,0)),"CODE NOT FOUND"))</f>
        <v/>
      </c>
      <c r="D529" s="7"/>
      <c r="E529" s="13"/>
      <c r="F529" s="17" t="str">
        <f aca="false">IF(OR(D529="",E529=""),"",D529*E529)</f>
        <v/>
      </c>
      <c r="G529" s="7"/>
      <c r="H529" s="7"/>
    </row>
    <row r="530" customFormat="false" ht="15" hidden="false" customHeight="true" outlineLevel="0" collapsed="false">
      <c r="A530" s="15"/>
      <c r="B530" s="7"/>
      <c r="C530" s="16" t="str">
        <f aca="false">IF(B530="","",IFERROR(INDEX(Products!$B$2:$B$501,MATCH(B530,Products!$A$2:$A$501,0)),"CODE NOT FOUND"))</f>
        <v/>
      </c>
      <c r="D530" s="7"/>
      <c r="E530" s="13"/>
      <c r="F530" s="17" t="str">
        <f aca="false">IF(OR(D530="",E530=""),"",D530*E530)</f>
        <v/>
      </c>
      <c r="G530" s="7"/>
      <c r="H530" s="7"/>
    </row>
    <row r="531" customFormat="false" ht="15" hidden="false" customHeight="true" outlineLevel="0" collapsed="false">
      <c r="A531" s="15"/>
      <c r="B531" s="7"/>
      <c r="C531" s="16" t="str">
        <f aca="false">IF(B531="","",IFERROR(INDEX(Products!$B$2:$B$501,MATCH(B531,Products!$A$2:$A$501,0)),"CODE NOT FOUND"))</f>
        <v/>
      </c>
      <c r="D531" s="7"/>
      <c r="E531" s="13"/>
      <c r="F531" s="17" t="str">
        <f aca="false">IF(OR(D531="",E531=""),"",D531*E531)</f>
        <v/>
      </c>
      <c r="G531" s="7"/>
      <c r="H531" s="7"/>
    </row>
    <row r="532" customFormat="false" ht="15" hidden="false" customHeight="true" outlineLevel="0" collapsed="false">
      <c r="A532" s="15"/>
      <c r="B532" s="7"/>
      <c r="C532" s="16" t="str">
        <f aca="false">IF(B532="","",IFERROR(INDEX(Products!$B$2:$B$501,MATCH(B532,Products!$A$2:$A$501,0)),"CODE NOT FOUND"))</f>
        <v/>
      </c>
      <c r="D532" s="7"/>
      <c r="E532" s="13"/>
      <c r="F532" s="17" t="str">
        <f aca="false">IF(OR(D532="",E532=""),"",D532*E532)</f>
        <v/>
      </c>
      <c r="G532" s="7"/>
      <c r="H532" s="7"/>
    </row>
    <row r="533" customFormat="false" ht="15" hidden="false" customHeight="true" outlineLevel="0" collapsed="false">
      <c r="A533" s="15"/>
      <c r="B533" s="7"/>
      <c r="C533" s="16" t="str">
        <f aca="false">IF(B533="","",IFERROR(INDEX(Products!$B$2:$B$501,MATCH(B533,Products!$A$2:$A$501,0)),"CODE NOT FOUND"))</f>
        <v/>
      </c>
      <c r="D533" s="7"/>
      <c r="E533" s="13"/>
      <c r="F533" s="17" t="str">
        <f aca="false">IF(OR(D533="",E533=""),"",D533*E533)</f>
        <v/>
      </c>
      <c r="G533" s="7"/>
      <c r="H533" s="7"/>
    </row>
    <row r="534" customFormat="false" ht="15" hidden="false" customHeight="true" outlineLevel="0" collapsed="false">
      <c r="A534" s="15"/>
      <c r="B534" s="7"/>
      <c r="C534" s="16" t="str">
        <f aca="false">IF(B534="","",IFERROR(INDEX(Products!$B$2:$B$501,MATCH(B534,Products!$A$2:$A$501,0)),"CODE NOT FOUND"))</f>
        <v/>
      </c>
      <c r="D534" s="7"/>
      <c r="E534" s="13"/>
      <c r="F534" s="17" t="str">
        <f aca="false">IF(OR(D534="",E534=""),"",D534*E534)</f>
        <v/>
      </c>
      <c r="G534" s="7"/>
      <c r="H534" s="7"/>
    </row>
    <row r="535" customFormat="false" ht="15" hidden="false" customHeight="true" outlineLevel="0" collapsed="false">
      <c r="A535" s="15"/>
      <c r="B535" s="7"/>
      <c r="C535" s="16" t="str">
        <f aca="false">IF(B535="","",IFERROR(INDEX(Products!$B$2:$B$501,MATCH(B535,Products!$A$2:$A$501,0)),"CODE NOT FOUND"))</f>
        <v/>
      </c>
      <c r="D535" s="7"/>
      <c r="E535" s="13"/>
      <c r="F535" s="17" t="str">
        <f aca="false">IF(OR(D535="",E535=""),"",D535*E535)</f>
        <v/>
      </c>
      <c r="G535" s="7"/>
      <c r="H535" s="7"/>
    </row>
    <row r="536" customFormat="false" ht="15" hidden="false" customHeight="true" outlineLevel="0" collapsed="false">
      <c r="A536" s="15"/>
      <c r="B536" s="7"/>
      <c r="C536" s="16" t="str">
        <f aca="false">IF(B536="","",IFERROR(INDEX(Products!$B$2:$B$501,MATCH(B536,Products!$A$2:$A$501,0)),"CODE NOT FOUND"))</f>
        <v/>
      </c>
      <c r="D536" s="7"/>
      <c r="E536" s="13"/>
      <c r="F536" s="17" t="str">
        <f aca="false">IF(OR(D536="",E536=""),"",D536*E536)</f>
        <v/>
      </c>
      <c r="G536" s="7"/>
      <c r="H536" s="7"/>
    </row>
    <row r="537" customFormat="false" ht="15" hidden="false" customHeight="true" outlineLevel="0" collapsed="false">
      <c r="A537" s="15"/>
      <c r="B537" s="7"/>
      <c r="C537" s="16" t="str">
        <f aca="false">IF(B537="","",IFERROR(INDEX(Products!$B$2:$B$501,MATCH(B537,Products!$A$2:$A$501,0)),"CODE NOT FOUND"))</f>
        <v/>
      </c>
      <c r="D537" s="7"/>
      <c r="E537" s="13"/>
      <c r="F537" s="17" t="str">
        <f aca="false">IF(OR(D537="",E537=""),"",D537*E537)</f>
        <v/>
      </c>
      <c r="G537" s="7"/>
      <c r="H537" s="7"/>
    </row>
    <row r="538" customFormat="false" ht="15" hidden="false" customHeight="true" outlineLevel="0" collapsed="false">
      <c r="A538" s="15"/>
      <c r="B538" s="7"/>
      <c r="C538" s="16" t="str">
        <f aca="false">IF(B538="","",IFERROR(INDEX(Products!$B$2:$B$501,MATCH(B538,Products!$A$2:$A$501,0)),"CODE NOT FOUND"))</f>
        <v/>
      </c>
      <c r="D538" s="7"/>
      <c r="E538" s="13"/>
      <c r="F538" s="17" t="str">
        <f aca="false">IF(OR(D538="",E538=""),"",D538*E538)</f>
        <v/>
      </c>
      <c r="G538" s="7"/>
      <c r="H538" s="7"/>
    </row>
    <row r="539" customFormat="false" ht="15" hidden="false" customHeight="true" outlineLevel="0" collapsed="false">
      <c r="A539" s="15"/>
      <c r="B539" s="7"/>
      <c r="C539" s="16" t="str">
        <f aca="false">IF(B539="","",IFERROR(INDEX(Products!$B$2:$B$501,MATCH(B539,Products!$A$2:$A$501,0)),"CODE NOT FOUND"))</f>
        <v/>
      </c>
      <c r="D539" s="7"/>
      <c r="E539" s="13"/>
      <c r="F539" s="17" t="str">
        <f aca="false">IF(OR(D539="",E539=""),"",D539*E539)</f>
        <v/>
      </c>
      <c r="G539" s="7"/>
      <c r="H539" s="7"/>
    </row>
    <row r="540" customFormat="false" ht="15" hidden="false" customHeight="true" outlineLevel="0" collapsed="false">
      <c r="A540" s="15"/>
      <c r="B540" s="7"/>
      <c r="C540" s="16" t="str">
        <f aca="false">IF(B540="","",IFERROR(INDEX(Products!$B$2:$B$501,MATCH(B540,Products!$A$2:$A$501,0)),"CODE NOT FOUND"))</f>
        <v/>
      </c>
      <c r="D540" s="7"/>
      <c r="E540" s="13"/>
      <c r="F540" s="17" t="str">
        <f aca="false">IF(OR(D540="",E540=""),"",D540*E540)</f>
        <v/>
      </c>
      <c r="G540" s="7"/>
      <c r="H540" s="7"/>
    </row>
    <row r="541" customFormat="false" ht="15" hidden="false" customHeight="true" outlineLevel="0" collapsed="false">
      <c r="A541" s="15"/>
      <c r="B541" s="7"/>
      <c r="C541" s="16" t="str">
        <f aca="false">IF(B541="","",IFERROR(INDEX(Products!$B$2:$B$501,MATCH(B541,Products!$A$2:$A$501,0)),"CODE NOT FOUND"))</f>
        <v/>
      </c>
      <c r="D541" s="7"/>
      <c r="E541" s="13"/>
      <c r="F541" s="17" t="str">
        <f aca="false">IF(OR(D541="",E541=""),"",D541*E541)</f>
        <v/>
      </c>
      <c r="G541" s="7"/>
      <c r="H541" s="7"/>
    </row>
    <row r="542" customFormat="false" ht="15" hidden="false" customHeight="true" outlineLevel="0" collapsed="false">
      <c r="A542" s="15"/>
      <c r="B542" s="7"/>
      <c r="C542" s="16" t="str">
        <f aca="false">IF(B542="","",IFERROR(INDEX(Products!$B$2:$B$501,MATCH(B542,Products!$A$2:$A$501,0)),"CODE NOT FOUND"))</f>
        <v/>
      </c>
      <c r="D542" s="7"/>
      <c r="E542" s="13"/>
      <c r="F542" s="17" t="str">
        <f aca="false">IF(OR(D542="",E542=""),"",D542*E542)</f>
        <v/>
      </c>
      <c r="G542" s="7"/>
      <c r="H542" s="7"/>
    </row>
    <row r="543" customFormat="false" ht="15" hidden="false" customHeight="true" outlineLevel="0" collapsed="false">
      <c r="A543" s="15"/>
      <c r="B543" s="7"/>
      <c r="C543" s="16" t="str">
        <f aca="false">IF(B543="","",IFERROR(INDEX(Products!$B$2:$B$501,MATCH(B543,Products!$A$2:$A$501,0)),"CODE NOT FOUND"))</f>
        <v/>
      </c>
      <c r="D543" s="7"/>
      <c r="E543" s="13"/>
      <c r="F543" s="17" t="str">
        <f aca="false">IF(OR(D543="",E543=""),"",D543*E543)</f>
        <v/>
      </c>
      <c r="G543" s="7"/>
      <c r="H543" s="7"/>
    </row>
    <row r="544" customFormat="false" ht="15" hidden="false" customHeight="true" outlineLevel="0" collapsed="false">
      <c r="A544" s="15"/>
      <c r="B544" s="7"/>
      <c r="C544" s="16" t="str">
        <f aca="false">IF(B544="","",IFERROR(INDEX(Products!$B$2:$B$501,MATCH(B544,Products!$A$2:$A$501,0)),"CODE NOT FOUND"))</f>
        <v/>
      </c>
      <c r="D544" s="7"/>
      <c r="E544" s="13"/>
      <c r="F544" s="17" t="str">
        <f aca="false">IF(OR(D544="",E544=""),"",D544*E544)</f>
        <v/>
      </c>
      <c r="G544" s="7"/>
      <c r="H544" s="7"/>
    </row>
    <row r="545" customFormat="false" ht="15" hidden="false" customHeight="true" outlineLevel="0" collapsed="false">
      <c r="A545" s="15"/>
      <c r="B545" s="7"/>
      <c r="C545" s="16" t="str">
        <f aca="false">IF(B545="","",IFERROR(INDEX(Products!$B$2:$B$501,MATCH(B545,Products!$A$2:$A$501,0)),"CODE NOT FOUND"))</f>
        <v/>
      </c>
      <c r="D545" s="7"/>
      <c r="E545" s="13"/>
      <c r="F545" s="17" t="str">
        <f aca="false">IF(OR(D545="",E545=""),"",D545*E545)</f>
        <v/>
      </c>
      <c r="G545" s="7"/>
      <c r="H545" s="7"/>
    </row>
    <row r="546" customFormat="false" ht="15" hidden="false" customHeight="true" outlineLevel="0" collapsed="false">
      <c r="A546" s="15"/>
      <c r="B546" s="7"/>
      <c r="C546" s="16" t="str">
        <f aca="false">IF(B546="","",IFERROR(INDEX(Products!$B$2:$B$501,MATCH(B546,Products!$A$2:$A$501,0)),"CODE NOT FOUND"))</f>
        <v/>
      </c>
      <c r="D546" s="7"/>
      <c r="E546" s="13"/>
      <c r="F546" s="17" t="str">
        <f aca="false">IF(OR(D546="",E546=""),"",D546*E546)</f>
        <v/>
      </c>
      <c r="G546" s="7"/>
      <c r="H546" s="7"/>
    </row>
    <row r="547" customFormat="false" ht="15" hidden="false" customHeight="true" outlineLevel="0" collapsed="false">
      <c r="A547" s="15"/>
      <c r="B547" s="7"/>
      <c r="C547" s="16" t="str">
        <f aca="false">IF(B547="","",IFERROR(INDEX(Products!$B$2:$B$501,MATCH(B547,Products!$A$2:$A$501,0)),"CODE NOT FOUND"))</f>
        <v/>
      </c>
      <c r="D547" s="7"/>
      <c r="E547" s="13"/>
      <c r="F547" s="17" t="str">
        <f aca="false">IF(OR(D547="",E547=""),"",D547*E547)</f>
        <v/>
      </c>
      <c r="G547" s="7"/>
      <c r="H547" s="7"/>
    </row>
    <row r="548" customFormat="false" ht="15" hidden="false" customHeight="true" outlineLevel="0" collapsed="false">
      <c r="A548" s="15"/>
      <c r="B548" s="7"/>
      <c r="C548" s="16" t="str">
        <f aca="false">IF(B548="","",IFERROR(INDEX(Products!$B$2:$B$501,MATCH(B548,Products!$A$2:$A$501,0)),"CODE NOT FOUND"))</f>
        <v/>
      </c>
      <c r="D548" s="7"/>
      <c r="E548" s="13"/>
      <c r="F548" s="17" t="str">
        <f aca="false">IF(OR(D548="",E548=""),"",D548*E548)</f>
        <v/>
      </c>
      <c r="G548" s="7"/>
      <c r="H548" s="7"/>
    </row>
    <row r="549" customFormat="false" ht="15" hidden="false" customHeight="true" outlineLevel="0" collapsed="false">
      <c r="A549" s="15"/>
      <c r="B549" s="7"/>
      <c r="C549" s="16" t="str">
        <f aca="false">IF(B549="","",IFERROR(INDEX(Products!$B$2:$B$501,MATCH(B549,Products!$A$2:$A$501,0)),"CODE NOT FOUND"))</f>
        <v/>
      </c>
      <c r="D549" s="7"/>
      <c r="E549" s="13"/>
      <c r="F549" s="17" t="str">
        <f aca="false">IF(OR(D549="",E549=""),"",D549*E549)</f>
        <v/>
      </c>
      <c r="G549" s="7"/>
      <c r="H549" s="7"/>
    </row>
    <row r="550" customFormat="false" ht="15" hidden="false" customHeight="true" outlineLevel="0" collapsed="false">
      <c r="A550" s="15"/>
      <c r="B550" s="7"/>
      <c r="C550" s="16" t="str">
        <f aca="false">IF(B550="","",IFERROR(INDEX(Products!$B$2:$B$501,MATCH(B550,Products!$A$2:$A$501,0)),"CODE NOT FOUND"))</f>
        <v/>
      </c>
      <c r="D550" s="7"/>
      <c r="E550" s="13"/>
      <c r="F550" s="17" t="str">
        <f aca="false">IF(OR(D550="",E550=""),"",D550*E550)</f>
        <v/>
      </c>
      <c r="G550" s="7"/>
      <c r="H550" s="7"/>
    </row>
    <row r="551" customFormat="false" ht="15" hidden="false" customHeight="true" outlineLevel="0" collapsed="false">
      <c r="A551" s="15"/>
      <c r="B551" s="7"/>
      <c r="C551" s="16" t="str">
        <f aca="false">IF(B551="","",IFERROR(INDEX(Products!$B$2:$B$501,MATCH(B551,Products!$A$2:$A$501,0)),"CODE NOT FOUND"))</f>
        <v/>
      </c>
      <c r="D551" s="7"/>
      <c r="E551" s="13"/>
      <c r="F551" s="17" t="str">
        <f aca="false">IF(OR(D551="",E551=""),"",D551*E551)</f>
        <v/>
      </c>
      <c r="G551" s="7"/>
      <c r="H551" s="7"/>
    </row>
    <row r="552" customFormat="false" ht="15" hidden="false" customHeight="true" outlineLevel="0" collapsed="false">
      <c r="A552" s="15"/>
      <c r="B552" s="7"/>
      <c r="C552" s="16" t="str">
        <f aca="false">IF(B552="","",IFERROR(INDEX(Products!$B$2:$B$501,MATCH(B552,Products!$A$2:$A$501,0)),"CODE NOT FOUND"))</f>
        <v/>
      </c>
      <c r="D552" s="7"/>
      <c r="E552" s="13"/>
      <c r="F552" s="17" t="str">
        <f aca="false">IF(OR(D552="",E552=""),"",D552*E552)</f>
        <v/>
      </c>
      <c r="G552" s="7"/>
      <c r="H552" s="7"/>
    </row>
    <row r="553" customFormat="false" ht="15" hidden="false" customHeight="true" outlineLevel="0" collapsed="false">
      <c r="A553" s="15"/>
      <c r="B553" s="7"/>
      <c r="C553" s="16" t="str">
        <f aca="false">IF(B553="","",IFERROR(INDEX(Products!$B$2:$B$501,MATCH(B553,Products!$A$2:$A$501,0)),"CODE NOT FOUND"))</f>
        <v/>
      </c>
      <c r="D553" s="7"/>
      <c r="E553" s="13"/>
      <c r="F553" s="17" t="str">
        <f aca="false">IF(OR(D553="",E553=""),"",D553*E553)</f>
        <v/>
      </c>
      <c r="G553" s="7"/>
      <c r="H553" s="7"/>
    </row>
    <row r="554" customFormat="false" ht="15" hidden="false" customHeight="true" outlineLevel="0" collapsed="false">
      <c r="A554" s="15"/>
      <c r="B554" s="7"/>
      <c r="C554" s="16" t="str">
        <f aca="false">IF(B554="","",IFERROR(INDEX(Products!$B$2:$B$501,MATCH(B554,Products!$A$2:$A$501,0)),"CODE NOT FOUND"))</f>
        <v/>
      </c>
      <c r="D554" s="7"/>
      <c r="E554" s="13"/>
      <c r="F554" s="17" t="str">
        <f aca="false">IF(OR(D554="",E554=""),"",D554*E554)</f>
        <v/>
      </c>
      <c r="G554" s="7"/>
      <c r="H554" s="7"/>
    </row>
    <row r="555" customFormat="false" ht="15" hidden="false" customHeight="true" outlineLevel="0" collapsed="false">
      <c r="A555" s="15"/>
      <c r="B555" s="7"/>
      <c r="C555" s="16" t="str">
        <f aca="false">IF(B555="","",IFERROR(INDEX(Products!$B$2:$B$501,MATCH(B555,Products!$A$2:$A$501,0)),"CODE NOT FOUND"))</f>
        <v/>
      </c>
      <c r="D555" s="7"/>
      <c r="E555" s="13"/>
      <c r="F555" s="17" t="str">
        <f aca="false">IF(OR(D555="",E555=""),"",D555*E555)</f>
        <v/>
      </c>
      <c r="G555" s="7"/>
      <c r="H555" s="7"/>
    </row>
    <row r="556" customFormat="false" ht="15" hidden="false" customHeight="true" outlineLevel="0" collapsed="false">
      <c r="A556" s="15"/>
      <c r="B556" s="7"/>
      <c r="C556" s="16" t="str">
        <f aca="false">IF(B556="","",IFERROR(INDEX(Products!$B$2:$B$501,MATCH(B556,Products!$A$2:$A$501,0)),"CODE NOT FOUND"))</f>
        <v/>
      </c>
      <c r="D556" s="7"/>
      <c r="E556" s="13"/>
      <c r="F556" s="17" t="str">
        <f aca="false">IF(OR(D556="",E556=""),"",D556*E556)</f>
        <v/>
      </c>
      <c r="G556" s="7"/>
      <c r="H556" s="7"/>
    </row>
    <row r="557" customFormat="false" ht="15" hidden="false" customHeight="true" outlineLevel="0" collapsed="false">
      <c r="A557" s="15"/>
      <c r="B557" s="7"/>
      <c r="C557" s="16" t="str">
        <f aca="false">IF(B557="","",IFERROR(INDEX(Products!$B$2:$B$501,MATCH(B557,Products!$A$2:$A$501,0)),"CODE NOT FOUND"))</f>
        <v/>
      </c>
      <c r="D557" s="7"/>
      <c r="E557" s="13"/>
      <c r="F557" s="17" t="str">
        <f aca="false">IF(OR(D557="",E557=""),"",D557*E557)</f>
        <v/>
      </c>
      <c r="G557" s="7"/>
      <c r="H557" s="7"/>
    </row>
    <row r="558" customFormat="false" ht="15" hidden="false" customHeight="true" outlineLevel="0" collapsed="false">
      <c r="A558" s="15"/>
      <c r="B558" s="7"/>
      <c r="C558" s="16" t="str">
        <f aca="false">IF(B558="","",IFERROR(INDEX(Products!$B$2:$B$501,MATCH(B558,Products!$A$2:$A$501,0)),"CODE NOT FOUND"))</f>
        <v/>
      </c>
      <c r="D558" s="7"/>
      <c r="E558" s="13"/>
      <c r="F558" s="17" t="str">
        <f aca="false">IF(OR(D558="",E558=""),"",D558*E558)</f>
        <v/>
      </c>
      <c r="G558" s="7"/>
      <c r="H558" s="7"/>
    </row>
    <row r="559" customFormat="false" ht="15" hidden="false" customHeight="true" outlineLevel="0" collapsed="false">
      <c r="A559" s="15"/>
      <c r="B559" s="7"/>
      <c r="C559" s="16" t="str">
        <f aca="false">IF(B559="","",IFERROR(INDEX(Products!$B$2:$B$501,MATCH(B559,Products!$A$2:$A$501,0)),"CODE NOT FOUND"))</f>
        <v/>
      </c>
      <c r="D559" s="7"/>
      <c r="E559" s="13"/>
      <c r="F559" s="17" t="str">
        <f aca="false">IF(OR(D559="",E559=""),"",D559*E559)</f>
        <v/>
      </c>
      <c r="G559" s="7"/>
      <c r="H559" s="7"/>
    </row>
    <row r="560" customFormat="false" ht="15" hidden="false" customHeight="true" outlineLevel="0" collapsed="false">
      <c r="A560" s="15"/>
      <c r="B560" s="7"/>
      <c r="C560" s="16" t="str">
        <f aca="false">IF(B560="","",IFERROR(INDEX(Products!$B$2:$B$501,MATCH(B560,Products!$A$2:$A$501,0)),"CODE NOT FOUND"))</f>
        <v/>
      </c>
      <c r="D560" s="7"/>
      <c r="E560" s="13"/>
      <c r="F560" s="17" t="str">
        <f aca="false">IF(OR(D560="",E560=""),"",D560*E560)</f>
        <v/>
      </c>
      <c r="G560" s="7"/>
      <c r="H560" s="7"/>
    </row>
    <row r="561" customFormat="false" ht="15" hidden="false" customHeight="true" outlineLevel="0" collapsed="false">
      <c r="A561" s="15"/>
      <c r="B561" s="7"/>
      <c r="C561" s="16" t="str">
        <f aca="false">IF(B561="","",IFERROR(INDEX(Products!$B$2:$B$501,MATCH(B561,Products!$A$2:$A$501,0)),"CODE NOT FOUND"))</f>
        <v/>
      </c>
      <c r="D561" s="7"/>
      <c r="E561" s="13"/>
      <c r="F561" s="17" t="str">
        <f aca="false">IF(OR(D561="",E561=""),"",D561*E561)</f>
        <v/>
      </c>
      <c r="G561" s="7"/>
      <c r="H561" s="7"/>
    </row>
    <row r="562" customFormat="false" ht="15" hidden="false" customHeight="true" outlineLevel="0" collapsed="false">
      <c r="A562" s="15"/>
      <c r="B562" s="7"/>
      <c r="C562" s="16" t="str">
        <f aca="false">IF(B562="","",IFERROR(INDEX(Products!$B$2:$B$501,MATCH(B562,Products!$A$2:$A$501,0)),"CODE NOT FOUND"))</f>
        <v/>
      </c>
      <c r="D562" s="7"/>
      <c r="E562" s="13"/>
      <c r="F562" s="17" t="str">
        <f aca="false">IF(OR(D562="",E562=""),"",D562*E562)</f>
        <v/>
      </c>
      <c r="G562" s="7"/>
      <c r="H562" s="7"/>
    </row>
    <row r="563" customFormat="false" ht="15" hidden="false" customHeight="true" outlineLevel="0" collapsed="false">
      <c r="A563" s="15"/>
      <c r="B563" s="7"/>
      <c r="C563" s="16" t="str">
        <f aca="false">IF(B563="","",IFERROR(INDEX(Products!$B$2:$B$501,MATCH(B563,Products!$A$2:$A$501,0)),"CODE NOT FOUND"))</f>
        <v/>
      </c>
      <c r="D563" s="7"/>
      <c r="E563" s="13"/>
      <c r="F563" s="17" t="str">
        <f aca="false">IF(OR(D563="",E563=""),"",D563*E563)</f>
        <v/>
      </c>
      <c r="G563" s="7"/>
      <c r="H563" s="7"/>
    </row>
    <row r="564" customFormat="false" ht="15" hidden="false" customHeight="true" outlineLevel="0" collapsed="false">
      <c r="A564" s="15"/>
      <c r="B564" s="7"/>
      <c r="C564" s="16" t="str">
        <f aca="false">IF(B564="","",IFERROR(INDEX(Products!$B$2:$B$501,MATCH(B564,Products!$A$2:$A$501,0)),"CODE NOT FOUND"))</f>
        <v/>
      </c>
      <c r="D564" s="7"/>
      <c r="E564" s="13"/>
      <c r="F564" s="17" t="str">
        <f aca="false">IF(OR(D564="",E564=""),"",D564*E564)</f>
        <v/>
      </c>
      <c r="G564" s="7"/>
      <c r="H564" s="7"/>
    </row>
    <row r="565" customFormat="false" ht="15" hidden="false" customHeight="true" outlineLevel="0" collapsed="false">
      <c r="A565" s="15"/>
      <c r="B565" s="7"/>
      <c r="C565" s="16" t="str">
        <f aca="false">IF(B565="","",IFERROR(INDEX(Products!$B$2:$B$501,MATCH(B565,Products!$A$2:$A$501,0)),"CODE NOT FOUND"))</f>
        <v/>
      </c>
      <c r="D565" s="7"/>
      <c r="E565" s="13"/>
      <c r="F565" s="17" t="str">
        <f aca="false">IF(OR(D565="",E565=""),"",D565*E565)</f>
        <v/>
      </c>
      <c r="G565" s="7"/>
      <c r="H565" s="7"/>
    </row>
    <row r="566" customFormat="false" ht="15" hidden="false" customHeight="true" outlineLevel="0" collapsed="false">
      <c r="A566" s="15"/>
      <c r="B566" s="7"/>
      <c r="C566" s="16" t="str">
        <f aca="false">IF(B566="","",IFERROR(INDEX(Products!$B$2:$B$501,MATCH(B566,Products!$A$2:$A$501,0)),"CODE NOT FOUND"))</f>
        <v/>
      </c>
      <c r="D566" s="7"/>
      <c r="E566" s="13"/>
      <c r="F566" s="17" t="str">
        <f aca="false">IF(OR(D566="",E566=""),"",D566*E566)</f>
        <v/>
      </c>
      <c r="G566" s="7"/>
      <c r="H566" s="7"/>
    </row>
    <row r="567" customFormat="false" ht="15" hidden="false" customHeight="true" outlineLevel="0" collapsed="false">
      <c r="A567" s="15"/>
      <c r="B567" s="7"/>
      <c r="C567" s="16" t="str">
        <f aca="false">IF(B567="","",IFERROR(INDEX(Products!$B$2:$B$501,MATCH(B567,Products!$A$2:$A$501,0)),"CODE NOT FOUND"))</f>
        <v/>
      </c>
      <c r="D567" s="7"/>
      <c r="E567" s="13"/>
      <c r="F567" s="17" t="str">
        <f aca="false">IF(OR(D567="",E567=""),"",D567*E567)</f>
        <v/>
      </c>
      <c r="G567" s="7"/>
      <c r="H567" s="7"/>
    </row>
    <row r="568" customFormat="false" ht="15" hidden="false" customHeight="true" outlineLevel="0" collapsed="false">
      <c r="A568" s="15"/>
      <c r="B568" s="7"/>
      <c r="C568" s="16" t="str">
        <f aca="false">IF(B568="","",IFERROR(INDEX(Products!$B$2:$B$501,MATCH(B568,Products!$A$2:$A$501,0)),"CODE NOT FOUND"))</f>
        <v/>
      </c>
      <c r="D568" s="7"/>
      <c r="E568" s="13"/>
      <c r="F568" s="17" t="str">
        <f aca="false">IF(OR(D568="",E568=""),"",D568*E568)</f>
        <v/>
      </c>
      <c r="G568" s="7"/>
      <c r="H568" s="7"/>
    </row>
    <row r="569" customFormat="false" ht="15" hidden="false" customHeight="true" outlineLevel="0" collapsed="false">
      <c r="A569" s="15"/>
      <c r="B569" s="7"/>
      <c r="C569" s="16" t="str">
        <f aca="false">IF(B569="","",IFERROR(INDEX(Products!$B$2:$B$501,MATCH(B569,Products!$A$2:$A$501,0)),"CODE NOT FOUND"))</f>
        <v/>
      </c>
      <c r="D569" s="7"/>
      <c r="E569" s="13"/>
      <c r="F569" s="17" t="str">
        <f aca="false">IF(OR(D569="",E569=""),"",D569*E569)</f>
        <v/>
      </c>
      <c r="G569" s="7"/>
      <c r="H569" s="7"/>
    </row>
    <row r="570" customFormat="false" ht="15" hidden="false" customHeight="true" outlineLevel="0" collapsed="false">
      <c r="A570" s="15"/>
      <c r="B570" s="7"/>
      <c r="C570" s="16" t="str">
        <f aca="false">IF(B570="","",IFERROR(INDEX(Products!$B$2:$B$501,MATCH(B570,Products!$A$2:$A$501,0)),"CODE NOT FOUND"))</f>
        <v/>
      </c>
      <c r="D570" s="7"/>
      <c r="E570" s="13"/>
      <c r="F570" s="17" t="str">
        <f aca="false">IF(OR(D570="",E570=""),"",D570*E570)</f>
        <v/>
      </c>
      <c r="G570" s="7"/>
      <c r="H570" s="7"/>
    </row>
    <row r="571" customFormat="false" ht="15" hidden="false" customHeight="true" outlineLevel="0" collapsed="false">
      <c r="A571" s="15"/>
      <c r="B571" s="7"/>
      <c r="C571" s="16" t="str">
        <f aca="false">IF(B571="","",IFERROR(INDEX(Products!$B$2:$B$501,MATCH(B571,Products!$A$2:$A$501,0)),"CODE NOT FOUND"))</f>
        <v/>
      </c>
      <c r="D571" s="7"/>
      <c r="E571" s="13"/>
      <c r="F571" s="17" t="str">
        <f aca="false">IF(OR(D571="",E571=""),"",D571*E571)</f>
        <v/>
      </c>
      <c r="G571" s="7"/>
      <c r="H571" s="7"/>
    </row>
    <row r="572" customFormat="false" ht="15" hidden="false" customHeight="true" outlineLevel="0" collapsed="false">
      <c r="A572" s="15"/>
      <c r="B572" s="7"/>
      <c r="C572" s="16" t="str">
        <f aca="false">IF(B572="","",IFERROR(INDEX(Products!$B$2:$B$501,MATCH(B572,Products!$A$2:$A$501,0)),"CODE NOT FOUND"))</f>
        <v/>
      </c>
      <c r="D572" s="7"/>
      <c r="E572" s="13"/>
      <c r="F572" s="17" t="str">
        <f aca="false">IF(OR(D572="",E572=""),"",D572*E572)</f>
        <v/>
      </c>
      <c r="G572" s="7"/>
      <c r="H572" s="7"/>
    </row>
    <row r="573" customFormat="false" ht="15" hidden="false" customHeight="true" outlineLevel="0" collapsed="false">
      <c r="A573" s="15"/>
      <c r="B573" s="7"/>
      <c r="C573" s="16" t="str">
        <f aca="false">IF(B573="","",IFERROR(INDEX(Products!$B$2:$B$501,MATCH(B573,Products!$A$2:$A$501,0)),"CODE NOT FOUND"))</f>
        <v/>
      </c>
      <c r="D573" s="7"/>
      <c r="E573" s="13"/>
      <c r="F573" s="17" t="str">
        <f aca="false">IF(OR(D573="",E573=""),"",D573*E573)</f>
        <v/>
      </c>
      <c r="G573" s="7"/>
      <c r="H573" s="7"/>
    </row>
    <row r="574" customFormat="false" ht="15" hidden="false" customHeight="true" outlineLevel="0" collapsed="false">
      <c r="A574" s="15"/>
      <c r="B574" s="7"/>
      <c r="C574" s="16" t="str">
        <f aca="false">IF(B574="","",IFERROR(INDEX(Products!$B$2:$B$501,MATCH(B574,Products!$A$2:$A$501,0)),"CODE NOT FOUND"))</f>
        <v/>
      </c>
      <c r="D574" s="7"/>
      <c r="E574" s="13"/>
      <c r="F574" s="17" t="str">
        <f aca="false">IF(OR(D574="",E574=""),"",D574*E574)</f>
        <v/>
      </c>
      <c r="G574" s="7"/>
      <c r="H574" s="7"/>
    </row>
    <row r="575" customFormat="false" ht="15" hidden="false" customHeight="true" outlineLevel="0" collapsed="false">
      <c r="A575" s="15"/>
      <c r="B575" s="7"/>
      <c r="C575" s="16" t="str">
        <f aca="false">IF(B575="","",IFERROR(INDEX(Products!$B$2:$B$501,MATCH(B575,Products!$A$2:$A$501,0)),"CODE NOT FOUND"))</f>
        <v/>
      </c>
      <c r="D575" s="7"/>
      <c r="E575" s="13"/>
      <c r="F575" s="17" t="str">
        <f aca="false">IF(OR(D575="",E575=""),"",D575*E575)</f>
        <v/>
      </c>
      <c r="G575" s="7"/>
      <c r="H575" s="7"/>
    </row>
    <row r="576" customFormat="false" ht="15" hidden="false" customHeight="true" outlineLevel="0" collapsed="false">
      <c r="A576" s="15"/>
      <c r="B576" s="7"/>
      <c r="C576" s="16" t="str">
        <f aca="false">IF(B576="","",IFERROR(INDEX(Products!$B$2:$B$501,MATCH(B576,Products!$A$2:$A$501,0)),"CODE NOT FOUND"))</f>
        <v/>
      </c>
      <c r="D576" s="7"/>
      <c r="E576" s="13"/>
      <c r="F576" s="17" t="str">
        <f aca="false">IF(OR(D576="",E576=""),"",D576*E576)</f>
        <v/>
      </c>
      <c r="G576" s="7"/>
      <c r="H576" s="7"/>
    </row>
    <row r="577" customFormat="false" ht="15" hidden="false" customHeight="true" outlineLevel="0" collapsed="false">
      <c r="A577" s="15"/>
      <c r="B577" s="7"/>
      <c r="C577" s="16" t="str">
        <f aca="false">IF(B577="","",IFERROR(INDEX(Products!$B$2:$B$501,MATCH(B577,Products!$A$2:$A$501,0)),"CODE NOT FOUND"))</f>
        <v/>
      </c>
      <c r="D577" s="7"/>
      <c r="E577" s="13"/>
      <c r="F577" s="17" t="str">
        <f aca="false">IF(OR(D577="",E577=""),"",D577*E577)</f>
        <v/>
      </c>
      <c r="G577" s="7"/>
      <c r="H577" s="7"/>
    </row>
    <row r="578" customFormat="false" ht="15" hidden="false" customHeight="true" outlineLevel="0" collapsed="false">
      <c r="A578" s="15"/>
      <c r="B578" s="7"/>
      <c r="C578" s="16" t="str">
        <f aca="false">IF(B578="","",IFERROR(INDEX(Products!$B$2:$B$501,MATCH(B578,Products!$A$2:$A$501,0)),"CODE NOT FOUND"))</f>
        <v/>
      </c>
      <c r="D578" s="7"/>
      <c r="E578" s="13"/>
      <c r="F578" s="17" t="str">
        <f aca="false">IF(OR(D578="",E578=""),"",D578*E578)</f>
        <v/>
      </c>
      <c r="G578" s="7"/>
      <c r="H578" s="7"/>
    </row>
    <row r="579" customFormat="false" ht="15" hidden="false" customHeight="true" outlineLevel="0" collapsed="false">
      <c r="A579" s="15"/>
      <c r="B579" s="7"/>
      <c r="C579" s="16" t="str">
        <f aca="false">IF(B579="","",IFERROR(INDEX(Products!$B$2:$B$501,MATCH(B579,Products!$A$2:$A$501,0)),"CODE NOT FOUND"))</f>
        <v/>
      </c>
      <c r="D579" s="7"/>
      <c r="E579" s="13"/>
      <c r="F579" s="17" t="str">
        <f aca="false">IF(OR(D579="",E579=""),"",D579*E579)</f>
        <v/>
      </c>
      <c r="G579" s="7"/>
      <c r="H579" s="7"/>
    </row>
    <row r="580" customFormat="false" ht="15" hidden="false" customHeight="true" outlineLevel="0" collapsed="false">
      <c r="A580" s="15"/>
      <c r="B580" s="7"/>
      <c r="C580" s="16" t="str">
        <f aca="false">IF(B580="","",IFERROR(INDEX(Products!$B$2:$B$501,MATCH(B580,Products!$A$2:$A$501,0)),"CODE NOT FOUND"))</f>
        <v/>
      </c>
      <c r="D580" s="7"/>
      <c r="E580" s="13"/>
      <c r="F580" s="17" t="str">
        <f aca="false">IF(OR(D580="",E580=""),"",D580*E580)</f>
        <v/>
      </c>
      <c r="G580" s="7"/>
      <c r="H580" s="7"/>
    </row>
    <row r="581" customFormat="false" ht="15" hidden="false" customHeight="true" outlineLevel="0" collapsed="false">
      <c r="A581" s="15"/>
      <c r="B581" s="7"/>
      <c r="C581" s="16" t="str">
        <f aca="false">IF(B581="","",IFERROR(INDEX(Products!$B$2:$B$501,MATCH(B581,Products!$A$2:$A$501,0)),"CODE NOT FOUND"))</f>
        <v/>
      </c>
      <c r="D581" s="7"/>
      <c r="E581" s="13"/>
      <c r="F581" s="17" t="str">
        <f aca="false">IF(OR(D581="",E581=""),"",D581*E581)</f>
        <v/>
      </c>
      <c r="G581" s="7"/>
      <c r="H581" s="7"/>
    </row>
    <row r="582" customFormat="false" ht="15" hidden="false" customHeight="true" outlineLevel="0" collapsed="false">
      <c r="A582" s="15"/>
      <c r="B582" s="7"/>
      <c r="C582" s="16" t="str">
        <f aca="false">IF(B582="","",IFERROR(INDEX(Products!$B$2:$B$501,MATCH(B582,Products!$A$2:$A$501,0)),"CODE NOT FOUND"))</f>
        <v/>
      </c>
      <c r="D582" s="7"/>
      <c r="E582" s="13"/>
      <c r="F582" s="17" t="str">
        <f aca="false">IF(OR(D582="",E582=""),"",D582*E582)</f>
        <v/>
      </c>
      <c r="G582" s="7"/>
      <c r="H582" s="7"/>
    </row>
    <row r="583" customFormat="false" ht="15" hidden="false" customHeight="true" outlineLevel="0" collapsed="false">
      <c r="A583" s="15"/>
      <c r="B583" s="7"/>
      <c r="C583" s="16" t="str">
        <f aca="false">IF(B583="","",IFERROR(INDEX(Products!$B$2:$B$501,MATCH(B583,Products!$A$2:$A$501,0)),"CODE NOT FOUND"))</f>
        <v/>
      </c>
      <c r="D583" s="7"/>
      <c r="E583" s="13"/>
      <c r="F583" s="17" t="str">
        <f aca="false">IF(OR(D583="",E583=""),"",D583*E583)</f>
        <v/>
      </c>
      <c r="G583" s="7"/>
      <c r="H583" s="7"/>
    </row>
    <row r="584" customFormat="false" ht="15" hidden="false" customHeight="true" outlineLevel="0" collapsed="false">
      <c r="A584" s="15"/>
      <c r="B584" s="7"/>
      <c r="C584" s="16" t="str">
        <f aca="false">IF(B584="","",IFERROR(INDEX(Products!$B$2:$B$501,MATCH(B584,Products!$A$2:$A$501,0)),"CODE NOT FOUND"))</f>
        <v/>
      </c>
      <c r="D584" s="7"/>
      <c r="E584" s="13"/>
      <c r="F584" s="17" t="str">
        <f aca="false">IF(OR(D584="",E584=""),"",D584*E584)</f>
        <v/>
      </c>
      <c r="G584" s="7"/>
      <c r="H584" s="7"/>
    </row>
    <row r="585" customFormat="false" ht="15" hidden="false" customHeight="true" outlineLevel="0" collapsed="false">
      <c r="A585" s="15"/>
      <c r="B585" s="7"/>
      <c r="C585" s="16" t="str">
        <f aca="false">IF(B585="","",IFERROR(INDEX(Products!$B$2:$B$501,MATCH(B585,Products!$A$2:$A$501,0)),"CODE NOT FOUND"))</f>
        <v/>
      </c>
      <c r="D585" s="7"/>
      <c r="E585" s="13"/>
      <c r="F585" s="17" t="str">
        <f aca="false">IF(OR(D585="",E585=""),"",D585*E585)</f>
        <v/>
      </c>
      <c r="G585" s="7"/>
      <c r="H585" s="7"/>
    </row>
    <row r="586" customFormat="false" ht="15" hidden="false" customHeight="true" outlineLevel="0" collapsed="false">
      <c r="A586" s="15"/>
      <c r="B586" s="7"/>
      <c r="C586" s="16" t="str">
        <f aca="false">IF(B586="","",IFERROR(INDEX(Products!$B$2:$B$501,MATCH(B586,Products!$A$2:$A$501,0)),"CODE NOT FOUND"))</f>
        <v/>
      </c>
      <c r="D586" s="7"/>
      <c r="E586" s="13"/>
      <c r="F586" s="17" t="str">
        <f aca="false">IF(OR(D586="",E586=""),"",D586*E586)</f>
        <v/>
      </c>
      <c r="G586" s="7"/>
      <c r="H586" s="7"/>
    </row>
    <row r="587" customFormat="false" ht="15" hidden="false" customHeight="true" outlineLevel="0" collapsed="false">
      <c r="A587" s="15"/>
      <c r="B587" s="7"/>
      <c r="C587" s="16" t="str">
        <f aca="false">IF(B587="","",IFERROR(INDEX(Products!$B$2:$B$501,MATCH(B587,Products!$A$2:$A$501,0)),"CODE NOT FOUND"))</f>
        <v/>
      </c>
      <c r="D587" s="7"/>
      <c r="E587" s="13"/>
      <c r="F587" s="17" t="str">
        <f aca="false">IF(OR(D587="",E587=""),"",D587*E587)</f>
        <v/>
      </c>
      <c r="G587" s="7"/>
      <c r="H587" s="7"/>
    </row>
    <row r="588" customFormat="false" ht="15" hidden="false" customHeight="true" outlineLevel="0" collapsed="false">
      <c r="A588" s="15"/>
      <c r="B588" s="7"/>
      <c r="C588" s="16" t="str">
        <f aca="false">IF(B588="","",IFERROR(INDEX(Products!$B$2:$B$501,MATCH(B588,Products!$A$2:$A$501,0)),"CODE NOT FOUND"))</f>
        <v/>
      </c>
      <c r="D588" s="7"/>
      <c r="E588" s="13"/>
      <c r="F588" s="17" t="str">
        <f aca="false">IF(OR(D588="",E588=""),"",D588*E588)</f>
        <v/>
      </c>
      <c r="G588" s="7"/>
      <c r="H588" s="7"/>
    </row>
    <row r="589" customFormat="false" ht="15" hidden="false" customHeight="true" outlineLevel="0" collapsed="false">
      <c r="A589" s="15"/>
      <c r="B589" s="7"/>
      <c r="C589" s="16" t="str">
        <f aca="false">IF(B589="","",IFERROR(INDEX(Products!$B$2:$B$501,MATCH(B589,Products!$A$2:$A$501,0)),"CODE NOT FOUND"))</f>
        <v/>
      </c>
      <c r="D589" s="7"/>
      <c r="E589" s="13"/>
      <c r="F589" s="17" t="str">
        <f aca="false">IF(OR(D589="",E589=""),"",D589*E589)</f>
        <v/>
      </c>
      <c r="G589" s="7"/>
      <c r="H589" s="7"/>
    </row>
    <row r="590" customFormat="false" ht="15" hidden="false" customHeight="true" outlineLevel="0" collapsed="false">
      <c r="A590" s="15"/>
      <c r="B590" s="7"/>
      <c r="C590" s="16" t="str">
        <f aca="false">IF(B590="","",IFERROR(INDEX(Products!$B$2:$B$501,MATCH(B590,Products!$A$2:$A$501,0)),"CODE NOT FOUND"))</f>
        <v/>
      </c>
      <c r="D590" s="7"/>
      <c r="E590" s="13"/>
      <c r="F590" s="17" t="str">
        <f aca="false">IF(OR(D590="",E590=""),"",D590*E590)</f>
        <v/>
      </c>
      <c r="G590" s="7"/>
      <c r="H590" s="7"/>
    </row>
    <row r="591" customFormat="false" ht="15" hidden="false" customHeight="true" outlineLevel="0" collapsed="false">
      <c r="A591" s="15"/>
      <c r="B591" s="7"/>
      <c r="C591" s="16" t="str">
        <f aca="false">IF(B591="","",IFERROR(INDEX(Products!$B$2:$B$501,MATCH(B591,Products!$A$2:$A$501,0)),"CODE NOT FOUND"))</f>
        <v/>
      </c>
      <c r="D591" s="7"/>
      <c r="E591" s="13"/>
      <c r="F591" s="17" t="str">
        <f aca="false">IF(OR(D591="",E591=""),"",D591*E591)</f>
        <v/>
      </c>
      <c r="G591" s="7"/>
      <c r="H591" s="7"/>
    </row>
    <row r="592" customFormat="false" ht="15" hidden="false" customHeight="true" outlineLevel="0" collapsed="false">
      <c r="A592" s="15"/>
      <c r="B592" s="7"/>
      <c r="C592" s="16" t="str">
        <f aca="false">IF(B592="","",IFERROR(INDEX(Products!$B$2:$B$501,MATCH(B592,Products!$A$2:$A$501,0)),"CODE NOT FOUND"))</f>
        <v/>
      </c>
      <c r="D592" s="7"/>
      <c r="E592" s="13"/>
      <c r="F592" s="17" t="str">
        <f aca="false">IF(OR(D592="",E592=""),"",D592*E592)</f>
        <v/>
      </c>
      <c r="G592" s="7"/>
      <c r="H592" s="7"/>
    </row>
    <row r="593" customFormat="false" ht="15" hidden="false" customHeight="true" outlineLevel="0" collapsed="false">
      <c r="A593" s="15"/>
      <c r="B593" s="7"/>
      <c r="C593" s="16" t="str">
        <f aca="false">IF(B593="","",IFERROR(INDEX(Products!$B$2:$B$501,MATCH(B593,Products!$A$2:$A$501,0)),"CODE NOT FOUND"))</f>
        <v/>
      </c>
      <c r="D593" s="7"/>
      <c r="E593" s="13"/>
      <c r="F593" s="17" t="str">
        <f aca="false">IF(OR(D593="",E593=""),"",D593*E593)</f>
        <v/>
      </c>
      <c r="G593" s="7"/>
      <c r="H593" s="7"/>
    </row>
    <row r="594" customFormat="false" ht="15" hidden="false" customHeight="true" outlineLevel="0" collapsed="false">
      <c r="A594" s="15"/>
      <c r="B594" s="7"/>
      <c r="C594" s="16" t="str">
        <f aca="false">IF(B594="","",IFERROR(INDEX(Products!$B$2:$B$501,MATCH(B594,Products!$A$2:$A$501,0)),"CODE NOT FOUND"))</f>
        <v/>
      </c>
      <c r="D594" s="7"/>
      <c r="E594" s="13"/>
      <c r="F594" s="17" t="str">
        <f aca="false">IF(OR(D594="",E594=""),"",D594*E594)</f>
        <v/>
      </c>
      <c r="G594" s="7"/>
      <c r="H594" s="7"/>
    </row>
    <row r="595" customFormat="false" ht="15" hidden="false" customHeight="true" outlineLevel="0" collapsed="false">
      <c r="A595" s="15"/>
      <c r="B595" s="7"/>
      <c r="C595" s="16" t="str">
        <f aca="false">IF(B595="","",IFERROR(INDEX(Products!$B$2:$B$501,MATCH(B595,Products!$A$2:$A$501,0)),"CODE NOT FOUND"))</f>
        <v/>
      </c>
      <c r="D595" s="7"/>
      <c r="E595" s="13"/>
      <c r="F595" s="17" t="str">
        <f aca="false">IF(OR(D595="",E595=""),"",D595*E595)</f>
        <v/>
      </c>
      <c r="G595" s="7"/>
      <c r="H595" s="7"/>
    </row>
    <row r="596" customFormat="false" ht="15" hidden="false" customHeight="true" outlineLevel="0" collapsed="false">
      <c r="A596" s="15"/>
      <c r="B596" s="7"/>
      <c r="C596" s="16" t="str">
        <f aca="false">IF(B596="","",IFERROR(INDEX(Products!$B$2:$B$501,MATCH(B596,Products!$A$2:$A$501,0)),"CODE NOT FOUND"))</f>
        <v/>
      </c>
      <c r="D596" s="7"/>
      <c r="E596" s="13"/>
      <c r="F596" s="17" t="str">
        <f aca="false">IF(OR(D596="",E596=""),"",D596*E596)</f>
        <v/>
      </c>
      <c r="G596" s="7"/>
      <c r="H596" s="7"/>
    </row>
    <row r="597" customFormat="false" ht="15" hidden="false" customHeight="true" outlineLevel="0" collapsed="false">
      <c r="A597" s="15"/>
      <c r="B597" s="7"/>
      <c r="C597" s="16" t="str">
        <f aca="false">IF(B597="","",IFERROR(INDEX(Products!$B$2:$B$501,MATCH(B597,Products!$A$2:$A$501,0)),"CODE NOT FOUND"))</f>
        <v/>
      </c>
      <c r="D597" s="7"/>
      <c r="E597" s="13"/>
      <c r="F597" s="17" t="str">
        <f aca="false">IF(OR(D597="",E597=""),"",D597*E597)</f>
        <v/>
      </c>
      <c r="G597" s="7"/>
      <c r="H597" s="7"/>
    </row>
    <row r="598" customFormat="false" ht="15" hidden="false" customHeight="true" outlineLevel="0" collapsed="false">
      <c r="A598" s="15"/>
      <c r="B598" s="7"/>
      <c r="C598" s="16" t="str">
        <f aca="false">IF(B598="","",IFERROR(INDEX(Products!$B$2:$B$501,MATCH(B598,Products!$A$2:$A$501,0)),"CODE NOT FOUND"))</f>
        <v/>
      </c>
      <c r="D598" s="7"/>
      <c r="E598" s="13"/>
      <c r="F598" s="17" t="str">
        <f aca="false">IF(OR(D598="",E598=""),"",D598*E598)</f>
        <v/>
      </c>
      <c r="G598" s="7"/>
      <c r="H598" s="7"/>
    </row>
    <row r="599" customFormat="false" ht="15" hidden="false" customHeight="true" outlineLevel="0" collapsed="false">
      <c r="A599" s="15"/>
      <c r="B599" s="7"/>
      <c r="C599" s="16" t="str">
        <f aca="false">IF(B599="","",IFERROR(INDEX(Products!$B$2:$B$501,MATCH(B599,Products!$A$2:$A$501,0)),"CODE NOT FOUND"))</f>
        <v/>
      </c>
      <c r="D599" s="7"/>
      <c r="E599" s="13"/>
      <c r="F599" s="17" t="str">
        <f aca="false">IF(OR(D599="",E599=""),"",D599*E599)</f>
        <v/>
      </c>
      <c r="G599" s="7"/>
      <c r="H599" s="7"/>
    </row>
    <row r="600" customFormat="false" ht="15" hidden="false" customHeight="true" outlineLevel="0" collapsed="false">
      <c r="A600" s="15"/>
      <c r="B600" s="7"/>
      <c r="C600" s="16" t="str">
        <f aca="false">IF(B600="","",IFERROR(INDEX(Products!$B$2:$B$501,MATCH(B600,Products!$A$2:$A$501,0)),"CODE NOT FOUND"))</f>
        <v/>
      </c>
      <c r="D600" s="7"/>
      <c r="E600" s="13"/>
      <c r="F600" s="17" t="str">
        <f aca="false">IF(OR(D600="",E600=""),"",D600*E600)</f>
        <v/>
      </c>
      <c r="G600" s="7"/>
      <c r="H600" s="7"/>
    </row>
    <row r="601" customFormat="false" ht="15" hidden="false" customHeight="true" outlineLevel="0" collapsed="false">
      <c r="A601" s="15"/>
      <c r="B601" s="7"/>
      <c r="C601" s="16" t="str">
        <f aca="false">IF(B601="","",IFERROR(INDEX(Products!$B$2:$B$501,MATCH(B601,Products!$A$2:$A$501,0)),"CODE NOT FOUND"))</f>
        <v/>
      </c>
      <c r="D601" s="7"/>
      <c r="E601" s="13"/>
      <c r="F601" s="17" t="str">
        <f aca="false">IF(OR(D601="",E601=""),"",D601*E601)</f>
        <v/>
      </c>
      <c r="G601" s="7"/>
      <c r="H601" s="7"/>
    </row>
    <row r="602" customFormat="false" ht="15" hidden="false" customHeight="true" outlineLevel="0" collapsed="false">
      <c r="A602" s="15"/>
      <c r="B602" s="7"/>
      <c r="C602" s="16" t="str">
        <f aca="false">IF(B602="","",IFERROR(INDEX(Products!$B$2:$B$501,MATCH(B602,Products!$A$2:$A$501,0)),"CODE NOT FOUND"))</f>
        <v/>
      </c>
      <c r="D602" s="7"/>
      <c r="E602" s="13"/>
      <c r="F602" s="17" t="str">
        <f aca="false">IF(OR(D602="",E602=""),"",D602*E602)</f>
        <v/>
      </c>
      <c r="G602" s="7"/>
      <c r="H602" s="7"/>
    </row>
    <row r="603" customFormat="false" ht="15" hidden="false" customHeight="true" outlineLevel="0" collapsed="false">
      <c r="A603" s="15"/>
      <c r="B603" s="7"/>
      <c r="C603" s="16" t="str">
        <f aca="false">IF(B603="","",IFERROR(INDEX(Products!$B$2:$B$501,MATCH(B603,Products!$A$2:$A$501,0)),"CODE NOT FOUND"))</f>
        <v/>
      </c>
      <c r="D603" s="7"/>
      <c r="E603" s="13"/>
      <c r="F603" s="17" t="str">
        <f aca="false">IF(OR(D603="",E603=""),"",D603*E603)</f>
        <v/>
      </c>
      <c r="G603" s="7"/>
      <c r="H603" s="7"/>
    </row>
    <row r="604" customFormat="false" ht="15" hidden="false" customHeight="true" outlineLevel="0" collapsed="false">
      <c r="A604" s="15"/>
      <c r="B604" s="7"/>
      <c r="C604" s="16" t="str">
        <f aca="false">IF(B604="","",IFERROR(INDEX(Products!$B$2:$B$501,MATCH(B604,Products!$A$2:$A$501,0)),"CODE NOT FOUND"))</f>
        <v/>
      </c>
      <c r="D604" s="7"/>
      <c r="E604" s="13"/>
      <c r="F604" s="17" t="str">
        <f aca="false">IF(OR(D604="",E604=""),"",D604*E604)</f>
        <v/>
      </c>
      <c r="G604" s="7"/>
      <c r="H604" s="7"/>
    </row>
    <row r="605" customFormat="false" ht="15" hidden="false" customHeight="true" outlineLevel="0" collapsed="false">
      <c r="A605" s="15"/>
      <c r="B605" s="7"/>
      <c r="C605" s="16" t="str">
        <f aca="false">IF(B605="","",IFERROR(INDEX(Products!$B$2:$B$501,MATCH(B605,Products!$A$2:$A$501,0)),"CODE NOT FOUND"))</f>
        <v/>
      </c>
      <c r="D605" s="7"/>
      <c r="E605" s="13"/>
      <c r="F605" s="17" t="str">
        <f aca="false">IF(OR(D605="",E605=""),"",D605*E605)</f>
        <v/>
      </c>
      <c r="G605" s="7"/>
      <c r="H605" s="7"/>
    </row>
    <row r="606" customFormat="false" ht="15" hidden="false" customHeight="true" outlineLevel="0" collapsed="false">
      <c r="A606" s="15"/>
      <c r="B606" s="7"/>
      <c r="C606" s="16" t="str">
        <f aca="false">IF(B606="","",IFERROR(INDEX(Products!$B$2:$B$501,MATCH(B606,Products!$A$2:$A$501,0)),"CODE NOT FOUND"))</f>
        <v/>
      </c>
      <c r="D606" s="7"/>
      <c r="E606" s="13"/>
      <c r="F606" s="17" t="str">
        <f aca="false">IF(OR(D606="",E606=""),"",D606*E606)</f>
        <v/>
      </c>
      <c r="G606" s="7"/>
      <c r="H606" s="7"/>
    </row>
    <row r="607" customFormat="false" ht="15" hidden="false" customHeight="true" outlineLevel="0" collapsed="false">
      <c r="A607" s="15"/>
      <c r="B607" s="7"/>
      <c r="C607" s="16" t="str">
        <f aca="false">IF(B607="","",IFERROR(INDEX(Products!$B$2:$B$501,MATCH(B607,Products!$A$2:$A$501,0)),"CODE NOT FOUND"))</f>
        <v/>
      </c>
      <c r="D607" s="7"/>
      <c r="E607" s="13"/>
      <c r="F607" s="17" t="str">
        <f aca="false">IF(OR(D607="",E607=""),"",D607*E607)</f>
        <v/>
      </c>
      <c r="G607" s="7"/>
      <c r="H607" s="7"/>
    </row>
    <row r="608" customFormat="false" ht="15" hidden="false" customHeight="true" outlineLevel="0" collapsed="false">
      <c r="A608" s="15"/>
      <c r="B608" s="7"/>
      <c r="C608" s="16" t="str">
        <f aca="false">IF(B608="","",IFERROR(INDEX(Products!$B$2:$B$501,MATCH(B608,Products!$A$2:$A$501,0)),"CODE NOT FOUND"))</f>
        <v/>
      </c>
      <c r="D608" s="7"/>
      <c r="E608" s="13"/>
      <c r="F608" s="17" t="str">
        <f aca="false">IF(OR(D608="",E608=""),"",D608*E608)</f>
        <v/>
      </c>
      <c r="G608" s="7"/>
      <c r="H608" s="7"/>
    </row>
    <row r="609" customFormat="false" ht="15" hidden="false" customHeight="true" outlineLevel="0" collapsed="false">
      <c r="A609" s="15"/>
      <c r="B609" s="7"/>
      <c r="C609" s="16" t="str">
        <f aca="false">IF(B609="","",IFERROR(INDEX(Products!$B$2:$B$501,MATCH(B609,Products!$A$2:$A$501,0)),"CODE NOT FOUND"))</f>
        <v/>
      </c>
      <c r="D609" s="7"/>
      <c r="E609" s="13"/>
      <c r="F609" s="17" t="str">
        <f aca="false">IF(OR(D609="",E609=""),"",D609*E609)</f>
        <v/>
      </c>
      <c r="G609" s="7"/>
      <c r="H609" s="7"/>
    </row>
    <row r="610" customFormat="false" ht="15" hidden="false" customHeight="true" outlineLevel="0" collapsed="false">
      <c r="A610" s="15"/>
      <c r="B610" s="7"/>
      <c r="C610" s="16" t="str">
        <f aca="false">IF(B610="","",IFERROR(INDEX(Products!$B$2:$B$501,MATCH(B610,Products!$A$2:$A$501,0)),"CODE NOT FOUND"))</f>
        <v/>
      </c>
      <c r="D610" s="7"/>
      <c r="E610" s="13"/>
      <c r="F610" s="17" t="str">
        <f aca="false">IF(OR(D610="",E610=""),"",D610*E610)</f>
        <v/>
      </c>
      <c r="G610" s="7"/>
      <c r="H610" s="7"/>
    </row>
    <row r="611" customFormat="false" ht="15" hidden="false" customHeight="true" outlineLevel="0" collapsed="false">
      <c r="A611" s="15"/>
      <c r="B611" s="7"/>
      <c r="C611" s="16" t="str">
        <f aca="false">IF(B611="","",IFERROR(INDEX(Products!$B$2:$B$501,MATCH(B611,Products!$A$2:$A$501,0)),"CODE NOT FOUND"))</f>
        <v/>
      </c>
      <c r="D611" s="7"/>
      <c r="E611" s="13"/>
      <c r="F611" s="17" t="str">
        <f aca="false">IF(OR(D611="",E611=""),"",D611*E611)</f>
        <v/>
      </c>
      <c r="G611" s="7"/>
      <c r="H611" s="7"/>
    </row>
    <row r="612" customFormat="false" ht="15" hidden="false" customHeight="true" outlineLevel="0" collapsed="false">
      <c r="A612" s="15"/>
      <c r="B612" s="7"/>
      <c r="C612" s="16" t="str">
        <f aca="false">IF(B612="","",IFERROR(INDEX(Products!$B$2:$B$501,MATCH(B612,Products!$A$2:$A$501,0)),"CODE NOT FOUND"))</f>
        <v/>
      </c>
      <c r="D612" s="7"/>
      <c r="E612" s="13"/>
      <c r="F612" s="17" t="str">
        <f aca="false">IF(OR(D612="",E612=""),"",D612*E612)</f>
        <v/>
      </c>
      <c r="G612" s="7"/>
      <c r="H612" s="7"/>
    </row>
    <row r="613" customFormat="false" ht="15" hidden="false" customHeight="true" outlineLevel="0" collapsed="false">
      <c r="A613" s="15"/>
      <c r="B613" s="7"/>
      <c r="C613" s="16" t="str">
        <f aca="false">IF(B613="","",IFERROR(INDEX(Products!$B$2:$B$501,MATCH(B613,Products!$A$2:$A$501,0)),"CODE NOT FOUND"))</f>
        <v/>
      </c>
      <c r="D613" s="7"/>
      <c r="E613" s="13"/>
      <c r="F613" s="17" t="str">
        <f aca="false">IF(OR(D613="",E613=""),"",D613*E613)</f>
        <v/>
      </c>
      <c r="G613" s="7"/>
      <c r="H613" s="7"/>
    </row>
    <row r="614" customFormat="false" ht="15" hidden="false" customHeight="true" outlineLevel="0" collapsed="false">
      <c r="A614" s="15"/>
      <c r="B614" s="7"/>
      <c r="C614" s="16" t="str">
        <f aca="false">IF(B614="","",IFERROR(INDEX(Products!$B$2:$B$501,MATCH(B614,Products!$A$2:$A$501,0)),"CODE NOT FOUND"))</f>
        <v/>
      </c>
      <c r="D614" s="7"/>
      <c r="E614" s="13"/>
      <c r="F614" s="17" t="str">
        <f aca="false">IF(OR(D614="",E614=""),"",D614*E614)</f>
        <v/>
      </c>
      <c r="G614" s="7"/>
      <c r="H614" s="7"/>
    </row>
    <row r="615" customFormat="false" ht="15" hidden="false" customHeight="true" outlineLevel="0" collapsed="false">
      <c r="A615" s="15"/>
      <c r="B615" s="7"/>
      <c r="C615" s="16" t="str">
        <f aca="false">IF(B615="","",IFERROR(INDEX(Products!$B$2:$B$501,MATCH(B615,Products!$A$2:$A$501,0)),"CODE NOT FOUND"))</f>
        <v/>
      </c>
      <c r="D615" s="7"/>
      <c r="E615" s="13"/>
      <c r="F615" s="17" t="str">
        <f aca="false">IF(OR(D615="",E615=""),"",D615*E615)</f>
        <v/>
      </c>
      <c r="G615" s="7"/>
      <c r="H615" s="7"/>
    </row>
    <row r="616" customFormat="false" ht="15" hidden="false" customHeight="true" outlineLevel="0" collapsed="false">
      <c r="A616" s="15"/>
      <c r="B616" s="7"/>
      <c r="C616" s="16" t="str">
        <f aca="false">IF(B616="","",IFERROR(INDEX(Products!$B$2:$B$501,MATCH(B616,Products!$A$2:$A$501,0)),"CODE NOT FOUND"))</f>
        <v/>
      </c>
      <c r="D616" s="7"/>
      <c r="E616" s="13"/>
      <c r="F616" s="17" t="str">
        <f aca="false">IF(OR(D616="",E616=""),"",D616*E616)</f>
        <v/>
      </c>
      <c r="G616" s="7"/>
      <c r="H616" s="7"/>
    </row>
    <row r="617" customFormat="false" ht="15" hidden="false" customHeight="true" outlineLevel="0" collapsed="false">
      <c r="A617" s="15"/>
      <c r="B617" s="7"/>
      <c r="C617" s="16" t="str">
        <f aca="false">IF(B617="","",IFERROR(INDEX(Products!$B$2:$B$501,MATCH(B617,Products!$A$2:$A$501,0)),"CODE NOT FOUND"))</f>
        <v/>
      </c>
      <c r="D617" s="7"/>
      <c r="E617" s="13"/>
      <c r="F617" s="17" t="str">
        <f aca="false">IF(OR(D617="",E617=""),"",D617*E617)</f>
        <v/>
      </c>
      <c r="G617" s="7"/>
      <c r="H617" s="7"/>
    </row>
    <row r="618" customFormat="false" ht="15" hidden="false" customHeight="true" outlineLevel="0" collapsed="false">
      <c r="A618" s="15"/>
      <c r="B618" s="7"/>
      <c r="C618" s="16" t="str">
        <f aca="false">IF(B618="","",IFERROR(INDEX(Products!$B$2:$B$501,MATCH(B618,Products!$A$2:$A$501,0)),"CODE NOT FOUND"))</f>
        <v/>
      </c>
      <c r="D618" s="7"/>
      <c r="E618" s="13"/>
      <c r="F618" s="17" t="str">
        <f aca="false">IF(OR(D618="",E618=""),"",D618*E618)</f>
        <v/>
      </c>
      <c r="G618" s="7"/>
      <c r="H618" s="7"/>
    </row>
    <row r="619" customFormat="false" ht="15" hidden="false" customHeight="true" outlineLevel="0" collapsed="false">
      <c r="A619" s="15"/>
      <c r="B619" s="7"/>
      <c r="C619" s="16" t="str">
        <f aca="false">IF(B619="","",IFERROR(INDEX(Products!$B$2:$B$501,MATCH(B619,Products!$A$2:$A$501,0)),"CODE NOT FOUND"))</f>
        <v/>
      </c>
      <c r="D619" s="7"/>
      <c r="E619" s="13"/>
      <c r="F619" s="17" t="str">
        <f aca="false">IF(OR(D619="",E619=""),"",D619*E619)</f>
        <v/>
      </c>
      <c r="G619" s="7"/>
      <c r="H619" s="7"/>
    </row>
    <row r="620" customFormat="false" ht="15" hidden="false" customHeight="true" outlineLevel="0" collapsed="false">
      <c r="A620" s="15"/>
      <c r="B620" s="7"/>
      <c r="C620" s="16" t="str">
        <f aca="false">IF(B620="","",IFERROR(INDEX(Products!$B$2:$B$501,MATCH(B620,Products!$A$2:$A$501,0)),"CODE NOT FOUND"))</f>
        <v/>
      </c>
      <c r="D620" s="7"/>
      <c r="E620" s="13"/>
      <c r="F620" s="17" t="str">
        <f aca="false">IF(OR(D620="",E620=""),"",D620*E620)</f>
        <v/>
      </c>
      <c r="G620" s="7"/>
      <c r="H620" s="7"/>
    </row>
    <row r="621" customFormat="false" ht="15" hidden="false" customHeight="true" outlineLevel="0" collapsed="false">
      <c r="A621" s="15"/>
      <c r="B621" s="7"/>
      <c r="C621" s="16" t="str">
        <f aca="false">IF(B621="","",IFERROR(INDEX(Products!$B$2:$B$501,MATCH(B621,Products!$A$2:$A$501,0)),"CODE NOT FOUND"))</f>
        <v/>
      </c>
      <c r="D621" s="7"/>
      <c r="E621" s="13"/>
      <c r="F621" s="17" t="str">
        <f aca="false">IF(OR(D621="",E621=""),"",D621*E621)</f>
        <v/>
      </c>
      <c r="G621" s="7"/>
      <c r="H621" s="7"/>
    </row>
    <row r="622" customFormat="false" ht="15" hidden="false" customHeight="true" outlineLevel="0" collapsed="false">
      <c r="A622" s="15"/>
      <c r="B622" s="7"/>
      <c r="C622" s="16" t="str">
        <f aca="false">IF(B622="","",IFERROR(INDEX(Products!$B$2:$B$501,MATCH(B622,Products!$A$2:$A$501,0)),"CODE NOT FOUND"))</f>
        <v/>
      </c>
      <c r="D622" s="7"/>
      <c r="E622" s="13"/>
      <c r="F622" s="17" t="str">
        <f aca="false">IF(OR(D622="",E622=""),"",D622*E622)</f>
        <v/>
      </c>
      <c r="G622" s="7"/>
      <c r="H622" s="7"/>
    </row>
    <row r="623" customFormat="false" ht="15" hidden="false" customHeight="true" outlineLevel="0" collapsed="false">
      <c r="A623" s="15"/>
      <c r="B623" s="7"/>
      <c r="C623" s="16" t="str">
        <f aca="false">IF(B623="","",IFERROR(INDEX(Products!$B$2:$B$501,MATCH(B623,Products!$A$2:$A$501,0)),"CODE NOT FOUND"))</f>
        <v/>
      </c>
      <c r="D623" s="7"/>
      <c r="E623" s="13"/>
      <c r="F623" s="17" t="str">
        <f aca="false">IF(OR(D623="",E623=""),"",D623*E623)</f>
        <v/>
      </c>
      <c r="G623" s="7"/>
      <c r="H623" s="7"/>
    </row>
    <row r="624" customFormat="false" ht="15" hidden="false" customHeight="true" outlineLevel="0" collapsed="false">
      <c r="A624" s="15"/>
      <c r="B624" s="7"/>
      <c r="C624" s="16" t="str">
        <f aca="false">IF(B624="","",IFERROR(INDEX(Products!$B$2:$B$501,MATCH(B624,Products!$A$2:$A$501,0)),"CODE NOT FOUND"))</f>
        <v/>
      </c>
      <c r="D624" s="7"/>
      <c r="E624" s="13"/>
      <c r="F624" s="17" t="str">
        <f aca="false">IF(OR(D624="",E624=""),"",D624*E624)</f>
        <v/>
      </c>
      <c r="G624" s="7"/>
      <c r="H624" s="7"/>
    </row>
    <row r="625" customFormat="false" ht="15" hidden="false" customHeight="true" outlineLevel="0" collapsed="false">
      <c r="A625" s="15"/>
      <c r="B625" s="7"/>
      <c r="C625" s="16" t="str">
        <f aca="false">IF(B625="","",IFERROR(INDEX(Products!$B$2:$B$501,MATCH(B625,Products!$A$2:$A$501,0)),"CODE NOT FOUND"))</f>
        <v/>
      </c>
      <c r="D625" s="7"/>
      <c r="E625" s="13"/>
      <c r="F625" s="17" t="str">
        <f aca="false">IF(OR(D625="",E625=""),"",D625*E625)</f>
        <v/>
      </c>
      <c r="G625" s="7"/>
      <c r="H625" s="7"/>
    </row>
    <row r="626" customFormat="false" ht="15" hidden="false" customHeight="true" outlineLevel="0" collapsed="false">
      <c r="A626" s="15"/>
      <c r="B626" s="7"/>
      <c r="C626" s="16" t="str">
        <f aca="false">IF(B626="","",IFERROR(INDEX(Products!$B$2:$B$501,MATCH(B626,Products!$A$2:$A$501,0)),"CODE NOT FOUND"))</f>
        <v/>
      </c>
      <c r="D626" s="7"/>
      <c r="E626" s="13"/>
      <c r="F626" s="17" t="str">
        <f aca="false">IF(OR(D626="",E626=""),"",D626*E626)</f>
        <v/>
      </c>
      <c r="G626" s="7"/>
      <c r="H626" s="7"/>
    </row>
    <row r="627" customFormat="false" ht="15" hidden="false" customHeight="true" outlineLevel="0" collapsed="false">
      <c r="A627" s="15"/>
      <c r="B627" s="7"/>
      <c r="C627" s="16" t="str">
        <f aca="false">IF(B627="","",IFERROR(INDEX(Products!$B$2:$B$501,MATCH(B627,Products!$A$2:$A$501,0)),"CODE NOT FOUND"))</f>
        <v/>
      </c>
      <c r="D627" s="7"/>
      <c r="E627" s="13"/>
      <c r="F627" s="17" t="str">
        <f aca="false">IF(OR(D627="",E627=""),"",D627*E627)</f>
        <v/>
      </c>
      <c r="G627" s="7"/>
      <c r="H627" s="7"/>
    </row>
    <row r="628" customFormat="false" ht="15" hidden="false" customHeight="true" outlineLevel="0" collapsed="false">
      <c r="A628" s="15"/>
      <c r="B628" s="7"/>
      <c r="C628" s="16" t="str">
        <f aca="false">IF(B628="","",IFERROR(INDEX(Products!$B$2:$B$501,MATCH(B628,Products!$A$2:$A$501,0)),"CODE NOT FOUND"))</f>
        <v/>
      </c>
      <c r="D628" s="7"/>
      <c r="E628" s="13"/>
      <c r="F628" s="17" t="str">
        <f aca="false">IF(OR(D628="",E628=""),"",D628*E628)</f>
        <v/>
      </c>
      <c r="G628" s="7"/>
      <c r="H628" s="7"/>
    </row>
    <row r="629" customFormat="false" ht="15" hidden="false" customHeight="true" outlineLevel="0" collapsed="false">
      <c r="A629" s="15"/>
      <c r="B629" s="7"/>
      <c r="C629" s="16" t="str">
        <f aca="false">IF(B629="","",IFERROR(INDEX(Products!$B$2:$B$501,MATCH(B629,Products!$A$2:$A$501,0)),"CODE NOT FOUND"))</f>
        <v/>
      </c>
      <c r="D629" s="7"/>
      <c r="E629" s="13"/>
      <c r="F629" s="17" t="str">
        <f aca="false">IF(OR(D629="",E629=""),"",D629*E629)</f>
        <v/>
      </c>
      <c r="G629" s="7"/>
      <c r="H629" s="7"/>
    </row>
    <row r="630" customFormat="false" ht="15" hidden="false" customHeight="true" outlineLevel="0" collapsed="false">
      <c r="A630" s="15"/>
      <c r="B630" s="7"/>
      <c r="C630" s="16" t="str">
        <f aca="false">IF(B630="","",IFERROR(INDEX(Products!$B$2:$B$501,MATCH(B630,Products!$A$2:$A$501,0)),"CODE NOT FOUND"))</f>
        <v/>
      </c>
      <c r="D630" s="7"/>
      <c r="E630" s="13"/>
      <c r="F630" s="17" t="str">
        <f aca="false">IF(OR(D630="",E630=""),"",D630*E630)</f>
        <v/>
      </c>
      <c r="G630" s="7"/>
      <c r="H630" s="7"/>
    </row>
    <row r="631" customFormat="false" ht="15" hidden="false" customHeight="true" outlineLevel="0" collapsed="false">
      <c r="A631" s="15"/>
      <c r="B631" s="7"/>
      <c r="C631" s="16" t="str">
        <f aca="false">IF(B631="","",IFERROR(INDEX(Products!$B$2:$B$501,MATCH(B631,Products!$A$2:$A$501,0)),"CODE NOT FOUND"))</f>
        <v/>
      </c>
      <c r="D631" s="7"/>
      <c r="E631" s="13"/>
      <c r="F631" s="17" t="str">
        <f aca="false">IF(OR(D631="",E631=""),"",D631*E631)</f>
        <v/>
      </c>
      <c r="G631" s="7"/>
      <c r="H631" s="7"/>
    </row>
    <row r="632" customFormat="false" ht="15" hidden="false" customHeight="true" outlineLevel="0" collapsed="false">
      <c r="A632" s="15"/>
      <c r="B632" s="7"/>
      <c r="C632" s="16" t="str">
        <f aca="false">IF(B632="","",IFERROR(INDEX(Products!$B$2:$B$501,MATCH(B632,Products!$A$2:$A$501,0)),"CODE NOT FOUND"))</f>
        <v/>
      </c>
      <c r="D632" s="7"/>
      <c r="E632" s="13"/>
      <c r="F632" s="17" t="str">
        <f aca="false">IF(OR(D632="",E632=""),"",D632*E632)</f>
        <v/>
      </c>
      <c r="G632" s="7"/>
      <c r="H632" s="7"/>
    </row>
    <row r="633" customFormat="false" ht="15" hidden="false" customHeight="true" outlineLevel="0" collapsed="false">
      <c r="A633" s="15"/>
      <c r="B633" s="7"/>
      <c r="C633" s="16" t="str">
        <f aca="false">IF(B633="","",IFERROR(INDEX(Products!$B$2:$B$501,MATCH(B633,Products!$A$2:$A$501,0)),"CODE NOT FOUND"))</f>
        <v/>
      </c>
      <c r="D633" s="7"/>
      <c r="E633" s="13"/>
      <c r="F633" s="17" t="str">
        <f aca="false">IF(OR(D633="",E633=""),"",D633*E633)</f>
        <v/>
      </c>
      <c r="G633" s="7"/>
      <c r="H633" s="7"/>
    </row>
    <row r="634" customFormat="false" ht="15" hidden="false" customHeight="true" outlineLevel="0" collapsed="false">
      <c r="A634" s="15"/>
      <c r="B634" s="7"/>
      <c r="C634" s="16" t="str">
        <f aca="false">IF(B634="","",IFERROR(INDEX(Products!$B$2:$B$501,MATCH(B634,Products!$A$2:$A$501,0)),"CODE NOT FOUND"))</f>
        <v/>
      </c>
      <c r="D634" s="7"/>
      <c r="E634" s="13"/>
      <c r="F634" s="17" t="str">
        <f aca="false">IF(OR(D634="",E634=""),"",D634*E634)</f>
        <v/>
      </c>
      <c r="G634" s="7"/>
      <c r="H634" s="7"/>
    </row>
    <row r="635" customFormat="false" ht="15" hidden="false" customHeight="true" outlineLevel="0" collapsed="false">
      <c r="A635" s="15"/>
      <c r="B635" s="7"/>
      <c r="C635" s="16" t="str">
        <f aca="false">IF(B635="","",IFERROR(INDEX(Products!$B$2:$B$501,MATCH(B635,Products!$A$2:$A$501,0)),"CODE NOT FOUND"))</f>
        <v/>
      </c>
      <c r="D635" s="7"/>
      <c r="E635" s="13"/>
      <c r="F635" s="17" t="str">
        <f aca="false">IF(OR(D635="",E635=""),"",D635*E635)</f>
        <v/>
      </c>
      <c r="G635" s="7"/>
      <c r="H635" s="7"/>
    </row>
    <row r="636" customFormat="false" ht="15" hidden="false" customHeight="true" outlineLevel="0" collapsed="false">
      <c r="A636" s="15"/>
      <c r="B636" s="7"/>
      <c r="C636" s="16" t="str">
        <f aca="false">IF(B636="","",IFERROR(INDEX(Products!$B$2:$B$501,MATCH(B636,Products!$A$2:$A$501,0)),"CODE NOT FOUND"))</f>
        <v/>
      </c>
      <c r="D636" s="7"/>
      <c r="E636" s="13"/>
      <c r="F636" s="17" t="str">
        <f aca="false">IF(OR(D636="",E636=""),"",D636*E636)</f>
        <v/>
      </c>
      <c r="G636" s="7"/>
      <c r="H636" s="7"/>
    </row>
    <row r="637" customFormat="false" ht="15" hidden="false" customHeight="true" outlineLevel="0" collapsed="false">
      <c r="A637" s="15"/>
      <c r="B637" s="7"/>
      <c r="C637" s="16" t="str">
        <f aca="false">IF(B637="","",IFERROR(INDEX(Products!$B$2:$B$501,MATCH(B637,Products!$A$2:$A$501,0)),"CODE NOT FOUND"))</f>
        <v/>
      </c>
      <c r="D637" s="7"/>
      <c r="E637" s="13"/>
      <c r="F637" s="17" t="str">
        <f aca="false">IF(OR(D637="",E637=""),"",D637*E637)</f>
        <v/>
      </c>
      <c r="G637" s="7"/>
      <c r="H637" s="7"/>
    </row>
    <row r="638" customFormat="false" ht="15" hidden="false" customHeight="true" outlineLevel="0" collapsed="false">
      <c r="A638" s="15"/>
      <c r="B638" s="7"/>
      <c r="C638" s="16" t="str">
        <f aca="false">IF(B638="","",IFERROR(INDEX(Products!$B$2:$B$501,MATCH(B638,Products!$A$2:$A$501,0)),"CODE NOT FOUND"))</f>
        <v/>
      </c>
      <c r="D638" s="7"/>
      <c r="E638" s="13"/>
      <c r="F638" s="17" t="str">
        <f aca="false">IF(OR(D638="",E638=""),"",D638*E638)</f>
        <v/>
      </c>
      <c r="G638" s="7"/>
      <c r="H638" s="7"/>
    </row>
    <row r="639" customFormat="false" ht="15" hidden="false" customHeight="true" outlineLevel="0" collapsed="false">
      <c r="A639" s="15"/>
      <c r="B639" s="7"/>
      <c r="C639" s="16" t="str">
        <f aca="false">IF(B639="","",IFERROR(INDEX(Products!$B$2:$B$501,MATCH(B639,Products!$A$2:$A$501,0)),"CODE NOT FOUND"))</f>
        <v/>
      </c>
      <c r="D639" s="7"/>
      <c r="E639" s="13"/>
      <c r="F639" s="17" t="str">
        <f aca="false">IF(OR(D639="",E639=""),"",D639*E639)</f>
        <v/>
      </c>
      <c r="G639" s="7"/>
      <c r="H639" s="7"/>
    </row>
    <row r="640" customFormat="false" ht="15" hidden="false" customHeight="true" outlineLevel="0" collapsed="false">
      <c r="A640" s="15"/>
      <c r="B640" s="7"/>
      <c r="C640" s="16" t="str">
        <f aca="false">IF(B640="","",IFERROR(INDEX(Products!$B$2:$B$501,MATCH(B640,Products!$A$2:$A$501,0)),"CODE NOT FOUND"))</f>
        <v/>
      </c>
      <c r="D640" s="7"/>
      <c r="E640" s="13"/>
      <c r="F640" s="17" t="str">
        <f aca="false">IF(OR(D640="",E640=""),"",D640*E640)</f>
        <v/>
      </c>
      <c r="G640" s="7"/>
      <c r="H640" s="7"/>
    </row>
    <row r="641" customFormat="false" ht="15" hidden="false" customHeight="true" outlineLevel="0" collapsed="false">
      <c r="A641" s="15"/>
      <c r="B641" s="7"/>
      <c r="C641" s="16" t="str">
        <f aca="false">IF(B641="","",IFERROR(INDEX(Products!$B$2:$B$501,MATCH(B641,Products!$A$2:$A$501,0)),"CODE NOT FOUND"))</f>
        <v/>
      </c>
      <c r="D641" s="7"/>
      <c r="E641" s="13"/>
      <c r="F641" s="17" t="str">
        <f aca="false">IF(OR(D641="",E641=""),"",D641*E641)</f>
        <v/>
      </c>
      <c r="G641" s="7"/>
      <c r="H641" s="7"/>
    </row>
    <row r="642" customFormat="false" ht="15" hidden="false" customHeight="true" outlineLevel="0" collapsed="false">
      <c r="A642" s="15"/>
      <c r="B642" s="7"/>
      <c r="C642" s="16" t="str">
        <f aca="false">IF(B642="","",IFERROR(INDEX(Products!$B$2:$B$501,MATCH(B642,Products!$A$2:$A$501,0)),"CODE NOT FOUND"))</f>
        <v/>
      </c>
      <c r="D642" s="7"/>
      <c r="E642" s="13"/>
      <c r="F642" s="17" t="str">
        <f aca="false">IF(OR(D642="",E642=""),"",D642*E642)</f>
        <v/>
      </c>
      <c r="G642" s="7"/>
      <c r="H642" s="7"/>
    </row>
    <row r="643" customFormat="false" ht="15" hidden="false" customHeight="true" outlineLevel="0" collapsed="false">
      <c r="A643" s="15"/>
      <c r="B643" s="7"/>
      <c r="C643" s="16" t="str">
        <f aca="false">IF(B643="","",IFERROR(INDEX(Products!$B$2:$B$501,MATCH(B643,Products!$A$2:$A$501,0)),"CODE NOT FOUND"))</f>
        <v/>
      </c>
      <c r="D643" s="7"/>
      <c r="E643" s="13"/>
      <c r="F643" s="17" t="str">
        <f aca="false">IF(OR(D643="",E643=""),"",D643*E643)</f>
        <v/>
      </c>
      <c r="G643" s="7"/>
      <c r="H643" s="7"/>
    </row>
    <row r="644" customFormat="false" ht="15" hidden="false" customHeight="true" outlineLevel="0" collapsed="false">
      <c r="A644" s="15"/>
      <c r="B644" s="7"/>
      <c r="C644" s="16" t="str">
        <f aca="false">IF(B644="","",IFERROR(INDEX(Products!$B$2:$B$501,MATCH(B644,Products!$A$2:$A$501,0)),"CODE NOT FOUND"))</f>
        <v/>
      </c>
      <c r="D644" s="7"/>
      <c r="E644" s="13"/>
      <c r="F644" s="17" t="str">
        <f aca="false">IF(OR(D644="",E644=""),"",D644*E644)</f>
        <v/>
      </c>
      <c r="G644" s="7"/>
      <c r="H644" s="7"/>
    </row>
    <row r="645" customFormat="false" ht="15" hidden="false" customHeight="true" outlineLevel="0" collapsed="false">
      <c r="A645" s="15"/>
      <c r="B645" s="7"/>
      <c r="C645" s="16" t="str">
        <f aca="false">IF(B645="","",IFERROR(INDEX(Products!$B$2:$B$501,MATCH(B645,Products!$A$2:$A$501,0)),"CODE NOT FOUND"))</f>
        <v/>
      </c>
      <c r="D645" s="7"/>
      <c r="E645" s="13"/>
      <c r="F645" s="17" t="str">
        <f aca="false">IF(OR(D645="",E645=""),"",D645*E645)</f>
        <v/>
      </c>
      <c r="G645" s="7"/>
      <c r="H645" s="7"/>
    </row>
    <row r="646" customFormat="false" ht="15" hidden="false" customHeight="true" outlineLevel="0" collapsed="false">
      <c r="A646" s="15"/>
      <c r="B646" s="7"/>
      <c r="C646" s="16" t="str">
        <f aca="false">IF(B646="","",IFERROR(INDEX(Products!$B$2:$B$501,MATCH(B646,Products!$A$2:$A$501,0)),"CODE NOT FOUND"))</f>
        <v/>
      </c>
      <c r="D646" s="7"/>
      <c r="E646" s="13"/>
      <c r="F646" s="17" t="str">
        <f aca="false">IF(OR(D646="",E646=""),"",D646*E646)</f>
        <v/>
      </c>
      <c r="G646" s="7"/>
      <c r="H646" s="7"/>
    </row>
    <row r="647" customFormat="false" ht="15" hidden="false" customHeight="true" outlineLevel="0" collapsed="false">
      <c r="A647" s="15"/>
      <c r="B647" s="7"/>
      <c r="C647" s="16" t="str">
        <f aca="false">IF(B647="","",IFERROR(INDEX(Products!$B$2:$B$501,MATCH(B647,Products!$A$2:$A$501,0)),"CODE NOT FOUND"))</f>
        <v/>
      </c>
      <c r="D647" s="7"/>
      <c r="E647" s="13"/>
      <c r="F647" s="17" t="str">
        <f aca="false">IF(OR(D647="",E647=""),"",D647*E647)</f>
        <v/>
      </c>
      <c r="G647" s="7"/>
      <c r="H647" s="7"/>
    </row>
    <row r="648" customFormat="false" ht="15" hidden="false" customHeight="true" outlineLevel="0" collapsed="false">
      <c r="A648" s="15"/>
      <c r="B648" s="7"/>
      <c r="C648" s="16" t="str">
        <f aca="false">IF(B648="","",IFERROR(INDEX(Products!$B$2:$B$501,MATCH(B648,Products!$A$2:$A$501,0)),"CODE NOT FOUND"))</f>
        <v/>
      </c>
      <c r="D648" s="7"/>
      <c r="E648" s="13"/>
      <c r="F648" s="17" t="str">
        <f aca="false">IF(OR(D648="",E648=""),"",D648*E648)</f>
        <v/>
      </c>
      <c r="G648" s="7"/>
      <c r="H648" s="7"/>
    </row>
    <row r="649" customFormat="false" ht="15" hidden="false" customHeight="true" outlineLevel="0" collapsed="false">
      <c r="A649" s="15"/>
      <c r="B649" s="7"/>
      <c r="C649" s="16" t="str">
        <f aca="false">IF(B649="","",IFERROR(INDEX(Products!$B$2:$B$501,MATCH(B649,Products!$A$2:$A$501,0)),"CODE NOT FOUND"))</f>
        <v/>
      </c>
      <c r="D649" s="7"/>
      <c r="E649" s="13"/>
      <c r="F649" s="17" t="str">
        <f aca="false">IF(OR(D649="",E649=""),"",D649*E649)</f>
        <v/>
      </c>
      <c r="G649" s="7"/>
      <c r="H649" s="7"/>
    </row>
    <row r="650" customFormat="false" ht="15" hidden="false" customHeight="true" outlineLevel="0" collapsed="false">
      <c r="A650" s="15"/>
      <c r="B650" s="7"/>
      <c r="C650" s="16" t="str">
        <f aca="false">IF(B650="","",IFERROR(INDEX(Products!$B$2:$B$501,MATCH(B650,Products!$A$2:$A$501,0)),"CODE NOT FOUND"))</f>
        <v/>
      </c>
      <c r="D650" s="7"/>
      <c r="E650" s="13"/>
      <c r="F650" s="17" t="str">
        <f aca="false">IF(OR(D650="",E650=""),"",D650*E650)</f>
        <v/>
      </c>
      <c r="G650" s="7"/>
      <c r="H650" s="7"/>
    </row>
    <row r="651" customFormat="false" ht="15" hidden="false" customHeight="true" outlineLevel="0" collapsed="false">
      <c r="A651" s="15"/>
      <c r="B651" s="7"/>
      <c r="C651" s="16" t="str">
        <f aca="false">IF(B651="","",IFERROR(INDEX(Products!$B$2:$B$501,MATCH(B651,Products!$A$2:$A$501,0)),"CODE NOT FOUND"))</f>
        <v/>
      </c>
      <c r="D651" s="7"/>
      <c r="E651" s="13"/>
      <c r="F651" s="17" t="str">
        <f aca="false">IF(OR(D651="",E651=""),"",D651*E651)</f>
        <v/>
      </c>
      <c r="G651" s="7"/>
      <c r="H651" s="7"/>
    </row>
    <row r="652" customFormat="false" ht="15" hidden="false" customHeight="true" outlineLevel="0" collapsed="false">
      <c r="A652" s="15"/>
      <c r="B652" s="7"/>
      <c r="C652" s="16" t="str">
        <f aca="false">IF(B652="","",IFERROR(INDEX(Products!$B$2:$B$501,MATCH(B652,Products!$A$2:$A$501,0)),"CODE NOT FOUND"))</f>
        <v/>
      </c>
      <c r="D652" s="7"/>
      <c r="E652" s="13"/>
      <c r="F652" s="17" t="str">
        <f aca="false">IF(OR(D652="",E652=""),"",D652*E652)</f>
        <v/>
      </c>
      <c r="G652" s="7"/>
      <c r="H652" s="7"/>
    </row>
    <row r="653" customFormat="false" ht="15" hidden="false" customHeight="true" outlineLevel="0" collapsed="false">
      <c r="A653" s="15"/>
      <c r="B653" s="7"/>
      <c r="C653" s="16" t="str">
        <f aca="false">IF(B653="","",IFERROR(INDEX(Products!$B$2:$B$501,MATCH(B653,Products!$A$2:$A$501,0)),"CODE NOT FOUND"))</f>
        <v/>
      </c>
      <c r="D653" s="7"/>
      <c r="E653" s="13"/>
      <c r="F653" s="17" t="str">
        <f aca="false">IF(OR(D653="",E653=""),"",D653*E653)</f>
        <v/>
      </c>
      <c r="G653" s="7"/>
      <c r="H653" s="7"/>
    </row>
    <row r="654" customFormat="false" ht="15" hidden="false" customHeight="true" outlineLevel="0" collapsed="false">
      <c r="A654" s="15"/>
      <c r="B654" s="7"/>
      <c r="C654" s="16" t="str">
        <f aca="false">IF(B654="","",IFERROR(INDEX(Products!$B$2:$B$501,MATCH(B654,Products!$A$2:$A$501,0)),"CODE NOT FOUND"))</f>
        <v/>
      </c>
      <c r="D654" s="7"/>
      <c r="E654" s="13"/>
      <c r="F654" s="17" t="str">
        <f aca="false">IF(OR(D654="",E654=""),"",D654*E654)</f>
        <v/>
      </c>
      <c r="G654" s="7"/>
      <c r="H654" s="7"/>
    </row>
    <row r="655" customFormat="false" ht="15" hidden="false" customHeight="true" outlineLevel="0" collapsed="false">
      <c r="A655" s="15"/>
      <c r="B655" s="7"/>
      <c r="C655" s="16" t="str">
        <f aca="false">IF(B655="","",IFERROR(INDEX(Products!$B$2:$B$501,MATCH(B655,Products!$A$2:$A$501,0)),"CODE NOT FOUND"))</f>
        <v/>
      </c>
      <c r="D655" s="7"/>
      <c r="E655" s="13"/>
      <c r="F655" s="17" t="str">
        <f aca="false">IF(OR(D655="",E655=""),"",D655*E655)</f>
        <v/>
      </c>
      <c r="G655" s="7"/>
      <c r="H655" s="7"/>
    </row>
    <row r="656" customFormat="false" ht="15" hidden="false" customHeight="true" outlineLevel="0" collapsed="false">
      <c r="A656" s="15"/>
      <c r="B656" s="7"/>
      <c r="C656" s="16" t="str">
        <f aca="false">IF(B656="","",IFERROR(INDEX(Products!$B$2:$B$501,MATCH(B656,Products!$A$2:$A$501,0)),"CODE NOT FOUND"))</f>
        <v/>
      </c>
      <c r="D656" s="7"/>
      <c r="E656" s="13"/>
      <c r="F656" s="17" t="str">
        <f aca="false">IF(OR(D656="",E656=""),"",D656*E656)</f>
        <v/>
      </c>
      <c r="G656" s="7"/>
      <c r="H656" s="7"/>
    </row>
    <row r="657" customFormat="false" ht="15" hidden="false" customHeight="true" outlineLevel="0" collapsed="false">
      <c r="A657" s="15"/>
      <c r="B657" s="7"/>
      <c r="C657" s="16" t="str">
        <f aca="false">IF(B657="","",IFERROR(INDEX(Products!$B$2:$B$501,MATCH(B657,Products!$A$2:$A$501,0)),"CODE NOT FOUND"))</f>
        <v/>
      </c>
      <c r="D657" s="7"/>
      <c r="E657" s="13"/>
      <c r="F657" s="17" t="str">
        <f aca="false">IF(OR(D657="",E657=""),"",D657*E657)</f>
        <v/>
      </c>
      <c r="G657" s="7"/>
      <c r="H657" s="7"/>
    </row>
    <row r="658" customFormat="false" ht="15" hidden="false" customHeight="true" outlineLevel="0" collapsed="false">
      <c r="A658" s="15"/>
      <c r="B658" s="7"/>
      <c r="C658" s="16" t="str">
        <f aca="false">IF(B658="","",IFERROR(INDEX(Products!$B$2:$B$501,MATCH(B658,Products!$A$2:$A$501,0)),"CODE NOT FOUND"))</f>
        <v/>
      </c>
      <c r="D658" s="7"/>
      <c r="E658" s="13"/>
      <c r="F658" s="17" t="str">
        <f aca="false">IF(OR(D658="",E658=""),"",D658*E658)</f>
        <v/>
      </c>
      <c r="G658" s="7"/>
      <c r="H658" s="7"/>
    </row>
    <row r="659" customFormat="false" ht="15" hidden="false" customHeight="true" outlineLevel="0" collapsed="false">
      <c r="A659" s="15"/>
      <c r="B659" s="7"/>
      <c r="C659" s="16" t="str">
        <f aca="false">IF(B659="","",IFERROR(INDEX(Products!$B$2:$B$501,MATCH(B659,Products!$A$2:$A$501,0)),"CODE NOT FOUND"))</f>
        <v/>
      </c>
      <c r="D659" s="7"/>
      <c r="E659" s="13"/>
      <c r="F659" s="17" t="str">
        <f aca="false">IF(OR(D659="",E659=""),"",D659*E659)</f>
        <v/>
      </c>
      <c r="G659" s="7"/>
      <c r="H659" s="7"/>
    </row>
    <row r="660" customFormat="false" ht="15" hidden="false" customHeight="true" outlineLevel="0" collapsed="false">
      <c r="A660" s="15"/>
      <c r="B660" s="7"/>
      <c r="C660" s="16" t="str">
        <f aca="false">IF(B660="","",IFERROR(INDEX(Products!$B$2:$B$501,MATCH(B660,Products!$A$2:$A$501,0)),"CODE NOT FOUND"))</f>
        <v/>
      </c>
      <c r="D660" s="7"/>
      <c r="E660" s="13"/>
      <c r="F660" s="17" t="str">
        <f aca="false">IF(OR(D660="",E660=""),"",D660*E660)</f>
        <v/>
      </c>
      <c r="G660" s="7"/>
      <c r="H660" s="7"/>
    </row>
    <row r="661" customFormat="false" ht="15" hidden="false" customHeight="true" outlineLevel="0" collapsed="false">
      <c r="A661" s="15"/>
      <c r="B661" s="7"/>
      <c r="C661" s="16" t="str">
        <f aca="false">IF(B661="","",IFERROR(INDEX(Products!$B$2:$B$501,MATCH(B661,Products!$A$2:$A$501,0)),"CODE NOT FOUND"))</f>
        <v/>
      </c>
      <c r="D661" s="7"/>
      <c r="E661" s="13"/>
      <c r="F661" s="17" t="str">
        <f aca="false">IF(OR(D661="",E661=""),"",D661*E661)</f>
        <v/>
      </c>
      <c r="G661" s="7"/>
      <c r="H661" s="7"/>
    </row>
    <row r="662" customFormat="false" ht="15" hidden="false" customHeight="true" outlineLevel="0" collapsed="false">
      <c r="A662" s="15"/>
      <c r="B662" s="7"/>
      <c r="C662" s="16" t="str">
        <f aca="false">IF(B662="","",IFERROR(INDEX(Products!$B$2:$B$501,MATCH(B662,Products!$A$2:$A$501,0)),"CODE NOT FOUND"))</f>
        <v/>
      </c>
      <c r="D662" s="7"/>
      <c r="E662" s="13"/>
      <c r="F662" s="17" t="str">
        <f aca="false">IF(OR(D662="",E662=""),"",D662*E662)</f>
        <v/>
      </c>
      <c r="G662" s="7"/>
      <c r="H662" s="7"/>
    </row>
    <row r="663" customFormat="false" ht="15" hidden="false" customHeight="true" outlineLevel="0" collapsed="false">
      <c r="A663" s="15"/>
      <c r="B663" s="7"/>
      <c r="C663" s="16" t="str">
        <f aca="false">IF(B663="","",IFERROR(INDEX(Products!$B$2:$B$501,MATCH(B663,Products!$A$2:$A$501,0)),"CODE NOT FOUND"))</f>
        <v/>
      </c>
      <c r="D663" s="7"/>
      <c r="E663" s="13"/>
      <c r="F663" s="17" t="str">
        <f aca="false">IF(OR(D663="",E663=""),"",D663*E663)</f>
        <v/>
      </c>
      <c r="G663" s="7"/>
      <c r="H663" s="7"/>
    </row>
    <row r="664" customFormat="false" ht="15" hidden="false" customHeight="true" outlineLevel="0" collapsed="false">
      <c r="A664" s="15"/>
      <c r="B664" s="7"/>
      <c r="C664" s="16" t="str">
        <f aca="false">IF(B664="","",IFERROR(INDEX(Products!$B$2:$B$501,MATCH(B664,Products!$A$2:$A$501,0)),"CODE NOT FOUND"))</f>
        <v/>
      </c>
      <c r="D664" s="7"/>
      <c r="E664" s="13"/>
      <c r="F664" s="17" t="str">
        <f aca="false">IF(OR(D664="",E664=""),"",D664*E664)</f>
        <v/>
      </c>
      <c r="G664" s="7"/>
      <c r="H664" s="7"/>
    </row>
    <row r="665" customFormat="false" ht="15" hidden="false" customHeight="true" outlineLevel="0" collapsed="false">
      <c r="A665" s="15"/>
      <c r="B665" s="7"/>
      <c r="C665" s="16" t="str">
        <f aca="false">IF(B665="","",IFERROR(INDEX(Products!$B$2:$B$501,MATCH(B665,Products!$A$2:$A$501,0)),"CODE NOT FOUND"))</f>
        <v/>
      </c>
      <c r="D665" s="7"/>
      <c r="E665" s="13"/>
      <c r="F665" s="17" t="str">
        <f aca="false">IF(OR(D665="",E665=""),"",D665*E665)</f>
        <v/>
      </c>
      <c r="G665" s="7"/>
      <c r="H665" s="7"/>
    </row>
    <row r="666" customFormat="false" ht="15" hidden="false" customHeight="true" outlineLevel="0" collapsed="false">
      <c r="A666" s="15"/>
      <c r="B666" s="7"/>
      <c r="C666" s="16" t="str">
        <f aca="false">IF(B666="","",IFERROR(INDEX(Products!$B$2:$B$501,MATCH(B666,Products!$A$2:$A$501,0)),"CODE NOT FOUND"))</f>
        <v/>
      </c>
      <c r="D666" s="7"/>
      <c r="E666" s="13"/>
      <c r="F666" s="17" t="str">
        <f aca="false">IF(OR(D666="",E666=""),"",D666*E666)</f>
        <v/>
      </c>
      <c r="G666" s="7"/>
      <c r="H666" s="7"/>
    </row>
    <row r="667" customFormat="false" ht="15" hidden="false" customHeight="true" outlineLevel="0" collapsed="false">
      <c r="A667" s="15"/>
      <c r="B667" s="7"/>
      <c r="C667" s="16" t="str">
        <f aca="false">IF(B667="","",IFERROR(INDEX(Products!$B$2:$B$501,MATCH(B667,Products!$A$2:$A$501,0)),"CODE NOT FOUND"))</f>
        <v/>
      </c>
      <c r="D667" s="7"/>
      <c r="E667" s="13"/>
      <c r="F667" s="17" t="str">
        <f aca="false">IF(OR(D667="",E667=""),"",D667*E667)</f>
        <v/>
      </c>
      <c r="G667" s="7"/>
      <c r="H667" s="7"/>
    </row>
    <row r="668" customFormat="false" ht="15" hidden="false" customHeight="true" outlineLevel="0" collapsed="false">
      <c r="A668" s="15"/>
      <c r="B668" s="7"/>
      <c r="C668" s="16" t="str">
        <f aca="false">IF(B668="","",IFERROR(INDEX(Products!$B$2:$B$501,MATCH(B668,Products!$A$2:$A$501,0)),"CODE NOT FOUND"))</f>
        <v/>
      </c>
      <c r="D668" s="7"/>
      <c r="E668" s="13"/>
      <c r="F668" s="17" t="str">
        <f aca="false">IF(OR(D668="",E668=""),"",D668*E668)</f>
        <v/>
      </c>
      <c r="G668" s="7"/>
      <c r="H668" s="7"/>
    </row>
    <row r="669" customFormat="false" ht="15" hidden="false" customHeight="true" outlineLevel="0" collapsed="false">
      <c r="A669" s="15"/>
      <c r="B669" s="7"/>
      <c r="C669" s="16" t="str">
        <f aca="false">IF(B669="","",IFERROR(INDEX(Products!$B$2:$B$501,MATCH(B669,Products!$A$2:$A$501,0)),"CODE NOT FOUND"))</f>
        <v/>
      </c>
      <c r="D669" s="7"/>
      <c r="E669" s="13"/>
      <c r="F669" s="17" t="str">
        <f aca="false">IF(OR(D669="",E669=""),"",D669*E669)</f>
        <v/>
      </c>
      <c r="G669" s="7"/>
      <c r="H669" s="7"/>
    </row>
    <row r="670" customFormat="false" ht="15" hidden="false" customHeight="true" outlineLevel="0" collapsed="false">
      <c r="A670" s="15"/>
      <c r="B670" s="7"/>
      <c r="C670" s="16" t="str">
        <f aca="false">IF(B670="","",IFERROR(INDEX(Products!$B$2:$B$501,MATCH(B670,Products!$A$2:$A$501,0)),"CODE NOT FOUND"))</f>
        <v/>
      </c>
      <c r="D670" s="7"/>
      <c r="E670" s="13"/>
      <c r="F670" s="17" t="str">
        <f aca="false">IF(OR(D670="",E670=""),"",D670*E670)</f>
        <v/>
      </c>
      <c r="G670" s="7"/>
      <c r="H670" s="7"/>
    </row>
    <row r="671" customFormat="false" ht="15" hidden="false" customHeight="true" outlineLevel="0" collapsed="false">
      <c r="A671" s="15"/>
      <c r="B671" s="7"/>
      <c r="C671" s="16" t="str">
        <f aca="false">IF(B671="","",IFERROR(INDEX(Products!$B$2:$B$501,MATCH(B671,Products!$A$2:$A$501,0)),"CODE NOT FOUND"))</f>
        <v/>
      </c>
      <c r="D671" s="7"/>
      <c r="E671" s="13"/>
      <c r="F671" s="17" t="str">
        <f aca="false">IF(OR(D671="",E671=""),"",D671*E671)</f>
        <v/>
      </c>
      <c r="G671" s="7"/>
      <c r="H671" s="7"/>
    </row>
    <row r="672" customFormat="false" ht="15" hidden="false" customHeight="true" outlineLevel="0" collapsed="false">
      <c r="A672" s="15"/>
      <c r="B672" s="7"/>
      <c r="C672" s="16" t="str">
        <f aca="false">IF(B672="","",IFERROR(INDEX(Products!$B$2:$B$501,MATCH(B672,Products!$A$2:$A$501,0)),"CODE NOT FOUND"))</f>
        <v/>
      </c>
      <c r="D672" s="7"/>
      <c r="E672" s="13"/>
      <c r="F672" s="17" t="str">
        <f aca="false">IF(OR(D672="",E672=""),"",D672*E672)</f>
        <v/>
      </c>
      <c r="G672" s="7"/>
      <c r="H672" s="7"/>
    </row>
    <row r="673" customFormat="false" ht="15" hidden="false" customHeight="true" outlineLevel="0" collapsed="false">
      <c r="A673" s="15"/>
      <c r="B673" s="7"/>
      <c r="C673" s="16" t="str">
        <f aca="false">IF(B673="","",IFERROR(INDEX(Products!$B$2:$B$501,MATCH(B673,Products!$A$2:$A$501,0)),"CODE NOT FOUND"))</f>
        <v/>
      </c>
      <c r="D673" s="7"/>
      <c r="E673" s="13"/>
      <c r="F673" s="17" t="str">
        <f aca="false">IF(OR(D673="",E673=""),"",D673*E673)</f>
        <v/>
      </c>
      <c r="G673" s="7"/>
      <c r="H673" s="7"/>
    </row>
    <row r="674" customFormat="false" ht="15" hidden="false" customHeight="true" outlineLevel="0" collapsed="false">
      <c r="A674" s="15"/>
      <c r="B674" s="7"/>
      <c r="C674" s="16" t="str">
        <f aca="false">IF(B674="","",IFERROR(INDEX(Products!$B$2:$B$501,MATCH(B674,Products!$A$2:$A$501,0)),"CODE NOT FOUND"))</f>
        <v/>
      </c>
      <c r="D674" s="7"/>
      <c r="E674" s="13"/>
      <c r="F674" s="17" t="str">
        <f aca="false">IF(OR(D674="",E674=""),"",D674*E674)</f>
        <v/>
      </c>
      <c r="G674" s="7"/>
      <c r="H674" s="7"/>
    </row>
    <row r="675" customFormat="false" ht="15" hidden="false" customHeight="true" outlineLevel="0" collapsed="false">
      <c r="A675" s="15"/>
      <c r="B675" s="7"/>
      <c r="C675" s="16" t="str">
        <f aca="false">IF(B675="","",IFERROR(INDEX(Products!$B$2:$B$501,MATCH(B675,Products!$A$2:$A$501,0)),"CODE NOT FOUND"))</f>
        <v/>
      </c>
      <c r="D675" s="7"/>
      <c r="E675" s="13"/>
      <c r="F675" s="17" t="str">
        <f aca="false">IF(OR(D675="",E675=""),"",D675*E675)</f>
        <v/>
      </c>
      <c r="G675" s="7"/>
      <c r="H675" s="7"/>
    </row>
    <row r="676" customFormat="false" ht="15" hidden="false" customHeight="true" outlineLevel="0" collapsed="false">
      <c r="A676" s="15"/>
      <c r="B676" s="7"/>
      <c r="C676" s="16" t="str">
        <f aca="false">IF(B676="","",IFERROR(INDEX(Products!$B$2:$B$501,MATCH(B676,Products!$A$2:$A$501,0)),"CODE NOT FOUND"))</f>
        <v/>
      </c>
      <c r="D676" s="7"/>
      <c r="E676" s="13"/>
      <c r="F676" s="17" t="str">
        <f aca="false">IF(OR(D676="",E676=""),"",D676*E676)</f>
        <v/>
      </c>
      <c r="G676" s="7"/>
      <c r="H676" s="7"/>
    </row>
    <row r="677" customFormat="false" ht="15" hidden="false" customHeight="true" outlineLevel="0" collapsed="false">
      <c r="A677" s="15"/>
      <c r="B677" s="7"/>
      <c r="C677" s="16" t="str">
        <f aca="false">IF(B677="","",IFERROR(INDEX(Products!$B$2:$B$501,MATCH(B677,Products!$A$2:$A$501,0)),"CODE NOT FOUND"))</f>
        <v/>
      </c>
      <c r="D677" s="7"/>
      <c r="E677" s="13"/>
      <c r="F677" s="17" t="str">
        <f aca="false">IF(OR(D677="",E677=""),"",D677*E677)</f>
        <v/>
      </c>
      <c r="G677" s="7"/>
      <c r="H677" s="7"/>
    </row>
    <row r="678" customFormat="false" ht="15" hidden="false" customHeight="true" outlineLevel="0" collapsed="false">
      <c r="A678" s="15"/>
      <c r="B678" s="7"/>
      <c r="C678" s="16" t="str">
        <f aca="false">IF(B678="","",IFERROR(INDEX(Products!$B$2:$B$501,MATCH(B678,Products!$A$2:$A$501,0)),"CODE NOT FOUND"))</f>
        <v/>
      </c>
      <c r="D678" s="7"/>
      <c r="E678" s="13"/>
      <c r="F678" s="17" t="str">
        <f aca="false">IF(OR(D678="",E678=""),"",D678*E678)</f>
        <v/>
      </c>
      <c r="G678" s="7"/>
      <c r="H678" s="7"/>
    </row>
    <row r="679" customFormat="false" ht="15" hidden="false" customHeight="true" outlineLevel="0" collapsed="false">
      <c r="A679" s="15"/>
      <c r="B679" s="7"/>
      <c r="C679" s="16" t="str">
        <f aca="false">IF(B679="","",IFERROR(INDEX(Products!$B$2:$B$501,MATCH(B679,Products!$A$2:$A$501,0)),"CODE NOT FOUND"))</f>
        <v/>
      </c>
      <c r="D679" s="7"/>
      <c r="E679" s="13"/>
      <c r="F679" s="17" t="str">
        <f aca="false">IF(OR(D679="",E679=""),"",D679*E679)</f>
        <v/>
      </c>
      <c r="G679" s="7"/>
      <c r="H679" s="7"/>
    </row>
    <row r="680" customFormat="false" ht="15" hidden="false" customHeight="true" outlineLevel="0" collapsed="false">
      <c r="A680" s="15"/>
      <c r="B680" s="7"/>
      <c r="C680" s="16" t="str">
        <f aca="false">IF(B680="","",IFERROR(INDEX(Products!$B$2:$B$501,MATCH(B680,Products!$A$2:$A$501,0)),"CODE NOT FOUND"))</f>
        <v/>
      </c>
      <c r="D680" s="7"/>
      <c r="E680" s="13"/>
      <c r="F680" s="17" t="str">
        <f aca="false">IF(OR(D680="",E680=""),"",D680*E680)</f>
        <v/>
      </c>
      <c r="G680" s="7"/>
      <c r="H680" s="7"/>
    </row>
    <row r="681" customFormat="false" ht="15" hidden="false" customHeight="true" outlineLevel="0" collapsed="false">
      <c r="A681" s="15"/>
      <c r="B681" s="7"/>
      <c r="C681" s="16" t="str">
        <f aca="false">IF(B681="","",IFERROR(INDEX(Products!$B$2:$B$501,MATCH(B681,Products!$A$2:$A$501,0)),"CODE NOT FOUND"))</f>
        <v/>
      </c>
      <c r="D681" s="7"/>
      <c r="E681" s="13"/>
      <c r="F681" s="17" t="str">
        <f aca="false">IF(OR(D681="",E681=""),"",D681*E681)</f>
        <v/>
      </c>
      <c r="G681" s="7"/>
      <c r="H681" s="7"/>
    </row>
    <row r="682" customFormat="false" ht="15" hidden="false" customHeight="true" outlineLevel="0" collapsed="false">
      <c r="A682" s="15"/>
      <c r="B682" s="7"/>
      <c r="C682" s="16" t="str">
        <f aca="false">IF(B682="","",IFERROR(INDEX(Products!$B$2:$B$501,MATCH(B682,Products!$A$2:$A$501,0)),"CODE NOT FOUND"))</f>
        <v/>
      </c>
      <c r="D682" s="7"/>
      <c r="E682" s="13"/>
      <c r="F682" s="17" t="str">
        <f aca="false">IF(OR(D682="",E682=""),"",D682*E682)</f>
        <v/>
      </c>
      <c r="G682" s="7"/>
      <c r="H682" s="7"/>
    </row>
    <row r="683" customFormat="false" ht="15" hidden="false" customHeight="true" outlineLevel="0" collapsed="false">
      <c r="A683" s="15"/>
      <c r="B683" s="7"/>
      <c r="C683" s="16" t="str">
        <f aca="false">IF(B683="","",IFERROR(INDEX(Products!$B$2:$B$501,MATCH(B683,Products!$A$2:$A$501,0)),"CODE NOT FOUND"))</f>
        <v/>
      </c>
      <c r="D683" s="7"/>
      <c r="E683" s="13"/>
      <c r="F683" s="17" t="str">
        <f aca="false">IF(OR(D683="",E683=""),"",D683*E683)</f>
        <v/>
      </c>
      <c r="G683" s="7"/>
      <c r="H683" s="7"/>
    </row>
    <row r="684" customFormat="false" ht="15" hidden="false" customHeight="true" outlineLevel="0" collapsed="false">
      <c r="A684" s="15"/>
      <c r="B684" s="7"/>
      <c r="C684" s="16" t="str">
        <f aca="false">IF(B684="","",IFERROR(INDEX(Products!$B$2:$B$501,MATCH(B684,Products!$A$2:$A$501,0)),"CODE NOT FOUND"))</f>
        <v/>
      </c>
      <c r="D684" s="7"/>
      <c r="E684" s="13"/>
      <c r="F684" s="17" t="str">
        <f aca="false">IF(OR(D684="",E684=""),"",D684*E684)</f>
        <v/>
      </c>
      <c r="G684" s="7"/>
      <c r="H684" s="7"/>
    </row>
    <row r="685" customFormat="false" ht="15" hidden="false" customHeight="true" outlineLevel="0" collapsed="false">
      <c r="A685" s="15"/>
      <c r="B685" s="7"/>
      <c r="C685" s="16" t="str">
        <f aca="false">IF(B685="","",IFERROR(INDEX(Products!$B$2:$B$501,MATCH(B685,Products!$A$2:$A$501,0)),"CODE NOT FOUND"))</f>
        <v/>
      </c>
      <c r="D685" s="7"/>
      <c r="E685" s="13"/>
      <c r="F685" s="17" t="str">
        <f aca="false">IF(OR(D685="",E685=""),"",D685*E685)</f>
        <v/>
      </c>
      <c r="G685" s="7"/>
      <c r="H685" s="7"/>
    </row>
    <row r="686" customFormat="false" ht="15" hidden="false" customHeight="true" outlineLevel="0" collapsed="false">
      <c r="A686" s="15"/>
      <c r="B686" s="7"/>
      <c r="C686" s="16" t="str">
        <f aca="false">IF(B686="","",IFERROR(INDEX(Products!$B$2:$B$501,MATCH(B686,Products!$A$2:$A$501,0)),"CODE NOT FOUND"))</f>
        <v/>
      </c>
      <c r="D686" s="7"/>
      <c r="E686" s="13"/>
      <c r="F686" s="17" t="str">
        <f aca="false">IF(OR(D686="",E686=""),"",D686*E686)</f>
        <v/>
      </c>
      <c r="G686" s="7"/>
      <c r="H686" s="7"/>
    </row>
    <row r="687" customFormat="false" ht="15" hidden="false" customHeight="true" outlineLevel="0" collapsed="false">
      <c r="A687" s="15"/>
      <c r="B687" s="7"/>
      <c r="C687" s="16" t="str">
        <f aca="false">IF(B687="","",IFERROR(INDEX(Products!$B$2:$B$501,MATCH(B687,Products!$A$2:$A$501,0)),"CODE NOT FOUND"))</f>
        <v/>
      </c>
      <c r="D687" s="7"/>
      <c r="E687" s="13"/>
      <c r="F687" s="17" t="str">
        <f aca="false">IF(OR(D687="",E687=""),"",D687*E687)</f>
        <v/>
      </c>
      <c r="G687" s="7"/>
      <c r="H687" s="7"/>
    </row>
    <row r="688" customFormat="false" ht="15" hidden="false" customHeight="true" outlineLevel="0" collapsed="false">
      <c r="A688" s="15"/>
      <c r="B688" s="7"/>
      <c r="C688" s="16" t="str">
        <f aca="false">IF(B688="","",IFERROR(INDEX(Products!$B$2:$B$501,MATCH(B688,Products!$A$2:$A$501,0)),"CODE NOT FOUND"))</f>
        <v/>
      </c>
      <c r="D688" s="7"/>
      <c r="E688" s="13"/>
      <c r="F688" s="17" t="str">
        <f aca="false">IF(OR(D688="",E688=""),"",D688*E688)</f>
        <v/>
      </c>
      <c r="G688" s="7"/>
      <c r="H688" s="7"/>
    </row>
    <row r="689" customFormat="false" ht="15" hidden="false" customHeight="true" outlineLevel="0" collapsed="false">
      <c r="A689" s="15"/>
      <c r="B689" s="7"/>
      <c r="C689" s="16" t="str">
        <f aca="false">IF(B689="","",IFERROR(INDEX(Products!$B$2:$B$501,MATCH(B689,Products!$A$2:$A$501,0)),"CODE NOT FOUND"))</f>
        <v/>
      </c>
      <c r="D689" s="7"/>
      <c r="E689" s="13"/>
      <c r="F689" s="17" t="str">
        <f aca="false">IF(OR(D689="",E689=""),"",D689*E689)</f>
        <v/>
      </c>
      <c r="G689" s="7"/>
      <c r="H689" s="7"/>
    </row>
    <row r="690" customFormat="false" ht="15" hidden="false" customHeight="true" outlineLevel="0" collapsed="false">
      <c r="A690" s="15"/>
      <c r="B690" s="7"/>
      <c r="C690" s="16" t="str">
        <f aca="false">IF(B690="","",IFERROR(INDEX(Products!$B$2:$B$501,MATCH(B690,Products!$A$2:$A$501,0)),"CODE NOT FOUND"))</f>
        <v/>
      </c>
      <c r="D690" s="7"/>
      <c r="E690" s="13"/>
      <c r="F690" s="17" t="str">
        <f aca="false">IF(OR(D690="",E690=""),"",D690*E690)</f>
        <v/>
      </c>
      <c r="G690" s="7"/>
      <c r="H690" s="7"/>
    </row>
    <row r="691" customFormat="false" ht="15" hidden="false" customHeight="true" outlineLevel="0" collapsed="false">
      <c r="A691" s="15"/>
      <c r="B691" s="7"/>
      <c r="C691" s="16" t="str">
        <f aca="false">IF(B691="","",IFERROR(INDEX(Products!$B$2:$B$501,MATCH(B691,Products!$A$2:$A$501,0)),"CODE NOT FOUND"))</f>
        <v/>
      </c>
      <c r="D691" s="7"/>
      <c r="E691" s="13"/>
      <c r="F691" s="17" t="str">
        <f aca="false">IF(OR(D691="",E691=""),"",D691*E691)</f>
        <v/>
      </c>
      <c r="G691" s="7"/>
      <c r="H691" s="7"/>
    </row>
    <row r="692" customFormat="false" ht="15" hidden="false" customHeight="true" outlineLevel="0" collapsed="false">
      <c r="A692" s="15"/>
      <c r="B692" s="7"/>
      <c r="C692" s="16" t="str">
        <f aca="false">IF(B692="","",IFERROR(INDEX(Products!$B$2:$B$501,MATCH(B692,Products!$A$2:$A$501,0)),"CODE NOT FOUND"))</f>
        <v/>
      </c>
      <c r="D692" s="7"/>
      <c r="E692" s="13"/>
      <c r="F692" s="17" t="str">
        <f aca="false">IF(OR(D692="",E692=""),"",D692*E692)</f>
        <v/>
      </c>
      <c r="G692" s="7"/>
      <c r="H692" s="7"/>
    </row>
    <row r="693" customFormat="false" ht="15" hidden="false" customHeight="true" outlineLevel="0" collapsed="false">
      <c r="A693" s="15"/>
      <c r="B693" s="7"/>
      <c r="C693" s="16" t="str">
        <f aca="false">IF(B693="","",IFERROR(INDEX(Products!$B$2:$B$501,MATCH(B693,Products!$A$2:$A$501,0)),"CODE NOT FOUND"))</f>
        <v/>
      </c>
      <c r="D693" s="7"/>
      <c r="E693" s="13"/>
      <c r="F693" s="17" t="str">
        <f aca="false">IF(OR(D693="",E693=""),"",D693*E693)</f>
        <v/>
      </c>
      <c r="G693" s="7"/>
      <c r="H693" s="7"/>
    </row>
    <row r="694" customFormat="false" ht="15" hidden="false" customHeight="true" outlineLevel="0" collapsed="false">
      <c r="A694" s="15"/>
      <c r="B694" s="7"/>
      <c r="C694" s="16" t="str">
        <f aca="false">IF(B694="","",IFERROR(INDEX(Products!$B$2:$B$501,MATCH(B694,Products!$A$2:$A$501,0)),"CODE NOT FOUND"))</f>
        <v/>
      </c>
      <c r="D694" s="7"/>
      <c r="E694" s="13"/>
      <c r="F694" s="17" t="str">
        <f aca="false">IF(OR(D694="",E694=""),"",D694*E694)</f>
        <v/>
      </c>
      <c r="G694" s="7"/>
      <c r="H694" s="7"/>
    </row>
    <row r="695" customFormat="false" ht="15" hidden="false" customHeight="true" outlineLevel="0" collapsed="false">
      <c r="A695" s="15"/>
      <c r="B695" s="7"/>
      <c r="C695" s="16" t="str">
        <f aca="false">IF(B695="","",IFERROR(INDEX(Products!$B$2:$B$501,MATCH(B695,Products!$A$2:$A$501,0)),"CODE NOT FOUND"))</f>
        <v/>
      </c>
      <c r="D695" s="7"/>
      <c r="E695" s="13"/>
      <c r="F695" s="17" t="str">
        <f aca="false">IF(OR(D695="",E695=""),"",D695*E695)</f>
        <v/>
      </c>
      <c r="G695" s="7"/>
      <c r="H695" s="7"/>
    </row>
    <row r="696" customFormat="false" ht="15" hidden="false" customHeight="true" outlineLevel="0" collapsed="false">
      <c r="A696" s="15"/>
      <c r="B696" s="7"/>
      <c r="C696" s="16" t="str">
        <f aca="false">IF(B696="","",IFERROR(INDEX(Products!$B$2:$B$501,MATCH(B696,Products!$A$2:$A$501,0)),"CODE NOT FOUND"))</f>
        <v/>
      </c>
      <c r="D696" s="7"/>
      <c r="E696" s="13"/>
      <c r="F696" s="17" t="str">
        <f aca="false">IF(OR(D696="",E696=""),"",D696*E696)</f>
        <v/>
      </c>
      <c r="G696" s="7"/>
      <c r="H696" s="7"/>
    </row>
    <row r="697" customFormat="false" ht="15" hidden="false" customHeight="true" outlineLevel="0" collapsed="false">
      <c r="A697" s="15"/>
      <c r="B697" s="7"/>
      <c r="C697" s="16" t="str">
        <f aca="false">IF(B697="","",IFERROR(INDEX(Products!$B$2:$B$501,MATCH(B697,Products!$A$2:$A$501,0)),"CODE NOT FOUND"))</f>
        <v/>
      </c>
      <c r="D697" s="7"/>
      <c r="E697" s="13"/>
      <c r="F697" s="17" t="str">
        <f aca="false">IF(OR(D697="",E697=""),"",D697*E697)</f>
        <v/>
      </c>
      <c r="G697" s="7"/>
      <c r="H697" s="7"/>
    </row>
    <row r="698" customFormat="false" ht="15" hidden="false" customHeight="true" outlineLevel="0" collapsed="false">
      <c r="A698" s="15"/>
      <c r="B698" s="7"/>
      <c r="C698" s="16" t="str">
        <f aca="false">IF(B698="","",IFERROR(INDEX(Products!$B$2:$B$501,MATCH(B698,Products!$A$2:$A$501,0)),"CODE NOT FOUND"))</f>
        <v/>
      </c>
      <c r="D698" s="7"/>
      <c r="E698" s="13"/>
      <c r="F698" s="17" t="str">
        <f aca="false">IF(OR(D698="",E698=""),"",D698*E698)</f>
        <v/>
      </c>
      <c r="G698" s="7"/>
      <c r="H698" s="7"/>
    </row>
    <row r="699" customFormat="false" ht="15" hidden="false" customHeight="true" outlineLevel="0" collapsed="false">
      <c r="A699" s="15"/>
      <c r="B699" s="7"/>
      <c r="C699" s="16" t="str">
        <f aca="false">IF(B699="","",IFERROR(INDEX(Products!$B$2:$B$501,MATCH(B699,Products!$A$2:$A$501,0)),"CODE NOT FOUND"))</f>
        <v/>
      </c>
      <c r="D699" s="7"/>
      <c r="E699" s="13"/>
      <c r="F699" s="17" t="str">
        <f aca="false">IF(OR(D699="",E699=""),"",D699*E699)</f>
        <v/>
      </c>
      <c r="G699" s="7"/>
      <c r="H699" s="7"/>
    </row>
    <row r="700" customFormat="false" ht="15" hidden="false" customHeight="true" outlineLevel="0" collapsed="false">
      <c r="A700" s="15"/>
      <c r="B700" s="7"/>
      <c r="C700" s="16" t="str">
        <f aca="false">IF(B700="","",IFERROR(INDEX(Products!$B$2:$B$501,MATCH(B700,Products!$A$2:$A$501,0)),"CODE NOT FOUND"))</f>
        <v/>
      </c>
      <c r="D700" s="7"/>
      <c r="E700" s="13"/>
      <c r="F700" s="17" t="str">
        <f aca="false">IF(OR(D700="",E700=""),"",D700*E700)</f>
        <v/>
      </c>
      <c r="G700" s="7"/>
      <c r="H700" s="7"/>
    </row>
    <row r="701" customFormat="false" ht="15" hidden="false" customHeight="true" outlineLevel="0" collapsed="false">
      <c r="A701" s="15"/>
      <c r="B701" s="7"/>
      <c r="C701" s="16" t="str">
        <f aca="false">IF(B701="","",IFERROR(INDEX(Products!$B$2:$B$501,MATCH(B701,Products!$A$2:$A$501,0)),"CODE NOT FOUND"))</f>
        <v/>
      </c>
      <c r="D701" s="7"/>
      <c r="E701" s="13"/>
      <c r="F701" s="17" t="str">
        <f aca="false">IF(OR(D701="",E701=""),"",D701*E701)</f>
        <v/>
      </c>
      <c r="G701" s="7"/>
      <c r="H701" s="7"/>
    </row>
    <row r="702" customFormat="false" ht="15" hidden="false" customHeight="true" outlineLevel="0" collapsed="false">
      <c r="A702" s="15"/>
      <c r="B702" s="7"/>
      <c r="C702" s="16" t="str">
        <f aca="false">IF(B702="","",IFERROR(INDEX(Products!$B$2:$B$501,MATCH(B702,Products!$A$2:$A$501,0)),"CODE NOT FOUND"))</f>
        <v/>
      </c>
      <c r="D702" s="7"/>
      <c r="E702" s="13"/>
      <c r="F702" s="17" t="str">
        <f aca="false">IF(OR(D702="",E702=""),"",D702*E702)</f>
        <v/>
      </c>
      <c r="G702" s="7"/>
      <c r="H702" s="7"/>
    </row>
    <row r="703" customFormat="false" ht="15" hidden="false" customHeight="true" outlineLevel="0" collapsed="false">
      <c r="A703" s="15"/>
      <c r="B703" s="7"/>
      <c r="C703" s="16" t="str">
        <f aca="false">IF(B703="","",IFERROR(INDEX(Products!$B$2:$B$501,MATCH(B703,Products!$A$2:$A$501,0)),"CODE NOT FOUND"))</f>
        <v/>
      </c>
      <c r="D703" s="7"/>
      <c r="E703" s="13"/>
      <c r="F703" s="17" t="str">
        <f aca="false">IF(OR(D703="",E703=""),"",D703*E703)</f>
        <v/>
      </c>
      <c r="G703" s="7"/>
      <c r="H703" s="7"/>
    </row>
    <row r="704" customFormat="false" ht="15" hidden="false" customHeight="true" outlineLevel="0" collapsed="false">
      <c r="A704" s="15"/>
      <c r="B704" s="7"/>
      <c r="C704" s="16" t="str">
        <f aca="false">IF(B704="","",IFERROR(INDEX(Products!$B$2:$B$501,MATCH(B704,Products!$A$2:$A$501,0)),"CODE NOT FOUND"))</f>
        <v/>
      </c>
      <c r="D704" s="7"/>
      <c r="E704" s="13"/>
      <c r="F704" s="17" t="str">
        <f aca="false">IF(OR(D704="",E704=""),"",D704*E704)</f>
        <v/>
      </c>
      <c r="G704" s="7"/>
      <c r="H704" s="7"/>
    </row>
    <row r="705" customFormat="false" ht="15" hidden="false" customHeight="true" outlineLevel="0" collapsed="false">
      <c r="A705" s="15"/>
      <c r="B705" s="7"/>
      <c r="C705" s="16" t="str">
        <f aca="false">IF(B705="","",IFERROR(INDEX(Products!$B$2:$B$501,MATCH(B705,Products!$A$2:$A$501,0)),"CODE NOT FOUND"))</f>
        <v/>
      </c>
      <c r="D705" s="7"/>
      <c r="E705" s="13"/>
      <c r="F705" s="17" t="str">
        <f aca="false">IF(OR(D705="",E705=""),"",D705*E705)</f>
        <v/>
      </c>
      <c r="G705" s="7"/>
      <c r="H705" s="7"/>
    </row>
    <row r="706" customFormat="false" ht="15" hidden="false" customHeight="true" outlineLevel="0" collapsed="false">
      <c r="A706" s="15"/>
      <c r="B706" s="7"/>
      <c r="C706" s="16" t="str">
        <f aca="false">IF(B706="","",IFERROR(INDEX(Products!$B$2:$B$501,MATCH(B706,Products!$A$2:$A$501,0)),"CODE NOT FOUND"))</f>
        <v/>
      </c>
      <c r="D706" s="7"/>
      <c r="E706" s="13"/>
      <c r="F706" s="17" t="str">
        <f aca="false">IF(OR(D706="",E706=""),"",D706*E706)</f>
        <v/>
      </c>
      <c r="G706" s="7"/>
      <c r="H706" s="7"/>
    </row>
    <row r="707" customFormat="false" ht="15" hidden="false" customHeight="true" outlineLevel="0" collapsed="false">
      <c r="A707" s="15"/>
      <c r="B707" s="7"/>
      <c r="C707" s="16" t="str">
        <f aca="false">IF(B707="","",IFERROR(INDEX(Products!$B$2:$B$501,MATCH(B707,Products!$A$2:$A$501,0)),"CODE NOT FOUND"))</f>
        <v/>
      </c>
      <c r="D707" s="7"/>
      <c r="E707" s="13"/>
      <c r="F707" s="17" t="str">
        <f aca="false">IF(OR(D707="",E707=""),"",D707*E707)</f>
        <v/>
      </c>
      <c r="G707" s="7"/>
      <c r="H707" s="7"/>
    </row>
    <row r="708" customFormat="false" ht="15" hidden="false" customHeight="true" outlineLevel="0" collapsed="false">
      <c r="A708" s="15"/>
      <c r="B708" s="7"/>
      <c r="C708" s="16" t="str">
        <f aca="false">IF(B708="","",IFERROR(INDEX(Products!$B$2:$B$501,MATCH(B708,Products!$A$2:$A$501,0)),"CODE NOT FOUND"))</f>
        <v/>
      </c>
      <c r="D708" s="7"/>
      <c r="E708" s="13"/>
      <c r="F708" s="17" t="str">
        <f aca="false">IF(OR(D708="",E708=""),"",D708*E708)</f>
        <v/>
      </c>
      <c r="G708" s="7"/>
      <c r="H708" s="7"/>
    </row>
    <row r="709" customFormat="false" ht="15" hidden="false" customHeight="true" outlineLevel="0" collapsed="false">
      <c r="A709" s="15"/>
      <c r="B709" s="7"/>
      <c r="C709" s="16" t="str">
        <f aca="false">IF(B709="","",IFERROR(INDEX(Products!$B$2:$B$501,MATCH(B709,Products!$A$2:$A$501,0)),"CODE NOT FOUND"))</f>
        <v/>
      </c>
      <c r="D709" s="7"/>
      <c r="E709" s="13"/>
      <c r="F709" s="17" t="str">
        <f aca="false">IF(OR(D709="",E709=""),"",D709*E709)</f>
        <v/>
      </c>
      <c r="G709" s="7"/>
      <c r="H709" s="7"/>
    </row>
    <row r="710" customFormat="false" ht="15" hidden="false" customHeight="true" outlineLevel="0" collapsed="false">
      <c r="A710" s="15"/>
      <c r="B710" s="7"/>
      <c r="C710" s="16" t="str">
        <f aca="false">IF(B710="","",IFERROR(INDEX(Products!$B$2:$B$501,MATCH(B710,Products!$A$2:$A$501,0)),"CODE NOT FOUND"))</f>
        <v/>
      </c>
      <c r="D710" s="7"/>
      <c r="E710" s="13"/>
      <c r="F710" s="17" t="str">
        <f aca="false">IF(OR(D710="",E710=""),"",D710*E710)</f>
        <v/>
      </c>
      <c r="G710" s="7"/>
      <c r="H710" s="7"/>
    </row>
    <row r="711" customFormat="false" ht="15" hidden="false" customHeight="true" outlineLevel="0" collapsed="false">
      <c r="A711" s="15"/>
      <c r="B711" s="7"/>
      <c r="C711" s="16" t="str">
        <f aca="false">IF(B711="","",IFERROR(INDEX(Products!$B$2:$B$501,MATCH(B711,Products!$A$2:$A$501,0)),"CODE NOT FOUND"))</f>
        <v/>
      </c>
      <c r="D711" s="7"/>
      <c r="E711" s="13"/>
      <c r="F711" s="17" t="str">
        <f aca="false">IF(OR(D711="",E711=""),"",D711*E711)</f>
        <v/>
      </c>
      <c r="G711" s="7"/>
      <c r="H711" s="7"/>
    </row>
    <row r="712" customFormat="false" ht="15" hidden="false" customHeight="true" outlineLevel="0" collapsed="false">
      <c r="A712" s="15"/>
      <c r="B712" s="7"/>
      <c r="C712" s="16" t="str">
        <f aca="false">IF(B712="","",IFERROR(INDEX(Products!$B$2:$B$501,MATCH(B712,Products!$A$2:$A$501,0)),"CODE NOT FOUND"))</f>
        <v/>
      </c>
      <c r="D712" s="7"/>
      <c r="E712" s="13"/>
      <c r="F712" s="17" t="str">
        <f aca="false">IF(OR(D712="",E712=""),"",D712*E712)</f>
        <v/>
      </c>
      <c r="G712" s="7"/>
      <c r="H712" s="7"/>
    </row>
    <row r="713" customFormat="false" ht="15" hidden="false" customHeight="true" outlineLevel="0" collapsed="false">
      <c r="A713" s="15"/>
      <c r="B713" s="7"/>
      <c r="C713" s="16" t="str">
        <f aca="false">IF(B713="","",IFERROR(INDEX(Products!$B$2:$B$501,MATCH(B713,Products!$A$2:$A$501,0)),"CODE NOT FOUND"))</f>
        <v/>
      </c>
      <c r="D713" s="7"/>
      <c r="E713" s="13"/>
      <c r="F713" s="17" t="str">
        <f aca="false">IF(OR(D713="",E713=""),"",D713*E713)</f>
        <v/>
      </c>
      <c r="G713" s="7"/>
      <c r="H713" s="7"/>
    </row>
    <row r="714" customFormat="false" ht="15" hidden="false" customHeight="true" outlineLevel="0" collapsed="false">
      <c r="A714" s="15"/>
      <c r="B714" s="7"/>
      <c r="C714" s="16" t="str">
        <f aca="false">IF(B714="","",IFERROR(INDEX(Products!$B$2:$B$501,MATCH(B714,Products!$A$2:$A$501,0)),"CODE NOT FOUND"))</f>
        <v/>
      </c>
      <c r="D714" s="7"/>
      <c r="E714" s="13"/>
      <c r="F714" s="17" t="str">
        <f aca="false">IF(OR(D714="",E714=""),"",D714*E714)</f>
        <v/>
      </c>
      <c r="G714" s="7"/>
      <c r="H714" s="7"/>
    </row>
    <row r="715" customFormat="false" ht="15" hidden="false" customHeight="true" outlineLevel="0" collapsed="false">
      <c r="A715" s="15"/>
      <c r="B715" s="7"/>
      <c r="C715" s="16" t="str">
        <f aca="false">IF(B715="","",IFERROR(INDEX(Products!$B$2:$B$501,MATCH(B715,Products!$A$2:$A$501,0)),"CODE NOT FOUND"))</f>
        <v/>
      </c>
      <c r="D715" s="7"/>
      <c r="E715" s="13"/>
      <c r="F715" s="17" t="str">
        <f aca="false">IF(OR(D715="",E715=""),"",D715*E715)</f>
        <v/>
      </c>
      <c r="G715" s="7"/>
      <c r="H715" s="7"/>
    </row>
    <row r="716" customFormat="false" ht="15" hidden="false" customHeight="true" outlineLevel="0" collapsed="false">
      <c r="A716" s="15"/>
      <c r="B716" s="7"/>
      <c r="C716" s="16" t="str">
        <f aca="false">IF(B716="","",IFERROR(INDEX(Products!$B$2:$B$501,MATCH(B716,Products!$A$2:$A$501,0)),"CODE NOT FOUND"))</f>
        <v/>
      </c>
      <c r="D716" s="7"/>
      <c r="E716" s="13"/>
      <c r="F716" s="17" t="str">
        <f aca="false">IF(OR(D716="",E716=""),"",D716*E716)</f>
        <v/>
      </c>
      <c r="G716" s="7"/>
      <c r="H716" s="7"/>
    </row>
    <row r="717" customFormat="false" ht="15" hidden="false" customHeight="true" outlineLevel="0" collapsed="false">
      <c r="A717" s="15"/>
      <c r="B717" s="7"/>
      <c r="C717" s="16" t="str">
        <f aca="false">IF(B717="","",IFERROR(INDEX(Products!$B$2:$B$501,MATCH(B717,Products!$A$2:$A$501,0)),"CODE NOT FOUND"))</f>
        <v/>
      </c>
      <c r="D717" s="7"/>
      <c r="E717" s="13"/>
      <c r="F717" s="17" t="str">
        <f aca="false">IF(OR(D717="",E717=""),"",D717*E717)</f>
        <v/>
      </c>
      <c r="G717" s="7"/>
      <c r="H717" s="7"/>
    </row>
    <row r="718" customFormat="false" ht="15" hidden="false" customHeight="true" outlineLevel="0" collapsed="false">
      <c r="A718" s="15"/>
      <c r="B718" s="7"/>
      <c r="C718" s="16" t="str">
        <f aca="false">IF(B718="","",IFERROR(INDEX(Products!$B$2:$B$501,MATCH(B718,Products!$A$2:$A$501,0)),"CODE NOT FOUND"))</f>
        <v/>
      </c>
      <c r="D718" s="7"/>
      <c r="E718" s="13"/>
      <c r="F718" s="17" t="str">
        <f aca="false">IF(OR(D718="",E718=""),"",D718*E718)</f>
        <v/>
      </c>
      <c r="G718" s="7"/>
      <c r="H718" s="7"/>
    </row>
    <row r="719" customFormat="false" ht="15" hidden="false" customHeight="true" outlineLevel="0" collapsed="false">
      <c r="A719" s="15"/>
      <c r="B719" s="7"/>
      <c r="C719" s="16" t="str">
        <f aca="false">IF(B719="","",IFERROR(INDEX(Products!$B$2:$B$501,MATCH(B719,Products!$A$2:$A$501,0)),"CODE NOT FOUND"))</f>
        <v/>
      </c>
      <c r="D719" s="7"/>
      <c r="E719" s="13"/>
      <c r="F719" s="17" t="str">
        <f aca="false">IF(OR(D719="",E719=""),"",D719*E719)</f>
        <v/>
      </c>
      <c r="G719" s="7"/>
      <c r="H719" s="7"/>
    </row>
    <row r="720" customFormat="false" ht="15" hidden="false" customHeight="true" outlineLevel="0" collapsed="false">
      <c r="A720" s="15"/>
      <c r="B720" s="7"/>
      <c r="C720" s="16" t="str">
        <f aca="false">IF(B720="","",IFERROR(INDEX(Products!$B$2:$B$501,MATCH(B720,Products!$A$2:$A$501,0)),"CODE NOT FOUND"))</f>
        <v/>
      </c>
      <c r="D720" s="7"/>
      <c r="E720" s="13"/>
      <c r="F720" s="17" t="str">
        <f aca="false">IF(OR(D720="",E720=""),"",D720*E720)</f>
        <v/>
      </c>
      <c r="G720" s="7"/>
      <c r="H720" s="7"/>
    </row>
    <row r="721" customFormat="false" ht="15" hidden="false" customHeight="true" outlineLevel="0" collapsed="false">
      <c r="A721" s="15"/>
      <c r="B721" s="7"/>
      <c r="C721" s="16" t="str">
        <f aca="false">IF(B721="","",IFERROR(INDEX(Products!$B$2:$B$501,MATCH(B721,Products!$A$2:$A$501,0)),"CODE NOT FOUND"))</f>
        <v/>
      </c>
      <c r="D721" s="7"/>
      <c r="E721" s="13"/>
      <c r="F721" s="17" t="str">
        <f aca="false">IF(OR(D721="",E721=""),"",D721*E721)</f>
        <v/>
      </c>
      <c r="G721" s="7"/>
      <c r="H721" s="7"/>
    </row>
    <row r="722" customFormat="false" ht="15" hidden="false" customHeight="true" outlineLevel="0" collapsed="false">
      <c r="A722" s="15"/>
      <c r="B722" s="7"/>
      <c r="C722" s="16" t="str">
        <f aca="false">IF(B722="","",IFERROR(INDEX(Products!$B$2:$B$501,MATCH(B722,Products!$A$2:$A$501,0)),"CODE NOT FOUND"))</f>
        <v/>
      </c>
      <c r="D722" s="7"/>
      <c r="E722" s="13"/>
      <c r="F722" s="17" t="str">
        <f aca="false">IF(OR(D722="",E722=""),"",D722*E722)</f>
        <v/>
      </c>
      <c r="G722" s="7"/>
      <c r="H722" s="7"/>
    </row>
    <row r="723" customFormat="false" ht="15" hidden="false" customHeight="true" outlineLevel="0" collapsed="false">
      <c r="A723" s="15"/>
      <c r="B723" s="7"/>
      <c r="C723" s="16" t="str">
        <f aca="false">IF(B723="","",IFERROR(INDEX(Products!$B$2:$B$501,MATCH(B723,Products!$A$2:$A$501,0)),"CODE NOT FOUND"))</f>
        <v/>
      </c>
      <c r="D723" s="7"/>
      <c r="E723" s="13"/>
      <c r="F723" s="17" t="str">
        <f aca="false">IF(OR(D723="",E723=""),"",D723*E723)</f>
        <v/>
      </c>
      <c r="G723" s="7"/>
      <c r="H723" s="7"/>
    </row>
    <row r="724" customFormat="false" ht="15" hidden="false" customHeight="true" outlineLevel="0" collapsed="false">
      <c r="A724" s="15"/>
      <c r="B724" s="7"/>
      <c r="C724" s="16" t="str">
        <f aca="false">IF(B724="","",IFERROR(INDEX(Products!$B$2:$B$501,MATCH(B724,Products!$A$2:$A$501,0)),"CODE NOT FOUND"))</f>
        <v/>
      </c>
      <c r="D724" s="7"/>
      <c r="E724" s="13"/>
      <c r="F724" s="17" t="str">
        <f aca="false">IF(OR(D724="",E724=""),"",D724*E724)</f>
        <v/>
      </c>
      <c r="G724" s="7"/>
      <c r="H724" s="7"/>
    </row>
    <row r="725" customFormat="false" ht="15" hidden="false" customHeight="true" outlineLevel="0" collapsed="false">
      <c r="A725" s="15"/>
      <c r="B725" s="7"/>
      <c r="C725" s="16" t="str">
        <f aca="false">IF(B725="","",IFERROR(INDEX(Products!$B$2:$B$501,MATCH(B725,Products!$A$2:$A$501,0)),"CODE NOT FOUND"))</f>
        <v/>
      </c>
      <c r="D725" s="7"/>
      <c r="E725" s="13"/>
      <c r="F725" s="17" t="str">
        <f aca="false">IF(OR(D725="",E725=""),"",D725*E725)</f>
        <v/>
      </c>
      <c r="G725" s="7"/>
      <c r="H725" s="7"/>
    </row>
    <row r="726" customFormat="false" ht="15" hidden="false" customHeight="true" outlineLevel="0" collapsed="false">
      <c r="A726" s="15"/>
      <c r="B726" s="7"/>
      <c r="C726" s="16" t="str">
        <f aca="false">IF(B726="","",IFERROR(INDEX(Products!$B$2:$B$501,MATCH(B726,Products!$A$2:$A$501,0)),"CODE NOT FOUND"))</f>
        <v/>
      </c>
      <c r="D726" s="7"/>
      <c r="E726" s="13"/>
      <c r="F726" s="17" t="str">
        <f aca="false">IF(OR(D726="",E726=""),"",D726*E726)</f>
        <v/>
      </c>
      <c r="G726" s="7"/>
      <c r="H726" s="7"/>
    </row>
    <row r="727" customFormat="false" ht="15" hidden="false" customHeight="true" outlineLevel="0" collapsed="false">
      <c r="A727" s="15"/>
      <c r="B727" s="7"/>
      <c r="C727" s="16" t="str">
        <f aca="false">IF(B727="","",IFERROR(INDEX(Products!$B$2:$B$501,MATCH(B727,Products!$A$2:$A$501,0)),"CODE NOT FOUND"))</f>
        <v/>
      </c>
      <c r="D727" s="7"/>
      <c r="E727" s="13"/>
      <c r="F727" s="17" t="str">
        <f aca="false">IF(OR(D727="",E727=""),"",D727*E727)</f>
        <v/>
      </c>
      <c r="G727" s="7"/>
      <c r="H727" s="7"/>
    </row>
    <row r="728" customFormat="false" ht="15" hidden="false" customHeight="true" outlineLevel="0" collapsed="false">
      <c r="A728" s="15"/>
      <c r="B728" s="7"/>
      <c r="C728" s="16" t="str">
        <f aca="false">IF(B728="","",IFERROR(INDEX(Products!$B$2:$B$501,MATCH(B728,Products!$A$2:$A$501,0)),"CODE NOT FOUND"))</f>
        <v/>
      </c>
      <c r="D728" s="7"/>
      <c r="E728" s="13"/>
      <c r="F728" s="17" t="str">
        <f aca="false">IF(OR(D728="",E728=""),"",D728*E728)</f>
        <v/>
      </c>
      <c r="G728" s="7"/>
      <c r="H728" s="7"/>
    </row>
    <row r="729" customFormat="false" ht="15" hidden="false" customHeight="true" outlineLevel="0" collapsed="false">
      <c r="A729" s="15"/>
      <c r="B729" s="7"/>
      <c r="C729" s="16" t="str">
        <f aca="false">IF(B729="","",IFERROR(INDEX(Products!$B$2:$B$501,MATCH(B729,Products!$A$2:$A$501,0)),"CODE NOT FOUND"))</f>
        <v/>
      </c>
      <c r="D729" s="7"/>
      <c r="E729" s="13"/>
      <c r="F729" s="17" t="str">
        <f aca="false">IF(OR(D729="",E729=""),"",D729*E729)</f>
        <v/>
      </c>
      <c r="G729" s="7"/>
      <c r="H729" s="7"/>
    </row>
    <row r="730" customFormat="false" ht="15" hidden="false" customHeight="true" outlineLevel="0" collapsed="false">
      <c r="A730" s="15"/>
      <c r="B730" s="7"/>
      <c r="C730" s="16" t="str">
        <f aca="false">IF(B730="","",IFERROR(INDEX(Products!$B$2:$B$501,MATCH(B730,Products!$A$2:$A$501,0)),"CODE NOT FOUND"))</f>
        <v/>
      </c>
      <c r="D730" s="7"/>
      <c r="E730" s="13"/>
      <c r="F730" s="17" t="str">
        <f aca="false">IF(OR(D730="",E730=""),"",D730*E730)</f>
        <v/>
      </c>
      <c r="G730" s="7"/>
      <c r="H730" s="7"/>
    </row>
    <row r="731" customFormat="false" ht="15" hidden="false" customHeight="true" outlineLevel="0" collapsed="false">
      <c r="A731" s="15"/>
      <c r="B731" s="7"/>
      <c r="C731" s="16" t="str">
        <f aca="false">IF(B731="","",IFERROR(INDEX(Products!$B$2:$B$501,MATCH(B731,Products!$A$2:$A$501,0)),"CODE NOT FOUND"))</f>
        <v/>
      </c>
      <c r="D731" s="7"/>
      <c r="E731" s="13"/>
      <c r="F731" s="17" t="str">
        <f aca="false">IF(OR(D731="",E731=""),"",D731*E731)</f>
        <v/>
      </c>
      <c r="G731" s="7"/>
      <c r="H731" s="7"/>
    </row>
    <row r="732" customFormat="false" ht="15" hidden="false" customHeight="true" outlineLevel="0" collapsed="false">
      <c r="A732" s="15"/>
      <c r="B732" s="7"/>
      <c r="C732" s="16" t="str">
        <f aca="false">IF(B732="","",IFERROR(INDEX(Products!$B$2:$B$501,MATCH(B732,Products!$A$2:$A$501,0)),"CODE NOT FOUND"))</f>
        <v/>
      </c>
      <c r="D732" s="7"/>
      <c r="E732" s="13"/>
      <c r="F732" s="17" t="str">
        <f aca="false">IF(OR(D732="",E732=""),"",D732*E732)</f>
        <v/>
      </c>
      <c r="G732" s="7"/>
      <c r="H732" s="7"/>
    </row>
    <row r="733" customFormat="false" ht="15" hidden="false" customHeight="true" outlineLevel="0" collapsed="false">
      <c r="A733" s="15"/>
      <c r="B733" s="7"/>
      <c r="C733" s="16" t="str">
        <f aca="false">IF(B733="","",IFERROR(INDEX(Products!$B$2:$B$501,MATCH(B733,Products!$A$2:$A$501,0)),"CODE NOT FOUND"))</f>
        <v/>
      </c>
      <c r="D733" s="7"/>
      <c r="E733" s="13"/>
      <c r="F733" s="17" t="str">
        <f aca="false">IF(OR(D733="",E733=""),"",D733*E733)</f>
        <v/>
      </c>
      <c r="G733" s="7"/>
      <c r="H733" s="7"/>
    </row>
    <row r="734" customFormat="false" ht="15" hidden="false" customHeight="true" outlineLevel="0" collapsed="false">
      <c r="A734" s="15"/>
      <c r="B734" s="7"/>
      <c r="C734" s="16" t="str">
        <f aca="false">IF(B734="","",IFERROR(INDEX(Products!$B$2:$B$501,MATCH(B734,Products!$A$2:$A$501,0)),"CODE NOT FOUND"))</f>
        <v/>
      </c>
      <c r="D734" s="7"/>
      <c r="E734" s="13"/>
      <c r="F734" s="17" t="str">
        <f aca="false">IF(OR(D734="",E734=""),"",D734*E734)</f>
        <v/>
      </c>
      <c r="G734" s="7"/>
      <c r="H734" s="7"/>
    </row>
    <row r="735" customFormat="false" ht="15" hidden="false" customHeight="true" outlineLevel="0" collapsed="false">
      <c r="A735" s="15"/>
      <c r="B735" s="7"/>
      <c r="C735" s="16" t="str">
        <f aca="false">IF(B735="","",IFERROR(INDEX(Products!$B$2:$B$501,MATCH(B735,Products!$A$2:$A$501,0)),"CODE NOT FOUND"))</f>
        <v/>
      </c>
      <c r="D735" s="7"/>
      <c r="E735" s="13"/>
      <c r="F735" s="17" t="str">
        <f aca="false">IF(OR(D735="",E735=""),"",D735*E735)</f>
        <v/>
      </c>
      <c r="G735" s="7"/>
      <c r="H735" s="7"/>
    </row>
    <row r="736" customFormat="false" ht="15" hidden="false" customHeight="true" outlineLevel="0" collapsed="false">
      <c r="A736" s="15"/>
      <c r="B736" s="7"/>
      <c r="C736" s="16" t="str">
        <f aca="false">IF(B736="","",IFERROR(INDEX(Products!$B$2:$B$501,MATCH(B736,Products!$A$2:$A$501,0)),"CODE NOT FOUND"))</f>
        <v/>
      </c>
      <c r="D736" s="7"/>
      <c r="E736" s="13"/>
      <c r="F736" s="17" t="str">
        <f aca="false">IF(OR(D736="",E736=""),"",D736*E736)</f>
        <v/>
      </c>
      <c r="G736" s="7"/>
      <c r="H736" s="7"/>
    </row>
    <row r="737" customFormat="false" ht="15" hidden="false" customHeight="true" outlineLevel="0" collapsed="false">
      <c r="A737" s="15"/>
      <c r="B737" s="7"/>
      <c r="C737" s="16" t="str">
        <f aca="false">IF(B737="","",IFERROR(INDEX(Products!$B$2:$B$501,MATCH(B737,Products!$A$2:$A$501,0)),"CODE NOT FOUND"))</f>
        <v/>
      </c>
      <c r="D737" s="7"/>
      <c r="E737" s="13"/>
      <c r="F737" s="17" t="str">
        <f aca="false">IF(OR(D737="",E737=""),"",D737*E737)</f>
        <v/>
      </c>
      <c r="G737" s="7"/>
      <c r="H737" s="7"/>
    </row>
    <row r="738" customFormat="false" ht="15" hidden="false" customHeight="true" outlineLevel="0" collapsed="false">
      <c r="A738" s="15"/>
      <c r="B738" s="7"/>
      <c r="C738" s="16" t="str">
        <f aca="false">IF(B738="","",IFERROR(INDEX(Products!$B$2:$B$501,MATCH(B738,Products!$A$2:$A$501,0)),"CODE NOT FOUND"))</f>
        <v/>
      </c>
      <c r="D738" s="7"/>
      <c r="E738" s="13"/>
      <c r="F738" s="17" t="str">
        <f aca="false">IF(OR(D738="",E738=""),"",D738*E738)</f>
        <v/>
      </c>
      <c r="G738" s="7"/>
      <c r="H738" s="7"/>
    </row>
    <row r="739" customFormat="false" ht="15" hidden="false" customHeight="true" outlineLevel="0" collapsed="false">
      <c r="A739" s="15"/>
      <c r="B739" s="7"/>
      <c r="C739" s="16" t="str">
        <f aca="false">IF(B739="","",IFERROR(INDEX(Products!$B$2:$B$501,MATCH(B739,Products!$A$2:$A$501,0)),"CODE NOT FOUND"))</f>
        <v/>
      </c>
      <c r="D739" s="7"/>
      <c r="E739" s="13"/>
      <c r="F739" s="17" t="str">
        <f aca="false">IF(OR(D739="",E739=""),"",D739*E739)</f>
        <v/>
      </c>
      <c r="G739" s="7"/>
      <c r="H739" s="7"/>
    </row>
    <row r="740" customFormat="false" ht="15" hidden="false" customHeight="true" outlineLevel="0" collapsed="false">
      <c r="A740" s="15"/>
      <c r="B740" s="7"/>
      <c r="C740" s="16" t="str">
        <f aca="false">IF(B740="","",IFERROR(INDEX(Products!$B$2:$B$501,MATCH(B740,Products!$A$2:$A$501,0)),"CODE NOT FOUND"))</f>
        <v/>
      </c>
      <c r="D740" s="7"/>
      <c r="E740" s="13"/>
      <c r="F740" s="17" t="str">
        <f aca="false">IF(OR(D740="",E740=""),"",D740*E740)</f>
        <v/>
      </c>
      <c r="G740" s="7"/>
      <c r="H740" s="7"/>
    </row>
    <row r="741" customFormat="false" ht="15" hidden="false" customHeight="true" outlineLevel="0" collapsed="false">
      <c r="A741" s="15"/>
      <c r="B741" s="7"/>
      <c r="C741" s="16" t="str">
        <f aca="false">IF(B741="","",IFERROR(INDEX(Products!$B$2:$B$501,MATCH(B741,Products!$A$2:$A$501,0)),"CODE NOT FOUND"))</f>
        <v/>
      </c>
      <c r="D741" s="7"/>
      <c r="E741" s="13"/>
      <c r="F741" s="17" t="str">
        <f aca="false">IF(OR(D741="",E741=""),"",D741*E741)</f>
        <v/>
      </c>
      <c r="G741" s="7"/>
      <c r="H741" s="7"/>
    </row>
    <row r="742" customFormat="false" ht="15" hidden="false" customHeight="true" outlineLevel="0" collapsed="false">
      <c r="A742" s="15"/>
      <c r="B742" s="7"/>
      <c r="C742" s="16" t="str">
        <f aca="false">IF(B742="","",IFERROR(INDEX(Products!$B$2:$B$501,MATCH(B742,Products!$A$2:$A$501,0)),"CODE NOT FOUND"))</f>
        <v/>
      </c>
      <c r="D742" s="7"/>
      <c r="E742" s="13"/>
      <c r="F742" s="17" t="str">
        <f aca="false">IF(OR(D742="",E742=""),"",D742*E742)</f>
        <v/>
      </c>
      <c r="G742" s="7"/>
      <c r="H742" s="7"/>
    </row>
    <row r="743" customFormat="false" ht="15" hidden="false" customHeight="true" outlineLevel="0" collapsed="false">
      <c r="A743" s="15"/>
      <c r="B743" s="7"/>
      <c r="C743" s="16" t="str">
        <f aca="false">IF(B743="","",IFERROR(INDEX(Products!$B$2:$B$501,MATCH(B743,Products!$A$2:$A$501,0)),"CODE NOT FOUND"))</f>
        <v/>
      </c>
      <c r="D743" s="7"/>
      <c r="E743" s="13"/>
      <c r="F743" s="17" t="str">
        <f aca="false">IF(OR(D743="",E743=""),"",D743*E743)</f>
        <v/>
      </c>
      <c r="G743" s="7"/>
      <c r="H743" s="7"/>
    </row>
    <row r="744" customFormat="false" ht="15" hidden="false" customHeight="true" outlineLevel="0" collapsed="false">
      <c r="A744" s="15"/>
      <c r="B744" s="7"/>
      <c r="C744" s="16" t="str">
        <f aca="false">IF(B744="","",IFERROR(INDEX(Products!$B$2:$B$501,MATCH(B744,Products!$A$2:$A$501,0)),"CODE NOT FOUND"))</f>
        <v/>
      </c>
      <c r="D744" s="7"/>
      <c r="E744" s="13"/>
      <c r="F744" s="17" t="str">
        <f aca="false">IF(OR(D744="",E744=""),"",D744*E744)</f>
        <v/>
      </c>
      <c r="G744" s="7"/>
      <c r="H744" s="7"/>
    </row>
    <row r="745" customFormat="false" ht="15" hidden="false" customHeight="true" outlineLevel="0" collapsed="false">
      <c r="A745" s="15"/>
      <c r="B745" s="7"/>
      <c r="C745" s="16" t="str">
        <f aca="false">IF(B745="","",IFERROR(INDEX(Products!$B$2:$B$501,MATCH(B745,Products!$A$2:$A$501,0)),"CODE NOT FOUND"))</f>
        <v/>
      </c>
      <c r="D745" s="7"/>
      <c r="E745" s="13"/>
      <c r="F745" s="17" t="str">
        <f aca="false">IF(OR(D745="",E745=""),"",D745*E745)</f>
        <v/>
      </c>
      <c r="G745" s="7"/>
      <c r="H745" s="7"/>
    </row>
    <row r="746" customFormat="false" ht="15" hidden="false" customHeight="true" outlineLevel="0" collapsed="false">
      <c r="A746" s="15"/>
      <c r="B746" s="7"/>
      <c r="C746" s="16" t="str">
        <f aca="false">IF(B746="","",IFERROR(INDEX(Products!$B$2:$B$501,MATCH(B746,Products!$A$2:$A$501,0)),"CODE NOT FOUND"))</f>
        <v/>
      </c>
      <c r="D746" s="7"/>
      <c r="E746" s="13"/>
      <c r="F746" s="17" t="str">
        <f aca="false">IF(OR(D746="",E746=""),"",D746*E746)</f>
        <v/>
      </c>
      <c r="G746" s="7"/>
      <c r="H746" s="7"/>
    </row>
    <row r="747" customFormat="false" ht="15" hidden="false" customHeight="true" outlineLevel="0" collapsed="false">
      <c r="A747" s="15"/>
      <c r="B747" s="7"/>
      <c r="C747" s="16" t="str">
        <f aca="false">IF(B747="","",IFERROR(INDEX(Products!$B$2:$B$501,MATCH(B747,Products!$A$2:$A$501,0)),"CODE NOT FOUND"))</f>
        <v/>
      </c>
      <c r="D747" s="7"/>
      <c r="E747" s="13"/>
      <c r="F747" s="17" t="str">
        <f aca="false">IF(OR(D747="",E747=""),"",D747*E747)</f>
        <v/>
      </c>
      <c r="G747" s="7"/>
      <c r="H747" s="7"/>
    </row>
    <row r="748" customFormat="false" ht="15" hidden="false" customHeight="true" outlineLevel="0" collapsed="false">
      <c r="A748" s="15"/>
      <c r="B748" s="7"/>
      <c r="C748" s="16" t="str">
        <f aca="false">IF(B748="","",IFERROR(INDEX(Products!$B$2:$B$501,MATCH(B748,Products!$A$2:$A$501,0)),"CODE NOT FOUND"))</f>
        <v/>
      </c>
      <c r="D748" s="7"/>
      <c r="E748" s="13"/>
      <c r="F748" s="17" t="str">
        <f aca="false">IF(OR(D748="",E748=""),"",D748*E748)</f>
        <v/>
      </c>
      <c r="G748" s="7"/>
      <c r="H748" s="7"/>
    </row>
    <row r="749" customFormat="false" ht="15" hidden="false" customHeight="true" outlineLevel="0" collapsed="false">
      <c r="A749" s="15"/>
      <c r="B749" s="7"/>
      <c r="C749" s="16" t="str">
        <f aca="false">IF(B749="","",IFERROR(INDEX(Products!$B$2:$B$501,MATCH(B749,Products!$A$2:$A$501,0)),"CODE NOT FOUND"))</f>
        <v/>
      </c>
      <c r="D749" s="7"/>
      <c r="E749" s="13"/>
      <c r="F749" s="17" t="str">
        <f aca="false">IF(OR(D749="",E749=""),"",D749*E749)</f>
        <v/>
      </c>
      <c r="G749" s="7"/>
      <c r="H749" s="7"/>
    </row>
    <row r="750" customFormat="false" ht="15" hidden="false" customHeight="true" outlineLevel="0" collapsed="false">
      <c r="A750" s="15"/>
      <c r="B750" s="7"/>
      <c r="C750" s="16" t="str">
        <f aca="false">IF(B750="","",IFERROR(INDEX(Products!$B$2:$B$501,MATCH(B750,Products!$A$2:$A$501,0)),"CODE NOT FOUND"))</f>
        <v/>
      </c>
      <c r="D750" s="7"/>
      <c r="E750" s="13"/>
      <c r="F750" s="17" t="str">
        <f aca="false">IF(OR(D750="",E750=""),"",D750*E750)</f>
        <v/>
      </c>
      <c r="G750" s="7"/>
      <c r="H750" s="7"/>
    </row>
    <row r="751" customFormat="false" ht="15" hidden="false" customHeight="true" outlineLevel="0" collapsed="false">
      <c r="A751" s="15"/>
      <c r="B751" s="7"/>
      <c r="C751" s="16" t="str">
        <f aca="false">IF(B751="","",IFERROR(INDEX(Products!$B$2:$B$501,MATCH(B751,Products!$A$2:$A$501,0)),"CODE NOT FOUND"))</f>
        <v/>
      </c>
      <c r="D751" s="7"/>
      <c r="E751" s="13"/>
      <c r="F751" s="17" t="str">
        <f aca="false">IF(OR(D751="",E751=""),"",D751*E751)</f>
        <v/>
      </c>
      <c r="G751" s="7"/>
      <c r="H751" s="7"/>
    </row>
    <row r="752" customFormat="false" ht="15" hidden="false" customHeight="true" outlineLevel="0" collapsed="false">
      <c r="A752" s="15"/>
      <c r="B752" s="7"/>
      <c r="C752" s="16" t="str">
        <f aca="false">IF(B752="","",IFERROR(INDEX(Products!$B$2:$B$501,MATCH(B752,Products!$A$2:$A$501,0)),"CODE NOT FOUND"))</f>
        <v/>
      </c>
      <c r="D752" s="7"/>
      <c r="E752" s="13"/>
      <c r="F752" s="17" t="str">
        <f aca="false">IF(OR(D752="",E752=""),"",D752*E752)</f>
        <v/>
      </c>
      <c r="G752" s="7"/>
      <c r="H752" s="7"/>
    </row>
    <row r="753" customFormat="false" ht="15" hidden="false" customHeight="true" outlineLevel="0" collapsed="false">
      <c r="A753" s="15"/>
      <c r="B753" s="7"/>
      <c r="C753" s="16" t="str">
        <f aca="false">IF(B753="","",IFERROR(INDEX(Products!$B$2:$B$501,MATCH(B753,Products!$A$2:$A$501,0)),"CODE NOT FOUND"))</f>
        <v/>
      </c>
      <c r="D753" s="7"/>
      <c r="E753" s="13"/>
      <c r="F753" s="17" t="str">
        <f aca="false">IF(OR(D753="",E753=""),"",D753*E753)</f>
        <v/>
      </c>
      <c r="G753" s="7"/>
      <c r="H753" s="7"/>
    </row>
    <row r="754" customFormat="false" ht="15" hidden="false" customHeight="true" outlineLevel="0" collapsed="false">
      <c r="A754" s="15"/>
      <c r="B754" s="7"/>
      <c r="C754" s="16" t="str">
        <f aca="false">IF(B754="","",IFERROR(INDEX(Products!$B$2:$B$501,MATCH(B754,Products!$A$2:$A$501,0)),"CODE NOT FOUND"))</f>
        <v/>
      </c>
      <c r="D754" s="7"/>
      <c r="E754" s="13"/>
      <c r="F754" s="17" t="str">
        <f aca="false">IF(OR(D754="",E754=""),"",D754*E754)</f>
        <v/>
      </c>
      <c r="G754" s="7"/>
      <c r="H754" s="7"/>
    </row>
    <row r="755" customFormat="false" ht="15" hidden="false" customHeight="true" outlineLevel="0" collapsed="false">
      <c r="A755" s="15"/>
      <c r="B755" s="7"/>
      <c r="C755" s="16" t="str">
        <f aca="false">IF(B755="","",IFERROR(INDEX(Products!$B$2:$B$501,MATCH(B755,Products!$A$2:$A$501,0)),"CODE NOT FOUND"))</f>
        <v/>
      </c>
      <c r="D755" s="7"/>
      <c r="E755" s="13"/>
      <c r="F755" s="17" t="str">
        <f aca="false">IF(OR(D755="",E755=""),"",D755*E755)</f>
        <v/>
      </c>
      <c r="G755" s="7"/>
      <c r="H755" s="7"/>
    </row>
    <row r="756" customFormat="false" ht="15" hidden="false" customHeight="true" outlineLevel="0" collapsed="false">
      <c r="A756" s="15"/>
      <c r="B756" s="7"/>
      <c r="C756" s="16" t="str">
        <f aca="false">IF(B756="","",IFERROR(INDEX(Products!$B$2:$B$501,MATCH(B756,Products!$A$2:$A$501,0)),"CODE NOT FOUND"))</f>
        <v/>
      </c>
      <c r="D756" s="7"/>
      <c r="E756" s="13"/>
      <c r="F756" s="17" t="str">
        <f aca="false">IF(OR(D756="",E756=""),"",D756*E756)</f>
        <v/>
      </c>
      <c r="G756" s="7"/>
      <c r="H756" s="7"/>
    </row>
    <row r="757" customFormat="false" ht="15" hidden="false" customHeight="true" outlineLevel="0" collapsed="false">
      <c r="A757" s="15"/>
      <c r="B757" s="7"/>
      <c r="C757" s="16" t="str">
        <f aca="false">IF(B757="","",IFERROR(INDEX(Products!$B$2:$B$501,MATCH(B757,Products!$A$2:$A$501,0)),"CODE NOT FOUND"))</f>
        <v/>
      </c>
      <c r="D757" s="7"/>
      <c r="E757" s="13"/>
      <c r="F757" s="17" t="str">
        <f aca="false">IF(OR(D757="",E757=""),"",D757*E757)</f>
        <v/>
      </c>
      <c r="G757" s="7"/>
      <c r="H757" s="7"/>
    </row>
    <row r="758" customFormat="false" ht="15" hidden="false" customHeight="true" outlineLevel="0" collapsed="false">
      <c r="A758" s="15"/>
      <c r="B758" s="7"/>
      <c r="C758" s="16" t="str">
        <f aca="false">IF(B758="","",IFERROR(INDEX(Products!$B$2:$B$501,MATCH(B758,Products!$A$2:$A$501,0)),"CODE NOT FOUND"))</f>
        <v/>
      </c>
      <c r="D758" s="7"/>
      <c r="E758" s="13"/>
      <c r="F758" s="17" t="str">
        <f aca="false">IF(OR(D758="",E758=""),"",D758*E758)</f>
        <v/>
      </c>
      <c r="G758" s="7"/>
      <c r="H758" s="7"/>
    </row>
    <row r="759" customFormat="false" ht="15" hidden="false" customHeight="true" outlineLevel="0" collapsed="false">
      <c r="A759" s="15"/>
      <c r="B759" s="7"/>
      <c r="C759" s="16" t="str">
        <f aca="false">IF(B759="","",IFERROR(INDEX(Products!$B$2:$B$501,MATCH(B759,Products!$A$2:$A$501,0)),"CODE NOT FOUND"))</f>
        <v/>
      </c>
      <c r="D759" s="7"/>
      <c r="E759" s="13"/>
      <c r="F759" s="17" t="str">
        <f aca="false">IF(OR(D759="",E759=""),"",D759*E759)</f>
        <v/>
      </c>
      <c r="G759" s="7"/>
      <c r="H759" s="7"/>
    </row>
    <row r="760" customFormat="false" ht="15" hidden="false" customHeight="true" outlineLevel="0" collapsed="false">
      <c r="A760" s="15"/>
      <c r="B760" s="7"/>
      <c r="C760" s="16" t="str">
        <f aca="false">IF(B760="","",IFERROR(INDEX(Products!$B$2:$B$501,MATCH(B760,Products!$A$2:$A$501,0)),"CODE NOT FOUND"))</f>
        <v/>
      </c>
      <c r="D760" s="7"/>
      <c r="E760" s="13"/>
      <c r="F760" s="17" t="str">
        <f aca="false">IF(OR(D760="",E760=""),"",D760*E760)</f>
        <v/>
      </c>
      <c r="G760" s="7"/>
      <c r="H760" s="7"/>
    </row>
    <row r="761" customFormat="false" ht="15" hidden="false" customHeight="true" outlineLevel="0" collapsed="false">
      <c r="A761" s="15"/>
      <c r="B761" s="7"/>
      <c r="C761" s="16" t="str">
        <f aca="false">IF(B761="","",IFERROR(INDEX(Products!$B$2:$B$501,MATCH(B761,Products!$A$2:$A$501,0)),"CODE NOT FOUND"))</f>
        <v/>
      </c>
      <c r="D761" s="7"/>
      <c r="E761" s="13"/>
      <c r="F761" s="17" t="str">
        <f aca="false">IF(OR(D761="",E761=""),"",D761*E761)</f>
        <v/>
      </c>
      <c r="G761" s="7"/>
      <c r="H761" s="7"/>
    </row>
    <row r="762" customFormat="false" ht="15" hidden="false" customHeight="true" outlineLevel="0" collapsed="false">
      <c r="A762" s="15"/>
      <c r="B762" s="7"/>
      <c r="C762" s="16" t="str">
        <f aca="false">IF(B762="","",IFERROR(INDEX(Products!$B$2:$B$501,MATCH(B762,Products!$A$2:$A$501,0)),"CODE NOT FOUND"))</f>
        <v/>
      </c>
      <c r="D762" s="7"/>
      <c r="E762" s="13"/>
      <c r="F762" s="17" t="str">
        <f aca="false">IF(OR(D762="",E762=""),"",D762*E762)</f>
        <v/>
      </c>
      <c r="G762" s="7"/>
      <c r="H762" s="7"/>
    </row>
    <row r="763" customFormat="false" ht="15" hidden="false" customHeight="true" outlineLevel="0" collapsed="false">
      <c r="A763" s="15"/>
      <c r="B763" s="7"/>
      <c r="C763" s="16" t="str">
        <f aca="false">IF(B763="","",IFERROR(INDEX(Products!$B$2:$B$501,MATCH(B763,Products!$A$2:$A$501,0)),"CODE NOT FOUND"))</f>
        <v/>
      </c>
      <c r="D763" s="7"/>
      <c r="E763" s="13"/>
      <c r="F763" s="17" t="str">
        <f aca="false">IF(OR(D763="",E763=""),"",D763*E763)</f>
        <v/>
      </c>
      <c r="G763" s="7"/>
      <c r="H763" s="7"/>
    </row>
    <row r="764" customFormat="false" ht="15" hidden="false" customHeight="true" outlineLevel="0" collapsed="false">
      <c r="A764" s="15"/>
      <c r="B764" s="7"/>
      <c r="C764" s="16" t="str">
        <f aca="false">IF(B764="","",IFERROR(INDEX(Products!$B$2:$B$501,MATCH(B764,Products!$A$2:$A$501,0)),"CODE NOT FOUND"))</f>
        <v/>
      </c>
      <c r="D764" s="7"/>
      <c r="E764" s="13"/>
      <c r="F764" s="17" t="str">
        <f aca="false">IF(OR(D764="",E764=""),"",D764*E764)</f>
        <v/>
      </c>
      <c r="G764" s="7"/>
      <c r="H764" s="7"/>
    </row>
    <row r="765" customFormat="false" ht="15" hidden="false" customHeight="true" outlineLevel="0" collapsed="false">
      <c r="A765" s="15"/>
      <c r="B765" s="7"/>
      <c r="C765" s="16" t="str">
        <f aca="false">IF(B765="","",IFERROR(INDEX(Products!$B$2:$B$501,MATCH(B765,Products!$A$2:$A$501,0)),"CODE NOT FOUND"))</f>
        <v/>
      </c>
      <c r="D765" s="7"/>
      <c r="E765" s="13"/>
      <c r="F765" s="17" t="str">
        <f aca="false">IF(OR(D765="",E765=""),"",D765*E765)</f>
        <v/>
      </c>
      <c r="G765" s="7"/>
      <c r="H765" s="7"/>
    </row>
    <row r="766" customFormat="false" ht="15" hidden="false" customHeight="true" outlineLevel="0" collapsed="false">
      <c r="A766" s="15"/>
      <c r="B766" s="7"/>
      <c r="C766" s="16" t="str">
        <f aca="false">IF(B766="","",IFERROR(INDEX(Products!$B$2:$B$501,MATCH(B766,Products!$A$2:$A$501,0)),"CODE NOT FOUND"))</f>
        <v/>
      </c>
      <c r="D766" s="7"/>
      <c r="E766" s="13"/>
      <c r="F766" s="17" t="str">
        <f aca="false">IF(OR(D766="",E766=""),"",D766*E766)</f>
        <v/>
      </c>
      <c r="G766" s="7"/>
      <c r="H766" s="7"/>
    </row>
    <row r="767" customFormat="false" ht="15" hidden="false" customHeight="true" outlineLevel="0" collapsed="false">
      <c r="A767" s="15"/>
      <c r="B767" s="7"/>
      <c r="C767" s="16" t="str">
        <f aca="false">IF(B767="","",IFERROR(INDEX(Products!$B$2:$B$501,MATCH(B767,Products!$A$2:$A$501,0)),"CODE NOT FOUND"))</f>
        <v/>
      </c>
      <c r="D767" s="7"/>
      <c r="E767" s="13"/>
      <c r="F767" s="17" t="str">
        <f aca="false">IF(OR(D767="",E767=""),"",D767*E767)</f>
        <v/>
      </c>
      <c r="G767" s="7"/>
      <c r="H767" s="7"/>
    </row>
    <row r="768" customFormat="false" ht="15" hidden="false" customHeight="true" outlineLevel="0" collapsed="false">
      <c r="A768" s="15"/>
      <c r="B768" s="7"/>
      <c r="C768" s="16" t="str">
        <f aca="false">IF(B768="","",IFERROR(INDEX(Products!$B$2:$B$501,MATCH(B768,Products!$A$2:$A$501,0)),"CODE NOT FOUND"))</f>
        <v/>
      </c>
      <c r="D768" s="7"/>
      <c r="E768" s="13"/>
      <c r="F768" s="17" t="str">
        <f aca="false">IF(OR(D768="",E768=""),"",D768*E768)</f>
        <v/>
      </c>
      <c r="G768" s="7"/>
      <c r="H768" s="7"/>
    </row>
    <row r="769" customFormat="false" ht="15" hidden="false" customHeight="true" outlineLevel="0" collapsed="false">
      <c r="A769" s="15"/>
      <c r="B769" s="7"/>
      <c r="C769" s="16" t="str">
        <f aca="false">IF(B769="","",IFERROR(INDEX(Products!$B$2:$B$501,MATCH(B769,Products!$A$2:$A$501,0)),"CODE NOT FOUND"))</f>
        <v/>
      </c>
      <c r="D769" s="7"/>
      <c r="E769" s="13"/>
      <c r="F769" s="17" t="str">
        <f aca="false">IF(OR(D769="",E769=""),"",D769*E769)</f>
        <v/>
      </c>
      <c r="G769" s="7"/>
      <c r="H769" s="7"/>
    </row>
    <row r="770" customFormat="false" ht="15" hidden="false" customHeight="true" outlineLevel="0" collapsed="false">
      <c r="A770" s="15"/>
      <c r="B770" s="7"/>
      <c r="C770" s="16" t="str">
        <f aca="false">IF(B770="","",IFERROR(INDEX(Products!$B$2:$B$501,MATCH(B770,Products!$A$2:$A$501,0)),"CODE NOT FOUND"))</f>
        <v/>
      </c>
      <c r="D770" s="7"/>
      <c r="E770" s="13"/>
      <c r="F770" s="17" t="str">
        <f aca="false">IF(OR(D770="",E770=""),"",D770*E770)</f>
        <v/>
      </c>
      <c r="G770" s="7"/>
      <c r="H770" s="7"/>
    </row>
    <row r="771" customFormat="false" ht="15" hidden="false" customHeight="true" outlineLevel="0" collapsed="false">
      <c r="A771" s="15"/>
      <c r="B771" s="7"/>
      <c r="C771" s="16" t="str">
        <f aca="false">IF(B771="","",IFERROR(INDEX(Products!$B$2:$B$501,MATCH(B771,Products!$A$2:$A$501,0)),"CODE NOT FOUND"))</f>
        <v/>
      </c>
      <c r="D771" s="7"/>
      <c r="E771" s="13"/>
      <c r="F771" s="17" t="str">
        <f aca="false">IF(OR(D771="",E771=""),"",D771*E771)</f>
        <v/>
      </c>
      <c r="G771" s="7"/>
      <c r="H771" s="7"/>
    </row>
    <row r="772" customFormat="false" ht="15" hidden="false" customHeight="true" outlineLevel="0" collapsed="false">
      <c r="A772" s="15"/>
      <c r="B772" s="7"/>
      <c r="C772" s="16" t="str">
        <f aca="false">IF(B772="","",IFERROR(INDEX(Products!$B$2:$B$501,MATCH(B772,Products!$A$2:$A$501,0)),"CODE NOT FOUND"))</f>
        <v/>
      </c>
      <c r="D772" s="7"/>
      <c r="E772" s="13"/>
      <c r="F772" s="17" t="str">
        <f aca="false">IF(OR(D772="",E772=""),"",D772*E772)</f>
        <v/>
      </c>
      <c r="G772" s="7"/>
      <c r="H772" s="7"/>
    </row>
    <row r="773" customFormat="false" ht="15" hidden="false" customHeight="true" outlineLevel="0" collapsed="false">
      <c r="A773" s="15"/>
      <c r="B773" s="7"/>
      <c r="C773" s="16" t="str">
        <f aca="false">IF(B773="","",IFERROR(INDEX(Products!$B$2:$B$501,MATCH(B773,Products!$A$2:$A$501,0)),"CODE NOT FOUND"))</f>
        <v/>
      </c>
      <c r="D773" s="7"/>
      <c r="E773" s="13"/>
      <c r="F773" s="17" t="str">
        <f aca="false">IF(OR(D773="",E773=""),"",D773*E773)</f>
        <v/>
      </c>
      <c r="G773" s="7"/>
      <c r="H773" s="7"/>
    </row>
    <row r="774" customFormat="false" ht="15" hidden="false" customHeight="true" outlineLevel="0" collapsed="false">
      <c r="A774" s="15"/>
      <c r="B774" s="7"/>
      <c r="C774" s="16" t="str">
        <f aca="false">IF(B774="","",IFERROR(INDEX(Products!$B$2:$B$501,MATCH(B774,Products!$A$2:$A$501,0)),"CODE NOT FOUND"))</f>
        <v/>
      </c>
      <c r="D774" s="7"/>
      <c r="E774" s="13"/>
      <c r="F774" s="17" t="str">
        <f aca="false">IF(OR(D774="",E774=""),"",D774*E774)</f>
        <v/>
      </c>
      <c r="G774" s="7"/>
      <c r="H774" s="7"/>
    </row>
    <row r="775" customFormat="false" ht="15" hidden="false" customHeight="true" outlineLevel="0" collapsed="false">
      <c r="A775" s="15"/>
      <c r="B775" s="7"/>
      <c r="C775" s="16" t="str">
        <f aca="false">IF(B775="","",IFERROR(INDEX(Products!$B$2:$B$501,MATCH(B775,Products!$A$2:$A$501,0)),"CODE NOT FOUND"))</f>
        <v/>
      </c>
      <c r="D775" s="7"/>
      <c r="E775" s="13"/>
      <c r="F775" s="17" t="str">
        <f aca="false">IF(OR(D775="",E775=""),"",D775*E775)</f>
        <v/>
      </c>
      <c r="G775" s="7"/>
      <c r="H775" s="7"/>
    </row>
    <row r="776" customFormat="false" ht="15" hidden="false" customHeight="true" outlineLevel="0" collapsed="false">
      <c r="A776" s="15"/>
      <c r="B776" s="7"/>
      <c r="C776" s="16" t="str">
        <f aca="false">IF(B776="","",IFERROR(INDEX(Products!$B$2:$B$501,MATCH(B776,Products!$A$2:$A$501,0)),"CODE NOT FOUND"))</f>
        <v/>
      </c>
      <c r="D776" s="7"/>
      <c r="E776" s="13"/>
      <c r="F776" s="17" t="str">
        <f aca="false">IF(OR(D776="",E776=""),"",D776*E776)</f>
        <v/>
      </c>
      <c r="G776" s="7"/>
      <c r="H776" s="7"/>
    </row>
    <row r="777" customFormat="false" ht="15" hidden="false" customHeight="true" outlineLevel="0" collapsed="false">
      <c r="A777" s="15"/>
      <c r="B777" s="7"/>
      <c r="C777" s="16" t="str">
        <f aca="false">IF(B777="","",IFERROR(INDEX(Products!$B$2:$B$501,MATCH(B777,Products!$A$2:$A$501,0)),"CODE NOT FOUND"))</f>
        <v/>
      </c>
      <c r="D777" s="7"/>
      <c r="E777" s="13"/>
      <c r="F777" s="17" t="str">
        <f aca="false">IF(OR(D777="",E777=""),"",D777*E777)</f>
        <v/>
      </c>
      <c r="G777" s="7"/>
      <c r="H777" s="7"/>
    </row>
    <row r="778" customFormat="false" ht="15" hidden="false" customHeight="true" outlineLevel="0" collapsed="false">
      <c r="A778" s="15"/>
      <c r="B778" s="7"/>
      <c r="C778" s="16" t="str">
        <f aca="false">IF(B778="","",IFERROR(INDEX(Products!$B$2:$B$501,MATCH(B778,Products!$A$2:$A$501,0)),"CODE NOT FOUND"))</f>
        <v/>
      </c>
      <c r="D778" s="7"/>
      <c r="E778" s="13"/>
      <c r="F778" s="17" t="str">
        <f aca="false">IF(OR(D778="",E778=""),"",D778*E778)</f>
        <v/>
      </c>
      <c r="G778" s="7"/>
      <c r="H778" s="7"/>
    </row>
    <row r="779" customFormat="false" ht="15" hidden="false" customHeight="true" outlineLevel="0" collapsed="false">
      <c r="A779" s="15"/>
      <c r="B779" s="7"/>
      <c r="C779" s="16" t="str">
        <f aca="false">IF(B779="","",IFERROR(INDEX(Products!$B$2:$B$501,MATCH(B779,Products!$A$2:$A$501,0)),"CODE NOT FOUND"))</f>
        <v/>
      </c>
      <c r="D779" s="7"/>
      <c r="E779" s="13"/>
      <c r="F779" s="17" t="str">
        <f aca="false">IF(OR(D779="",E779=""),"",D779*E779)</f>
        <v/>
      </c>
      <c r="G779" s="7"/>
      <c r="H779" s="7"/>
    </row>
    <row r="780" customFormat="false" ht="15" hidden="false" customHeight="true" outlineLevel="0" collapsed="false">
      <c r="A780" s="15"/>
      <c r="B780" s="7"/>
      <c r="C780" s="16" t="str">
        <f aca="false">IF(B780="","",IFERROR(INDEX(Products!$B$2:$B$501,MATCH(B780,Products!$A$2:$A$501,0)),"CODE NOT FOUND"))</f>
        <v/>
      </c>
      <c r="D780" s="7"/>
      <c r="E780" s="13"/>
      <c r="F780" s="17" t="str">
        <f aca="false">IF(OR(D780="",E780=""),"",D780*E780)</f>
        <v/>
      </c>
      <c r="G780" s="7"/>
      <c r="H780" s="7"/>
    </row>
    <row r="781" customFormat="false" ht="15" hidden="false" customHeight="true" outlineLevel="0" collapsed="false">
      <c r="A781" s="15"/>
      <c r="B781" s="7"/>
      <c r="C781" s="16" t="str">
        <f aca="false">IF(B781="","",IFERROR(INDEX(Products!$B$2:$B$501,MATCH(B781,Products!$A$2:$A$501,0)),"CODE NOT FOUND"))</f>
        <v/>
      </c>
      <c r="D781" s="7"/>
      <c r="E781" s="13"/>
      <c r="F781" s="17" t="str">
        <f aca="false">IF(OR(D781="",E781=""),"",D781*E781)</f>
        <v/>
      </c>
      <c r="G781" s="7"/>
      <c r="H781" s="7"/>
    </row>
    <row r="782" customFormat="false" ht="15" hidden="false" customHeight="true" outlineLevel="0" collapsed="false">
      <c r="A782" s="15"/>
      <c r="B782" s="7"/>
      <c r="C782" s="16" t="str">
        <f aca="false">IF(B782="","",IFERROR(INDEX(Products!$B$2:$B$501,MATCH(B782,Products!$A$2:$A$501,0)),"CODE NOT FOUND"))</f>
        <v/>
      </c>
      <c r="D782" s="7"/>
      <c r="E782" s="13"/>
      <c r="F782" s="17" t="str">
        <f aca="false">IF(OR(D782="",E782=""),"",D782*E782)</f>
        <v/>
      </c>
      <c r="G782" s="7"/>
      <c r="H782" s="7"/>
    </row>
    <row r="783" customFormat="false" ht="15" hidden="false" customHeight="true" outlineLevel="0" collapsed="false">
      <c r="A783" s="15"/>
      <c r="B783" s="7"/>
      <c r="C783" s="16" t="str">
        <f aca="false">IF(B783="","",IFERROR(INDEX(Products!$B$2:$B$501,MATCH(B783,Products!$A$2:$A$501,0)),"CODE NOT FOUND"))</f>
        <v/>
      </c>
      <c r="D783" s="7"/>
      <c r="E783" s="13"/>
      <c r="F783" s="17" t="str">
        <f aca="false">IF(OR(D783="",E783=""),"",D783*E783)</f>
        <v/>
      </c>
      <c r="G783" s="7"/>
      <c r="H783" s="7"/>
    </row>
    <row r="784" customFormat="false" ht="15" hidden="false" customHeight="true" outlineLevel="0" collapsed="false">
      <c r="A784" s="15"/>
      <c r="B784" s="7"/>
      <c r="C784" s="16" t="str">
        <f aca="false">IF(B784="","",IFERROR(INDEX(Products!$B$2:$B$501,MATCH(B784,Products!$A$2:$A$501,0)),"CODE NOT FOUND"))</f>
        <v/>
      </c>
      <c r="D784" s="7"/>
      <c r="E784" s="13"/>
      <c r="F784" s="17" t="str">
        <f aca="false">IF(OR(D784="",E784=""),"",D784*E784)</f>
        <v/>
      </c>
      <c r="G784" s="7"/>
      <c r="H784" s="7"/>
    </row>
    <row r="785" customFormat="false" ht="15" hidden="false" customHeight="true" outlineLevel="0" collapsed="false">
      <c r="A785" s="15"/>
      <c r="B785" s="7"/>
      <c r="C785" s="16" t="str">
        <f aca="false">IF(B785="","",IFERROR(INDEX(Products!$B$2:$B$501,MATCH(B785,Products!$A$2:$A$501,0)),"CODE NOT FOUND"))</f>
        <v/>
      </c>
      <c r="D785" s="7"/>
      <c r="E785" s="13"/>
      <c r="F785" s="17" t="str">
        <f aca="false">IF(OR(D785="",E785=""),"",D785*E785)</f>
        <v/>
      </c>
      <c r="G785" s="7"/>
      <c r="H785" s="7"/>
    </row>
    <row r="786" customFormat="false" ht="15" hidden="false" customHeight="true" outlineLevel="0" collapsed="false">
      <c r="A786" s="15"/>
      <c r="B786" s="7"/>
      <c r="C786" s="16" t="str">
        <f aca="false">IF(B786="","",IFERROR(INDEX(Products!$B$2:$B$501,MATCH(B786,Products!$A$2:$A$501,0)),"CODE NOT FOUND"))</f>
        <v/>
      </c>
      <c r="D786" s="7"/>
      <c r="E786" s="13"/>
      <c r="F786" s="17" t="str">
        <f aca="false">IF(OR(D786="",E786=""),"",D786*E786)</f>
        <v/>
      </c>
      <c r="G786" s="7"/>
      <c r="H786" s="7"/>
    </row>
    <row r="787" customFormat="false" ht="15" hidden="false" customHeight="true" outlineLevel="0" collapsed="false">
      <c r="A787" s="15"/>
      <c r="B787" s="7"/>
      <c r="C787" s="16" t="str">
        <f aca="false">IF(B787="","",IFERROR(INDEX(Products!$B$2:$B$501,MATCH(B787,Products!$A$2:$A$501,0)),"CODE NOT FOUND"))</f>
        <v/>
      </c>
      <c r="D787" s="7"/>
      <c r="E787" s="13"/>
      <c r="F787" s="17" t="str">
        <f aca="false">IF(OR(D787="",E787=""),"",D787*E787)</f>
        <v/>
      </c>
      <c r="G787" s="7"/>
      <c r="H787" s="7"/>
    </row>
    <row r="788" customFormat="false" ht="15" hidden="false" customHeight="true" outlineLevel="0" collapsed="false">
      <c r="A788" s="15"/>
      <c r="B788" s="7"/>
      <c r="C788" s="16" t="str">
        <f aca="false">IF(B788="","",IFERROR(INDEX(Products!$B$2:$B$501,MATCH(B788,Products!$A$2:$A$501,0)),"CODE NOT FOUND"))</f>
        <v/>
      </c>
      <c r="D788" s="7"/>
      <c r="E788" s="13"/>
      <c r="F788" s="17" t="str">
        <f aca="false">IF(OR(D788="",E788=""),"",D788*E788)</f>
        <v/>
      </c>
      <c r="G788" s="7"/>
      <c r="H788" s="7"/>
    </row>
    <row r="789" customFormat="false" ht="15" hidden="false" customHeight="true" outlineLevel="0" collapsed="false">
      <c r="A789" s="15"/>
      <c r="B789" s="7"/>
      <c r="C789" s="16" t="str">
        <f aca="false">IF(B789="","",IFERROR(INDEX(Products!$B$2:$B$501,MATCH(B789,Products!$A$2:$A$501,0)),"CODE NOT FOUND"))</f>
        <v/>
      </c>
      <c r="D789" s="7"/>
      <c r="E789" s="13"/>
      <c r="F789" s="17" t="str">
        <f aca="false">IF(OR(D789="",E789=""),"",D789*E789)</f>
        <v/>
      </c>
      <c r="G789" s="7"/>
      <c r="H789" s="7"/>
    </row>
    <row r="790" customFormat="false" ht="15" hidden="false" customHeight="true" outlineLevel="0" collapsed="false">
      <c r="A790" s="15"/>
      <c r="B790" s="7"/>
      <c r="C790" s="16" t="str">
        <f aca="false">IF(B790="","",IFERROR(INDEX(Products!$B$2:$B$501,MATCH(B790,Products!$A$2:$A$501,0)),"CODE NOT FOUND"))</f>
        <v/>
      </c>
      <c r="D790" s="7"/>
      <c r="E790" s="13"/>
      <c r="F790" s="17" t="str">
        <f aca="false">IF(OR(D790="",E790=""),"",D790*E790)</f>
        <v/>
      </c>
      <c r="G790" s="7"/>
      <c r="H790" s="7"/>
    </row>
    <row r="791" customFormat="false" ht="15" hidden="false" customHeight="true" outlineLevel="0" collapsed="false">
      <c r="A791" s="15"/>
      <c r="B791" s="7"/>
      <c r="C791" s="16" t="str">
        <f aca="false">IF(B791="","",IFERROR(INDEX(Products!$B$2:$B$501,MATCH(B791,Products!$A$2:$A$501,0)),"CODE NOT FOUND"))</f>
        <v/>
      </c>
      <c r="D791" s="7"/>
      <c r="E791" s="13"/>
      <c r="F791" s="17" t="str">
        <f aca="false">IF(OR(D791="",E791=""),"",D791*E791)</f>
        <v/>
      </c>
      <c r="G791" s="7"/>
      <c r="H791" s="7"/>
    </row>
    <row r="792" customFormat="false" ht="15" hidden="false" customHeight="true" outlineLevel="0" collapsed="false">
      <c r="A792" s="15"/>
      <c r="B792" s="7"/>
      <c r="C792" s="16" t="str">
        <f aca="false">IF(B792="","",IFERROR(INDEX(Products!$B$2:$B$501,MATCH(B792,Products!$A$2:$A$501,0)),"CODE NOT FOUND"))</f>
        <v/>
      </c>
      <c r="D792" s="7"/>
      <c r="E792" s="13"/>
      <c r="F792" s="17" t="str">
        <f aca="false">IF(OR(D792="",E792=""),"",D792*E792)</f>
        <v/>
      </c>
      <c r="G792" s="7"/>
      <c r="H792" s="7"/>
    </row>
    <row r="793" customFormat="false" ht="15" hidden="false" customHeight="true" outlineLevel="0" collapsed="false">
      <c r="A793" s="15"/>
      <c r="B793" s="7"/>
      <c r="C793" s="16" t="str">
        <f aca="false">IF(B793="","",IFERROR(INDEX(Products!$B$2:$B$501,MATCH(B793,Products!$A$2:$A$501,0)),"CODE NOT FOUND"))</f>
        <v/>
      </c>
      <c r="D793" s="7"/>
      <c r="E793" s="13"/>
      <c r="F793" s="17" t="str">
        <f aca="false">IF(OR(D793="",E793=""),"",D793*E793)</f>
        <v/>
      </c>
      <c r="G793" s="7"/>
      <c r="H793" s="7"/>
    </row>
    <row r="794" customFormat="false" ht="15" hidden="false" customHeight="true" outlineLevel="0" collapsed="false">
      <c r="A794" s="15"/>
      <c r="B794" s="7"/>
      <c r="C794" s="16" t="str">
        <f aca="false">IF(B794="","",IFERROR(INDEX(Products!$B$2:$B$501,MATCH(B794,Products!$A$2:$A$501,0)),"CODE NOT FOUND"))</f>
        <v/>
      </c>
      <c r="D794" s="7"/>
      <c r="E794" s="13"/>
      <c r="F794" s="17" t="str">
        <f aca="false">IF(OR(D794="",E794=""),"",D794*E794)</f>
        <v/>
      </c>
      <c r="G794" s="7"/>
      <c r="H794" s="7"/>
    </row>
    <row r="795" customFormat="false" ht="15" hidden="false" customHeight="true" outlineLevel="0" collapsed="false">
      <c r="A795" s="15"/>
      <c r="B795" s="7"/>
      <c r="C795" s="16" t="str">
        <f aca="false">IF(B795="","",IFERROR(INDEX(Products!$B$2:$B$501,MATCH(B795,Products!$A$2:$A$501,0)),"CODE NOT FOUND"))</f>
        <v/>
      </c>
      <c r="D795" s="7"/>
      <c r="E795" s="13"/>
      <c r="F795" s="17" t="str">
        <f aca="false">IF(OR(D795="",E795=""),"",D795*E795)</f>
        <v/>
      </c>
      <c r="G795" s="7"/>
      <c r="H795" s="7"/>
    </row>
    <row r="796" customFormat="false" ht="15" hidden="false" customHeight="true" outlineLevel="0" collapsed="false">
      <c r="A796" s="15"/>
      <c r="B796" s="7"/>
      <c r="C796" s="16" t="str">
        <f aca="false">IF(B796="","",IFERROR(INDEX(Products!$B$2:$B$501,MATCH(B796,Products!$A$2:$A$501,0)),"CODE NOT FOUND"))</f>
        <v/>
      </c>
      <c r="D796" s="7"/>
      <c r="E796" s="13"/>
      <c r="F796" s="17" t="str">
        <f aca="false">IF(OR(D796="",E796=""),"",D796*E796)</f>
        <v/>
      </c>
      <c r="G796" s="7"/>
      <c r="H796" s="7"/>
    </row>
    <row r="797" customFormat="false" ht="15" hidden="false" customHeight="true" outlineLevel="0" collapsed="false">
      <c r="A797" s="15"/>
      <c r="B797" s="7"/>
      <c r="C797" s="16" t="str">
        <f aca="false">IF(B797="","",IFERROR(INDEX(Products!$B$2:$B$501,MATCH(B797,Products!$A$2:$A$501,0)),"CODE NOT FOUND"))</f>
        <v/>
      </c>
      <c r="D797" s="7"/>
      <c r="E797" s="13"/>
      <c r="F797" s="17" t="str">
        <f aca="false">IF(OR(D797="",E797=""),"",D797*E797)</f>
        <v/>
      </c>
      <c r="G797" s="7"/>
      <c r="H797" s="7"/>
    </row>
    <row r="798" customFormat="false" ht="15" hidden="false" customHeight="true" outlineLevel="0" collapsed="false">
      <c r="A798" s="15"/>
      <c r="B798" s="7"/>
      <c r="C798" s="16" t="str">
        <f aca="false">IF(B798="","",IFERROR(INDEX(Products!$B$2:$B$501,MATCH(B798,Products!$A$2:$A$501,0)),"CODE NOT FOUND"))</f>
        <v/>
      </c>
      <c r="D798" s="7"/>
      <c r="E798" s="13"/>
      <c r="F798" s="17" t="str">
        <f aca="false">IF(OR(D798="",E798=""),"",D798*E798)</f>
        <v/>
      </c>
      <c r="G798" s="7"/>
      <c r="H798" s="7"/>
    </row>
    <row r="799" customFormat="false" ht="15" hidden="false" customHeight="true" outlineLevel="0" collapsed="false">
      <c r="A799" s="15"/>
      <c r="B799" s="7"/>
      <c r="C799" s="16" t="str">
        <f aca="false">IF(B799="","",IFERROR(INDEX(Products!$B$2:$B$501,MATCH(B799,Products!$A$2:$A$501,0)),"CODE NOT FOUND"))</f>
        <v/>
      </c>
      <c r="D799" s="7"/>
      <c r="E799" s="13"/>
      <c r="F799" s="17" t="str">
        <f aca="false">IF(OR(D799="",E799=""),"",D799*E799)</f>
        <v/>
      </c>
      <c r="G799" s="7"/>
      <c r="H799" s="7"/>
    </row>
    <row r="800" customFormat="false" ht="15" hidden="false" customHeight="true" outlineLevel="0" collapsed="false">
      <c r="A800" s="15"/>
      <c r="B800" s="7"/>
      <c r="C800" s="16" t="str">
        <f aca="false">IF(B800="","",IFERROR(INDEX(Products!$B$2:$B$501,MATCH(B800,Products!$A$2:$A$501,0)),"CODE NOT FOUND"))</f>
        <v/>
      </c>
      <c r="D800" s="7"/>
      <c r="E800" s="13"/>
      <c r="F800" s="17" t="str">
        <f aca="false">IF(OR(D800="",E800=""),"",D800*E800)</f>
        <v/>
      </c>
      <c r="G800" s="7"/>
      <c r="H800" s="7"/>
    </row>
    <row r="801" customFormat="false" ht="15" hidden="false" customHeight="true" outlineLevel="0" collapsed="false">
      <c r="A801" s="15"/>
      <c r="B801" s="7"/>
      <c r="C801" s="16" t="str">
        <f aca="false">IF(B801="","",IFERROR(INDEX(Products!$B$2:$B$501,MATCH(B801,Products!$A$2:$A$501,0)),"CODE NOT FOUND"))</f>
        <v/>
      </c>
      <c r="D801" s="7"/>
      <c r="E801" s="13"/>
      <c r="F801" s="17" t="str">
        <f aca="false">IF(OR(D801="",E801=""),"",D801*E801)</f>
        <v/>
      </c>
      <c r="G801" s="7"/>
      <c r="H801" s="7"/>
    </row>
    <row r="802" customFormat="false" ht="15" hidden="false" customHeight="true" outlineLevel="0" collapsed="false">
      <c r="A802" s="15"/>
      <c r="B802" s="7"/>
      <c r="C802" s="16" t="str">
        <f aca="false">IF(B802="","",IFERROR(INDEX(Products!$B$2:$B$501,MATCH(B802,Products!$A$2:$A$501,0)),"CODE NOT FOUND"))</f>
        <v/>
      </c>
      <c r="D802" s="7"/>
      <c r="E802" s="13"/>
      <c r="F802" s="17" t="str">
        <f aca="false">IF(OR(D802="",E802=""),"",D802*E802)</f>
        <v/>
      </c>
      <c r="G802" s="7"/>
      <c r="H802" s="7"/>
    </row>
    <row r="803" customFormat="false" ht="15" hidden="false" customHeight="true" outlineLevel="0" collapsed="false">
      <c r="A803" s="15"/>
      <c r="B803" s="7"/>
      <c r="C803" s="16" t="str">
        <f aca="false">IF(B803="","",IFERROR(INDEX(Products!$B$2:$B$501,MATCH(B803,Products!$A$2:$A$501,0)),"CODE NOT FOUND"))</f>
        <v/>
      </c>
      <c r="D803" s="7"/>
      <c r="E803" s="13"/>
      <c r="F803" s="17" t="str">
        <f aca="false">IF(OR(D803="",E803=""),"",D803*E803)</f>
        <v/>
      </c>
      <c r="G803" s="7"/>
      <c r="H803" s="7"/>
    </row>
    <row r="804" customFormat="false" ht="15" hidden="false" customHeight="true" outlineLevel="0" collapsed="false">
      <c r="A804" s="15"/>
      <c r="B804" s="7"/>
      <c r="C804" s="16" t="str">
        <f aca="false">IF(B804="","",IFERROR(INDEX(Products!$B$2:$B$501,MATCH(B804,Products!$A$2:$A$501,0)),"CODE NOT FOUND"))</f>
        <v/>
      </c>
      <c r="D804" s="7"/>
      <c r="E804" s="13"/>
      <c r="F804" s="17" t="str">
        <f aca="false">IF(OR(D804="",E804=""),"",D804*E804)</f>
        <v/>
      </c>
      <c r="G804" s="7"/>
      <c r="H804" s="7"/>
    </row>
    <row r="805" customFormat="false" ht="15" hidden="false" customHeight="true" outlineLevel="0" collapsed="false">
      <c r="A805" s="15"/>
      <c r="B805" s="7"/>
      <c r="C805" s="16" t="str">
        <f aca="false">IF(B805="","",IFERROR(INDEX(Products!$B$2:$B$501,MATCH(B805,Products!$A$2:$A$501,0)),"CODE NOT FOUND"))</f>
        <v/>
      </c>
      <c r="D805" s="7"/>
      <c r="E805" s="13"/>
      <c r="F805" s="17" t="str">
        <f aca="false">IF(OR(D805="",E805=""),"",D805*E805)</f>
        <v/>
      </c>
      <c r="G805" s="7"/>
      <c r="H805" s="7"/>
    </row>
    <row r="806" customFormat="false" ht="15" hidden="false" customHeight="true" outlineLevel="0" collapsed="false">
      <c r="A806" s="15"/>
      <c r="B806" s="7"/>
      <c r="C806" s="16" t="str">
        <f aca="false">IF(B806="","",IFERROR(INDEX(Products!$B$2:$B$501,MATCH(B806,Products!$A$2:$A$501,0)),"CODE NOT FOUND"))</f>
        <v/>
      </c>
      <c r="D806" s="7"/>
      <c r="E806" s="13"/>
      <c r="F806" s="17" t="str">
        <f aca="false">IF(OR(D806="",E806=""),"",D806*E806)</f>
        <v/>
      </c>
      <c r="G806" s="7"/>
      <c r="H806" s="7"/>
    </row>
    <row r="807" customFormat="false" ht="15" hidden="false" customHeight="true" outlineLevel="0" collapsed="false">
      <c r="A807" s="15"/>
      <c r="B807" s="7"/>
      <c r="C807" s="16" t="str">
        <f aca="false">IF(B807="","",IFERROR(INDEX(Products!$B$2:$B$501,MATCH(B807,Products!$A$2:$A$501,0)),"CODE NOT FOUND"))</f>
        <v/>
      </c>
      <c r="D807" s="7"/>
      <c r="E807" s="13"/>
      <c r="F807" s="17" t="str">
        <f aca="false">IF(OR(D807="",E807=""),"",D807*E807)</f>
        <v/>
      </c>
      <c r="G807" s="7"/>
      <c r="H807" s="7"/>
    </row>
    <row r="808" customFormat="false" ht="15" hidden="false" customHeight="true" outlineLevel="0" collapsed="false">
      <c r="A808" s="15"/>
      <c r="B808" s="7"/>
      <c r="C808" s="16" t="str">
        <f aca="false">IF(B808="","",IFERROR(INDEX(Products!$B$2:$B$501,MATCH(B808,Products!$A$2:$A$501,0)),"CODE NOT FOUND"))</f>
        <v/>
      </c>
      <c r="D808" s="7"/>
      <c r="E808" s="13"/>
      <c r="F808" s="17" t="str">
        <f aca="false">IF(OR(D808="",E808=""),"",D808*E808)</f>
        <v/>
      </c>
      <c r="G808" s="7"/>
      <c r="H808" s="7"/>
    </row>
    <row r="809" customFormat="false" ht="15" hidden="false" customHeight="true" outlineLevel="0" collapsed="false">
      <c r="A809" s="15"/>
      <c r="B809" s="7"/>
      <c r="C809" s="16" t="str">
        <f aca="false">IF(B809="","",IFERROR(INDEX(Products!$B$2:$B$501,MATCH(B809,Products!$A$2:$A$501,0)),"CODE NOT FOUND"))</f>
        <v/>
      </c>
      <c r="D809" s="7"/>
      <c r="E809" s="13"/>
      <c r="F809" s="17" t="str">
        <f aca="false">IF(OR(D809="",E809=""),"",D809*E809)</f>
        <v/>
      </c>
      <c r="G809" s="7"/>
      <c r="H809" s="7"/>
    </row>
    <row r="810" customFormat="false" ht="15" hidden="false" customHeight="true" outlineLevel="0" collapsed="false">
      <c r="A810" s="15"/>
      <c r="B810" s="7"/>
      <c r="C810" s="16" t="str">
        <f aca="false">IF(B810="","",IFERROR(INDEX(Products!$B$2:$B$501,MATCH(B810,Products!$A$2:$A$501,0)),"CODE NOT FOUND"))</f>
        <v/>
      </c>
      <c r="D810" s="7"/>
      <c r="E810" s="13"/>
      <c r="F810" s="17" t="str">
        <f aca="false">IF(OR(D810="",E810=""),"",D810*E810)</f>
        <v/>
      </c>
      <c r="G810" s="7"/>
      <c r="H810" s="7"/>
    </row>
    <row r="811" customFormat="false" ht="15" hidden="false" customHeight="true" outlineLevel="0" collapsed="false">
      <c r="A811" s="15"/>
      <c r="B811" s="7"/>
      <c r="C811" s="16" t="str">
        <f aca="false">IF(B811="","",IFERROR(INDEX(Products!$B$2:$B$501,MATCH(B811,Products!$A$2:$A$501,0)),"CODE NOT FOUND"))</f>
        <v/>
      </c>
      <c r="D811" s="7"/>
      <c r="E811" s="13"/>
      <c r="F811" s="17" t="str">
        <f aca="false">IF(OR(D811="",E811=""),"",D811*E811)</f>
        <v/>
      </c>
      <c r="G811" s="7"/>
      <c r="H811" s="7"/>
    </row>
    <row r="812" customFormat="false" ht="15" hidden="false" customHeight="true" outlineLevel="0" collapsed="false">
      <c r="A812" s="15"/>
      <c r="B812" s="7"/>
      <c r="C812" s="16" t="str">
        <f aca="false">IF(B812="","",IFERROR(INDEX(Products!$B$2:$B$501,MATCH(B812,Products!$A$2:$A$501,0)),"CODE NOT FOUND"))</f>
        <v/>
      </c>
      <c r="D812" s="7"/>
      <c r="E812" s="13"/>
      <c r="F812" s="17" t="str">
        <f aca="false">IF(OR(D812="",E812=""),"",D812*E812)</f>
        <v/>
      </c>
      <c r="G812" s="7"/>
      <c r="H812" s="7"/>
    </row>
    <row r="813" customFormat="false" ht="15" hidden="false" customHeight="true" outlineLevel="0" collapsed="false">
      <c r="A813" s="15"/>
      <c r="B813" s="7"/>
      <c r="C813" s="16" t="str">
        <f aca="false">IF(B813="","",IFERROR(INDEX(Products!$B$2:$B$501,MATCH(B813,Products!$A$2:$A$501,0)),"CODE NOT FOUND"))</f>
        <v/>
      </c>
      <c r="D813" s="7"/>
      <c r="E813" s="13"/>
      <c r="F813" s="17" t="str">
        <f aca="false">IF(OR(D813="",E813=""),"",D813*E813)</f>
        <v/>
      </c>
      <c r="G813" s="7"/>
      <c r="H813" s="7"/>
    </row>
    <row r="814" customFormat="false" ht="15" hidden="false" customHeight="true" outlineLevel="0" collapsed="false">
      <c r="A814" s="15"/>
      <c r="B814" s="7"/>
      <c r="C814" s="16" t="str">
        <f aca="false">IF(B814="","",IFERROR(INDEX(Products!$B$2:$B$501,MATCH(B814,Products!$A$2:$A$501,0)),"CODE NOT FOUND"))</f>
        <v/>
      </c>
      <c r="D814" s="7"/>
      <c r="E814" s="13"/>
      <c r="F814" s="17" t="str">
        <f aca="false">IF(OR(D814="",E814=""),"",D814*E814)</f>
        <v/>
      </c>
      <c r="G814" s="7"/>
      <c r="H814" s="7"/>
    </row>
    <row r="815" customFormat="false" ht="15" hidden="false" customHeight="true" outlineLevel="0" collapsed="false">
      <c r="A815" s="15"/>
      <c r="B815" s="7"/>
      <c r="C815" s="16" t="str">
        <f aca="false">IF(B815="","",IFERROR(INDEX(Products!$B$2:$B$501,MATCH(B815,Products!$A$2:$A$501,0)),"CODE NOT FOUND"))</f>
        <v/>
      </c>
      <c r="D815" s="7"/>
      <c r="E815" s="13"/>
      <c r="F815" s="17" t="str">
        <f aca="false">IF(OR(D815="",E815=""),"",D815*E815)</f>
        <v/>
      </c>
      <c r="G815" s="7"/>
      <c r="H815" s="7"/>
    </row>
    <row r="816" customFormat="false" ht="15" hidden="false" customHeight="true" outlineLevel="0" collapsed="false">
      <c r="A816" s="15"/>
      <c r="B816" s="7"/>
      <c r="C816" s="16" t="str">
        <f aca="false">IF(B816="","",IFERROR(INDEX(Products!$B$2:$B$501,MATCH(B816,Products!$A$2:$A$501,0)),"CODE NOT FOUND"))</f>
        <v/>
      </c>
      <c r="D816" s="7"/>
      <c r="E816" s="13"/>
      <c r="F816" s="17" t="str">
        <f aca="false">IF(OR(D816="",E816=""),"",D816*E816)</f>
        <v/>
      </c>
      <c r="G816" s="7"/>
      <c r="H816" s="7"/>
    </row>
    <row r="817" customFormat="false" ht="15" hidden="false" customHeight="true" outlineLevel="0" collapsed="false">
      <c r="A817" s="15"/>
      <c r="B817" s="7"/>
      <c r="C817" s="16" t="str">
        <f aca="false">IF(B817="","",IFERROR(INDEX(Products!$B$2:$B$501,MATCH(B817,Products!$A$2:$A$501,0)),"CODE NOT FOUND"))</f>
        <v/>
      </c>
      <c r="D817" s="7"/>
      <c r="E817" s="13"/>
      <c r="F817" s="17" t="str">
        <f aca="false">IF(OR(D817="",E817=""),"",D817*E817)</f>
        <v/>
      </c>
      <c r="G817" s="7"/>
      <c r="H817" s="7"/>
    </row>
    <row r="818" customFormat="false" ht="15" hidden="false" customHeight="true" outlineLevel="0" collapsed="false">
      <c r="A818" s="15"/>
      <c r="B818" s="7"/>
      <c r="C818" s="16" t="str">
        <f aca="false">IF(B818="","",IFERROR(INDEX(Products!$B$2:$B$501,MATCH(B818,Products!$A$2:$A$501,0)),"CODE NOT FOUND"))</f>
        <v/>
      </c>
      <c r="D818" s="7"/>
      <c r="E818" s="13"/>
      <c r="F818" s="17" t="str">
        <f aca="false">IF(OR(D818="",E818=""),"",D818*E818)</f>
        <v/>
      </c>
      <c r="G818" s="7"/>
      <c r="H818" s="7"/>
    </row>
    <row r="819" customFormat="false" ht="15" hidden="false" customHeight="true" outlineLevel="0" collapsed="false">
      <c r="A819" s="15"/>
      <c r="B819" s="7"/>
      <c r="C819" s="16" t="str">
        <f aca="false">IF(B819="","",IFERROR(INDEX(Products!$B$2:$B$501,MATCH(B819,Products!$A$2:$A$501,0)),"CODE NOT FOUND"))</f>
        <v/>
      </c>
      <c r="D819" s="7"/>
      <c r="E819" s="13"/>
      <c r="F819" s="17" t="str">
        <f aca="false">IF(OR(D819="",E819=""),"",D819*E819)</f>
        <v/>
      </c>
      <c r="G819" s="7"/>
      <c r="H819" s="7"/>
    </row>
    <row r="820" customFormat="false" ht="15" hidden="false" customHeight="true" outlineLevel="0" collapsed="false">
      <c r="A820" s="15"/>
      <c r="B820" s="7"/>
      <c r="C820" s="16" t="str">
        <f aca="false">IF(B820="","",IFERROR(INDEX(Products!$B$2:$B$501,MATCH(B820,Products!$A$2:$A$501,0)),"CODE NOT FOUND"))</f>
        <v/>
      </c>
      <c r="D820" s="7"/>
      <c r="E820" s="13"/>
      <c r="F820" s="17" t="str">
        <f aca="false">IF(OR(D820="",E820=""),"",D820*E820)</f>
        <v/>
      </c>
      <c r="G820" s="7"/>
      <c r="H820" s="7"/>
    </row>
    <row r="821" customFormat="false" ht="15" hidden="false" customHeight="true" outlineLevel="0" collapsed="false">
      <c r="A821" s="15"/>
      <c r="B821" s="7"/>
      <c r="C821" s="16" t="str">
        <f aca="false">IF(B821="","",IFERROR(INDEX(Products!$B$2:$B$501,MATCH(B821,Products!$A$2:$A$501,0)),"CODE NOT FOUND"))</f>
        <v/>
      </c>
      <c r="D821" s="7"/>
      <c r="E821" s="13"/>
      <c r="F821" s="17" t="str">
        <f aca="false">IF(OR(D821="",E821=""),"",D821*E821)</f>
        <v/>
      </c>
      <c r="G821" s="7"/>
      <c r="H821" s="7"/>
    </row>
    <row r="822" customFormat="false" ht="15" hidden="false" customHeight="true" outlineLevel="0" collapsed="false">
      <c r="A822" s="15"/>
      <c r="B822" s="7"/>
      <c r="C822" s="16" t="str">
        <f aca="false">IF(B822="","",IFERROR(INDEX(Products!$B$2:$B$501,MATCH(B822,Products!$A$2:$A$501,0)),"CODE NOT FOUND"))</f>
        <v/>
      </c>
      <c r="D822" s="7"/>
      <c r="E822" s="13"/>
      <c r="F822" s="17" t="str">
        <f aca="false">IF(OR(D822="",E822=""),"",D822*E822)</f>
        <v/>
      </c>
      <c r="G822" s="7"/>
      <c r="H822" s="7"/>
    </row>
    <row r="823" customFormat="false" ht="15" hidden="false" customHeight="true" outlineLevel="0" collapsed="false">
      <c r="A823" s="15"/>
      <c r="B823" s="7"/>
      <c r="C823" s="16" t="str">
        <f aca="false">IF(B823="","",IFERROR(INDEX(Products!$B$2:$B$501,MATCH(B823,Products!$A$2:$A$501,0)),"CODE NOT FOUND"))</f>
        <v/>
      </c>
      <c r="D823" s="7"/>
      <c r="E823" s="13"/>
      <c r="F823" s="17" t="str">
        <f aca="false">IF(OR(D823="",E823=""),"",D823*E823)</f>
        <v/>
      </c>
      <c r="G823" s="7"/>
      <c r="H823" s="7"/>
    </row>
    <row r="824" customFormat="false" ht="15" hidden="false" customHeight="true" outlineLevel="0" collapsed="false">
      <c r="A824" s="15"/>
      <c r="B824" s="7"/>
      <c r="C824" s="16" t="str">
        <f aca="false">IF(B824="","",IFERROR(INDEX(Products!$B$2:$B$501,MATCH(B824,Products!$A$2:$A$501,0)),"CODE NOT FOUND"))</f>
        <v/>
      </c>
      <c r="D824" s="7"/>
      <c r="E824" s="13"/>
      <c r="F824" s="17" t="str">
        <f aca="false">IF(OR(D824="",E824=""),"",D824*E824)</f>
        <v/>
      </c>
      <c r="G824" s="7"/>
      <c r="H824" s="7"/>
    </row>
    <row r="825" customFormat="false" ht="15" hidden="false" customHeight="true" outlineLevel="0" collapsed="false">
      <c r="A825" s="15"/>
      <c r="B825" s="7"/>
      <c r="C825" s="16" t="str">
        <f aca="false">IF(B825="","",IFERROR(INDEX(Products!$B$2:$B$501,MATCH(B825,Products!$A$2:$A$501,0)),"CODE NOT FOUND"))</f>
        <v/>
      </c>
      <c r="D825" s="7"/>
      <c r="E825" s="13"/>
      <c r="F825" s="17" t="str">
        <f aca="false">IF(OR(D825="",E825=""),"",D825*E825)</f>
        <v/>
      </c>
      <c r="G825" s="7"/>
      <c r="H825" s="7"/>
    </row>
    <row r="826" customFormat="false" ht="15" hidden="false" customHeight="true" outlineLevel="0" collapsed="false">
      <c r="A826" s="15"/>
      <c r="B826" s="7"/>
      <c r="C826" s="16" t="str">
        <f aca="false">IF(B826="","",IFERROR(INDEX(Products!$B$2:$B$501,MATCH(B826,Products!$A$2:$A$501,0)),"CODE NOT FOUND"))</f>
        <v/>
      </c>
      <c r="D826" s="7"/>
      <c r="E826" s="13"/>
      <c r="F826" s="17" t="str">
        <f aca="false">IF(OR(D826="",E826=""),"",D826*E826)</f>
        <v/>
      </c>
      <c r="G826" s="7"/>
      <c r="H826" s="7"/>
    </row>
    <row r="827" customFormat="false" ht="15" hidden="false" customHeight="true" outlineLevel="0" collapsed="false">
      <c r="A827" s="15"/>
      <c r="B827" s="7"/>
      <c r="C827" s="16" t="str">
        <f aca="false">IF(B827="","",IFERROR(INDEX(Products!$B$2:$B$501,MATCH(B827,Products!$A$2:$A$501,0)),"CODE NOT FOUND"))</f>
        <v/>
      </c>
      <c r="D827" s="7"/>
      <c r="E827" s="13"/>
      <c r="F827" s="17" t="str">
        <f aca="false">IF(OR(D827="",E827=""),"",D827*E827)</f>
        <v/>
      </c>
      <c r="G827" s="7"/>
      <c r="H827" s="7"/>
    </row>
    <row r="828" customFormat="false" ht="15" hidden="false" customHeight="true" outlineLevel="0" collapsed="false">
      <c r="A828" s="15"/>
      <c r="B828" s="7"/>
      <c r="C828" s="16" t="str">
        <f aca="false">IF(B828="","",IFERROR(INDEX(Products!$B$2:$B$501,MATCH(B828,Products!$A$2:$A$501,0)),"CODE NOT FOUND"))</f>
        <v/>
      </c>
      <c r="D828" s="7"/>
      <c r="E828" s="13"/>
      <c r="F828" s="17" t="str">
        <f aca="false">IF(OR(D828="",E828=""),"",D828*E828)</f>
        <v/>
      </c>
      <c r="G828" s="7"/>
      <c r="H828" s="7"/>
    </row>
    <row r="829" customFormat="false" ht="15" hidden="false" customHeight="true" outlineLevel="0" collapsed="false">
      <c r="A829" s="15"/>
      <c r="B829" s="7"/>
      <c r="C829" s="16" t="str">
        <f aca="false">IF(B829="","",IFERROR(INDEX(Products!$B$2:$B$501,MATCH(B829,Products!$A$2:$A$501,0)),"CODE NOT FOUND"))</f>
        <v/>
      </c>
      <c r="D829" s="7"/>
      <c r="E829" s="13"/>
      <c r="F829" s="17" t="str">
        <f aca="false">IF(OR(D829="",E829=""),"",D829*E829)</f>
        <v/>
      </c>
      <c r="G829" s="7"/>
      <c r="H829" s="7"/>
    </row>
    <row r="830" customFormat="false" ht="15" hidden="false" customHeight="true" outlineLevel="0" collapsed="false">
      <c r="A830" s="15"/>
      <c r="B830" s="7"/>
      <c r="C830" s="16" t="str">
        <f aca="false">IF(B830="","",IFERROR(INDEX(Products!$B$2:$B$501,MATCH(B830,Products!$A$2:$A$501,0)),"CODE NOT FOUND"))</f>
        <v/>
      </c>
      <c r="D830" s="7"/>
      <c r="E830" s="13"/>
      <c r="F830" s="17" t="str">
        <f aca="false">IF(OR(D830="",E830=""),"",D830*E830)</f>
        <v/>
      </c>
      <c r="G830" s="7"/>
      <c r="H830" s="7"/>
    </row>
    <row r="831" customFormat="false" ht="15" hidden="false" customHeight="true" outlineLevel="0" collapsed="false">
      <c r="A831" s="15"/>
      <c r="B831" s="7"/>
      <c r="C831" s="16" t="str">
        <f aca="false">IF(B831="","",IFERROR(INDEX(Products!$B$2:$B$501,MATCH(B831,Products!$A$2:$A$501,0)),"CODE NOT FOUND"))</f>
        <v/>
      </c>
      <c r="D831" s="7"/>
      <c r="E831" s="13"/>
      <c r="F831" s="17" t="str">
        <f aca="false">IF(OR(D831="",E831=""),"",D831*E831)</f>
        <v/>
      </c>
      <c r="G831" s="7"/>
      <c r="H831" s="7"/>
    </row>
    <row r="832" customFormat="false" ht="15" hidden="false" customHeight="true" outlineLevel="0" collapsed="false">
      <c r="A832" s="15"/>
      <c r="B832" s="7"/>
      <c r="C832" s="16" t="str">
        <f aca="false">IF(B832="","",IFERROR(INDEX(Products!$B$2:$B$501,MATCH(B832,Products!$A$2:$A$501,0)),"CODE NOT FOUND"))</f>
        <v/>
      </c>
      <c r="D832" s="7"/>
      <c r="E832" s="13"/>
      <c r="F832" s="17" t="str">
        <f aca="false">IF(OR(D832="",E832=""),"",D832*E832)</f>
        <v/>
      </c>
      <c r="G832" s="7"/>
      <c r="H832" s="7"/>
    </row>
    <row r="833" customFormat="false" ht="15" hidden="false" customHeight="true" outlineLevel="0" collapsed="false">
      <c r="A833" s="15"/>
      <c r="B833" s="7"/>
      <c r="C833" s="16" t="str">
        <f aca="false">IF(B833="","",IFERROR(INDEX(Products!$B$2:$B$501,MATCH(B833,Products!$A$2:$A$501,0)),"CODE NOT FOUND"))</f>
        <v/>
      </c>
      <c r="D833" s="7"/>
      <c r="E833" s="13"/>
      <c r="F833" s="17" t="str">
        <f aca="false">IF(OR(D833="",E833=""),"",D833*E833)</f>
        <v/>
      </c>
      <c r="G833" s="7"/>
      <c r="H833" s="7"/>
    </row>
    <row r="834" customFormat="false" ht="15" hidden="false" customHeight="true" outlineLevel="0" collapsed="false">
      <c r="A834" s="15"/>
      <c r="B834" s="7"/>
      <c r="C834" s="16" t="str">
        <f aca="false">IF(B834="","",IFERROR(INDEX(Products!$B$2:$B$501,MATCH(B834,Products!$A$2:$A$501,0)),"CODE NOT FOUND"))</f>
        <v/>
      </c>
      <c r="D834" s="7"/>
      <c r="E834" s="13"/>
      <c r="F834" s="17" t="str">
        <f aca="false">IF(OR(D834="",E834=""),"",D834*E834)</f>
        <v/>
      </c>
      <c r="G834" s="7"/>
      <c r="H834" s="7"/>
    </row>
    <row r="835" customFormat="false" ht="15" hidden="false" customHeight="true" outlineLevel="0" collapsed="false">
      <c r="A835" s="15"/>
      <c r="B835" s="7"/>
      <c r="C835" s="16" t="str">
        <f aca="false">IF(B835="","",IFERROR(INDEX(Products!$B$2:$B$501,MATCH(B835,Products!$A$2:$A$501,0)),"CODE NOT FOUND"))</f>
        <v/>
      </c>
      <c r="D835" s="7"/>
      <c r="E835" s="13"/>
      <c r="F835" s="17" t="str">
        <f aca="false">IF(OR(D835="",E835=""),"",D835*E835)</f>
        <v/>
      </c>
      <c r="G835" s="7"/>
      <c r="H835" s="7"/>
    </row>
    <row r="836" customFormat="false" ht="15" hidden="false" customHeight="true" outlineLevel="0" collapsed="false">
      <c r="A836" s="15"/>
      <c r="B836" s="7"/>
      <c r="C836" s="16" t="str">
        <f aca="false">IF(B836="","",IFERROR(INDEX(Products!$B$2:$B$501,MATCH(B836,Products!$A$2:$A$501,0)),"CODE NOT FOUND"))</f>
        <v/>
      </c>
      <c r="D836" s="7"/>
      <c r="E836" s="13"/>
      <c r="F836" s="17" t="str">
        <f aca="false">IF(OR(D836="",E836=""),"",D836*E836)</f>
        <v/>
      </c>
      <c r="G836" s="7"/>
      <c r="H836" s="7"/>
    </row>
    <row r="837" customFormat="false" ht="15" hidden="false" customHeight="true" outlineLevel="0" collapsed="false">
      <c r="A837" s="15"/>
      <c r="B837" s="7"/>
      <c r="C837" s="16" t="str">
        <f aca="false">IF(B837="","",IFERROR(INDEX(Products!$B$2:$B$501,MATCH(B837,Products!$A$2:$A$501,0)),"CODE NOT FOUND"))</f>
        <v/>
      </c>
      <c r="D837" s="7"/>
      <c r="E837" s="13"/>
      <c r="F837" s="17" t="str">
        <f aca="false">IF(OR(D837="",E837=""),"",D837*E837)</f>
        <v/>
      </c>
      <c r="G837" s="7"/>
      <c r="H837" s="7"/>
    </row>
    <row r="838" customFormat="false" ht="15" hidden="false" customHeight="true" outlineLevel="0" collapsed="false">
      <c r="A838" s="15"/>
      <c r="B838" s="7"/>
      <c r="C838" s="16" t="str">
        <f aca="false">IF(B838="","",IFERROR(INDEX(Products!$B$2:$B$501,MATCH(B838,Products!$A$2:$A$501,0)),"CODE NOT FOUND"))</f>
        <v/>
      </c>
      <c r="D838" s="7"/>
      <c r="E838" s="13"/>
      <c r="F838" s="17" t="str">
        <f aca="false">IF(OR(D838="",E838=""),"",D838*E838)</f>
        <v/>
      </c>
      <c r="G838" s="7"/>
      <c r="H838" s="7"/>
    </row>
    <row r="839" customFormat="false" ht="15" hidden="false" customHeight="true" outlineLevel="0" collapsed="false">
      <c r="A839" s="15"/>
      <c r="B839" s="7"/>
      <c r="C839" s="16" t="str">
        <f aca="false">IF(B839="","",IFERROR(INDEX(Products!$B$2:$B$501,MATCH(B839,Products!$A$2:$A$501,0)),"CODE NOT FOUND"))</f>
        <v/>
      </c>
      <c r="D839" s="7"/>
      <c r="E839" s="13"/>
      <c r="F839" s="17" t="str">
        <f aca="false">IF(OR(D839="",E839=""),"",D839*E839)</f>
        <v/>
      </c>
      <c r="G839" s="7"/>
      <c r="H839" s="7"/>
    </row>
    <row r="840" customFormat="false" ht="15" hidden="false" customHeight="true" outlineLevel="0" collapsed="false">
      <c r="A840" s="15"/>
      <c r="B840" s="7"/>
      <c r="C840" s="16" t="str">
        <f aca="false">IF(B840="","",IFERROR(INDEX(Products!$B$2:$B$501,MATCH(B840,Products!$A$2:$A$501,0)),"CODE NOT FOUND"))</f>
        <v/>
      </c>
      <c r="D840" s="7"/>
      <c r="E840" s="13"/>
      <c r="F840" s="17" t="str">
        <f aca="false">IF(OR(D840="",E840=""),"",D840*E840)</f>
        <v/>
      </c>
      <c r="G840" s="7"/>
      <c r="H840" s="7"/>
    </row>
    <row r="841" customFormat="false" ht="15" hidden="false" customHeight="true" outlineLevel="0" collapsed="false">
      <c r="A841" s="15"/>
      <c r="B841" s="7"/>
      <c r="C841" s="16" t="str">
        <f aca="false">IF(B841="","",IFERROR(INDEX(Products!$B$2:$B$501,MATCH(B841,Products!$A$2:$A$501,0)),"CODE NOT FOUND"))</f>
        <v/>
      </c>
      <c r="D841" s="7"/>
      <c r="E841" s="13"/>
      <c r="F841" s="17" t="str">
        <f aca="false">IF(OR(D841="",E841=""),"",D841*E841)</f>
        <v/>
      </c>
      <c r="G841" s="7"/>
      <c r="H841" s="7"/>
    </row>
    <row r="842" customFormat="false" ht="15" hidden="false" customHeight="true" outlineLevel="0" collapsed="false">
      <c r="A842" s="15"/>
      <c r="B842" s="7"/>
      <c r="C842" s="16" t="str">
        <f aca="false">IF(B842="","",IFERROR(INDEX(Products!$B$2:$B$501,MATCH(B842,Products!$A$2:$A$501,0)),"CODE NOT FOUND"))</f>
        <v/>
      </c>
      <c r="D842" s="7"/>
      <c r="E842" s="13"/>
      <c r="F842" s="17" t="str">
        <f aca="false">IF(OR(D842="",E842=""),"",D842*E842)</f>
        <v/>
      </c>
      <c r="G842" s="7"/>
      <c r="H842" s="7"/>
    </row>
    <row r="843" customFormat="false" ht="15" hidden="false" customHeight="true" outlineLevel="0" collapsed="false">
      <c r="A843" s="15"/>
      <c r="B843" s="7"/>
      <c r="C843" s="16" t="str">
        <f aca="false">IF(B843="","",IFERROR(INDEX(Products!$B$2:$B$501,MATCH(B843,Products!$A$2:$A$501,0)),"CODE NOT FOUND"))</f>
        <v/>
      </c>
      <c r="D843" s="7"/>
      <c r="E843" s="13"/>
      <c r="F843" s="17" t="str">
        <f aca="false">IF(OR(D843="",E843=""),"",D843*E843)</f>
        <v/>
      </c>
      <c r="G843" s="7"/>
      <c r="H843" s="7"/>
    </row>
    <row r="844" customFormat="false" ht="15" hidden="false" customHeight="true" outlineLevel="0" collapsed="false">
      <c r="A844" s="15"/>
      <c r="B844" s="7"/>
      <c r="C844" s="16" t="str">
        <f aca="false">IF(B844="","",IFERROR(INDEX(Products!$B$2:$B$501,MATCH(B844,Products!$A$2:$A$501,0)),"CODE NOT FOUND"))</f>
        <v/>
      </c>
      <c r="D844" s="7"/>
      <c r="E844" s="13"/>
      <c r="F844" s="17" t="str">
        <f aca="false">IF(OR(D844="",E844=""),"",D844*E844)</f>
        <v/>
      </c>
      <c r="G844" s="7"/>
      <c r="H844" s="7"/>
    </row>
    <row r="845" customFormat="false" ht="15" hidden="false" customHeight="true" outlineLevel="0" collapsed="false">
      <c r="A845" s="15"/>
      <c r="B845" s="7"/>
      <c r="C845" s="16" t="str">
        <f aca="false">IF(B845="","",IFERROR(INDEX(Products!$B$2:$B$501,MATCH(B845,Products!$A$2:$A$501,0)),"CODE NOT FOUND"))</f>
        <v/>
      </c>
      <c r="D845" s="7"/>
      <c r="E845" s="13"/>
      <c r="F845" s="17" t="str">
        <f aca="false">IF(OR(D845="",E845=""),"",D845*E845)</f>
        <v/>
      </c>
      <c r="G845" s="7"/>
      <c r="H845" s="7"/>
    </row>
    <row r="846" customFormat="false" ht="15" hidden="false" customHeight="true" outlineLevel="0" collapsed="false">
      <c r="A846" s="15"/>
      <c r="B846" s="7"/>
      <c r="C846" s="16" t="str">
        <f aca="false">IF(B846="","",IFERROR(INDEX(Products!$B$2:$B$501,MATCH(B846,Products!$A$2:$A$501,0)),"CODE NOT FOUND"))</f>
        <v/>
      </c>
      <c r="D846" s="7"/>
      <c r="E846" s="13"/>
      <c r="F846" s="17" t="str">
        <f aca="false">IF(OR(D846="",E846=""),"",D846*E846)</f>
        <v/>
      </c>
      <c r="G846" s="7"/>
      <c r="H846" s="7"/>
    </row>
    <row r="847" customFormat="false" ht="15" hidden="false" customHeight="true" outlineLevel="0" collapsed="false">
      <c r="A847" s="15"/>
      <c r="B847" s="7"/>
      <c r="C847" s="16" t="str">
        <f aca="false">IF(B847="","",IFERROR(INDEX(Products!$B$2:$B$501,MATCH(B847,Products!$A$2:$A$501,0)),"CODE NOT FOUND"))</f>
        <v/>
      </c>
      <c r="D847" s="7"/>
      <c r="E847" s="13"/>
      <c r="F847" s="17" t="str">
        <f aca="false">IF(OR(D847="",E847=""),"",D847*E847)</f>
        <v/>
      </c>
      <c r="G847" s="7"/>
      <c r="H847" s="7"/>
    </row>
    <row r="848" customFormat="false" ht="15" hidden="false" customHeight="true" outlineLevel="0" collapsed="false">
      <c r="A848" s="15"/>
      <c r="B848" s="7"/>
      <c r="C848" s="16" t="str">
        <f aca="false">IF(B848="","",IFERROR(INDEX(Products!$B$2:$B$501,MATCH(B848,Products!$A$2:$A$501,0)),"CODE NOT FOUND"))</f>
        <v/>
      </c>
      <c r="D848" s="7"/>
      <c r="E848" s="13"/>
      <c r="F848" s="17" t="str">
        <f aca="false">IF(OR(D848="",E848=""),"",D848*E848)</f>
        <v/>
      </c>
      <c r="G848" s="7"/>
      <c r="H848" s="7"/>
    </row>
    <row r="849" customFormat="false" ht="15" hidden="false" customHeight="true" outlineLevel="0" collapsed="false">
      <c r="A849" s="15"/>
      <c r="B849" s="7"/>
      <c r="C849" s="16" t="str">
        <f aca="false">IF(B849="","",IFERROR(INDEX(Products!$B$2:$B$501,MATCH(B849,Products!$A$2:$A$501,0)),"CODE NOT FOUND"))</f>
        <v/>
      </c>
      <c r="D849" s="7"/>
      <c r="E849" s="13"/>
      <c r="F849" s="17" t="str">
        <f aca="false">IF(OR(D849="",E849=""),"",D849*E849)</f>
        <v/>
      </c>
      <c r="G849" s="7"/>
      <c r="H849" s="7"/>
    </row>
    <row r="850" customFormat="false" ht="15" hidden="false" customHeight="true" outlineLevel="0" collapsed="false">
      <c r="A850" s="15"/>
      <c r="B850" s="7"/>
      <c r="C850" s="16" t="str">
        <f aca="false">IF(B850="","",IFERROR(INDEX(Products!$B$2:$B$501,MATCH(B850,Products!$A$2:$A$501,0)),"CODE NOT FOUND"))</f>
        <v/>
      </c>
      <c r="D850" s="7"/>
      <c r="E850" s="13"/>
      <c r="F850" s="17" t="str">
        <f aca="false">IF(OR(D850="",E850=""),"",D850*E850)</f>
        <v/>
      </c>
      <c r="G850" s="7"/>
      <c r="H850" s="7"/>
    </row>
    <row r="851" customFormat="false" ht="15" hidden="false" customHeight="true" outlineLevel="0" collapsed="false">
      <c r="A851" s="15"/>
      <c r="B851" s="7"/>
      <c r="C851" s="16" t="str">
        <f aca="false">IF(B851="","",IFERROR(INDEX(Products!$B$2:$B$501,MATCH(B851,Products!$A$2:$A$501,0)),"CODE NOT FOUND"))</f>
        <v/>
      </c>
      <c r="D851" s="7"/>
      <c r="E851" s="13"/>
      <c r="F851" s="17" t="str">
        <f aca="false">IF(OR(D851="",E851=""),"",D851*E851)</f>
        <v/>
      </c>
      <c r="G851" s="7"/>
      <c r="H851" s="7"/>
    </row>
    <row r="852" customFormat="false" ht="15" hidden="false" customHeight="true" outlineLevel="0" collapsed="false">
      <c r="A852" s="15"/>
      <c r="B852" s="7"/>
      <c r="C852" s="16" t="str">
        <f aca="false">IF(B852="","",IFERROR(INDEX(Products!$B$2:$B$501,MATCH(B852,Products!$A$2:$A$501,0)),"CODE NOT FOUND"))</f>
        <v/>
      </c>
      <c r="D852" s="7"/>
      <c r="E852" s="13"/>
      <c r="F852" s="17" t="str">
        <f aca="false">IF(OR(D852="",E852=""),"",D852*E852)</f>
        <v/>
      </c>
      <c r="G852" s="7"/>
      <c r="H852" s="7"/>
    </row>
    <row r="853" customFormat="false" ht="15" hidden="false" customHeight="true" outlineLevel="0" collapsed="false">
      <c r="A853" s="15"/>
      <c r="B853" s="7"/>
      <c r="C853" s="16" t="str">
        <f aca="false">IF(B853="","",IFERROR(INDEX(Products!$B$2:$B$501,MATCH(B853,Products!$A$2:$A$501,0)),"CODE NOT FOUND"))</f>
        <v/>
      </c>
      <c r="D853" s="7"/>
      <c r="E853" s="13"/>
      <c r="F853" s="17" t="str">
        <f aca="false">IF(OR(D853="",E853=""),"",D853*E853)</f>
        <v/>
      </c>
      <c r="G853" s="7"/>
      <c r="H853" s="7"/>
    </row>
    <row r="854" customFormat="false" ht="15" hidden="false" customHeight="true" outlineLevel="0" collapsed="false">
      <c r="A854" s="15"/>
      <c r="B854" s="7"/>
      <c r="C854" s="16" t="str">
        <f aca="false">IF(B854="","",IFERROR(INDEX(Products!$B$2:$B$501,MATCH(B854,Products!$A$2:$A$501,0)),"CODE NOT FOUND"))</f>
        <v/>
      </c>
      <c r="D854" s="7"/>
      <c r="E854" s="13"/>
      <c r="F854" s="17" t="str">
        <f aca="false">IF(OR(D854="",E854=""),"",D854*E854)</f>
        <v/>
      </c>
      <c r="G854" s="7"/>
      <c r="H854" s="7"/>
    </row>
    <row r="855" customFormat="false" ht="15" hidden="false" customHeight="true" outlineLevel="0" collapsed="false">
      <c r="A855" s="15"/>
      <c r="B855" s="7"/>
      <c r="C855" s="16" t="str">
        <f aca="false">IF(B855="","",IFERROR(INDEX(Products!$B$2:$B$501,MATCH(B855,Products!$A$2:$A$501,0)),"CODE NOT FOUND"))</f>
        <v/>
      </c>
      <c r="D855" s="7"/>
      <c r="E855" s="13"/>
      <c r="F855" s="17" t="str">
        <f aca="false">IF(OR(D855="",E855=""),"",D855*E855)</f>
        <v/>
      </c>
      <c r="G855" s="7"/>
      <c r="H855" s="7"/>
    </row>
    <row r="856" customFormat="false" ht="15" hidden="false" customHeight="true" outlineLevel="0" collapsed="false">
      <c r="A856" s="15"/>
      <c r="B856" s="7"/>
      <c r="C856" s="16" t="str">
        <f aca="false">IF(B856="","",IFERROR(INDEX(Products!$B$2:$B$501,MATCH(B856,Products!$A$2:$A$501,0)),"CODE NOT FOUND"))</f>
        <v/>
      </c>
      <c r="D856" s="7"/>
      <c r="E856" s="13"/>
      <c r="F856" s="17" t="str">
        <f aca="false">IF(OR(D856="",E856=""),"",D856*E856)</f>
        <v/>
      </c>
      <c r="G856" s="7"/>
      <c r="H856" s="7"/>
    </row>
    <row r="857" customFormat="false" ht="15" hidden="false" customHeight="true" outlineLevel="0" collapsed="false">
      <c r="A857" s="15"/>
      <c r="B857" s="7"/>
      <c r="C857" s="16" t="str">
        <f aca="false">IF(B857="","",IFERROR(INDEX(Products!$B$2:$B$501,MATCH(B857,Products!$A$2:$A$501,0)),"CODE NOT FOUND"))</f>
        <v/>
      </c>
      <c r="D857" s="7"/>
      <c r="E857" s="13"/>
      <c r="F857" s="17" t="str">
        <f aca="false">IF(OR(D857="",E857=""),"",D857*E857)</f>
        <v/>
      </c>
      <c r="G857" s="7"/>
      <c r="H857" s="7"/>
    </row>
    <row r="858" customFormat="false" ht="15" hidden="false" customHeight="true" outlineLevel="0" collapsed="false">
      <c r="A858" s="15"/>
      <c r="B858" s="7"/>
      <c r="C858" s="16" t="str">
        <f aca="false">IF(B858="","",IFERROR(INDEX(Products!$B$2:$B$501,MATCH(B858,Products!$A$2:$A$501,0)),"CODE NOT FOUND"))</f>
        <v/>
      </c>
      <c r="D858" s="7"/>
      <c r="E858" s="13"/>
      <c r="F858" s="17" t="str">
        <f aca="false">IF(OR(D858="",E858=""),"",D858*E858)</f>
        <v/>
      </c>
      <c r="G858" s="7"/>
      <c r="H858" s="7"/>
    </row>
    <row r="859" customFormat="false" ht="15" hidden="false" customHeight="true" outlineLevel="0" collapsed="false">
      <c r="A859" s="15"/>
      <c r="B859" s="7"/>
      <c r="C859" s="16" t="str">
        <f aca="false">IF(B859="","",IFERROR(INDEX(Products!$B$2:$B$501,MATCH(B859,Products!$A$2:$A$501,0)),"CODE NOT FOUND"))</f>
        <v/>
      </c>
      <c r="D859" s="7"/>
      <c r="E859" s="13"/>
      <c r="F859" s="17" t="str">
        <f aca="false">IF(OR(D859="",E859=""),"",D859*E859)</f>
        <v/>
      </c>
      <c r="G859" s="7"/>
      <c r="H859" s="7"/>
    </row>
    <row r="860" customFormat="false" ht="15" hidden="false" customHeight="true" outlineLevel="0" collapsed="false">
      <c r="A860" s="15"/>
      <c r="B860" s="7"/>
      <c r="C860" s="16" t="str">
        <f aca="false">IF(B860="","",IFERROR(INDEX(Products!$B$2:$B$501,MATCH(B860,Products!$A$2:$A$501,0)),"CODE NOT FOUND"))</f>
        <v/>
      </c>
      <c r="D860" s="7"/>
      <c r="E860" s="13"/>
      <c r="F860" s="17" t="str">
        <f aca="false">IF(OR(D860="",E860=""),"",D860*E860)</f>
        <v/>
      </c>
      <c r="G860" s="7"/>
      <c r="H860" s="7"/>
    </row>
    <row r="861" customFormat="false" ht="15" hidden="false" customHeight="true" outlineLevel="0" collapsed="false">
      <c r="A861" s="15"/>
      <c r="B861" s="7"/>
      <c r="C861" s="16" t="str">
        <f aca="false">IF(B861="","",IFERROR(INDEX(Products!$B$2:$B$501,MATCH(B861,Products!$A$2:$A$501,0)),"CODE NOT FOUND"))</f>
        <v/>
      </c>
      <c r="D861" s="7"/>
      <c r="E861" s="13"/>
      <c r="F861" s="17" t="str">
        <f aca="false">IF(OR(D861="",E861=""),"",D861*E861)</f>
        <v/>
      </c>
      <c r="G861" s="7"/>
      <c r="H861" s="7"/>
    </row>
    <row r="862" customFormat="false" ht="15" hidden="false" customHeight="true" outlineLevel="0" collapsed="false">
      <c r="A862" s="15"/>
      <c r="B862" s="7"/>
      <c r="C862" s="16" t="str">
        <f aca="false">IF(B862="","",IFERROR(INDEX(Products!$B$2:$B$501,MATCH(B862,Products!$A$2:$A$501,0)),"CODE NOT FOUND"))</f>
        <v/>
      </c>
      <c r="D862" s="7"/>
      <c r="E862" s="13"/>
      <c r="F862" s="17" t="str">
        <f aca="false">IF(OR(D862="",E862=""),"",D862*E862)</f>
        <v/>
      </c>
      <c r="G862" s="7"/>
      <c r="H862" s="7"/>
    </row>
    <row r="863" customFormat="false" ht="15" hidden="false" customHeight="true" outlineLevel="0" collapsed="false">
      <c r="A863" s="15"/>
      <c r="B863" s="7"/>
      <c r="C863" s="16" t="str">
        <f aca="false">IF(B863="","",IFERROR(INDEX(Products!$B$2:$B$501,MATCH(B863,Products!$A$2:$A$501,0)),"CODE NOT FOUND"))</f>
        <v/>
      </c>
      <c r="D863" s="7"/>
      <c r="E863" s="13"/>
      <c r="F863" s="17" t="str">
        <f aca="false">IF(OR(D863="",E863=""),"",D863*E863)</f>
        <v/>
      </c>
      <c r="G863" s="7"/>
      <c r="H863" s="7"/>
    </row>
    <row r="864" customFormat="false" ht="15" hidden="false" customHeight="true" outlineLevel="0" collapsed="false">
      <c r="A864" s="15"/>
      <c r="B864" s="7"/>
      <c r="C864" s="16" t="str">
        <f aca="false">IF(B864="","",IFERROR(INDEX(Products!$B$2:$B$501,MATCH(B864,Products!$A$2:$A$501,0)),"CODE NOT FOUND"))</f>
        <v/>
      </c>
      <c r="D864" s="7"/>
      <c r="E864" s="13"/>
      <c r="F864" s="17" t="str">
        <f aca="false">IF(OR(D864="",E864=""),"",D864*E864)</f>
        <v/>
      </c>
      <c r="G864" s="7"/>
      <c r="H864" s="7"/>
    </row>
    <row r="865" customFormat="false" ht="15" hidden="false" customHeight="true" outlineLevel="0" collapsed="false">
      <c r="A865" s="15"/>
      <c r="B865" s="7"/>
      <c r="C865" s="16" t="str">
        <f aca="false">IF(B865="","",IFERROR(INDEX(Products!$B$2:$B$501,MATCH(B865,Products!$A$2:$A$501,0)),"CODE NOT FOUND"))</f>
        <v/>
      </c>
      <c r="D865" s="7"/>
      <c r="E865" s="13"/>
      <c r="F865" s="17" t="str">
        <f aca="false">IF(OR(D865="",E865=""),"",D865*E865)</f>
        <v/>
      </c>
      <c r="G865" s="7"/>
      <c r="H865" s="7"/>
    </row>
    <row r="866" customFormat="false" ht="15" hidden="false" customHeight="true" outlineLevel="0" collapsed="false">
      <c r="A866" s="15"/>
      <c r="B866" s="7"/>
      <c r="C866" s="16" t="str">
        <f aca="false">IF(B866="","",IFERROR(INDEX(Products!$B$2:$B$501,MATCH(B866,Products!$A$2:$A$501,0)),"CODE NOT FOUND"))</f>
        <v/>
      </c>
      <c r="D866" s="7"/>
      <c r="E866" s="13"/>
      <c r="F866" s="17" t="str">
        <f aca="false">IF(OR(D866="",E866=""),"",D866*E866)</f>
        <v/>
      </c>
      <c r="G866" s="7"/>
      <c r="H866" s="7"/>
    </row>
    <row r="867" customFormat="false" ht="15" hidden="false" customHeight="true" outlineLevel="0" collapsed="false">
      <c r="A867" s="15"/>
      <c r="B867" s="7"/>
      <c r="C867" s="16" t="str">
        <f aca="false">IF(B867="","",IFERROR(INDEX(Products!$B$2:$B$501,MATCH(B867,Products!$A$2:$A$501,0)),"CODE NOT FOUND"))</f>
        <v/>
      </c>
      <c r="D867" s="7"/>
      <c r="E867" s="13"/>
      <c r="F867" s="17" t="str">
        <f aca="false">IF(OR(D867="",E867=""),"",D867*E867)</f>
        <v/>
      </c>
      <c r="G867" s="7"/>
      <c r="H867" s="7"/>
    </row>
    <row r="868" customFormat="false" ht="15" hidden="false" customHeight="true" outlineLevel="0" collapsed="false">
      <c r="A868" s="15"/>
      <c r="B868" s="7"/>
      <c r="C868" s="16" t="str">
        <f aca="false">IF(B868="","",IFERROR(INDEX(Products!$B$2:$B$501,MATCH(B868,Products!$A$2:$A$501,0)),"CODE NOT FOUND"))</f>
        <v/>
      </c>
      <c r="D868" s="7"/>
      <c r="E868" s="13"/>
      <c r="F868" s="17" t="str">
        <f aca="false">IF(OR(D868="",E868=""),"",D868*E868)</f>
        <v/>
      </c>
      <c r="G868" s="7"/>
      <c r="H868" s="7"/>
    </row>
    <row r="869" customFormat="false" ht="15" hidden="false" customHeight="true" outlineLevel="0" collapsed="false">
      <c r="A869" s="15"/>
      <c r="B869" s="7"/>
      <c r="C869" s="16" t="str">
        <f aca="false">IF(B869="","",IFERROR(INDEX(Products!$B$2:$B$501,MATCH(B869,Products!$A$2:$A$501,0)),"CODE NOT FOUND"))</f>
        <v/>
      </c>
      <c r="D869" s="7"/>
      <c r="E869" s="13"/>
      <c r="F869" s="17" t="str">
        <f aca="false">IF(OR(D869="",E869=""),"",D869*E869)</f>
        <v/>
      </c>
      <c r="G869" s="7"/>
      <c r="H869" s="7"/>
    </row>
    <row r="870" customFormat="false" ht="15" hidden="false" customHeight="true" outlineLevel="0" collapsed="false">
      <c r="A870" s="15"/>
      <c r="B870" s="7"/>
      <c r="C870" s="16" t="str">
        <f aca="false">IF(B870="","",IFERROR(INDEX(Products!$B$2:$B$501,MATCH(B870,Products!$A$2:$A$501,0)),"CODE NOT FOUND"))</f>
        <v/>
      </c>
      <c r="D870" s="7"/>
      <c r="E870" s="13"/>
      <c r="F870" s="17" t="str">
        <f aca="false">IF(OR(D870="",E870=""),"",D870*E870)</f>
        <v/>
      </c>
      <c r="G870" s="7"/>
      <c r="H870" s="7"/>
    </row>
    <row r="871" customFormat="false" ht="15" hidden="false" customHeight="true" outlineLevel="0" collapsed="false">
      <c r="A871" s="15"/>
      <c r="B871" s="7"/>
      <c r="C871" s="16" t="str">
        <f aca="false">IF(B871="","",IFERROR(INDEX(Products!$B$2:$B$501,MATCH(B871,Products!$A$2:$A$501,0)),"CODE NOT FOUND"))</f>
        <v/>
      </c>
      <c r="D871" s="7"/>
      <c r="E871" s="13"/>
      <c r="F871" s="17" t="str">
        <f aca="false">IF(OR(D871="",E871=""),"",D871*E871)</f>
        <v/>
      </c>
      <c r="G871" s="7"/>
      <c r="H871" s="7"/>
    </row>
    <row r="872" customFormat="false" ht="15" hidden="false" customHeight="true" outlineLevel="0" collapsed="false">
      <c r="A872" s="15"/>
      <c r="B872" s="7"/>
      <c r="C872" s="16" t="str">
        <f aca="false">IF(B872="","",IFERROR(INDEX(Products!$B$2:$B$501,MATCH(B872,Products!$A$2:$A$501,0)),"CODE NOT FOUND"))</f>
        <v/>
      </c>
      <c r="D872" s="7"/>
      <c r="E872" s="13"/>
      <c r="F872" s="17" t="str">
        <f aca="false">IF(OR(D872="",E872=""),"",D872*E872)</f>
        <v/>
      </c>
      <c r="G872" s="7"/>
      <c r="H872" s="7"/>
    </row>
    <row r="873" customFormat="false" ht="15" hidden="false" customHeight="true" outlineLevel="0" collapsed="false">
      <c r="A873" s="15"/>
      <c r="B873" s="7"/>
      <c r="C873" s="16" t="str">
        <f aca="false">IF(B873="","",IFERROR(INDEX(Products!$B$2:$B$501,MATCH(B873,Products!$A$2:$A$501,0)),"CODE NOT FOUND"))</f>
        <v/>
      </c>
      <c r="D873" s="7"/>
      <c r="E873" s="13"/>
      <c r="F873" s="17" t="str">
        <f aca="false">IF(OR(D873="",E873=""),"",D873*E873)</f>
        <v/>
      </c>
      <c r="G873" s="7"/>
      <c r="H873" s="7"/>
    </row>
    <row r="874" customFormat="false" ht="15" hidden="false" customHeight="true" outlineLevel="0" collapsed="false">
      <c r="A874" s="15"/>
      <c r="B874" s="7"/>
      <c r="C874" s="16" t="str">
        <f aca="false">IF(B874="","",IFERROR(INDEX(Products!$B$2:$B$501,MATCH(B874,Products!$A$2:$A$501,0)),"CODE NOT FOUND"))</f>
        <v/>
      </c>
      <c r="D874" s="7"/>
      <c r="E874" s="13"/>
      <c r="F874" s="17" t="str">
        <f aca="false">IF(OR(D874="",E874=""),"",D874*E874)</f>
        <v/>
      </c>
      <c r="G874" s="7"/>
      <c r="H874" s="7"/>
    </row>
    <row r="875" customFormat="false" ht="15" hidden="false" customHeight="true" outlineLevel="0" collapsed="false">
      <c r="A875" s="15"/>
      <c r="B875" s="7"/>
      <c r="C875" s="16" t="str">
        <f aca="false">IF(B875="","",IFERROR(INDEX(Products!$B$2:$B$501,MATCH(B875,Products!$A$2:$A$501,0)),"CODE NOT FOUND"))</f>
        <v/>
      </c>
      <c r="D875" s="7"/>
      <c r="E875" s="13"/>
      <c r="F875" s="17" t="str">
        <f aca="false">IF(OR(D875="",E875=""),"",D875*E875)</f>
        <v/>
      </c>
      <c r="G875" s="7"/>
      <c r="H875" s="7"/>
    </row>
    <row r="876" customFormat="false" ht="15" hidden="false" customHeight="true" outlineLevel="0" collapsed="false">
      <c r="A876" s="15"/>
      <c r="B876" s="7"/>
      <c r="C876" s="16" t="str">
        <f aca="false">IF(B876="","",IFERROR(INDEX(Products!$B$2:$B$501,MATCH(B876,Products!$A$2:$A$501,0)),"CODE NOT FOUND"))</f>
        <v/>
      </c>
      <c r="D876" s="7"/>
      <c r="E876" s="13"/>
      <c r="F876" s="17" t="str">
        <f aca="false">IF(OR(D876="",E876=""),"",D876*E876)</f>
        <v/>
      </c>
      <c r="G876" s="7"/>
      <c r="H876" s="7"/>
    </row>
    <row r="877" customFormat="false" ht="15" hidden="false" customHeight="true" outlineLevel="0" collapsed="false">
      <c r="A877" s="15"/>
      <c r="B877" s="7"/>
      <c r="C877" s="16" t="str">
        <f aca="false">IF(B877="","",IFERROR(INDEX(Products!$B$2:$B$501,MATCH(B877,Products!$A$2:$A$501,0)),"CODE NOT FOUND"))</f>
        <v/>
      </c>
      <c r="D877" s="7"/>
      <c r="E877" s="13"/>
      <c r="F877" s="17" t="str">
        <f aca="false">IF(OR(D877="",E877=""),"",D877*E877)</f>
        <v/>
      </c>
      <c r="G877" s="7"/>
      <c r="H877" s="7"/>
    </row>
    <row r="878" customFormat="false" ht="15" hidden="false" customHeight="true" outlineLevel="0" collapsed="false">
      <c r="A878" s="15"/>
      <c r="B878" s="7"/>
      <c r="C878" s="16" t="str">
        <f aca="false">IF(B878="","",IFERROR(INDEX(Products!$B$2:$B$501,MATCH(B878,Products!$A$2:$A$501,0)),"CODE NOT FOUND"))</f>
        <v/>
      </c>
      <c r="D878" s="7"/>
      <c r="E878" s="13"/>
      <c r="F878" s="17" t="str">
        <f aca="false">IF(OR(D878="",E878=""),"",D878*E878)</f>
        <v/>
      </c>
      <c r="G878" s="7"/>
      <c r="H878" s="7"/>
    </row>
    <row r="879" customFormat="false" ht="15" hidden="false" customHeight="true" outlineLevel="0" collapsed="false">
      <c r="A879" s="15"/>
      <c r="B879" s="7"/>
      <c r="C879" s="16" t="str">
        <f aca="false">IF(B879="","",IFERROR(INDEX(Products!$B$2:$B$501,MATCH(B879,Products!$A$2:$A$501,0)),"CODE NOT FOUND"))</f>
        <v/>
      </c>
      <c r="D879" s="7"/>
      <c r="E879" s="13"/>
      <c r="F879" s="17" t="str">
        <f aca="false">IF(OR(D879="",E879=""),"",D879*E879)</f>
        <v/>
      </c>
      <c r="G879" s="7"/>
      <c r="H879" s="7"/>
    </row>
    <row r="880" customFormat="false" ht="15" hidden="false" customHeight="true" outlineLevel="0" collapsed="false">
      <c r="A880" s="15"/>
      <c r="B880" s="7"/>
      <c r="C880" s="16" t="str">
        <f aca="false">IF(B880="","",IFERROR(INDEX(Products!$B$2:$B$501,MATCH(B880,Products!$A$2:$A$501,0)),"CODE NOT FOUND"))</f>
        <v/>
      </c>
      <c r="D880" s="7"/>
      <c r="E880" s="13"/>
      <c r="F880" s="17" t="str">
        <f aca="false">IF(OR(D880="",E880=""),"",D880*E880)</f>
        <v/>
      </c>
      <c r="G880" s="7"/>
      <c r="H880" s="7"/>
    </row>
    <row r="881" customFormat="false" ht="15" hidden="false" customHeight="true" outlineLevel="0" collapsed="false">
      <c r="A881" s="15"/>
      <c r="B881" s="7"/>
      <c r="C881" s="16" t="str">
        <f aca="false">IF(B881="","",IFERROR(INDEX(Products!$B$2:$B$501,MATCH(B881,Products!$A$2:$A$501,0)),"CODE NOT FOUND"))</f>
        <v/>
      </c>
      <c r="D881" s="7"/>
      <c r="E881" s="13"/>
      <c r="F881" s="17" t="str">
        <f aca="false">IF(OR(D881="",E881=""),"",D881*E881)</f>
        <v/>
      </c>
      <c r="G881" s="7"/>
      <c r="H881" s="7"/>
    </row>
    <row r="882" customFormat="false" ht="15" hidden="false" customHeight="true" outlineLevel="0" collapsed="false">
      <c r="A882" s="15"/>
      <c r="B882" s="7"/>
      <c r="C882" s="16" t="str">
        <f aca="false">IF(B882="","",IFERROR(INDEX(Products!$B$2:$B$501,MATCH(B882,Products!$A$2:$A$501,0)),"CODE NOT FOUND"))</f>
        <v/>
      </c>
      <c r="D882" s="7"/>
      <c r="E882" s="13"/>
      <c r="F882" s="17" t="str">
        <f aca="false">IF(OR(D882="",E882=""),"",D882*E882)</f>
        <v/>
      </c>
      <c r="G882" s="7"/>
      <c r="H882" s="7"/>
    </row>
    <row r="883" customFormat="false" ht="15" hidden="false" customHeight="true" outlineLevel="0" collapsed="false">
      <c r="A883" s="15"/>
      <c r="B883" s="7"/>
      <c r="C883" s="16" t="str">
        <f aca="false">IF(B883="","",IFERROR(INDEX(Products!$B$2:$B$501,MATCH(B883,Products!$A$2:$A$501,0)),"CODE NOT FOUND"))</f>
        <v/>
      </c>
      <c r="D883" s="7"/>
      <c r="E883" s="13"/>
      <c r="F883" s="17" t="str">
        <f aca="false">IF(OR(D883="",E883=""),"",D883*E883)</f>
        <v/>
      </c>
      <c r="G883" s="7"/>
      <c r="H883" s="7"/>
    </row>
    <row r="884" customFormat="false" ht="15" hidden="false" customHeight="true" outlineLevel="0" collapsed="false">
      <c r="A884" s="15"/>
      <c r="B884" s="7"/>
      <c r="C884" s="16" t="str">
        <f aca="false">IF(B884="","",IFERROR(INDEX(Products!$B$2:$B$501,MATCH(B884,Products!$A$2:$A$501,0)),"CODE NOT FOUND"))</f>
        <v/>
      </c>
      <c r="D884" s="7"/>
      <c r="E884" s="13"/>
      <c r="F884" s="17" t="str">
        <f aca="false">IF(OR(D884="",E884=""),"",D884*E884)</f>
        <v/>
      </c>
      <c r="G884" s="7"/>
      <c r="H884" s="7"/>
    </row>
    <row r="885" customFormat="false" ht="15" hidden="false" customHeight="true" outlineLevel="0" collapsed="false">
      <c r="A885" s="15"/>
      <c r="B885" s="7"/>
      <c r="C885" s="16" t="str">
        <f aca="false">IF(B885="","",IFERROR(INDEX(Products!$B$2:$B$501,MATCH(B885,Products!$A$2:$A$501,0)),"CODE NOT FOUND"))</f>
        <v/>
      </c>
      <c r="D885" s="7"/>
      <c r="E885" s="13"/>
      <c r="F885" s="17" t="str">
        <f aca="false">IF(OR(D885="",E885=""),"",D885*E885)</f>
        <v/>
      </c>
      <c r="G885" s="7"/>
      <c r="H885" s="7"/>
    </row>
    <row r="886" customFormat="false" ht="15" hidden="false" customHeight="true" outlineLevel="0" collapsed="false">
      <c r="A886" s="15"/>
      <c r="B886" s="7"/>
      <c r="C886" s="16" t="str">
        <f aca="false">IF(B886="","",IFERROR(INDEX(Products!$B$2:$B$501,MATCH(B886,Products!$A$2:$A$501,0)),"CODE NOT FOUND"))</f>
        <v/>
      </c>
      <c r="D886" s="7"/>
      <c r="E886" s="13"/>
      <c r="F886" s="17" t="str">
        <f aca="false">IF(OR(D886="",E886=""),"",D886*E886)</f>
        <v/>
      </c>
      <c r="G886" s="7"/>
      <c r="H886" s="7"/>
    </row>
    <row r="887" customFormat="false" ht="15" hidden="false" customHeight="true" outlineLevel="0" collapsed="false">
      <c r="A887" s="15"/>
      <c r="B887" s="7"/>
      <c r="C887" s="16" t="str">
        <f aca="false">IF(B887="","",IFERROR(INDEX(Products!$B$2:$B$501,MATCH(B887,Products!$A$2:$A$501,0)),"CODE NOT FOUND"))</f>
        <v/>
      </c>
      <c r="D887" s="7"/>
      <c r="E887" s="13"/>
      <c r="F887" s="17" t="str">
        <f aca="false">IF(OR(D887="",E887=""),"",D887*E887)</f>
        <v/>
      </c>
      <c r="G887" s="7"/>
      <c r="H887" s="7"/>
    </row>
    <row r="888" customFormat="false" ht="15" hidden="false" customHeight="true" outlineLevel="0" collapsed="false">
      <c r="A888" s="15"/>
      <c r="B888" s="7"/>
      <c r="C888" s="16" t="str">
        <f aca="false">IF(B888="","",IFERROR(INDEX(Products!$B$2:$B$501,MATCH(B888,Products!$A$2:$A$501,0)),"CODE NOT FOUND"))</f>
        <v/>
      </c>
      <c r="D888" s="7"/>
      <c r="E888" s="13"/>
      <c r="F888" s="17" t="str">
        <f aca="false">IF(OR(D888="",E888=""),"",D888*E888)</f>
        <v/>
      </c>
      <c r="G888" s="7"/>
      <c r="H888" s="7"/>
    </row>
    <row r="889" customFormat="false" ht="15" hidden="false" customHeight="true" outlineLevel="0" collapsed="false">
      <c r="A889" s="15"/>
      <c r="B889" s="7"/>
      <c r="C889" s="16" t="str">
        <f aca="false">IF(B889="","",IFERROR(INDEX(Products!$B$2:$B$501,MATCH(B889,Products!$A$2:$A$501,0)),"CODE NOT FOUND"))</f>
        <v/>
      </c>
      <c r="D889" s="7"/>
      <c r="E889" s="13"/>
      <c r="F889" s="17" t="str">
        <f aca="false">IF(OR(D889="",E889=""),"",D889*E889)</f>
        <v/>
      </c>
      <c r="G889" s="7"/>
      <c r="H889" s="7"/>
    </row>
    <row r="890" customFormat="false" ht="15" hidden="false" customHeight="true" outlineLevel="0" collapsed="false">
      <c r="A890" s="15"/>
      <c r="B890" s="7"/>
      <c r="C890" s="16" t="str">
        <f aca="false">IF(B890="","",IFERROR(INDEX(Products!$B$2:$B$501,MATCH(B890,Products!$A$2:$A$501,0)),"CODE NOT FOUND"))</f>
        <v/>
      </c>
      <c r="D890" s="7"/>
      <c r="E890" s="13"/>
      <c r="F890" s="17" t="str">
        <f aca="false">IF(OR(D890="",E890=""),"",D890*E890)</f>
        <v/>
      </c>
      <c r="G890" s="7"/>
      <c r="H890" s="7"/>
    </row>
    <row r="891" customFormat="false" ht="15" hidden="false" customHeight="true" outlineLevel="0" collapsed="false">
      <c r="A891" s="15"/>
      <c r="B891" s="7"/>
      <c r="C891" s="16" t="str">
        <f aca="false">IF(B891="","",IFERROR(INDEX(Products!$B$2:$B$501,MATCH(B891,Products!$A$2:$A$501,0)),"CODE NOT FOUND"))</f>
        <v/>
      </c>
      <c r="D891" s="7"/>
      <c r="E891" s="13"/>
      <c r="F891" s="17" t="str">
        <f aca="false">IF(OR(D891="",E891=""),"",D891*E891)</f>
        <v/>
      </c>
      <c r="G891" s="7"/>
      <c r="H891" s="7"/>
    </row>
    <row r="892" customFormat="false" ht="15" hidden="false" customHeight="true" outlineLevel="0" collapsed="false">
      <c r="A892" s="15"/>
      <c r="B892" s="7"/>
      <c r="C892" s="16" t="str">
        <f aca="false">IF(B892="","",IFERROR(INDEX(Products!$B$2:$B$501,MATCH(B892,Products!$A$2:$A$501,0)),"CODE NOT FOUND"))</f>
        <v/>
      </c>
      <c r="D892" s="7"/>
      <c r="E892" s="13"/>
      <c r="F892" s="17" t="str">
        <f aca="false">IF(OR(D892="",E892=""),"",D892*E892)</f>
        <v/>
      </c>
      <c r="G892" s="7"/>
      <c r="H892" s="7"/>
    </row>
    <row r="893" customFormat="false" ht="15" hidden="false" customHeight="true" outlineLevel="0" collapsed="false">
      <c r="A893" s="15"/>
      <c r="B893" s="7"/>
      <c r="C893" s="16" t="str">
        <f aca="false">IF(B893="","",IFERROR(INDEX(Products!$B$2:$B$501,MATCH(B893,Products!$A$2:$A$501,0)),"CODE NOT FOUND"))</f>
        <v/>
      </c>
      <c r="D893" s="7"/>
      <c r="E893" s="13"/>
      <c r="F893" s="17" t="str">
        <f aca="false">IF(OR(D893="",E893=""),"",D893*E893)</f>
        <v/>
      </c>
      <c r="G893" s="7"/>
      <c r="H893" s="7"/>
    </row>
    <row r="894" customFormat="false" ht="15" hidden="false" customHeight="true" outlineLevel="0" collapsed="false">
      <c r="A894" s="15"/>
      <c r="B894" s="7"/>
      <c r="C894" s="16" t="str">
        <f aca="false">IF(B894="","",IFERROR(INDEX(Products!$B$2:$B$501,MATCH(B894,Products!$A$2:$A$501,0)),"CODE NOT FOUND"))</f>
        <v/>
      </c>
      <c r="D894" s="7"/>
      <c r="E894" s="13"/>
      <c r="F894" s="17" t="str">
        <f aca="false">IF(OR(D894="",E894=""),"",D894*E894)</f>
        <v/>
      </c>
      <c r="G894" s="7"/>
      <c r="H894" s="7"/>
    </row>
    <row r="895" customFormat="false" ht="15" hidden="false" customHeight="true" outlineLevel="0" collapsed="false">
      <c r="A895" s="15"/>
      <c r="B895" s="7"/>
      <c r="C895" s="16" t="str">
        <f aca="false">IF(B895="","",IFERROR(INDEX(Products!$B$2:$B$501,MATCH(B895,Products!$A$2:$A$501,0)),"CODE NOT FOUND"))</f>
        <v/>
      </c>
      <c r="D895" s="7"/>
      <c r="E895" s="13"/>
      <c r="F895" s="17" t="str">
        <f aca="false">IF(OR(D895="",E895=""),"",D895*E895)</f>
        <v/>
      </c>
      <c r="G895" s="7"/>
      <c r="H895" s="7"/>
    </row>
    <row r="896" customFormat="false" ht="15" hidden="false" customHeight="true" outlineLevel="0" collapsed="false">
      <c r="A896" s="15"/>
      <c r="B896" s="7"/>
      <c r="C896" s="16" t="str">
        <f aca="false">IF(B896="","",IFERROR(INDEX(Products!$B$2:$B$501,MATCH(B896,Products!$A$2:$A$501,0)),"CODE NOT FOUND"))</f>
        <v/>
      </c>
      <c r="D896" s="7"/>
      <c r="E896" s="13"/>
      <c r="F896" s="17" t="str">
        <f aca="false">IF(OR(D896="",E896=""),"",D896*E896)</f>
        <v/>
      </c>
      <c r="G896" s="7"/>
      <c r="H896" s="7"/>
    </row>
    <row r="897" customFormat="false" ht="15" hidden="false" customHeight="true" outlineLevel="0" collapsed="false">
      <c r="A897" s="15"/>
      <c r="B897" s="7"/>
      <c r="C897" s="16" t="str">
        <f aca="false">IF(B897="","",IFERROR(INDEX(Products!$B$2:$B$501,MATCH(B897,Products!$A$2:$A$501,0)),"CODE NOT FOUND"))</f>
        <v/>
      </c>
      <c r="D897" s="7"/>
      <c r="E897" s="13"/>
      <c r="F897" s="17" t="str">
        <f aca="false">IF(OR(D897="",E897=""),"",D897*E897)</f>
        <v/>
      </c>
      <c r="G897" s="7"/>
      <c r="H897" s="7"/>
    </row>
    <row r="898" customFormat="false" ht="15" hidden="false" customHeight="true" outlineLevel="0" collapsed="false">
      <c r="A898" s="15"/>
      <c r="B898" s="7"/>
      <c r="C898" s="16" t="str">
        <f aca="false">IF(B898="","",IFERROR(INDEX(Products!$B$2:$B$501,MATCH(B898,Products!$A$2:$A$501,0)),"CODE NOT FOUND"))</f>
        <v/>
      </c>
      <c r="D898" s="7"/>
      <c r="E898" s="13"/>
      <c r="F898" s="17" t="str">
        <f aca="false">IF(OR(D898="",E898=""),"",D898*E898)</f>
        <v/>
      </c>
      <c r="G898" s="7"/>
      <c r="H898" s="7"/>
    </row>
    <row r="899" customFormat="false" ht="15" hidden="false" customHeight="true" outlineLevel="0" collapsed="false">
      <c r="A899" s="15"/>
      <c r="B899" s="7"/>
      <c r="C899" s="16" t="str">
        <f aca="false">IF(B899="","",IFERROR(INDEX(Products!$B$2:$B$501,MATCH(B899,Products!$A$2:$A$501,0)),"CODE NOT FOUND"))</f>
        <v/>
      </c>
      <c r="D899" s="7"/>
      <c r="E899" s="13"/>
      <c r="F899" s="17" t="str">
        <f aca="false">IF(OR(D899="",E899=""),"",D899*E899)</f>
        <v/>
      </c>
      <c r="G899" s="7"/>
      <c r="H899" s="7"/>
    </row>
    <row r="900" customFormat="false" ht="15" hidden="false" customHeight="true" outlineLevel="0" collapsed="false">
      <c r="A900" s="15"/>
      <c r="B900" s="7"/>
      <c r="C900" s="16" t="str">
        <f aca="false">IF(B900="","",IFERROR(INDEX(Products!$B$2:$B$501,MATCH(B900,Products!$A$2:$A$501,0)),"CODE NOT FOUND"))</f>
        <v/>
      </c>
      <c r="D900" s="7"/>
      <c r="E900" s="13"/>
      <c r="F900" s="17" t="str">
        <f aca="false">IF(OR(D900="",E900=""),"",D900*E900)</f>
        <v/>
      </c>
      <c r="G900" s="7"/>
      <c r="H900" s="7"/>
    </row>
    <row r="901" customFormat="false" ht="15" hidden="false" customHeight="true" outlineLevel="0" collapsed="false">
      <c r="A901" s="15"/>
      <c r="B901" s="7"/>
      <c r="C901" s="16" t="str">
        <f aca="false">IF(B901="","",IFERROR(INDEX(Products!$B$2:$B$501,MATCH(B901,Products!$A$2:$A$501,0)),"CODE NOT FOUND"))</f>
        <v/>
      </c>
      <c r="D901" s="7"/>
      <c r="E901" s="13"/>
      <c r="F901" s="17" t="str">
        <f aca="false">IF(OR(D901="",E901=""),"",D901*E901)</f>
        <v/>
      </c>
      <c r="G901" s="7"/>
      <c r="H901" s="7"/>
    </row>
    <row r="902" customFormat="false" ht="15" hidden="false" customHeight="true" outlineLevel="0" collapsed="false">
      <c r="A902" s="15"/>
      <c r="B902" s="7"/>
      <c r="C902" s="16" t="str">
        <f aca="false">IF(B902="","",IFERROR(INDEX(Products!$B$2:$B$501,MATCH(B902,Products!$A$2:$A$501,0)),"CODE NOT FOUND"))</f>
        <v/>
      </c>
      <c r="D902" s="7"/>
      <c r="E902" s="13"/>
      <c r="F902" s="17" t="str">
        <f aca="false">IF(OR(D902="",E902=""),"",D902*E902)</f>
        <v/>
      </c>
      <c r="G902" s="7"/>
      <c r="H902" s="7"/>
    </row>
    <row r="903" customFormat="false" ht="15" hidden="false" customHeight="true" outlineLevel="0" collapsed="false">
      <c r="A903" s="15"/>
      <c r="B903" s="7"/>
      <c r="C903" s="16" t="str">
        <f aca="false">IF(B903="","",IFERROR(INDEX(Products!$B$2:$B$501,MATCH(B903,Products!$A$2:$A$501,0)),"CODE NOT FOUND"))</f>
        <v/>
      </c>
      <c r="D903" s="7"/>
      <c r="E903" s="13"/>
      <c r="F903" s="17" t="str">
        <f aca="false">IF(OR(D903="",E903=""),"",D903*E903)</f>
        <v/>
      </c>
      <c r="G903" s="7"/>
      <c r="H903" s="7"/>
    </row>
    <row r="904" customFormat="false" ht="15" hidden="false" customHeight="true" outlineLevel="0" collapsed="false">
      <c r="A904" s="15"/>
      <c r="B904" s="7"/>
      <c r="C904" s="16" t="str">
        <f aca="false">IF(B904="","",IFERROR(INDEX(Products!$B$2:$B$501,MATCH(B904,Products!$A$2:$A$501,0)),"CODE NOT FOUND"))</f>
        <v/>
      </c>
      <c r="D904" s="7"/>
      <c r="E904" s="13"/>
      <c r="F904" s="17" t="str">
        <f aca="false">IF(OR(D904="",E904=""),"",D904*E904)</f>
        <v/>
      </c>
      <c r="G904" s="7"/>
      <c r="H904" s="7"/>
    </row>
    <row r="905" customFormat="false" ht="15" hidden="false" customHeight="true" outlineLevel="0" collapsed="false">
      <c r="A905" s="15"/>
      <c r="B905" s="7"/>
      <c r="C905" s="16" t="str">
        <f aca="false">IF(B905="","",IFERROR(INDEX(Products!$B$2:$B$501,MATCH(B905,Products!$A$2:$A$501,0)),"CODE NOT FOUND"))</f>
        <v/>
      </c>
      <c r="D905" s="7"/>
      <c r="E905" s="13"/>
      <c r="F905" s="17" t="str">
        <f aca="false">IF(OR(D905="",E905=""),"",D905*E905)</f>
        <v/>
      </c>
      <c r="G905" s="7"/>
      <c r="H905" s="7"/>
    </row>
    <row r="906" customFormat="false" ht="15" hidden="false" customHeight="true" outlineLevel="0" collapsed="false">
      <c r="A906" s="15"/>
      <c r="B906" s="7"/>
      <c r="C906" s="16" t="str">
        <f aca="false">IF(B906="","",IFERROR(INDEX(Products!$B$2:$B$501,MATCH(B906,Products!$A$2:$A$501,0)),"CODE NOT FOUND"))</f>
        <v/>
      </c>
      <c r="D906" s="7"/>
      <c r="E906" s="13"/>
      <c r="F906" s="17" t="str">
        <f aca="false">IF(OR(D906="",E906=""),"",D906*E906)</f>
        <v/>
      </c>
      <c r="G906" s="7"/>
      <c r="H906" s="7"/>
    </row>
    <row r="907" customFormat="false" ht="15" hidden="false" customHeight="true" outlineLevel="0" collapsed="false">
      <c r="A907" s="15"/>
      <c r="B907" s="7"/>
      <c r="C907" s="16" t="str">
        <f aca="false">IF(B907="","",IFERROR(INDEX(Products!$B$2:$B$501,MATCH(B907,Products!$A$2:$A$501,0)),"CODE NOT FOUND"))</f>
        <v/>
      </c>
      <c r="D907" s="7"/>
      <c r="E907" s="13"/>
      <c r="F907" s="17" t="str">
        <f aca="false">IF(OR(D907="",E907=""),"",D907*E907)</f>
        <v/>
      </c>
      <c r="G907" s="7"/>
      <c r="H907" s="7"/>
    </row>
    <row r="908" customFormat="false" ht="15" hidden="false" customHeight="true" outlineLevel="0" collapsed="false">
      <c r="A908" s="15"/>
      <c r="B908" s="7"/>
      <c r="C908" s="16" t="str">
        <f aca="false">IF(B908="","",IFERROR(INDEX(Products!$B$2:$B$501,MATCH(B908,Products!$A$2:$A$501,0)),"CODE NOT FOUND"))</f>
        <v/>
      </c>
      <c r="D908" s="7"/>
      <c r="E908" s="13"/>
      <c r="F908" s="17" t="str">
        <f aca="false">IF(OR(D908="",E908=""),"",D908*E908)</f>
        <v/>
      </c>
      <c r="G908" s="7"/>
      <c r="H908" s="7"/>
    </row>
    <row r="909" customFormat="false" ht="15" hidden="false" customHeight="true" outlineLevel="0" collapsed="false">
      <c r="A909" s="15"/>
      <c r="B909" s="7"/>
      <c r="C909" s="16" t="str">
        <f aca="false">IF(B909="","",IFERROR(INDEX(Products!$B$2:$B$501,MATCH(B909,Products!$A$2:$A$501,0)),"CODE NOT FOUND"))</f>
        <v/>
      </c>
      <c r="D909" s="7"/>
      <c r="E909" s="13"/>
      <c r="F909" s="17" t="str">
        <f aca="false">IF(OR(D909="",E909=""),"",D909*E909)</f>
        <v/>
      </c>
      <c r="G909" s="7"/>
      <c r="H909" s="7"/>
    </row>
    <row r="910" customFormat="false" ht="15" hidden="false" customHeight="true" outlineLevel="0" collapsed="false">
      <c r="A910" s="15"/>
      <c r="B910" s="7"/>
      <c r="C910" s="16" t="str">
        <f aca="false">IF(B910="","",IFERROR(INDEX(Products!$B$2:$B$501,MATCH(B910,Products!$A$2:$A$501,0)),"CODE NOT FOUND"))</f>
        <v/>
      </c>
      <c r="D910" s="7"/>
      <c r="E910" s="13"/>
      <c r="F910" s="17" t="str">
        <f aca="false">IF(OR(D910="",E910=""),"",D910*E910)</f>
        <v/>
      </c>
      <c r="G910" s="7"/>
      <c r="H910" s="7"/>
    </row>
    <row r="911" customFormat="false" ht="15" hidden="false" customHeight="true" outlineLevel="0" collapsed="false">
      <c r="A911" s="15"/>
      <c r="B911" s="7"/>
      <c r="C911" s="16" t="str">
        <f aca="false">IF(B911="","",IFERROR(INDEX(Products!$B$2:$B$501,MATCH(B911,Products!$A$2:$A$501,0)),"CODE NOT FOUND"))</f>
        <v/>
      </c>
      <c r="D911" s="7"/>
      <c r="E911" s="13"/>
      <c r="F911" s="17" t="str">
        <f aca="false">IF(OR(D911="",E911=""),"",D911*E911)</f>
        <v/>
      </c>
      <c r="G911" s="7"/>
      <c r="H911" s="7"/>
    </row>
    <row r="912" customFormat="false" ht="15" hidden="false" customHeight="true" outlineLevel="0" collapsed="false">
      <c r="A912" s="15"/>
      <c r="B912" s="7"/>
      <c r="C912" s="16" t="str">
        <f aca="false">IF(B912="","",IFERROR(INDEX(Products!$B$2:$B$501,MATCH(B912,Products!$A$2:$A$501,0)),"CODE NOT FOUND"))</f>
        <v/>
      </c>
      <c r="D912" s="7"/>
      <c r="E912" s="13"/>
      <c r="F912" s="17" t="str">
        <f aca="false">IF(OR(D912="",E912=""),"",D912*E912)</f>
        <v/>
      </c>
      <c r="G912" s="7"/>
      <c r="H912" s="7"/>
    </row>
    <row r="913" customFormat="false" ht="15" hidden="false" customHeight="true" outlineLevel="0" collapsed="false">
      <c r="A913" s="15"/>
      <c r="B913" s="7"/>
      <c r="C913" s="16" t="str">
        <f aca="false">IF(B913="","",IFERROR(INDEX(Products!$B$2:$B$501,MATCH(B913,Products!$A$2:$A$501,0)),"CODE NOT FOUND"))</f>
        <v/>
      </c>
      <c r="D913" s="7"/>
      <c r="E913" s="13"/>
      <c r="F913" s="17" t="str">
        <f aca="false">IF(OR(D913="",E913=""),"",D913*E913)</f>
        <v/>
      </c>
      <c r="G913" s="7"/>
      <c r="H913" s="7"/>
    </row>
    <row r="914" customFormat="false" ht="15" hidden="false" customHeight="true" outlineLevel="0" collapsed="false">
      <c r="A914" s="15"/>
      <c r="B914" s="7"/>
      <c r="C914" s="16" t="str">
        <f aca="false">IF(B914="","",IFERROR(INDEX(Products!$B$2:$B$501,MATCH(B914,Products!$A$2:$A$501,0)),"CODE NOT FOUND"))</f>
        <v/>
      </c>
      <c r="D914" s="7"/>
      <c r="E914" s="13"/>
      <c r="F914" s="17" t="str">
        <f aca="false">IF(OR(D914="",E914=""),"",D914*E914)</f>
        <v/>
      </c>
      <c r="G914" s="7"/>
      <c r="H914" s="7"/>
    </row>
    <row r="915" customFormat="false" ht="15" hidden="false" customHeight="true" outlineLevel="0" collapsed="false">
      <c r="A915" s="15"/>
      <c r="B915" s="7"/>
      <c r="C915" s="16" t="str">
        <f aca="false">IF(B915="","",IFERROR(INDEX(Products!$B$2:$B$501,MATCH(B915,Products!$A$2:$A$501,0)),"CODE NOT FOUND"))</f>
        <v/>
      </c>
      <c r="D915" s="7"/>
      <c r="E915" s="13"/>
      <c r="F915" s="17" t="str">
        <f aca="false">IF(OR(D915="",E915=""),"",D915*E915)</f>
        <v/>
      </c>
      <c r="G915" s="7"/>
      <c r="H915" s="7"/>
    </row>
    <row r="916" customFormat="false" ht="15" hidden="false" customHeight="true" outlineLevel="0" collapsed="false">
      <c r="A916" s="15"/>
      <c r="B916" s="7"/>
      <c r="C916" s="16" t="str">
        <f aca="false">IF(B916="","",IFERROR(INDEX(Products!$B$2:$B$501,MATCH(B916,Products!$A$2:$A$501,0)),"CODE NOT FOUND"))</f>
        <v/>
      </c>
      <c r="D916" s="7"/>
      <c r="E916" s="13"/>
      <c r="F916" s="17" t="str">
        <f aca="false">IF(OR(D916="",E916=""),"",D916*E916)</f>
        <v/>
      </c>
      <c r="G916" s="7"/>
      <c r="H916" s="7"/>
    </row>
    <row r="917" customFormat="false" ht="15" hidden="false" customHeight="true" outlineLevel="0" collapsed="false">
      <c r="A917" s="15"/>
      <c r="B917" s="7"/>
      <c r="C917" s="16" t="str">
        <f aca="false">IF(B917="","",IFERROR(INDEX(Products!$B$2:$B$501,MATCH(B917,Products!$A$2:$A$501,0)),"CODE NOT FOUND"))</f>
        <v/>
      </c>
      <c r="D917" s="7"/>
      <c r="E917" s="13"/>
      <c r="F917" s="17" t="str">
        <f aca="false">IF(OR(D917="",E917=""),"",D917*E917)</f>
        <v/>
      </c>
      <c r="G917" s="7"/>
      <c r="H917" s="7"/>
    </row>
    <row r="918" customFormat="false" ht="15" hidden="false" customHeight="true" outlineLevel="0" collapsed="false">
      <c r="A918" s="15"/>
      <c r="B918" s="7"/>
      <c r="C918" s="16" t="str">
        <f aca="false">IF(B918="","",IFERROR(INDEX(Products!$B$2:$B$501,MATCH(B918,Products!$A$2:$A$501,0)),"CODE NOT FOUND"))</f>
        <v/>
      </c>
      <c r="D918" s="7"/>
      <c r="E918" s="13"/>
      <c r="F918" s="17" t="str">
        <f aca="false">IF(OR(D918="",E918=""),"",D918*E918)</f>
        <v/>
      </c>
      <c r="G918" s="7"/>
      <c r="H918" s="7"/>
    </row>
    <row r="919" customFormat="false" ht="15" hidden="false" customHeight="true" outlineLevel="0" collapsed="false">
      <c r="A919" s="15"/>
      <c r="B919" s="7"/>
      <c r="C919" s="16" t="str">
        <f aca="false">IF(B919="","",IFERROR(INDEX(Products!$B$2:$B$501,MATCH(B919,Products!$A$2:$A$501,0)),"CODE NOT FOUND"))</f>
        <v/>
      </c>
      <c r="D919" s="7"/>
      <c r="E919" s="13"/>
      <c r="F919" s="17" t="str">
        <f aca="false">IF(OR(D919="",E919=""),"",D919*E919)</f>
        <v/>
      </c>
      <c r="G919" s="7"/>
      <c r="H919" s="7"/>
    </row>
    <row r="920" customFormat="false" ht="15" hidden="false" customHeight="true" outlineLevel="0" collapsed="false">
      <c r="A920" s="15"/>
      <c r="B920" s="7"/>
      <c r="C920" s="16" t="str">
        <f aca="false">IF(B920="","",IFERROR(INDEX(Products!$B$2:$B$501,MATCH(B920,Products!$A$2:$A$501,0)),"CODE NOT FOUND"))</f>
        <v/>
      </c>
      <c r="D920" s="7"/>
      <c r="E920" s="13"/>
      <c r="F920" s="17" t="str">
        <f aca="false">IF(OR(D920="",E920=""),"",D920*E920)</f>
        <v/>
      </c>
      <c r="G920" s="7"/>
      <c r="H920" s="7"/>
    </row>
    <row r="921" customFormat="false" ht="15" hidden="false" customHeight="true" outlineLevel="0" collapsed="false">
      <c r="A921" s="15"/>
      <c r="B921" s="7"/>
      <c r="C921" s="16" t="str">
        <f aca="false">IF(B921="","",IFERROR(INDEX(Products!$B$2:$B$501,MATCH(B921,Products!$A$2:$A$501,0)),"CODE NOT FOUND"))</f>
        <v/>
      </c>
      <c r="D921" s="7"/>
      <c r="E921" s="13"/>
      <c r="F921" s="17" t="str">
        <f aca="false">IF(OR(D921="",E921=""),"",D921*E921)</f>
        <v/>
      </c>
      <c r="G921" s="7"/>
      <c r="H921" s="7"/>
    </row>
    <row r="922" customFormat="false" ht="15" hidden="false" customHeight="true" outlineLevel="0" collapsed="false">
      <c r="A922" s="15"/>
      <c r="B922" s="7"/>
      <c r="C922" s="16" t="str">
        <f aca="false">IF(B922="","",IFERROR(INDEX(Products!$B$2:$B$501,MATCH(B922,Products!$A$2:$A$501,0)),"CODE NOT FOUND"))</f>
        <v/>
      </c>
      <c r="D922" s="7"/>
      <c r="E922" s="13"/>
      <c r="F922" s="17" t="str">
        <f aca="false">IF(OR(D922="",E922=""),"",D922*E922)</f>
        <v/>
      </c>
      <c r="G922" s="7"/>
      <c r="H922" s="7"/>
    </row>
    <row r="923" customFormat="false" ht="15" hidden="false" customHeight="true" outlineLevel="0" collapsed="false">
      <c r="A923" s="15"/>
      <c r="B923" s="7"/>
      <c r="C923" s="16" t="str">
        <f aca="false">IF(B923="","",IFERROR(INDEX(Products!$B$2:$B$501,MATCH(B923,Products!$A$2:$A$501,0)),"CODE NOT FOUND"))</f>
        <v/>
      </c>
      <c r="D923" s="7"/>
      <c r="E923" s="13"/>
      <c r="F923" s="17" t="str">
        <f aca="false">IF(OR(D923="",E923=""),"",D923*E923)</f>
        <v/>
      </c>
      <c r="G923" s="7"/>
      <c r="H923" s="7"/>
    </row>
    <row r="924" customFormat="false" ht="15" hidden="false" customHeight="true" outlineLevel="0" collapsed="false">
      <c r="A924" s="15"/>
      <c r="B924" s="7"/>
      <c r="C924" s="16" t="str">
        <f aca="false">IF(B924="","",IFERROR(INDEX(Products!$B$2:$B$501,MATCH(B924,Products!$A$2:$A$501,0)),"CODE NOT FOUND"))</f>
        <v/>
      </c>
      <c r="D924" s="7"/>
      <c r="E924" s="13"/>
      <c r="F924" s="17" t="str">
        <f aca="false">IF(OR(D924="",E924=""),"",D924*E924)</f>
        <v/>
      </c>
      <c r="G924" s="7"/>
      <c r="H924" s="7"/>
    </row>
    <row r="925" customFormat="false" ht="15" hidden="false" customHeight="true" outlineLevel="0" collapsed="false">
      <c r="A925" s="15"/>
      <c r="B925" s="7"/>
      <c r="C925" s="16" t="str">
        <f aca="false">IF(B925="","",IFERROR(INDEX(Products!$B$2:$B$501,MATCH(B925,Products!$A$2:$A$501,0)),"CODE NOT FOUND"))</f>
        <v/>
      </c>
      <c r="D925" s="7"/>
      <c r="E925" s="13"/>
      <c r="F925" s="17" t="str">
        <f aca="false">IF(OR(D925="",E925=""),"",D925*E925)</f>
        <v/>
      </c>
      <c r="G925" s="7"/>
      <c r="H925" s="7"/>
    </row>
    <row r="926" customFormat="false" ht="15" hidden="false" customHeight="true" outlineLevel="0" collapsed="false">
      <c r="A926" s="15"/>
      <c r="B926" s="7"/>
      <c r="C926" s="16" t="str">
        <f aca="false">IF(B926="","",IFERROR(INDEX(Products!$B$2:$B$501,MATCH(B926,Products!$A$2:$A$501,0)),"CODE NOT FOUND"))</f>
        <v/>
      </c>
      <c r="D926" s="7"/>
      <c r="E926" s="13"/>
      <c r="F926" s="17" t="str">
        <f aca="false">IF(OR(D926="",E926=""),"",D926*E926)</f>
        <v/>
      </c>
      <c r="G926" s="7"/>
      <c r="H926" s="7"/>
    </row>
    <row r="927" customFormat="false" ht="15" hidden="false" customHeight="true" outlineLevel="0" collapsed="false">
      <c r="A927" s="15"/>
      <c r="B927" s="7"/>
      <c r="C927" s="16" t="str">
        <f aca="false">IF(B927="","",IFERROR(INDEX(Products!$B$2:$B$501,MATCH(B927,Products!$A$2:$A$501,0)),"CODE NOT FOUND"))</f>
        <v/>
      </c>
      <c r="D927" s="7"/>
      <c r="E927" s="13"/>
      <c r="F927" s="17" t="str">
        <f aca="false">IF(OR(D927="",E927=""),"",D927*E927)</f>
        <v/>
      </c>
      <c r="G927" s="7"/>
      <c r="H927" s="7"/>
    </row>
    <row r="928" customFormat="false" ht="15" hidden="false" customHeight="true" outlineLevel="0" collapsed="false">
      <c r="A928" s="15"/>
      <c r="B928" s="7"/>
      <c r="C928" s="16" t="str">
        <f aca="false">IF(B928="","",IFERROR(INDEX(Products!$B$2:$B$501,MATCH(B928,Products!$A$2:$A$501,0)),"CODE NOT FOUND"))</f>
        <v/>
      </c>
      <c r="D928" s="7"/>
      <c r="E928" s="13"/>
      <c r="F928" s="17" t="str">
        <f aca="false">IF(OR(D928="",E928=""),"",D928*E928)</f>
        <v/>
      </c>
      <c r="G928" s="7"/>
      <c r="H928" s="7"/>
    </row>
    <row r="929" customFormat="false" ht="15" hidden="false" customHeight="true" outlineLevel="0" collapsed="false">
      <c r="A929" s="15"/>
      <c r="B929" s="7"/>
      <c r="C929" s="16" t="str">
        <f aca="false">IF(B929="","",IFERROR(INDEX(Products!$B$2:$B$501,MATCH(B929,Products!$A$2:$A$501,0)),"CODE NOT FOUND"))</f>
        <v/>
      </c>
      <c r="D929" s="7"/>
      <c r="E929" s="13"/>
      <c r="F929" s="17" t="str">
        <f aca="false">IF(OR(D929="",E929=""),"",D929*E929)</f>
        <v/>
      </c>
      <c r="G929" s="7"/>
      <c r="H929" s="7"/>
    </row>
    <row r="930" customFormat="false" ht="15" hidden="false" customHeight="true" outlineLevel="0" collapsed="false">
      <c r="A930" s="15"/>
      <c r="B930" s="7"/>
      <c r="C930" s="16" t="str">
        <f aca="false">IF(B930="","",IFERROR(INDEX(Products!$B$2:$B$501,MATCH(B930,Products!$A$2:$A$501,0)),"CODE NOT FOUND"))</f>
        <v/>
      </c>
      <c r="D930" s="7"/>
      <c r="E930" s="13"/>
      <c r="F930" s="17" t="str">
        <f aca="false">IF(OR(D930="",E930=""),"",D930*E930)</f>
        <v/>
      </c>
      <c r="G930" s="7"/>
      <c r="H930" s="7"/>
    </row>
    <row r="931" customFormat="false" ht="15" hidden="false" customHeight="true" outlineLevel="0" collapsed="false">
      <c r="A931" s="15"/>
      <c r="B931" s="7"/>
      <c r="C931" s="16" t="str">
        <f aca="false">IF(B931="","",IFERROR(INDEX(Products!$B$2:$B$501,MATCH(B931,Products!$A$2:$A$501,0)),"CODE NOT FOUND"))</f>
        <v/>
      </c>
      <c r="D931" s="7"/>
      <c r="E931" s="13"/>
      <c r="F931" s="17" t="str">
        <f aca="false">IF(OR(D931="",E931=""),"",D931*E931)</f>
        <v/>
      </c>
      <c r="G931" s="7"/>
      <c r="H931" s="7"/>
    </row>
    <row r="932" customFormat="false" ht="15" hidden="false" customHeight="true" outlineLevel="0" collapsed="false">
      <c r="A932" s="15"/>
      <c r="B932" s="7"/>
      <c r="C932" s="16" t="str">
        <f aca="false">IF(B932="","",IFERROR(INDEX(Products!$B$2:$B$501,MATCH(B932,Products!$A$2:$A$501,0)),"CODE NOT FOUND"))</f>
        <v/>
      </c>
      <c r="D932" s="7"/>
      <c r="E932" s="13"/>
      <c r="F932" s="17" t="str">
        <f aca="false">IF(OR(D932="",E932=""),"",D932*E932)</f>
        <v/>
      </c>
      <c r="G932" s="7"/>
      <c r="H932" s="7"/>
    </row>
    <row r="933" customFormat="false" ht="15" hidden="false" customHeight="true" outlineLevel="0" collapsed="false">
      <c r="A933" s="15"/>
      <c r="B933" s="7"/>
      <c r="C933" s="16" t="str">
        <f aca="false">IF(B933="","",IFERROR(INDEX(Products!$B$2:$B$501,MATCH(B933,Products!$A$2:$A$501,0)),"CODE NOT FOUND"))</f>
        <v/>
      </c>
      <c r="D933" s="7"/>
      <c r="E933" s="13"/>
      <c r="F933" s="17" t="str">
        <f aca="false">IF(OR(D933="",E933=""),"",D933*E933)</f>
        <v/>
      </c>
      <c r="G933" s="7"/>
      <c r="H933" s="7"/>
    </row>
    <row r="934" customFormat="false" ht="15" hidden="false" customHeight="true" outlineLevel="0" collapsed="false">
      <c r="A934" s="15"/>
      <c r="B934" s="7"/>
      <c r="C934" s="16" t="str">
        <f aca="false">IF(B934="","",IFERROR(INDEX(Products!$B$2:$B$501,MATCH(B934,Products!$A$2:$A$501,0)),"CODE NOT FOUND"))</f>
        <v/>
      </c>
      <c r="D934" s="7"/>
      <c r="E934" s="13"/>
      <c r="F934" s="17" t="str">
        <f aca="false">IF(OR(D934="",E934=""),"",D934*E934)</f>
        <v/>
      </c>
      <c r="G934" s="7"/>
      <c r="H934" s="7"/>
    </row>
    <row r="935" customFormat="false" ht="15" hidden="false" customHeight="true" outlineLevel="0" collapsed="false">
      <c r="A935" s="15"/>
      <c r="B935" s="7"/>
      <c r="C935" s="16" t="str">
        <f aca="false">IF(B935="","",IFERROR(INDEX(Products!$B$2:$B$501,MATCH(B935,Products!$A$2:$A$501,0)),"CODE NOT FOUND"))</f>
        <v/>
      </c>
      <c r="D935" s="7"/>
      <c r="E935" s="13"/>
      <c r="F935" s="17" t="str">
        <f aca="false">IF(OR(D935="",E935=""),"",D935*E935)</f>
        <v/>
      </c>
      <c r="G935" s="7"/>
      <c r="H935" s="7"/>
    </row>
    <row r="936" customFormat="false" ht="15" hidden="false" customHeight="true" outlineLevel="0" collapsed="false">
      <c r="A936" s="15"/>
      <c r="B936" s="7"/>
      <c r="C936" s="16" t="str">
        <f aca="false">IF(B936="","",IFERROR(INDEX(Products!$B$2:$B$501,MATCH(B936,Products!$A$2:$A$501,0)),"CODE NOT FOUND"))</f>
        <v/>
      </c>
      <c r="D936" s="7"/>
      <c r="E936" s="13"/>
      <c r="F936" s="17" t="str">
        <f aca="false">IF(OR(D936="",E936=""),"",D936*E936)</f>
        <v/>
      </c>
      <c r="G936" s="7"/>
      <c r="H936" s="7"/>
    </row>
    <row r="937" customFormat="false" ht="15" hidden="false" customHeight="true" outlineLevel="0" collapsed="false">
      <c r="A937" s="15"/>
      <c r="B937" s="7"/>
      <c r="C937" s="16" t="str">
        <f aca="false">IF(B937="","",IFERROR(INDEX(Products!$B$2:$B$501,MATCH(B937,Products!$A$2:$A$501,0)),"CODE NOT FOUND"))</f>
        <v/>
      </c>
      <c r="D937" s="7"/>
      <c r="E937" s="13"/>
      <c r="F937" s="17" t="str">
        <f aca="false">IF(OR(D937="",E937=""),"",D937*E937)</f>
        <v/>
      </c>
      <c r="G937" s="7"/>
      <c r="H937" s="7"/>
    </row>
    <row r="938" customFormat="false" ht="15" hidden="false" customHeight="true" outlineLevel="0" collapsed="false">
      <c r="A938" s="15"/>
      <c r="B938" s="7"/>
      <c r="C938" s="16" t="str">
        <f aca="false">IF(B938="","",IFERROR(INDEX(Products!$B$2:$B$501,MATCH(B938,Products!$A$2:$A$501,0)),"CODE NOT FOUND"))</f>
        <v/>
      </c>
      <c r="D938" s="7"/>
      <c r="E938" s="13"/>
      <c r="F938" s="17" t="str">
        <f aca="false">IF(OR(D938="",E938=""),"",D938*E938)</f>
        <v/>
      </c>
      <c r="G938" s="7"/>
      <c r="H938" s="7"/>
    </row>
    <row r="939" customFormat="false" ht="15" hidden="false" customHeight="true" outlineLevel="0" collapsed="false">
      <c r="A939" s="15"/>
      <c r="B939" s="7"/>
      <c r="C939" s="16" t="str">
        <f aca="false">IF(B939="","",IFERROR(INDEX(Products!$B$2:$B$501,MATCH(B939,Products!$A$2:$A$501,0)),"CODE NOT FOUND"))</f>
        <v/>
      </c>
      <c r="D939" s="7"/>
      <c r="E939" s="13"/>
      <c r="F939" s="17" t="str">
        <f aca="false">IF(OR(D939="",E939=""),"",D939*E939)</f>
        <v/>
      </c>
      <c r="G939" s="7"/>
      <c r="H939" s="7"/>
    </row>
    <row r="940" customFormat="false" ht="15" hidden="false" customHeight="true" outlineLevel="0" collapsed="false">
      <c r="A940" s="15"/>
      <c r="B940" s="7"/>
      <c r="C940" s="16" t="str">
        <f aca="false">IF(B940="","",IFERROR(INDEX(Products!$B$2:$B$501,MATCH(B940,Products!$A$2:$A$501,0)),"CODE NOT FOUND"))</f>
        <v/>
      </c>
      <c r="D940" s="7"/>
      <c r="E940" s="13"/>
      <c r="F940" s="17" t="str">
        <f aca="false">IF(OR(D940="",E940=""),"",D940*E940)</f>
        <v/>
      </c>
      <c r="G940" s="7"/>
      <c r="H940" s="7"/>
    </row>
    <row r="941" customFormat="false" ht="15" hidden="false" customHeight="true" outlineLevel="0" collapsed="false">
      <c r="A941" s="15"/>
      <c r="B941" s="7"/>
      <c r="C941" s="16" t="str">
        <f aca="false">IF(B941="","",IFERROR(INDEX(Products!$B$2:$B$501,MATCH(B941,Products!$A$2:$A$501,0)),"CODE NOT FOUND"))</f>
        <v/>
      </c>
      <c r="D941" s="7"/>
      <c r="E941" s="13"/>
      <c r="F941" s="17" t="str">
        <f aca="false">IF(OR(D941="",E941=""),"",D941*E941)</f>
        <v/>
      </c>
      <c r="G941" s="7"/>
      <c r="H941" s="7"/>
    </row>
    <row r="942" customFormat="false" ht="15" hidden="false" customHeight="true" outlineLevel="0" collapsed="false">
      <c r="A942" s="15"/>
      <c r="B942" s="7"/>
      <c r="C942" s="16" t="str">
        <f aca="false">IF(B942="","",IFERROR(INDEX(Products!$B$2:$B$501,MATCH(B942,Products!$A$2:$A$501,0)),"CODE NOT FOUND"))</f>
        <v/>
      </c>
      <c r="D942" s="7"/>
      <c r="E942" s="13"/>
      <c r="F942" s="17" t="str">
        <f aca="false">IF(OR(D942="",E942=""),"",D942*E942)</f>
        <v/>
      </c>
      <c r="G942" s="7"/>
      <c r="H942" s="7"/>
    </row>
    <row r="943" customFormat="false" ht="15" hidden="false" customHeight="true" outlineLevel="0" collapsed="false">
      <c r="A943" s="15"/>
      <c r="B943" s="7"/>
      <c r="C943" s="16" t="str">
        <f aca="false">IF(B943="","",IFERROR(INDEX(Products!$B$2:$B$501,MATCH(B943,Products!$A$2:$A$501,0)),"CODE NOT FOUND"))</f>
        <v/>
      </c>
      <c r="D943" s="7"/>
      <c r="E943" s="13"/>
      <c r="F943" s="17" t="str">
        <f aca="false">IF(OR(D943="",E943=""),"",D943*E943)</f>
        <v/>
      </c>
      <c r="G943" s="7"/>
      <c r="H943" s="7"/>
    </row>
    <row r="944" customFormat="false" ht="15" hidden="false" customHeight="true" outlineLevel="0" collapsed="false">
      <c r="A944" s="15"/>
      <c r="B944" s="7"/>
      <c r="C944" s="16" t="str">
        <f aca="false">IF(B944="","",IFERROR(INDEX(Products!$B$2:$B$501,MATCH(B944,Products!$A$2:$A$501,0)),"CODE NOT FOUND"))</f>
        <v/>
      </c>
      <c r="D944" s="7"/>
      <c r="E944" s="13"/>
      <c r="F944" s="17" t="str">
        <f aca="false">IF(OR(D944="",E944=""),"",D944*E944)</f>
        <v/>
      </c>
      <c r="G944" s="7"/>
      <c r="H944" s="7"/>
    </row>
    <row r="945" customFormat="false" ht="15" hidden="false" customHeight="true" outlineLevel="0" collapsed="false">
      <c r="A945" s="15"/>
      <c r="B945" s="7"/>
      <c r="C945" s="16" t="str">
        <f aca="false">IF(B945="","",IFERROR(INDEX(Products!$B$2:$B$501,MATCH(B945,Products!$A$2:$A$501,0)),"CODE NOT FOUND"))</f>
        <v/>
      </c>
      <c r="D945" s="7"/>
      <c r="E945" s="13"/>
      <c r="F945" s="17" t="str">
        <f aca="false">IF(OR(D945="",E945=""),"",D945*E945)</f>
        <v/>
      </c>
      <c r="G945" s="7"/>
      <c r="H945" s="7"/>
    </row>
    <row r="946" customFormat="false" ht="15" hidden="false" customHeight="true" outlineLevel="0" collapsed="false">
      <c r="A946" s="15"/>
      <c r="B946" s="7"/>
      <c r="C946" s="16" t="str">
        <f aca="false">IF(B946="","",IFERROR(INDEX(Products!$B$2:$B$501,MATCH(B946,Products!$A$2:$A$501,0)),"CODE NOT FOUND"))</f>
        <v/>
      </c>
      <c r="D946" s="7"/>
      <c r="E946" s="13"/>
      <c r="F946" s="17" t="str">
        <f aca="false">IF(OR(D946="",E946=""),"",D946*E946)</f>
        <v/>
      </c>
      <c r="G946" s="7"/>
      <c r="H946" s="7"/>
    </row>
    <row r="947" customFormat="false" ht="15" hidden="false" customHeight="true" outlineLevel="0" collapsed="false">
      <c r="A947" s="15"/>
      <c r="B947" s="7"/>
      <c r="C947" s="16" t="str">
        <f aca="false">IF(B947="","",IFERROR(INDEX(Products!$B$2:$B$501,MATCH(B947,Products!$A$2:$A$501,0)),"CODE NOT FOUND"))</f>
        <v/>
      </c>
      <c r="D947" s="7"/>
      <c r="E947" s="13"/>
      <c r="F947" s="17" t="str">
        <f aca="false">IF(OR(D947="",E947=""),"",D947*E947)</f>
        <v/>
      </c>
      <c r="G947" s="7"/>
      <c r="H947" s="7"/>
    </row>
    <row r="948" customFormat="false" ht="15" hidden="false" customHeight="true" outlineLevel="0" collapsed="false">
      <c r="A948" s="15"/>
      <c r="B948" s="7"/>
      <c r="C948" s="16" t="str">
        <f aca="false">IF(B948="","",IFERROR(INDEX(Products!$B$2:$B$501,MATCH(B948,Products!$A$2:$A$501,0)),"CODE NOT FOUND"))</f>
        <v/>
      </c>
      <c r="D948" s="7"/>
      <c r="E948" s="13"/>
      <c r="F948" s="17" t="str">
        <f aca="false">IF(OR(D948="",E948=""),"",D948*E948)</f>
        <v/>
      </c>
      <c r="G948" s="7"/>
      <c r="H948" s="7"/>
    </row>
    <row r="949" customFormat="false" ht="15" hidden="false" customHeight="true" outlineLevel="0" collapsed="false">
      <c r="A949" s="15"/>
      <c r="B949" s="7"/>
      <c r="C949" s="16" t="str">
        <f aca="false">IF(B949="","",IFERROR(INDEX(Products!$B$2:$B$501,MATCH(B949,Products!$A$2:$A$501,0)),"CODE NOT FOUND"))</f>
        <v/>
      </c>
      <c r="D949" s="7"/>
      <c r="E949" s="13"/>
      <c r="F949" s="17" t="str">
        <f aca="false">IF(OR(D949="",E949=""),"",D949*E949)</f>
        <v/>
      </c>
      <c r="G949" s="7"/>
      <c r="H949" s="7"/>
    </row>
    <row r="950" customFormat="false" ht="15" hidden="false" customHeight="true" outlineLevel="0" collapsed="false">
      <c r="A950" s="15"/>
      <c r="B950" s="7"/>
      <c r="C950" s="16" t="str">
        <f aca="false">IF(B950="","",IFERROR(INDEX(Products!$B$2:$B$501,MATCH(B950,Products!$A$2:$A$501,0)),"CODE NOT FOUND"))</f>
        <v/>
      </c>
      <c r="D950" s="7"/>
      <c r="E950" s="13"/>
      <c r="F950" s="17" t="str">
        <f aca="false">IF(OR(D950="",E950=""),"",D950*E950)</f>
        <v/>
      </c>
      <c r="G950" s="7"/>
      <c r="H950" s="7"/>
    </row>
    <row r="951" customFormat="false" ht="15" hidden="false" customHeight="true" outlineLevel="0" collapsed="false">
      <c r="A951" s="15"/>
      <c r="B951" s="7"/>
      <c r="C951" s="16" t="str">
        <f aca="false">IF(B951="","",IFERROR(INDEX(Products!$B$2:$B$501,MATCH(B951,Products!$A$2:$A$501,0)),"CODE NOT FOUND"))</f>
        <v/>
      </c>
      <c r="D951" s="7"/>
      <c r="E951" s="13"/>
      <c r="F951" s="17" t="str">
        <f aca="false">IF(OR(D951="",E951=""),"",D951*E951)</f>
        <v/>
      </c>
      <c r="G951" s="7"/>
      <c r="H951" s="7"/>
    </row>
    <row r="952" customFormat="false" ht="15" hidden="false" customHeight="true" outlineLevel="0" collapsed="false">
      <c r="A952" s="15"/>
      <c r="B952" s="7"/>
      <c r="C952" s="16" t="str">
        <f aca="false">IF(B952="","",IFERROR(INDEX(Products!$B$2:$B$501,MATCH(B952,Products!$A$2:$A$501,0)),"CODE NOT FOUND"))</f>
        <v/>
      </c>
      <c r="D952" s="7"/>
      <c r="E952" s="13"/>
      <c r="F952" s="17" t="str">
        <f aca="false">IF(OR(D952="",E952=""),"",D952*E952)</f>
        <v/>
      </c>
      <c r="G952" s="7"/>
      <c r="H952" s="7"/>
    </row>
    <row r="953" customFormat="false" ht="15" hidden="false" customHeight="true" outlineLevel="0" collapsed="false">
      <c r="A953" s="15"/>
      <c r="B953" s="7"/>
      <c r="C953" s="16" t="str">
        <f aca="false">IF(B953="","",IFERROR(INDEX(Products!$B$2:$B$501,MATCH(B953,Products!$A$2:$A$501,0)),"CODE NOT FOUND"))</f>
        <v/>
      </c>
      <c r="D953" s="7"/>
      <c r="E953" s="13"/>
      <c r="F953" s="17" t="str">
        <f aca="false">IF(OR(D953="",E953=""),"",D953*E953)</f>
        <v/>
      </c>
      <c r="G953" s="7"/>
      <c r="H953" s="7"/>
    </row>
    <row r="954" customFormat="false" ht="15" hidden="false" customHeight="true" outlineLevel="0" collapsed="false">
      <c r="A954" s="15"/>
      <c r="B954" s="7"/>
      <c r="C954" s="16" t="str">
        <f aca="false">IF(B954="","",IFERROR(INDEX(Products!$B$2:$B$501,MATCH(B954,Products!$A$2:$A$501,0)),"CODE NOT FOUND"))</f>
        <v/>
      </c>
      <c r="D954" s="7"/>
      <c r="E954" s="13"/>
      <c r="F954" s="17" t="str">
        <f aca="false">IF(OR(D954="",E954=""),"",D954*E954)</f>
        <v/>
      </c>
      <c r="G954" s="7"/>
      <c r="H954" s="7"/>
    </row>
    <row r="955" customFormat="false" ht="15" hidden="false" customHeight="true" outlineLevel="0" collapsed="false">
      <c r="A955" s="15"/>
      <c r="B955" s="7"/>
      <c r="C955" s="16" t="str">
        <f aca="false">IF(B955="","",IFERROR(INDEX(Products!$B$2:$B$501,MATCH(B955,Products!$A$2:$A$501,0)),"CODE NOT FOUND"))</f>
        <v/>
      </c>
      <c r="D955" s="7"/>
      <c r="E955" s="13"/>
      <c r="F955" s="17" t="str">
        <f aca="false">IF(OR(D955="",E955=""),"",D955*E955)</f>
        <v/>
      </c>
      <c r="G955" s="7"/>
      <c r="H955" s="7"/>
    </row>
    <row r="956" customFormat="false" ht="15" hidden="false" customHeight="true" outlineLevel="0" collapsed="false">
      <c r="A956" s="15"/>
      <c r="B956" s="7"/>
      <c r="C956" s="16" t="str">
        <f aca="false">IF(B956="","",IFERROR(INDEX(Products!$B$2:$B$501,MATCH(B956,Products!$A$2:$A$501,0)),"CODE NOT FOUND"))</f>
        <v/>
      </c>
      <c r="D956" s="7"/>
      <c r="E956" s="13"/>
      <c r="F956" s="17" t="str">
        <f aca="false">IF(OR(D956="",E956=""),"",D956*E956)</f>
        <v/>
      </c>
      <c r="G956" s="7"/>
      <c r="H956" s="7"/>
    </row>
    <row r="957" customFormat="false" ht="15" hidden="false" customHeight="true" outlineLevel="0" collapsed="false">
      <c r="A957" s="15"/>
      <c r="B957" s="7"/>
      <c r="C957" s="16" t="str">
        <f aca="false">IF(B957="","",IFERROR(INDEX(Products!$B$2:$B$501,MATCH(B957,Products!$A$2:$A$501,0)),"CODE NOT FOUND"))</f>
        <v/>
      </c>
      <c r="D957" s="7"/>
      <c r="E957" s="13"/>
      <c r="F957" s="17" t="str">
        <f aca="false">IF(OR(D957="",E957=""),"",D957*E957)</f>
        <v/>
      </c>
      <c r="G957" s="7"/>
      <c r="H957" s="7"/>
    </row>
    <row r="958" customFormat="false" ht="15" hidden="false" customHeight="true" outlineLevel="0" collapsed="false">
      <c r="A958" s="15"/>
      <c r="B958" s="7"/>
      <c r="C958" s="16" t="str">
        <f aca="false">IF(B958="","",IFERROR(INDEX(Products!$B$2:$B$501,MATCH(B958,Products!$A$2:$A$501,0)),"CODE NOT FOUND"))</f>
        <v/>
      </c>
      <c r="D958" s="7"/>
      <c r="E958" s="13"/>
      <c r="F958" s="17" t="str">
        <f aca="false">IF(OR(D958="",E958=""),"",D958*E958)</f>
        <v/>
      </c>
      <c r="G958" s="7"/>
      <c r="H958" s="7"/>
    </row>
    <row r="959" customFormat="false" ht="15" hidden="false" customHeight="true" outlineLevel="0" collapsed="false">
      <c r="A959" s="15"/>
      <c r="B959" s="7"/>
      <c r="C959" s="16" t="str">
        <f aca="false">IF(B959="","",IFERROR(INDEX(Products!$B$2:$B$501,MATCH(B959,Products!$A$2:$A$501,0)),"CODE NOT FOUND"))</f>
        <v/>
      </c>
      <c r="D959" s="7"/>
      <c r="E959" s="13"/>
      <c r="F959" s="17" t="str">
        <f aca="false">IF(OR(D959="",E959=""),"",D959*E959)</f>
        <v/>
      </c>
      <c r="G959" s="7"/>
      <c r="H959" s="7"/>
    </row>
    <row r="960" customFormat="false" ht="15" hidden="false" customHeight="true" outlineLevel="0" collapsed="false">
      <c r="A960" s="15"/>
      <c r="B960" s="7"/>
      <c r="C960" s="16" t="str">
        <f aca="false">IF(B960="","",IFERROR(INDEX(Products!$B$2:$B$501,MATCH(B960,Products!$A$2:$A$501,0)),"CODE NOT FOUND"))</f>
        <v/>
      </c>
      <c r="D960" s="7"/>
      <c r="E960" s="13"/>
      <c r="F960" s="17" t="str">
        <f aca="false">IF(OR(D960="",E960=""),"",D960*E960)</f>
        <v/>
      </c>
      <c r="G960" s="7"/>
      <c r="H960" s="7"/>
    </row>
    <row r="961" customFormat="false" ht="15" hidden="false" customHeight="true" outlineLevel="0" collapsed="false">
      <c r="A961" s="15"/>
      <c r="B961" s="7"/>
      <c r="C961" s="16" t="str">
        <f aca="false">IF(B961="","",IFERROR(INDEX(Products!$B$2:$B$501,MATCH(B961,Products!$A$2:$A$501,0)),"CODE NOT FOUND"))</f>
        <v/>
      </c>
      <c r="D961" s="7"/>
      <c r="E961" s="13"/>
      <c r="F961" s="17" t="str">
        <f aca="false">IF(OR(D961="",E961=""),"",D961*E961)</f>
        <v/>
      </c>
      <c r="G961" s="7"/>
      <c r="H961" s="7"/>
    </row>
    <row r="962" customFormat="false" ht="15" hidden="false" customHeight="true" outlineLevel="0" collapsed="false">
      <c r="A962" s="15"/>
      <c r="B962" s="7"/>
      <c r="C962" s="16" t="str">
        <f aca="false">IF(B962="","",IFERROR(INDEX(Products!$B$2:$B$501,MATCH(B962,Products!$A$2:$A$501,0)),"CODE NOT FOUND"))</f>
        <v/>
      </c>
      <c r="D962" s="7"/>
      <c r="E962" s="13"/>
      <c r="F962" s="17" t="str">
        <f aca="false">IF(OR(D962="",E962=""),"",D962*E962)</f>
        <v/>
      </c>
      <c r="G962" s="7"/>
      <c r="H962" s="7"/>
    </row>
    <row r="963" customFormat="false" ht="15" hidden="false" customHeight="true" outlineLevel="0" collapsed="false">
      <c r="A963" s="15"/>
      <c r="B963" s="7"/>
      <c r="C963" s="16" t="str">
        <f aca="false">IF(B963="","",IFERROR(INDEX(Products!$B$2:$B$501,MATCH(B963,Products!$A$2:$A$501,0)),"CODE NOT FOUND"))</f>
        <v/>
      </c>
      <c r="D963" s="7"/>
      <c r="E963" s="13"/>
      <c r="F963" s="17" t="str">
        <f aca="false">IF(OR(D963="",E963=""),"",D963*E963)</f>
        <v/>
      </c>
      <c r="G963" s="7"/>
      <c r="H963" s="7"/>
    </row>
    <row r="964" customFormat="false" ht="15" hidden="false" customHeight="true" outlineLevel="0" collapsed="false">
      <c r="A964" s="15"/>
      <c r="B964" s="7"/>
      <c r="C964" s="16" t="str">
        <f aca="false">IF(B964="","",IFERROR(INDEX(Products!$B$2:$B$501,MATCH(B964,Products!$A$2:$A$501,0)),"CODE NOT FOUND"))</f>
        <v/>
      </c>
      <c r="D964" s="7"/>
      <c r="E964" s="13"/>
      <c r="F964" s="17" t="str">
        <f aca="false">IF(OR(D964="",E964=""),"",D964*E964)</f>
        <v/>
      </c>
      <c r="G964" s="7"/>
      <c r="H964" s="7"/>
    </row>
    <row r="965" customFormat="false" ht="15" hidden="false" customHeight="true" outlineLevel="0" collapsed="false">
      <c r="A965" s="15"/>
      <c r="B965" s="7"/>
      <c r="C965" s="16" t="str">
        <f aca="false">IF(B965="","",IFERROR(INDEX(Products!$B$2:$B$501,MATCH(B965,Products!$A$2:$A$501,0)),"CODE NOT FOUND"))</f>
        <v/>
      </c>
      <c r="D965" s="7"/>
      <c r="E965" s="13"/>
      <c r="F965" s="17" t="str">
        <f aca="false">IF(OR(D965="",E965=""),"",D965*E965)</f>
        <v/>
      </c>
      <c r="G965" s="7"/>
      <c r="H965" s="7"/>
    </row>
    <row r="966" customFormat="false" ht="15" hidden="false" customHeight="true" outlineLevel="0" collapsed="false">
      <c r="A966" s="15"/>
      <c r="B966" s="7"/>
      <c r="C966" s="16" t="str">
        <f aca="false">IF(B966="","",IFERROR(INDEX(Products!$B$2:$B$501,MATCH(B966,Products!$A$2:$A$501,0)),"CODE NOT FOUND"))</f>
        <v/>
      </c>
      <c r="D966" s="7"/>
      <c r="E966" s="13"/>
      <c r="F966" s="17" t="str">
        <f aca="false">IF(OR(D966="",E966=""),"",D966*E966)</f>
        <v/>
      </c>
      <c r="G966" s="7"/>
      <c r="H966" s="7"/>
    </row>
    <row r="967" customFormat="false" ht="15" hidden="false" customHeight="true" outlineLevel="0" collapsed="false">
      <c r="A967" s="15"/>
      <c r="B967" s="7"/>
      <c r="C967" s="16" t="str">
        <f aca="false">IF(B967="","",IFERROR(INDEX(Products!$B$2:$B$501,MATCH(B967,Products!$A$2:$A$501,0)),"CODE NOT FOUND"))</f>
        <v/>
      </c>
      <c r="D967" s="7"/>
      <c r="E967" s="13"/>
      <c r="F967" s="17" t="str">
        <f aca="false">IF(OR(D967="",E967=""),"",D967*E967)</f>
        <v/>
      </c>
      <c r="G967" s="7"/>
      <c r="H967" s="7"/>
    </row>
    <row r="968" customFormat="false" ht="15" hidden="false" customHeight="true" outlineLevel="0" collapsed="false">
      <c r="A968" s="15"/>
      <c r="B968" s="7"/>
      <c r="C968" s="16" t="str">
        <f aca="false">IF(B968="","",IFERROR(INDEX(Products!$B$2:$B$501,MATCH(B968,Products!$A$2:$A$501,0)),"CODE NOT FOUND"))</f>
        <v/>
      </c>
      <c r="D968" s="7"/>
      <c r="E968" s="13"/>
      <c r="F968" s="17" t="str">
        <f aca="false">IF(OR(D968="",E968=""),"",D968*E968)</f>
        <v/>
      </c>
      <c r="G968" s="7"/>
      <c r="H968" s="7"/>
    </row>
    <row r="969" customFormat="false" ht="15" hidden="false" customHeight="true" outlineLevel="0" collapsed="false">
      <c r="A969" s="15"/>
      <c r="B969" s="7"/>
      <c r="C969" s="16" t="str">
        <f aca="false">IF(B969="","",IFERROR(INDEX(Products!$B$2:$B$501,MATCH(B969,Products!$A$2:$A$501,0)),"CODE NOT FOUND"))</f>
        <v/>
      </c>
      <c r="D969" s="7"/>
      <c r="E969" s="13"/>
      <c r="F969" s="17" t="str">
        <f aca="false">IF(OR(D969="",E969=""),"",D969*E969)</f>
        <v/>
      </c>
      <c r="G969" s="7"/>
      <c r="H969" s="7"/>
    </row>
    <row r="970" customFormat="false" ht="15" hidden="false" customHeight="true" outlineLevel="0" collapsed="false">
      <c r="A970" s="15"/>
      <c r="B970" s="7"/>
      <c r="C970" s="16" t="str">
        <f aca="false">IF(B970="","",IFERROR(INDEX(Products!$B$2:$B$501,MATCH(B970,Products!$A$2:$A$501,0)),"CODE NOT FOUND"))</f>
        <v/>
      </c>
      <c r="D970" s="7"/>
      <c r="E970" s="13"/>
      <c r="F970" s="17" t="str">
        <f aca="false">IF(OR(D970="",E970=""),"",D970*E970)</f>
        <v/>
      </c>
      <c r="G970" s="7"/>
      <c r="H970" s="7"/>
    </row>
    <row r="971" customFormat="false" ht="15" hidden="false" customHeight="true" outlineLevel="0" collapsed="false">
      <c r="A971" s="15"/>
      <c r="B971" s="7"/>
      <c r="C971" s="16" t="str">
        <f aca="false">IF(B971="","",IFERROR(INDEX(Products!$B$2:$B$501,MATCH(B971,Products!$A$2:$A$501,0)),"CODE NOT FOUND"))</f>
        <v/>
      </c>
      <c r="D971" s="7"/>
      <c r="E971" s="13"/>
      <c r="F971" s="17" t="str">
        <f aca="false">IF(OR(D971="",E971=""),"",D971*E971)</f>
        <v/>
      </c>
      <c r="G971" s="7"/>
      <c r="H971" s="7"/>
    </row>
    <row r="972" customFormat="false" ht="15" hidden="false" customHeight="true" outlineLevel="0" collapsed="false">
      <c r="A972" s="15"/>
      <c r="B972" s="7"/>
      <c r="C972" s="16" t="str">
        <f aca="false">IF(B972="","",IFERROR(INDEX(Products!$B$2:$B$501,MATCH(B972,Products!$A$2:$A$501,0)),"CODE NOT FOUND"))</f>
        <v/>
      </c>
      <c r="D972" s="7"/>
      <c r="E972" s="13"/>
      <c r="F972" s="17" t="str">
        <f aca="false">IF(OR(D972="",E972=""),"",D972*E972)</f>
        <v/>
      </c>
      <c r="G972" s="7"/>
      <c r="H972" s="7"/>
    </row>
    <row r="973" customFormat="false" ht="15" hidden="false" customHeight="true" outlineLevel="0" collapsed="false">
      <c r="A973" s="15"/>
      <c r="B973" s="7"/>
      <c r="C973" s="16" t="str">
        <f aca="false">IF(B973="","",IFERROR(INDEX(Products!$B$2:$B$501,MATCH(B973,Products!$A$2:$A$501,0)),"CODE NOT FOUND"))</f>
        <v/>
      </c>
      <c r="D973" s="7"/>
      <c r="E973" s="13"/>
      <c r="F973" s="17" t="str">
        <f aca="false">IF(OR(D973="",E973=""),"",D973*E973)</f>
        <v/>
      </c>
      <c r="G973" s="7"/>
      <c r="H973" s="7"/>
    </row>
    <row r="974" customFormat="false" ht="15" hidden="false" customHeight="true" outlineLevel="0" collapsed="false">
      <c r="A974" s="15"/>
      <c r="B974" s="7"/>
      <c r="C974" s="16" t="str">
        <f aca="false">IF(B974="","",IFERROR(INDEX(Products!$B$2:$B$501,MATCH(B974,Products!$A$2:$A$501,0)),"CODE NOT FOUND"))</f>
        <v/>
      </c>
      <c r="D974" s="7"/>
      <c r="E974" s="13"/>
      <c r="F974" s="17" t="str">
        <f aca="false">IF(OR(D974="",E974=""),"",D974*E974)</f>
        <v/>
      </c>
      <c r="G974" s="7"/>
      <c r="H974" s="7"/>
    </row>
    <row r="975" customFormat="false" ht="15" hidden="false" customHeight="true" outlineLevel="0" collapsed="false">
      <c r="A975" s="15"/>
      <c r="B975" s="7"/>
      <c r="C975" s="16" t="str">
        <f aca="false">IF(B975="","",IFERROR(INDEX(Products!$B$2:$B$501,MATCH(B975,Products!$A$2:$A$501,0)),"CODE NOT FOUND"))</f>
        <v/>
      </c>
      <c r="D975" s="7"/>
      <c r="E975" s="13"/>
      <c r="F975" s="17" t="str">
        <f aca="false">IF(OR(D975="",E975=""),"",D975*E975)</f>
        <v/>
      </c>
      <c r="G975" s="7"/>
      <c r="H975" s="7"/>
    </row>
    <row r="976" customFormat="false" ht="15" hidden="false" customHeight="true" outlineLevel="0" collapsed="false">
      <c r="A976" s="15"/>
      <c r="B976" s="7"/>
      <c r="C976" s="16" t="str">
        <f aca="false">IF(B976="","",IFERROR(INDEX(Products!$B$2:$B$501,MATCH(B976,Products!$A$2:$A$501,0)),"CODE NOT FOUND"))</f>
        <v/>
      </c>
      <c r="D976" s="7"/>
      <c r="E976" s="13"/>
      <c r="F976" s="17" t="str">
        <f aca="false">IF(OR(D976="",E976=""),"",D976*E976)</f>
        <v/>
      </c>
      <c r="G976" s="7"/>
      <c r="H976" s="7"/>
    </row>
    <row r="977" customFormat="false" ht="15" hidden="false" customHeight="true" outlineLevel="0" collapsed="false">
      <c r="A977" s="15"/>
      <c r="B977" s="7"/>
      <c r="C977" s="16" t="str">
        <f aca="false">IF(B977="","",IFERROR(INDEX(Products!$B$2:$B$501,MATCH(B977,Products!$A$2:$A$501,0)),"CODE NOT FOUND"))</f>
        <v/>
      </c>
      <c r="D977" s="7"/>
      <c r="E977" s="13"/>
      <c r="F977" s="17" t="str">
        <f aca="false">IF(OR(D977="",E977=""),"",D977*E977)</f>
        <v/>
      </c>
      <c r="G977" s="7"/>
      <c r="H977" s="7"/>
    </row>
    <row r="978" customFormat="false" ht="15" hidden="false" customHeight="true" outlineLevel="0" collapsed="false">
      <c r="A978" s="15"/>
      <c r="B978" s="7"/>
      <c r="C978" s="16" t="str">
        <f aca="false">IF(B978="","",IFERROR(INDEX(Products!$B$2:$B$501,MATCH(B978,Products!$A$2:$A$501,0)),"CODE NOT FOUND"))</f>
        <v/>
      </c>
      <c r="D978" s="7"/>
      <c r="E978" s="13"/>
      <c r="F978" s="17" t="str">
        <f aca="false">IF(OR(D978="",E978=""),"",D978*E978)</f>
        <v/>
      </c>
      <c r="G978" s="7"/>
      <c r="H978" s="7"/>
    </row>
    <row r="979" customFormat="false" ht="15" hidden="false" customHeight="true" outlineLevel="0" collapsed="false">
      <c r="A979" s="15"/>
      <c r="B979" s="7"/>
      <c r="C979" s="16" t="str">
        <f aca="false">IF(B979="","",IFERROR(INDEX(Products!$B$2:$B$501,MATCH(B979,Products!$A$2:$A$501,0)),"CODE NOT FOUND"))</f>
        <v/>
      </c>
      <c r="D979" s="7"/>
      <c r="E979" s="13"/>
      <c r="F979" s="17" t="str">
        <f aca="false">IF(OR(D979="",E979=""),"",D979*E979)</f>
        <v/>
      </c>
      <c r="G979" s="7"/>
      <c r="H979" s="7"/>
    </row>
    <row r="980" customFormat="false" ht="15" hidden="false" customHeight="true" outlineLevel="0" collapsed="false">
      <c r="A980" s="15"/>
      <c r="B980" s="7"/>
      <c r="C980" s="16" t="str">
        <f aca="false">IF(B980="","",IFERROR(INDEX(Products!$B$2:$B$501,MATCH(B980,Products!$A$2:$A$501,0)),"CODE NOT FOUND"))</f>
        <v/>
      </c>
      <c r="D980" s="7"/>
      <c r="E980" s="13"/>
      <c r="F980" s="17" t="str">
        <f aca="false">IF(OR(D980="",E980=""),"",D980*E980)</f>
        <v/>
      </c>
      <c r="G980" s="7"/>
      <c r="H980" s="7"/>
    </row>
    <row r="981" customFormat="false" ht="15" hidden="false" customHeight="true" outlineLevel="0" collapsed="false">
      <c r="A981" s="15"/>
      <c r="B981" s="7"/>
      <c r="C981" s="16" t="str">
        <f aca="false">IF(B981="","",IFERROR(INDEX(Products!$B$2:$B$501,MATCH(B981,Products!$A$2:$A$501,0)),"CODE NOT FOUND"))</f>
        <v/>
      </c>
      <c r="D981" s="7"/>
      <c r="E981" s="13"/>
      <c r="F981" s="17" t="str">
        <f aca="false">IF(OR(D981="",E981=""),"",D981*E981)</f>
        <v/>
      </c>
      <c r="G981" s="7"/>
      <c r="H981" s="7"/>
    </row>
    <row r="982" customFormat="false" ht="15" hidden="false" customHeight="true" outlineLevel="0" collapsed="false">
      <c r="A982" s="15"/>
      <c r="B982" s="7"/>
      <c r="C982" s="16" t="str">
        <f aca="false">IF(B982="","",IFERROR(INDEX(Products!$B$2:$B$501,MATCH(B982,Products!$A$2:$A$501,0)),"CODE NOT FOUND"))</f>
        <v/>
      </c>
      <c r="D982" s="7"/>
      <c r="E982" s="13"/>
      <c r="F982" s="17" t="str">
        <f aca="false">IF(OR(D982="",E982=""),"",D982*E982)</f>
        <v/>
      </c>
      <c r="G982" s="7"/>
      <c r="H982" s="7"/>
    </row>
    <row r="983" customFormat="false" ht="15" hidden="false" customHeight="true" outlineLevel="0" collapsed="false">
      <c r="A983" s="15"/>
      <c r="B983" s="7"/>
      <c r="C983" s="16" t="str">
        <f aca="false">IF(B983="","",IFERROR(INDEX(Products!$B$2:$B$501,MATCH(B983,Products!$A$2:$A$501,0)),"CODE NOT FOUND"))</f>
        <v/>
      </c>
      <c r="D983" s="7"/>
      <c r="E983" s="13"/>
      <c r="F983" s="17" t="str">
        <f aca="false">IF(OR(D983="",E983=""),"",D983*E983)</f>
        <v/>
      </c>
      <c r="G983" s="7"/>
      <c r="H983" s="7"/>
    </row>
    <row r="984" customFormat="false" ht="15" hidden="false" customHeight="true" outlineLevel="0" collapsed="false">
      <c r="A984" s="15"/>
      <c r="B984" s="7"/>
      <c r="C984" s="16" t="str">
        <f aca="false">IF(B984="","",IFERROR(INDEX(Products!$B$2:$B$501,MATCH(B984,Products!$A$2:$A$501,0)),"CODE NOT FOUND"))</f>
        <v/>
      </c>
      <c r="D984" s="7"/>
      <c r="E984" s="13"/>
      <c r="F984" s="17" t="str">
        <f aca="false">IF(OR(D984="",E984=""),"",D984*E984)</f>
        <v/>
      </c>
      <c r="G984" s="7"/>
      <c r="H984" s="7"/>
    </row>
    <row r="985" customFormat="false" ht="15" hidden="false" customHeight="true" outlineLevel="0" collapsed="false">
      <c r="A985" s="15"/>
      <c r="B985" s="7"/>
      <c r="C985" s="16" t="str">
        <f aca="false">IF(B985="","",IFERROR(INDEX(Products!$B$2:$B$501,MATCH(B985,Products!$A$2:$A$501,0)),"CODE NOT FOUND"))</f>
        <v/>
      </c>
      <c r="D985" s="7"/>
      <c r="E985" s="13"/>
      <c r="F985" s="17" t="str">
        <f aca="false">IF(OR(D985="",E985=""),"",D985*E985)</f>
        <v/>
      </c>
      <c r="G985" s="7"/>
      <c r="H985" s="7"/>
    </row>
    <row r="986" customFormat="false" ht="15" hidden="false" customHeight="true" outlineLevel="0" collapsed="false">
      <c r="A986" s="15"/>
      <c r="B986" s="7"/>
      <c r="C986" s="16" t="str">
        <f aca="false">IF(B986="","",IFERROR(INDEX(Products!$B$2:$B$501,MATCH(B986,Products!$A$2:$A$501,0)),"CODE NOT FOUND"))</f>
        <v/>
      </c>
      <c r="D986" s="7"/>
      <c r="E986" s="13"/>
      <c r="F986" s="17" t="str">
        <f aca="false">IF(OR(D986="",E986=""),"",D986*E986)</f>
        <v/>
      </c>
      <c r="G986" s="7"/>
      <c r="H986" s="7"/>
    </row>
    <row r="987" customFormat="false" ht="15" hidden="false" customHeight="true" outlineLevel="0" collapsed="false">
      <c r="A987" s="15"/>
      <c r="B987" s="7"/>
      <c r="C987" s="16" t="str">
        <f aca="false">IF(B987="","",IFERROR(INDEX(Products!$B$2:$B$501,MATCH(B987,Products!$A$2:$A$501,0)),"CODE NOT FOUND"))</f>
        <v/>
      </c>
      <c r="D987" s="7"/>
      <c r="E987" s="13"/>
      <c r="F987" s="17" t="str">
        <f aca="false">IF(OR(D987="",E987=""),"",D987*E987)</f>
        <v/>
      </c>
      <c r="G987" s="7"/>
      <c r="H987" s="7"/>
    </row>
    <row r="988" customFormat="false" ht="15" hidden="false" customHeight="true" outlineLevel="0" collapsed="false">
      <c r="A988" s="15"/>
      <c r="B988" s="7"/>
      <c r="C988" s="16" t="str">
        <f aca="false">IF(B988="","",IFERROR(INDEX(Products!$B$2:$B$501,MATCH(B988,Products!$A$2:$A$501,0)),"CODE NOT FOUND"))</f>
        <v/>
      </c>
      <c r="D988" s="7"/>
      <c r="E988" s="13"/>
      <c r="F988" s="17" t="str">
        <f aca="false">IF(OR(D988="",E988=""),"",D988*E988)</f>
        <v/>
      </c>
      <c r="G988" s="7"/>
      <c r="H988" s="7"/>
    </row>
    <row r="989" customFormat="false" ht="15" hidden="false" customHeight="true" outlineLevel="0" collapsed="false">
      <c r="A989" s="15"/>
      <c r="B989" s="7"/>
      <c r="C989" s="16" t="str">
        <f aca="false">IF(B989="","",IFERROR(INDEX(Products!$B$2:$B$501,MATCH(B989,Products!$A$2:$A$501,0)),"CODE NOT FOUND"))</f>
        <v/>
      </c>
      <c r="D989" s="7"/>
      <c r="E989" s="13"/>
      <c r="F989" s="17" t="str">
        <f aca="false">IF(OR(D989="",E989=""),"",D989*E989)</f>
        <v/>
      </c>
      <c r="G989" s="7"/>
      <c r="H989" s="7"/>
    </row>
    <row r="990" customFormat="false" ht="15" hidden="false" customHeight="true" outlineLevel="0" collapsed="false">
      <c r="A990" s="15"/>
      <c r="B990" s="7"/>
      <c r="C990" s="16" t="str">
        <f aca="false">IF(B990="","",IFERROR(INDEX(Products!$B$2:$B$501,MATCH(B990,Products!$A$2:$A$501,0)),"CODE NOT FOUND"))</f>
        <v/>
      </c>
      <c r="D990" s="7"/>
      <c r="E990" s="13"/>
      <c r="F990" s="17" t="str">
        <f aca="false">IF(OR(D990="",E990=""),"",D990*E990)</f>
        <v/>
      </c>
      <c r="G990" s="7"/>
      <c r="H990" s="7"/>
    </row>
    <row r="991" customFormat="false" ht="15" hidden="false" customHeight="true" outlineLevel="0" collapsed="false">
      <c r="A991" s="15"/>
      <c r="B991" s="7"/>
      <c r="C991" s="16" t="str">
        <f aca="false">IF(B991="","",IFERROR(INDEX(Products!$B$2:$B$501,MATCH(B991,Products!$A$2:$A$501,0)),"CODE NOT FOUND"))</f>
        <v/>
      </c>
      <c r="D991" s="7"/>
      <c r="E991" s="13"/>
      <c r="F991" s="17" t="str">
        <f aca="false">IF(OR(D991="",E991=""),"",D991*E991)</f>
        <v/>
      </c>
      <c r="G991" s="7"/>
      <c r="H991" s="7"/>
    </row>
    <row r="992" customFormat="false" ht="15" hidden="false" customHeight="true" outlineLevel="0" collapsed="false">
      <c r="A992" s="15"/>
      <c r="B992" s="7"/>
      <c r="C992" s="16" t="str">
        <f aca="false">IF(B992="","",IFERROR(INDEX(Products!$B$2:$B$501,MATCH(B992,Products!$A$2:$A$501,0)),"CODE NOT FOUND"))</f>
        <v/>
      </c>
      <c r="D992" s="7"/>
      <c r="E992" s="13"/>
      <c r="F992" s="17" t="str">
        <f aca="false">IF(OR(D992="",E992=""),"",D992*E992)</f>
        <v/>
      </c>
      <c r="G992" s="7"/>
      <c r="H992" s="7"/>
    </row>
    <row r="993" customFormat="false" ht="15" hidden="false" customHeight="true" outlineLevel="0" collapsed="false">
      <c r="A993" s="15"/>
      <c r="B993" s="7"/>
      <c r="C993" s="16" t="str">
        <f aca="false">IF(B993="","",IFERROR(INDEX(Products!$B$2:$B$501,MATCH(B993,Products!$A$2:$A$501,0)),"CODE NOT FOUND"))</f>
        <v/>
      </c>
      <c r="D993" s="7"/>
      <c r="E993" s="13"/>
      <c r="F993" s="17" t="str">
        <f aca="false">IF(OR(D993="",E993=""),"",D993*E993)</f>
        <v/>
      </c>
      <c r="G993" s="7"/>
      <c r="H993" s="7"/>
    </row>
    <row r="994" customFormat="false" ht="15" hidden="false" customHeight="true" outlineLevel="0" collapsed="false">
      <c r="A994" s="15"/>
      <c r="B994" s="7"/>
      <c r="C994" s="16" t="str">
        <f aca="false">IF(B994="","",IFERROR(INDEX(Products!$B$2:$B$501,MATCH(B994,Products!$A$2:$A$501,0)),"CODE NOT FOUND"))</f>
        <v/>
      </c>
      <c r="D994" s="7"/>
      <c r="E994" s="13"/>
      <c r="F994" s="17" t="str">
        <f aca="false">IF(OR(D994="",E994=""),"",D994*E994)</f>
        <v/>
      </c>
      <c r="G994" s="7"/>
      <c r="H994" s="7"/>
    </row>
    <row r="995" customFormat="false" ht="15" hidden="false" customHeight="true" outlineLevel="0" collapsed="false">
      <c r="A995" s="15"/>
      <c r="B995" s="7"/>
      <c r="C995" s="16" t="str">
        <f aca="false">IF(B995="","",IFERROR(INDEX(Products!$B$2:$B$501,MATCH(B995,Products!$A$2:$A$501,0)),"CODE NOT FOUND"))</f>
        <v/>
      </c>
      <c r="D995" s="7"/>
      <c r="E995" s="13"/>
      <c r="F995" s="17" t="str">
        <f aca="false">IF(OR(D995="",E995=""),"",D995*E995)</f>
        <v/>
      </c>
      <c r="G995" s="7"/>
      <c r="H995" s="7"/>
    </row>
    <row r="996" customFormat="false" ht="15" hidden="false" customHeight="true" outlineLevel="0" collapsed="false">
      <c r="A996" s="15"/>
      <c r="B996" s="7"/>
      <c r="C996" s="16" t="str">
        <f aca="false">IF(B996="","",IFERROR(INDEX(Products!$B$2:$B$501,MATCH(B996,Products!$A$2:$A$501,0)),"CODE NOT FOUND"))</f>
        <v/>
      </c>
      <c r="D996" s="7"/>
      <c r="E996" s="13"/>
      <c r="F996" s="17" t="str">
        <f aca="false">IF(OR(D996="",E996=""),"",D996*E996)</f>
        <v/>
      </c>
      <c r="G996" s="7"/>
      <c r="H996" s="7"/>
    </row>
    <row r="997" customFormat="false" ht="15" hidden="false" customHeight="true" outlineLevel="0" collapsed="false">
      <c r="A997" s="15"/>
      <c r="B997" s="7"/>
      <c r="C997" s="16" t="str">
        <f aca="false">IF(B997="","",IFERROR(INDEX(Products!$B$2:$B$501,MATCH(B997,Products!$A$2:$A$501,0)),"CODE NOT FOUND"))</f>
        <v/>
      </c>
      <c r="D997" s="7"/>
      <c r="E997" s="13"/>
      <c r="F997" s="17" t="str">
        <f aca="false">IF(OR(D997="",E997=""),"",D997*E997)</f>
        <v/>
      </c>
      <c r="G997" s="7"/>
      <c r="H997" s="7"/>
    </row>
    <row r="998" customFormat="false" ht="15" hidden="false" customHeight="true" outlineLevel="0" collapsed="false">
      <c r="A998" s="15"/>
      <c r="B998" s="7"/>
      <c r="C998" s="16" t="str">
        <f aca="false">IF(B998="","",IFERROR(INDEX(Products!$B$2:$B$501,MATCH(B998,Products!$A$2:$A$501,0)),"CODE NOT FOUND"))</f>
        <v/>
      </c>
      <c r="D998" s="7"/>
      <c r="E998" s="13"/>
      <c r="F998" s="17" t="str">
        <f aca="false">IF(OR(D998="",E998=""),"",D998*E998)</f>
        <v/>
      </c>
      <c r="G998" s="7"/>
      <c r="H998" s="7"/>
    </row>
    <row r="999" customFormat="false" ht="15" hidden="false" customHeight="true" outlineLevel="0" collapsed="false">
      <c r="A999" s="15"/>
      <c r="B999" s="7"/>
      <c r="C999" s="16" t="str">
        <f aca="false">IF(B999="","",IFERROR(INDEX(Products!$B$2:$B$501,MATCH(B999,Products!$A$2:$A$501,0)),"CODE NOT FOUND"))</f>
        <v/>
      </c>
      <c r="D999" s="7"/>
      <c r="E999" s="13"/>
      <c r="F999" s="17" t="str">
        <f aca="false">IF(OR(D999="",E999=""),"",D999*E999)</f>
        <v/>
      </c>
      <c r="G999" s="7"/>
      <c r="H999" s="7"/>
    </row>
    <row r="1000" customFormat="false" ht="15" hidden="false" customHeight="true" outlineLevel="0" collapsed="false">
      <c r="A1000" s="15"/>
      <c r="B1000" s="7"/>
      <c r="C1000" s="16" t="str">
        <f aca="false">IF(B1000="","",IFERROR(INDEX(Products!$B$2:$B$501,MATCH(B1000,Products!$A$2:$A$501,0)),"CODE NOT FOUND"))</f>
        <v/>
      </c>
      <c r="D1000" s="7"/>
      <c r="E1000" s="13"/>
      <c r="F1000" s="17" t="str">
        <f aca="false">IF(OR(D1000="",E1000=""),"",D1000*E1000)</f>
        <v/>
      </c>
      <c r="G1000" s="7"/>
      <c r="H1000" s="7"/>
    </row>
    <row r="1001" customFormat="false" ht="15" hidden="false" customHeight="true" outlineLevel="0" collapsed="false">
      <c r="A1001" s="15"/>
      <c r="B1001" s="7"/>
      <c r="C1001" s="16" t="str">
        <f aca="false">IF(B1001="","",IFERROR(INDEX(Products!$B$2:$B$501,MATCH(B1001,Products!$A$2:$A$501,0)),"CODE NOT FOUND"))</f>
        <v/>
      </c>
      <c r="D1001" s="7"/>
      <c r="E1001" s="13"/>
      <c r="F1001" s="17" t="str">
        <f aca="false">IF(OR(D1001="",E1001=""),"",D1001*E1001)</f>
        <v/>
      </c>
      <c r="G1001" s="7"/>
      <c r="H1001" s="7"/>
    </row>
    <row r="1002" customFormat="false" ht="15" hidden="false" customHeight="true" outlineLevel="0" collapsed="false">
      <c r="A1002" s="15"/>
      <c r="B1002" s="7"/>
      <c r="C1002" s="16" t="str">
        <f aca="false">IF(B1002="","",IFERROR(INDEX(Products!$B$2:$B$501,MATCH(B1002,Products!$A$2:$A$501,0)),"CODE NOT FOUND"))</f>
        <v/>
      </c>
      <c r="D1002" s="7"/>
      <c r="E1002" s="13"/>
      <c r="F1002" s="17" t="str">
        <f aca="false">IF(OR(D1002="",E1002=""),"",D1002*E1002)</f>
        <v/>
      </c>
      <c r="G1002" s="7"/>
      <c r="H1002" s="7"/>
    </row>
    <row r="1003" customFormat="false" ht="15" hidden="false" customHeight="true" outlineLevel="0" collapsed="false">
      <c r="A1003" s="15"/>
      <c r="B1003" s="7"/>
      <c r="C1003" s="16" t="str">
        <f aca="false">IF(B1003="","",IFERROR(INDEX(Products!$B$2:$B$501,MATCH(B1003,Products!$A$2:$A$501,0)),"CODE NOT FOUND"))</f>
        <v/>
      </c>
      <c r="D1003" s="7"/>
      <c r="E1003" s="13"/>
      <c r="F1003" s="17" t="str">
        <f aca="false">IF(OR(D1003="",E1003=""),"",D1003*E1003)</f>
        <v/>
      </c>
      <c r="G1003" s="7"/>
      <c r="H1003" s="7"/>
    </row>
    <row r="1004" customFormat="false" ht="15" hidden="false" customHeight="true" outlineLevel="0" collapsed="false">
      <c r="A1004" s="15"/>
      <c r="B1004" s="7"/>
      <c r="C1004" s="16" t="str">
        <f aca="false">IF(B1004="","",IFERROR(INDEX(Products!$B$2:$B$501,MATCH(B1004,Products!$A$2:$A$501,0)),"CODE NOT FOUND"))</f>
        <v/>
      </c>
      <c r="D1004" s="7"/>
      <c r="E1004" s="13"/>
      <c r="F1004" s="17" t="str">
        <f aca="false">IF(OR(D1004="",E1004=""),"",D1004*E1004)</f>
        <v/>
      </c>
      <c r="G1004" s="7"/>
      <c r="H1004" s="7"/>
    </row>
    <row r="1005" customFormat="false" ht="15" hidden="false" customHeight="true" outlineLevel="0" collapsed="false">
      <c r="A1005" s="15"/>
      <c r="B1005" s="7"/>
      <c r="C1005" s="16" t="str">
        <f aca="false">IF(B1005="","",IFERROR(INDEX(Products!$B$2:$B$501,MATCH(B1005,Products!$A$2:$A$501,0)),"CODE NOT FOUND"))</f>
        <v/>
      </c>
      <c r="D1005" s="7"/>
      <c r="E1005" s="13"/>
      <c r="F1005" s="17" t="str">
        <f aca="false">IF(OR(D1005="",E1005=""),"",D1005*E1005)</f>
        <v/>
      </c>
      <c r="G1005" s="7"/>
      <c r="H1005" s="7"/>
    </row>
    <row r="1006" customFormat="false" ht="15" hidden="false" customHeight="true" outlineLevel="0" collapsed="false">
      <c r="A1006" s="15"/>
      <c r="B1006" s="7"/>
      <c r="C1006" s="16" t="str">
        <f aca="false">IF(B1006="","",IFERROR(INDEX(Products!$B$2:$B$501,MATCH(B1006,Products!$A$2:$A$501,0)),"CODE NOT FOUND"))</f>
        <v/>
      </c>
      <c r="D1006" s="7"/>
      <c r="E1006" s="13"/>
      <c r="F1006" s="17" t="str">
        <f aca="false">IF(OR(D1006="",E1006=""),"",D1006*E1006)</f>
        <v/>
      </c>
      <c r="G1006" s="7"/>
      <c r="H1006" s="7"/>
    </row>
    <row r="1007" customFormat="false" ht="15" hidden="false" customHeight="true" outlineLevel="0" collapsed="false">
      <c r="A1007" s="15"/>
      <c r="B1007" s="7"/>
      <c r="C1007" s="16" t="str">
        <f aca="false">IF(B1007="","",IFERROR(INDEX(Products!$B$2:$B$501,MATCH(B1007,Products!$A$2:$A$501,0)),"CODE NOT FOUND"))</f>
        <v/>
      </c>
      <c r="D1007" s="7"/>
      <c r="E1007" s="13"/>
      <c r="F1007" s="17" t="str">
        <f aca="false">IF(OR(D1007="",E1007=""),"",D1007*E1007)</f>
        <v/>
      </c>
      <c r="G1007" s="7"/>
      <c r="H1007" s="7"/>
    </row>
    <row r="1008" customFormat="false" ht="15" hidden="false" customHeight="true" outlineLevel="0" collapsed="false">
      <c r="A1008" s="15"/>
      <c r="B1008" s="7"/>
      <c r="C1008" s="16" t="str">
        <f aca="false">IF(B1008="","",IFERROR(INDEX(Products!$B$2:$B$501,MATCH(B1008,Products!$A$2:$A$501,0)),"CODE NOT FOUND"))</f>
        <v/>
      </c>
      <c r="D1008" s="7"/>
      <c r="E1008" s="13"/>
      <c r="F1008" s="17" t="str">
        <f aca="false">IF(OR(D1008="",E1008=""),"",D1008*E1008)</f>
        <v/>
      </c>
      <c r="G1008" s="7"/>
      <c r="H1008" s="7"/>
    </row>
    <row r="1009" customFormat="false" ht="15" hidden="false" customHeight="true" outlineLevel="0" collapsed="false">
      <c r="A1009" s="15"/>
      <c r="B1009" s="7"/>
      <c r="C1009" s="16" t="str">
        <f aca="false">IF(B1009="","",IFERROR(INDEX(Products!$B$2:$B$501,MATCH(B1009,Products!$A$2:$A$501,0)),"CODE NOT FOUND"))</f>
        <v/>
      </c>
      <c r="D1009" s="7"/>
      <c r="E1009" s="13"/>
      <c r="F1009" s="17" t="str">
        <f aca="false">IF(OR(D1009="",E1009=""),"",D1009*E1009)</f>
        <v/>
      </c>
      <c r="G1009" s="7"/>
      <c r="H1009" s="7"/>
    </row>
    <row r="1010" customFormat="false" ht="15" hidden="false" customHeight="true" outlineLevel="0" collapsed="false">
      <c r="A1010" s="15"/>
      <c r="B1010" s="7"/>
      <c r="C1010" s="16" t="str">
        <f aca="false">IF(B1010="","",IFERROR(INDEX(Products!$B$2:$B$501,MATCH(B1010,Products!$A$2:$A$501,0)),"CODE NOT FOUND"))</f>
        <v/>
      </c>
      <c r="D1010" s="7"/>
      <c r="E1010" s="13"/>
      <c r="F1010" s="17" t="str">
        <f aca="false">IF(OR(D1010="",E1010=""),"",D1010*E1010)</f>
        <v/>
      </c>
      <c r="G1010" s="7"/>
      <c r="H1010" s="7"/>
    </row>
    <row r="1011" customFormat="false" ht="15" hidden="false" customHeight="true" outlineLevel="0" collapsed="false">
      <c r="A1011" s="15"/>
      <c r="B1011" s="7"/>
      <c r="C1011" s="16" t="str">
        <f aca="false">IF(B1011="","",IFERROR(INDEX(Products!$B$2:$B$501,MATCH(B1011,Products!$A$2:$A$501,0)),"CODE NOT FOUND"))</f>
        <v/>
      </c>
      <c r="D1011" s="7"/>
      <c r="E1011" s="13"/>
      <c r="F1011" s="17" t="str">
        <f aca="false">IF(OR(D1011="",E1011=""),"",D1011*E1011)</f>
        <v/>
      </c>
      <c r="G1011" s="7"/>
      <c r="H1011" s="7"/>
    </row>
    <row r="1012" customFormat="false" ht="15" hidden="false" customHeight="true" outlineLevel="0" collapsed="false">
      <c r="A1012" s="15"/>
      <c r="B1012" s="7"/>
      <c r="C1012" s="16" t="str">
        <f aca="false">IF(B1012="","",IFERROR(INDEX(Products!$B$2:$B$501,MATCH(B1012,Products!$A$2:$A$501,0)),"CODE NOT FOUND"))</f>
        <v/>
      </c>
      <c r="D1012" s="7"/>
      <c r="E1012" s="13"/>
      <c r="F1012" s="17" t="str">
        <f aca="false">IF(OR(D1012="",E1012=""),"",D1012*E1012)</f>
        <v/>
      </c>
      <c r="G1012" s="7"/>
      <c r="H1012" s="7"/>
    </row>
    <row r="1013" customFormat="false" ht="15" hidden="false" customHeight="true" outlineLevel="0" collapsed="false">
      <c r="A1013" s="15"/>
      <c r="B1013" s="7"/>
      <c r="C1013" s="16" t="str">
        <f aca="false">IF(B1013="","",IFERROR(INDEX(Products!$B$2:$B$501,MATCH(B1013,Products!$A$2:$A$501,0)),"CODE NOT FOUND"))</f>
        <v/>
      </c>
      <c r="D1013" s="7"/>
      <c r="E1013" s="13"/>
      <c r="F1013" s="17" t="str">
        <f aca="false">IF(OR(D1013="",E1013=""),"",D1013*E1013)</f>
        <v/>
      </c>
      <c r="G1013" s="7"/>
      <c r="H1013" s="7"/>
    </row>
    <row r="1014" customFormat="false" ht="15" hidden="false" customHeight="true" outlineLevel="0" collapsed="false">
      <c r="A1014" s="15"/>
      <c r="B1014" s="7"/>
      <c r="C1014" s="16" t="str">
        <f aca="false">IF(B1014="","",IFERROR(INDEX(Products!$B$2:$B$501,MATCH(B1014,Products!$A$2:$A$501,0)),"CODE NOT FOUND"))</f>
        <v/>
      </c>
      <c r="D1014" s="7"/>
      <c r="E1014" s="13"/>
      <c r="F1014" s="17" t="str">
        <f aca="false">IF(OR(D1014="",E1014=""),"",D1014*E1014)</f>
        <v/>
      </c>
      <c r="G1014" s="7"/>
      <c r="H1014" s="7"/>
    </row>
    <row r="1015" customFormat="false" ht="15" hidden="false" customHeight="true" outlineLevel="0" collapsed="false">
      <c r="A1015" s="15"/>
      <c r="B1015" s="7"/>
      <c r="C1015" s="16" t="str">
        <f aca="false">IF(B1015="","",IFERROR(INDEX(Products!$B$2:$B$501,MATCH(B1015,Products!$A$2:$A$501,0)),"CODE NOT FOUND"))</f>
        <v/>
      </c>
      <c r="D1015" s="7"/>
      <c r="E1015" s="13"/>
      <c r="F1015" s="17" t="str">
        <f aca="false">IF(OR(D1015="",E1015=""),"",D1015*E1015)</f>
        <v/>
      </c>
      <c r="G1015" s="7"/>
      <c r="H1015" s="7"/>
    </row>
    <row r="1016" customFormat="false" ht="15" hidden="false" customHeight="true" outlineLevel="0" collapsed="false">
      <c r="A1016" s="15"/>
      <c r="B1016" s="7"/>
      <c r="C1016" s="16" t="str">
        <f aca="false">IF(B1016="","",IFERROR(INDEX(Products!$B$2:$B$501,MATCH(B1016,Products!$A$2:$A$501,0)),"CODE NOT FOUND"))</f>
        <v/>
      </c>
      <c r="D1016" s="7"/>
      <c r="E1016" s="13"/>
      <c r="F1016" s="17" t="str">
        <f aca="false">IF(OR(D1016="",E1016=""),"",D1016*E1016)</f>
        <v/>
      </c>
      <c r="G1016" s="7"/>
      <c r="H1016" s="7"/>
    </row>
    <row r="1017" customFormat="false" ht="15" hidden="false" customHeight="true" outlineLevel="0" collapsed="false">
      <c r="A1017" s="15"/>
      <c r="B1017" s="7"/>
      <c r="C1017" s="16" t="str">
        <f aca="false">IF(B1017="","",IFERROR(INDEX(Products!$B$2:$B$501,MATCH(B1017,Products!$A$2:$A$501,0)),"CODE NOT FOUND"))</f>
        <v/>
      </c>
      <c r="D1017" s="7"/>
      <c r="E1017" s="13"/>
      <c r="F1017" s="17" t="str">
        <f aca="false">IF(OR(D1017="",E1017=""),"",D1017*E1017)</f>
        <v/>
      </c>
      <c r="G1017" s="7"/>
      <c r="H1017" s="7"/>
    </row>
    <row r="1018" customFormat="false" ht="15" hidden="false" customHeight="true" outlineLevel="0" collapsed="false">
      <c r="A1018" s="15"/>
      <c r="B1018" s="7"/>
      <c r="C1018" s="16" t="str">
        <f aca="false">IF(B1018="","",IFERROR(INDEX(Products!$B$2:$B$501,MATCH(B1018,Products!$A$2:$A$501,0)),"CODE NOT FOUND"))</f>
        <v/>
      </c>
      <c r="D1018" s="7"/>
      <c r="E1018" s="13"/>
      <c r="F1018" s="17" t="str">
        <f aca="false">IF(OR(D1018="",E1018=""),"",D1018*E1018)</f>
        <v/>
      </c>
      <c r="G1018" s="7"/>
      <c r="H1018" s="7"/>
    </row>
    <row r="1019" customFormat="false" ht="15" hidden="false" customHeight="true" outlineLevel="0" collapsed="false">
      <c r="A1019" s="15"/>
      <c r="B1019" s="7"/>
      <c r="C1019" s="16" t="str">
        <f aca="false">IF(B1019="","",IFERROR(INDEX(Products!$B$2:$B$501,MATCH(B1019,Products!$A$2:$A$501,0)),"CODE NOT FOUND"))</f>
        <v/>
      </c>
      <c r="D1019" s="7"/>
      <c r="E1019" s="13"/>
      <c r="F1019" s="17" t="str">
        <f aca="false">IF(OR(D1019="",E1019=""),"",D1019*E1019)</f>
        <v/>
      </c>
      <c r="G1019" s="7"/>
      <c r="H1019" s="7"/>
    </row>
    <row r="1020" customFormat="false" ht="15" hidden="false" customHeight="true" outlineLevel="0" collapsed="false">
      <c r="A1020" s="15"/>
      <c r="B1020" s="7"/>
      <c r="C1020" s="16" t="str">
        <f aca="false">IF(B1020="","",IFERROR(INDEX(Products!$B$2:$B$501,MATCH(B1020,Products!$A$2:$A$501,0)),"CODE NOT FOUND"))</f>
        <v/>
      </c>
      <c r="D1020" s="7"/>
      <c r="E1020" s="13"/>
      <c r="F1020" s="17" t="str">
        <f aca="false">IF(OR(D1020="",E1020=""),"",D1020*E1020)</f>
        <v/>
      </c>
      <c r="G1020" s="7"/>
      <c r="H1020" s="7"/>
    </row>
    <row r="1021" customFormat="false" ht="15" hidden="false" customHeight="true" outlineLevel="0" collapsed="false">
      <c r="A1021" s="15"/>
      <c r="B1021" s="7"/>
      <c r="C1021" s="16" t="str">
        <f aca="false">IF(B1021="","",IFERROR(INDEX(Products!$B$2:$B$501,MATCH(B1021,Products!$A$2:$A$501,0)),"CODE NOT FOUND"))</f>
        <v/>
      </c>
      <c r="D1021" s="7"/>
      <c r="E1021" s="13"/>
      <c r="F1021" s="17" t="str">
        <f aca="false">IF(OR(D1021="",E1021=""),"",D1021*E1021)</f>
        <v/>
      </c>
      <c r="G1021" s="7"/>
      <c r="H1021" s="7"/>
    </row>
    <row r="1022" customFormat="false" ht="15" hidden="false" customHeight="true" outlineLevel="0" collapsed="false">
      <c r="A1022" s="15"/>
      <c r="B1022" s="7"/>
      <c r="C1022" s="16" t="str">
        <f aca="false">IF(B1022="","",IFERROR(INDEX(Products!$B$2:$B$501,MATCH(B1022,Products!$A$2:$A$501,0)),"CODE NOT FOUND"))</f>
        <v/>
      </c>
      <c r="D1022" s="7"/>
      <c r="E1022" s="13"/>
      <c r="F1022" s="17" t="str">
        <f aca="false">IF(OR(D1022="",E1022=""),"",D1022*E1022)</f>
        <v/>
      </c>
      <c r="G1022" s="7"/>
      <c r="H1022" s="7"/>
    </row>
    <row r="1023" customFormat="false" ht="15" hidden="false" customHeight="true" outlineLevel="0" collapsed="false">
      <c r="A1023" s="15"/>
      <c r="B1023" s="7"/>
      <c r="C1023" s="16" t="str">
        <f aca="false">IF(B1023="","",IFERROR(INDEX(Products!$B$2:$B$501,MATCH(B1023,Products!$A$2:$A$501,0)),"CODE NOT FOUND"))</f>
        <v/>
      </c>
      <c r="D1023" s="7"/>
      <c r="E1023" s="13"/>
      <c r="F1023" s="17" t="str">
        <f aca="false">IF(OR(D1023="",E1023=""),"",D1023*E1023)</f>
        <v/>
      </c>
      <c r="G1023" s="7"/>
      <c r="H1023" s="7"/>
    </row>
    <row r="1024" customFormat="false" ht="15" hidden="false" customHeight="true" outlineLevel="0" collapsed="false">
      <c r="A1024" s="15"/>
      <c r="B1024" s="7"/>
      <c r="C1024" s="16" t="str">
        <f aca="false">IF(B1024="","",IFERROR(INDEX(Products!$B$2:$B$501,MATCH(B1024,Products!$A$2:$A$501,0)),"CODE NOT FOUND"))</f>
        <v/>
      </c>
      <c r="D1024" s="7"/>
      <c r="E1024" s="13"/>
      <c r="F1024" s="17" t="str">
        <f aca="false">IF(OR(D1024="",E1024=""),"",D1024*E1024)</f>
        <v/>
      </c>
      <c r="G1024" s="7"/>
      <c r="H1024" s="7"/>
    </row>
    <row r="1025" customFormat="false" ht="15" hidden="false" customHeight="true" outlineLevel="0" collapsed="false">
      <c r="A1025" s="15"/>
      <c r="B1025" s="7"/>
      <c r="C1025" s="16" t="str">
        <f aca="false">IF(B1025="","",IFERROR(INDEX(Products!$B$2:$B$501,MATCH(B1025,Products!$A$2:$A$501,0)),"CODE NOT FOUND"))</f>
        <v/>
      </c>
      <c r="D1025" s="7"/>
      <c r="E1025" s="13"/>
      <c r="F1025" s="17" t="str">
        <f aca="false">IF(OR(D1025="",E1025=""),"",D1025*E1025)</f>
        <v/>
      </c>
      <c r="G1025" s="7"/>
      <c r="H1025" s="7"/>
    </row>
    <row r="1026" customFormat="false" ht="15" hidden="false" customHeight="true" outlineLevel="0" collapsed="false">
      <c r="A1026" s="15"/>
      <c r="B1026" s="7"/>
      <c r="C1026" s="16" t="str">
        <f aca="false">IF(B1026="","",IFERROR(INDEX(Products!$B$2:$B$501,MATCH(B1026,Products!$A$2:$A$501,0)),"CODE NOT FOUND"))</f>
        <v/>
      </c>
      <c r="D1026" s="7"/>
      <c r="E1026" s="13"/>
      <c r="F1026" s="17" t="str">
        <f aca="false">IF(OR(D1026="",E1026=""),"",D1026*E1026)</f>
        <v/>
      </c>
      <c r="G1026" s="7"/>
      <c r="H1026" s="7"/>
    </row>
    <row r="1027" customFormat="false" ht="15" hidden="false" customHeight="true" outlineLevel="0" collapsed="false">
      <c r="A1027" s="15"/>
      <c r="B1027" s="7"/>
      <c r="C1027" s="16" t="str">
        <f aca="false">IF(B1027="","",IFERROR(INDEX(Products!$B$2:$B$501,MATCH(B1027,Products!$A$2:$A$501,0)),"CODE NOT FOUND"))</f>
        <v/>
      </c>
      <c r="D1027" s="7"/>
      <c r="E1027" s="13"/>
      <c r="F1027" s="17" t="str">
        <f aca="false">IF(OR(D1027="",E1027=""),"",D1027*E1027)</f>
        <v/>
      </c>
      <c r="G1027" s="7"/>
      <c r="H1027" s="7"/>
    </row>
    <row r="1028" customFormat="false" ht="15" hidden="false" customHeight="true" outlineLevel="0" collapsed="false">
      <c r="A1028" s="15"/>
      <c r="B1028" s="7"/>
      <c r="C1028" s="16" t="str">
        <f aca="false">IF(B1028="","",IFERROR(INDEX(Products!$B$2:$B$501,MATCH(B1028,Products!$A$2:$A$501,0)),"CODE NOT FOUND"))</f>
        <v/>
      </c>
      <c r="D1028" s="7"/>
      <c r="E1028" s="13"/>
      <c r="F1028" s="17" t="str">
        <f aca="false">IF(OR(D1028="",E1028=""),"",D1028*E1028)</f>
        <v/>
      </c>
      <c r="G1028" s="7"/>
      <c r="H1028" s="7"/>
    </row>
    <row r="1029" customFormat="false" ht="15" hidden="false" customHeight="true" outlineLevel="0" collapsed="false">
      <c r="A1029" s="15"/>
      <c r="B1029" s="7"/>
      <c r="C1029" s="16" t="str">
        <f aca="false">IF(B1029="","",IFERROR(INDEX(Products!$B$2:$B$501,MATCH(B1029,Products!$A$2:$A$501,0)),"CODE NOT FOUND"))</f>
        <v/>
      </c>
      <c r="D1029" s="7"/>
      <c r="E1029" s="13"/>
      <c r="F1029" s="17" t="str">
        <f aca="false">IF(OR(D1029="",E1029=""),"",D1029*E1029)</f>
        <v/>
      </c>
      <c r="G1029" s="7"/>
      <c r="H1029" s="7"/>
    </row>
    <row r="1030" customFormat="false" ht="15" hidden="false" customHeight="true" outlineLevel="0" collapsed="false">
      <c r="A1030" s="15"/>
      <c r="B1030" s="7"/>
      <c r="C1030" s="16" t="str">
        <f aca="false">IF(B1030="","",IFERROR(INDEX(Products!$B$2:$B$501,MATCH(B1030,Products!$A$2:$A$501,0)),"CODE NOT FOUND"))</f>
        <v/>
      </c>
      <c r="D1030" s="7"/>
      <c r="E1030" s="13"/>
      <c r="F1030" s="17" t="str">
        <f aca="false">IF(OR(D1030="",E1030=""),"",D1030*E1030)</f>
        <v/>
      </c>
      <c r="G1030" s="7"/>
      <c r="H1030" s="7"/>
    </row>
    <row r="1031" customFormat="false" ht="15" hidden="false" customHeight="true" outlineLevel="0" collapsed="false">
      <c r="A1031" s="15"/>
      <c r="B1031" s="7"/>
      <c r="C1031" s="16" t="str">
        <f aca="false">IF(B1031="","",IFERROR(INDEX(Products!$B$2:$B$501,MATCH(B1031,Products!$A$2:$A$501,0)),"CODE NOT FOUND"))</f>
        <v/>
      </c>
      <c r="D1031" s="7"/>
      <c r="E1031" s="13"/>
      <c r="F1031" s="17" t="str">
        <f aca="false">IF(OR(D1031="",E1031=""),"",D1031*E1031)</f>
        <v/>
      </c>
      <c r="G1031" s="7"/>
      <c r="H1031" s="7"/>
    </row>
    <row r="1032" customFormat="false" ht="15" hidden="false" customHeight="true" outlineLevel="0" collapsed="false">
      <c r="A1032" s="15"/>
      <c r="B1032" s="7"/>
      <c r="C1032" s="16" t="str">
        <f aca="false">IF(B1032="","",IFERROR(INDEX(Products!$B$2:$B$501,MATCH(B1032,Products!$A$2:$A$501,0)),"CODE NOT FOUND"))</f>
        <v/>
      </c>
      <c r="D1032" s="7"/>
      <c r="E1032" s="13"/>
      <c r="F1032" s="17" t="str">
        <f aca="false">IF(OR(D1032="",E1032=""),"",D1032*E1032)</f>
        <v/>
      </c>
      <c r="G1032" s="7"/>
      <c r="H1032" s="7"/>
    </row>
    <row r="1033" customFormat="false" ht="15" hidden="false" customHeight="true" outlineLevel="0" collapsed="false">
      <c r="A1033" s="15"/>
      <c r="B1033" s="7"/>
      <c r="C1033" s="16" t="str">
        <f aca="false">IF(B1033="","",IFERROR(INDEX(Products!$B$2:$B$501,MATCH(B1033,Products!$A$2:$A$501,0)),"CODE NOT FOUND"))</f>
        <v/>
      </c>
      <c r="D1033" s="7"/>
      <c r="E1033" s="13"/>
      <c r="F1033" s="17" t="str">
        <f aca="false">IF(OR(D1033="",E1033=""),"",D1033*E1033)</f>
        <v/>
      </c>
      <c r="G1033" s="7"/>
      <c r="H1033" s="7"/>
    </row>
    <row r="1034" customFormat="false" ht="15" hidden="false" customHeight="true" outlineLevel="0" collapsed="false">
      <c r="A1034" s="15"/>
      <c r="B1034" s="7"/>
      <c r="C1034" s="16" t="str">
        <f aca="false">IF(B1034="","",IFERROR(INDEX(Products!$B$2:$B$501,MATCH(B1034,Products!$A$2:$A$501,0)),"CODE NOT FOUND"))</f>
        <v/>
      </c>
      <c r="D1034" s="7"/>
      <c r="E1034" s="13"/>
      <c r="F1034" s="17" t="str">
        <f aca="false">IF(OR(D1034="",E1034=""),"",D1034*E1034)</f>
        <v/>
      </c>
      <c r="G1034" s="7"/>
      <c r="H1034" s="7"/>
    </row>
    <row r="1035" customFormat="false" ht="15" hidden="false" customHeight="true" outlineLevel="0" collapsed="false">
      <c r="A1035" s="15"/>
      <c r="B1035" s="7"/>
      <c r="C1035" s="16" t="str">
        <f aca="false">IF(B1035="","",IFERROR(INDEX(Products!$B$2:$B$501,MATCH(B1035,Products!$A$2:$A$501,0)),"CODE NOT FOUND"))</f>
        <v/>
      </c>
      <c r="D1035" s="7"/>
      <c r="E1035" s="13"/>
      <c r="F1035" s="17" t="str">
        <f aca="false">IF(OR(D1035="",E1035=""),"",D1035*E1035)</f>
        <v/>
      </c>
      <c r="G1035" s="7"/>
      <c r="H1035" s="7"/>
    </row>
    <row r="1036" customFormat="false" ht="15" hidden="false" customHeight="true" outlineLevel="0" collapsed="false">
      <c r="A1036" s="15"/>
      <c r="B1036" s="7"/>
      <c r="C1036" s="16" t="str">
        <f aca="false">IF(B1036="","",IFERROR(INDEX(Products!$B$2:$B$501,MATCH(B1036,Products!$A$2:$A$501,0)),"CODE NOT FOUND"))</f>
        <v/>
      </c>
      <c r="D1036" s="7"/>
      <c r="E1036" s="13"/>
      <c r="F1036" s="17" t="str">
        <f aca="false">IF(OR(D1036="",E1036=""),"",D1036*E1036)</f>
        <v/>
      </c>
      <c r="G1036" s="7"/>
      <c r="H1036" s="7"/>
    </row>
    <row r="1037" customFormat="false" ht="15" hidden="false" customHeight="true" outlineLevel="0" collapsed="false">
      <c r="A1037" s="15"/>
      <c r="B1037" s="7"/>
      <c r="C1037" s="16" t="str">
        <f aca="false">IF(B1037="","",IFERROR(INDEX(Products!$B$2:$B$501,MATCH(B1037,Products!$A$2:$A$501,0)),"CODE NOT FOUND"))</f>
        <v/>
      </c>
      <c r="D1037" s="7"/>
      <c r="E1037" s="13"/>
      <c r="F1037" s="17" t="str">
        <f aca="false">IF(OR(D1037="",E1037=""),"",D1037*E1037)</f>
        <v/>
      </c>
      <c r="G1037" s="7"/>
      <c r="H1037" s="7"/>
    </row>
    <row r="1038" customFormat="false" ht="15" hidden="false" customHeight="true" outlineLevel="0" collapsed="false">
      <c r="A1038" s="15"/>
      <c r="B1038" s="7"/>
      <c r="C1038" s="16" t="str">
        <f aca="false">IF(B1038="","",IFERROR(INDEX(Products!$B$2:$B$501,MATCH(B1038,Products!$A$2:$A$501,0)),"CODE NOT FOUND"))</f>
        <v/>
      </c>
      <c r="D1038" s="7"/>
      <c r="E1038" s="13"/>
      <c r="F1038" s="17" t="str">
        <f aca="false">IF(OR(D1038="",E1038=""),"",D1038*E1038)</f>
        <v/>
      </c>
      <c r="G1038" s="7"/>
      <c r="H1038" s="7"/>
    </row>
    <row r="1039" customFormat="false" ht="15" hidden="false" customHeight="true" outlineLevel="0" collapsed="false">
      <c r="A1039" s="15"/>
      <c r="B1039" s="7"/>
      <c r="C1039" s="16" t="str">
        <f aca="false">IF(B1039="","",IFERROR(INDEX(Products!$B$2:$B$501,MATCH(B1039,Products!$A$2:$A$501,0)),"CODE NOT FOUND"))</f>
        <v/>
      </c>
      <c r="D1039" s="7"/>
      <c r="E1039" s="13"/>
      <c r="F1039" s="17" t="str">
        <f aca="false">IF(OR(D1039="",E1039=""),"",D1039*E1039)</f>
        <v/>
      </c>
      <c r="G1039" s="7"/>
      <c r="H1039" s="7"/>
    </row>
    <row r="1040" customFormat="false" ht="15" hidden="false" customHeight="true" outlineLevel="0" collapsed="false">
      <c r="A1040" s="15"/>
      <c r="B1040" s="7"/>
      <c r="C1040" s="16" t="str">
        <f aca="false">IF(B1040="","",IFERROR(INDEX(Products!$B$2:$B$501,MATCH(B1040,Products!$A$2:$A$501,0)),"CODE NOT FOUND"))</f>
        <v/>
      </c>
      <c r="D1040" s="7"/>
      <c r="E1040" s="13"/>
      <c r="F1040" s="17" t="str">
        <f aca="false">IF(OR(D1040="",E1040=""),"",D1040*E1040)</f>
        <v/>
      </c>
      <c r="G1040" s="7"/>
      <c r="H1040" s="7"/>
    </row>
    <row r="1041" customFormat="false" ht="15" hidden="false" customHeight="true" outlineLevel="0" collapsed="false">
      <c r="A1041" s="15"/>
      <c r="B1041" s="7"/>
      <c r="C1041" s="16" t="str">
        <f aca="false">IF(B1041="","",IFERROR(INDEX(Products!$B$2:$B$501,MATCH(B1041,Products!$A$2:$A$501,0)),"CODE NOT FOUND"))</f>
        <v/>
      </c>
      <c r="D1041" s="7"/>
      <c r="E1041" s="13"/>
      <c r="F1041" s="17" t="str">
        <f aca="false">IF(OR(D1041="",E1041=""),"",D1041*E1041)</f>
        <v/>
      </c>
      <c r="G1041" s="7"/>
      <c r="H1041" s="7"/>
    </row>
    <row r="1042" customFormat="false" ht="15" hidden="false" customHeight="true" outlineLevel="0" collapsed="false">
      <c r="A1042" s="15"/>
      <c r="B1042" s="7"/>
      <c r="C1042" s="16" t="str">
        <f aca="false">IF(B1042="","",IFERROR(INDEX(Products!$B$2:$B$501,MATCH(B1042,Products!$A$2:$A$501,0)),"CODE NOT FOUND"))</f>
        <v/>
      </c>
      <c r="D1042" s="7"/>
      <c r="E1042" s="13"/>
      <c r="F1042" s="17" t="str">
        <f aca="false">IF(OR(D1042="",E1042=""),"",D1042*E1042)</f>
        <v/>
      </c>
      <c r="G1042" s="7"/>
      <c r="H1042" s="7"/>
    </row>
    <row r="1043" customFormat="false" ht="15" hidden="false" customHeight="true" outlineLevel="0" collapsed="false">
      <c r="A1043" s="15"/>
      <c r="B1043" s="7"/>
      <c r="C1043" s="16" t="str">
        <f aca="false">IF(B1043="","",IFERROR(INDEX(Products!$B$2:$B$501,MATCH(B1043,Products!$A$2:$A$501,0)),"CODE NOT FOUND"))</f>
        <v/>
      </c>
      <c r="D1043" s="7"/>
      <c r="E1043" s="13"/>
      <c r="F1043" s="17" t="str">
        <f aca="false">IF(OR(D1043="",E1043=""),"",D1043*E1043)</f>
        <v/>
      </c>
      <c r="G1043" s="7"/>
      <c r="H1043" s="7"/>
    </row>
    <row r="1044" customFormat="false" ht="15" hidden="false" customHeight="true" outlineLevel="0" collapsed="false">
      <c r="A1044" s="15"/>
      <c r="B1044" s="7"/>
      <c r="C1044" s="16" t="str">
        <f aca="false">IF(B1044="","",IFERROR(INDEX(Products!$B$2:$B$501,MATCH(B1044,Products!$A$2:$A$501,0)),"CODE NOT FOUND"))</f>
        <v/>
      </c>
      <c r="D1044" s="7"/>
      <c r="E1044" s="13"/>
      <c r="F1044" s="17" t="str">
        <f aca="false">IF(OR(D1044="",E1044=""),"",D1044*E1044)</f>
        <v/>
      </c>
      <c r="G1044" s="7"/>
      <c r="H1044" s="7"/>
    </row>
    <row r="1045" customFormat="false" ht="15" hidden="false" customHeight="true" outlineLevel="0" collapsed="false">
      <c r="A1045" s="15"/>
      <c r="B1045" s="7"/>
      <c r="C1045" s="16" t="str">
        <f aca="false">IF(B1045="","",IFERROR(INDEX(Products!$B$2:$B$501,MATCH(B1045,Products!$A$2:$A$501,0)),"CODE NOT FOUND"))</f>
        <v/>
      </c>
      <c r="D1045" s="7"/>
      <c r="E1045" s="13"/>
      <c r="F1045" s="17" t="str">
        <f aca="false">IF(OR(D1045="",E1045=""),"",D1045*E1045)</f>
        <v/>
      </c>
      <c r="G1045" s="7"/>
      <c r="H1045" s="7"/>
    </row>
    <row r="1046" customFormat="false" ht="15" hidden="false" customHeight="true" outlineLevel="0" collapsed="false">
      <c r="A1046" s="15"/>
      <c r="B1046" s="7"/>
      <c r="C1046" s="16" t="str">
        <f aca="false">IF(B1046="","",IFERROR(INDEX(Products!$B$2:$B$501,MATCH(B1046,Products!$A$2:$A$501,0)),"CODE NOT FOUND"))</f>
        <v/>
      </c>
      <c r="D1046" s="7"/>
      <c r="E1046" s="13"/>
      <c r="F1046" s="17" t="str">
        <f aca="false">IF(OR(D1046="",E1046=""),"",D1046*E1046)</f>
        <v/>
      </c>
      <c r="G1046" s="7"/>
      <c r="H1046" s="7"/>
    </row>
    <row r="1047" customFormat="false" ht="15" hidden="false" customHeight="true" outlineLevel="0" collapsed="false">
      <c r="A1047" s="15"/>
      <c r="B1047" s="7"/>
      <c r="C1047" s="16" t="str">
        <f aca="false">IF(B1047="","",IFERROR(INDEX(Products!$B$2:$B$501,MATCH(B1047,Products!$A$2:$A$501,0)),"CODE NOT FOUND"))</f>
        <v/>
      </c>
      <c r="D1047" s="7"/>
      <c r="E1047" s="13"/>
      <c r="F1047" s="17" t="str">
        <f aca="false">IF(OR(D1047="",E1047=""),"",D1047*E1047)</f>
        <v/>
      </c>
      <c r="G1047" s="7"/>
      <c r="H1047" s="7"/>
    </row>
    <row r="1048" customFormat="false" ht="15" hidden="false" customHeight="true" outlineLevel="0" collapsed="false">
      <c r="A1048" s="15"/>
      <c r="B1048" s="7"/>
      <c r="C1048" s="16" t="str">
        <f aca="false">IF(B1048="","",IFERROR(INDEX(Products!$B$2:$B$501,MATCH(B1048,Products!$A$2:$A$501,0)),"CODE NOT FOUND"))</f>
        <v/>
      </c>
      <c r="D1048" s="7"/>
      <c r="E1048" s="13"/>
      <c r="F1048" s="17" t="str">
        <f aca="false">IF(OR(D1048="",E1048=""),"",D1048*E1048)</f>
        <v/>
      </c>
      <c r="G1048" s="7"/>
      <c r="H1048" s="7"/>
    </row>
    <row r="1049" customFormat="false" ht="15" hidden="false" customHeight="true" outlineLevel="0" collapsed="false">
      <c r="A1049" s="15"/>
      <c r="B1049" s="7"/>
      <c r="C1049" s="16" t="str">
        <f aca="false">IF(B1049="","",IFERROR(INDEX(Products!$B$2:$B$501,MATCH(B1049,Products!$A$2:$A$501,0)),"CODE NOT FOUND"))</f>
        <v/>
      </c>
      <c r="D1049" s="7"/>
      <c r="E1049" s="13"/>
      <c r="F1049" s="17" t="str">
        <f aca="false">IF(OR(D1049="",E1049=""),"",D1049*E1049)</f>
        <v/>
      </c>
      <c r="G1049" s="7"/>
      <c r="H1049" s="7"/>
    </row>
    <row r="1050" customFormat="false" ht="15" hidden="false" customHeight="true" outlineLevel="0" collapsed="false">
      <c r="A1050" s="15"/>
      <c r="B1050" s="7"/>
      <c r="C1050" s="16" t="str">
        <f aca="false">IF(B1050="","",IFERROR(INDEX(Products!$B$2:$B$501,MATCH(B1050,Products!$A$2:$A$501,0)),"CODE NOT FOUND"))</f>
        <v/>
      </c>
      <c r="D1050" s="7"/>
      <c r="E1050" s="13"/>
      <c r="F1050" s="17" t="str">
        <f aca="false">IF(OR(D1050="",E1050=""),"",D1050*E1050)</f>
        <v/>
      </c>
      <c r="G1050" s="7"/>
      <c r="H1050" s="7"/>
    </row>
    <row r="1051" customFormat="false" ht="15" hidden="false" customHeight="true" outlineLevel="0" collapsed="false">
      <c r="A1051" s="15"/>
      <c r="B1051" s="7"/>
      <c r="C1051" s="16" t="str">
        <f aca="false">IF(B1051="","",IFERROR(INDEX(Products!$B$2:$B$501,MATCH(B1051,Products!$A$2:$A$501,0)),"CODE NOT FOUND"))</f>
        <v/>
      </c>
      <c r="D1051" s="7"/>
      <c r="E1051" s="13"/>
      <c r="F1051" s="17" t="str">
        <f aca="false">IF(OR(D1051="",E1051=""),"",D1051*E1051)</f>
        <v/>
      </c>
      <c r="G1051" s="7"/>
      <c r="H1051" s="7"/>
    </row>
    <row r="1052" customFormat="false" ht="15" hidden="false" customHeight="true" outlineLevel="0" collapsed="false">
      <c r="A1052" s="15"/>
      <c r="B1052" s="7"/>
      <c r="C1052" s="16" t="str">
        <f aca="false">IF(B1052="","",IFERROR(INDEX(Products!$B$2:$B$501,MATCH(B1052,Products!$A$2:$A$501,0)),"CODE NOT FOUND"))</f>
        <v/>
      </c>
      <c r="D1052" s="7"/>
      <c r="E1052" s="13"/>
      <c r="F1052" s="17" t="str">
        <f aca="false">IF(OR(D1052="",E1052=""),"",D1052*E1052)</f>
        <v/>
      </c>
      <c r="G1052" s="7"/>
      <c r="H1052" s="7"/>
    </row>
    <row r="1053" customFormat="false" ht="15" hidden="false" customHeight="true" outlineLevel="0" collapsed="false">
      <c r="A1053" s="15"/>
      <c r="B1053" s="7"/>
      <c r="C1053" s="16" t="str">
        <f aca="false">IF(B1053="","",IFERROR(INDEX(Products!$B$2:$B$501,MATCH(B1053,Products!$A$2:$A$501,0)),"CODE NOT FOUND"))</f>
        <v/>
      </c>
      <c r="D1053" s="7"/>
      <c r="E1053" s="13"/>
      <c r="F1053" s="17" t="str">
        <f aca="false">IF(OR(D1053="",E1053=""),"",D1053*E1053)</f>
        <v/>
      </c>
      <c r="G1053" s="7"/>
      <c r="H1053" s="7"/>
    </row>
    <row r="1054" customFormat="false" ht="15" hidden="false" customHeight="true" outlineLevel="0" collapsed="false">
      <c r="A1054" s="15"/>
      <c r="B1054" s="7"/>
      <c r="C1054" s="16" t="str">
        <f aca="false">IF(B1054="","",IFERROR(INDEX(Products!$B$2:$B$501,MATCH(B1054,Products!$A$2:$A$501,0)),"CODE NOT FOUND"))</f>
        <v/>
      </c>
      <c r="D1054" s="7"/>
      <c r="E1054" s="13"/>
      <c r="F1054" s="17" t="str">
        <f aca="false">IF(OR(D1054="",E1054=""),"",D1054*E1054)</f>
        <v/>
      </c>
      <c r="G1054" s="7"/>
      <c r="H1054" s="7"/>
    </row>
    <row r="1055" customFormat="false" ht="15" hidden="false" customHeight="true" outlineLevel="0" collapsed="false">
      <c r="A1055" s="15"/>
      <c r="B1055" s="7"/>
      <c r="C1055" s="16" t="str">
        <f aca="false">IF(B1055="","",IFERROR(INDEX(Products!$B$2:$B$501,MATCH(B1055,Products!$A$2:$A$501,0)),"CODE NOT FOUND"))</f>
        <v/>
      </c>
      <c r="D1055" s="7"/>
      <c r="E1055" s="13"/>
      <c r="F1055" s="17" t="str">
        <f aca="false">IF(OR(D1055="",E1055=""),"",D1055*E1055)</f>
        <v/>
      </c>
      <c r="G1055" s="7"/>
      <c r="H1055" s="7"/>
    </row>
    <row r="1056" customFormat="false" ht="15" hidden="false" customHeight="true" outlineLevel="0" collapsed="false">
      <c r="A1056" s="15"/>
      <c r="B1056" s="7"/>
      <c r="C1056" s="16" t="str">
        <f aca="false">IF(B1056="","",IFERROR(INDEX(Products!$B$2:$B$501,MATCH(B1056,Products!$A$2:$A$501,0)),"CODE NOT FOUND"))</f>
        <v/>
      </c>
      <c r="D1056" s="7"/>
      <c r="E1056" s="13"/>
      <c r="F1056" s="17" t="str">
        <f aca="false">IF(OR(D1056="",E1056=""),"",D1056*E1056)</f>
        <v/>
      </c>
      <c r="G1056" s="7"/>
      <c r="H1056" s="7"/>
    </row>
    <row r="1057" customFormat="false" ht="15" hidden="false" customHeight="true" outlineLevel="0" collapsed="false">
      <c r="A1057" s="15"/>
      <c r="B1057" s="7"/>
      <c r="C1057" s="16" t="str">
        <f aca="false">IF(B1057="","",IFERROR(INDEX(Products!$B$2:$B$501,MATCH(B1057,Products!$A$2:$A$501,0)),"CODE NOT FOUND"))</f>
        <v/>
      </c>
      <c r="D1057" s="7"/>
      <c r="E1057" s="13"/>
      <c r="F1057" s="17" t="str">
        <f aca="false">IF(OR(D1057="",E1057=""),"",D1057*E1057)</f>
        <v/>
      </c>
      <c r="G1057" s="7"/>
      <c r="H1057" s="7"/>
    </row>
    <row r="1058" customFormat="false" ht="15" hidden="false" customHeight="true" outlineLevel="0" collapsed="false">
      <c r="A1058" s="15"/>
      <c r="B1058" s="7"/>
      <c r="C1058" s="16" t="str">
        <f aca="false">IF(B1058="","",IFERROR(INDEX(Products!$B$2:$B$501,MATCH(B1058,Products!$A$2:$A$501,0)),"CODE NOT FOUND"))</f>
        <v/>
      </c>
      <c r="D1058" s="7"/>
      <c r="E1058" s="13"/>
      <c r="F1058" s="17" t="str">
        <f aca="false">IF(OR(D1058="",E1058=""),"",D1058*E1058)</f>
        <v/>
      </c>
      <c r="G1058" s="7"/>
      <c r="H1058" s="7"/>
    </row>
    <row r="1059" customFormat="false" ht="15" hidden="false" customHeight="true" outlineLevel="0" collapsed="false">
      <c r="A1059" s="15"/>
      <c r="B1059" s="7"/>
      <c r="C1059" s="16" t="str">
        <f aca="false">IF(B1059="","",IFERROR(INDEX(Products!$B$2:$B$501,MATCH(B1059,Products!$A$2:$A$501,0)),"CODE NOT FOUND"))</f>
        <v/>
      </c>
      <c r="D1059" s="7"/>
      <c r="E1059" s="13"/>
      <c r="F1059" s="17" t="str">
        <f aca="false">IF(OR(D1059="",E1059=""),"",D1059*E1059)</f>
        <v/>
      </c>
      <c r="G1059" s="7"/>
      <c r="H1059" s="7"/>
    </row>
    <row r="1060" customFormat="false" ht="15" hidden="false" customHeight="true" outlineLevel="0" collapsed="false">
      <c r="A1060" s="15"/>
      <c r="B1060" s="7"/>
      <c r="C1060" s="16" t="str">
        <f aca="false">IF(B1060="","",IFERROR(INDEX(Products!$B$2:$B$501,MATCH(B1060,Products!$A$2:$A$501,0)),"CODE NOT FOUND"))</f>
        <v/>
      </c>
      <c r="D1060" s="7"/>
      <c r="E1060" s="13"/>
      <c r="F1060" s="17" t="str">
        <f aca="false">IF(OR(D1060="",E1060=""),"",D1060*E1060)</f>
        <v/>
      </c>
      <c r="G1060" s="7"/>
      <c r="H1060" s="7"/>
    </row>
    <row r="1061" customFormat="false" ht="15" hidden="false" customHeight="true" outlineLevel="0" collapsed="false">
      <c r="A1061" s="15"/>
      <c r="B1061" s="7"/>
      <c r="C1061" s="16" t="str">
        <f aca="false">IF(B1061="","",IFERROR(INDEX(Products!$B$2:$B$501,MATCH(B1061,Products!$A$2:$A$501,0)),"CODE NOT FOUND"))</f>
        <v/>
      </c>
      <c r="D1061" s="7"/>
      <c r="E1061" s="13"/>
      <c r="F1061" s="17" t="str">
        <f aca="false">IF(OR(D1061="",E1061=""),"",D1061*E1061)</f>
        <v/>
      </c>
      <c r="G1061" s="7"/>
      <c r="H1061" s="7"/>
    </row>
    <row r="1062" customFormat="false" ht="15" hidden="false" customHeight="true" outlineLevel="0" collapsed="false">
      <c r="A1062" s="15"/>
      <c r="B1062" s="7"/>
      <c r="C1062" s="16" t="str">
        <f aca="false">IF(B1062="","",IFERROR(INDEX(Products!$B$2:$B$501,MATCH(B1062,Products!$A$2:$A$501,0)),"CODE NOT FOUND"))</f>
        <v/>
      </c>
      <c r="D1062" s="7"/>
      <c r="E1062" s="13"/>
      <c r="F1062" s="17" t="str">
        <f aca="false">IF(OR(D1062="",E1062=""),"",D1062*E1062)</f>
        <v/>
      </c>
      <c r="G1062" s="7"/>
      <c r="H1062" s="7"/>
    </row>
    <row r="1063" customFormat="false" ht="15" hidden="false" customHeight="true" outlineLevel="0" collapsed="false">
      <c r="A1063" s="15"/>
      <c r="B1063" s="7"/>
      <c r="C1063" s="16" t="str">
        <f aca="false">IF(B1063="","",IFERROR(INDEX(Products!$B$2:$B$501,MATCH(B1063,Products!$A$2:$A$501,0)),"CODE NOT FOUND"))</f>
        <v/>
      </c>
      <c r="D1063" s="7"/>
      <c r="E1063" s="13"/>
      <c r="F1063" s="17" t="str">
        <f aca="false">IF(OR(D1063="",E1063=""),"",D1063*E1063)</f>
        <v/>
      </c>
      <c r="G1063" s="7"/>
      <c r="H1063" s="7"/>
    </row>
    <row r="1064" customFormat="false" ht="15" hidden="false" customHeight="true" outlineLevel="0" collapsed="false">
      <c r="A1064" s="15"/>
      <c r="B1064" s="7"/>
      <c r="C1064" s="16" t="str">
        <f aca="false">IF(B1064="","",IFERROR(INDEX(Products!$B$2:$B$501,MATCH(B1064,Products!$A$2:$A$501,0)),"CODE NOT FOUND"))</f>
        <v/>
      </c>
      <c r="D1064" s="7"/>
      <c r="E1064" s="13"/>
      <c r="F1064" s="17" t="str">
        <f aca="false">IF(OR(D1064="",E1064=""),"",D1064*E1064)</f>
        <v/>
      </c>
      <c r="G1064" s="7"/>
      <c r="H1064" s="7"/>
    </row>
    <row r="1065" customFormat="false" ht="15" hidden="false" customHeight="true" outlineLevel="0" collapsed="false">
      <c r="A1065" s="15"/>
      <c r="B1065" s="7"/>
      <c r="C1065" s="16" t="str">
        <f aca="false">IF(B1065="","",IFERROR(INDEX(Products!$B$2:$B$501,MATCH(B1065,Products!$A$2:$A$501,0)),"CODE NOT FOUND"))</f>
        <v/>
      </c>
      <c r="D1065" s="7"/>
      <c r="E1065" s="13"/>
      <c r="F1065" s="17" t="str">
        <f aca="false">IF(OR(D1065="",E1065=""),"",D1065*E1065)</f>
        <v/>
      </c>
      <c r="G1065" s="7"/>
      <c r="H1065" s="7"/>
    </row>
    <row r="1066" customFormat="false" ht="15" hidden="false" customHeight="true" outlineLevel="0" collapsed="false">
      <c r="A1066" s="15"/>
      <c r="B1066" s="7"/>
      <c r="C1066" s="16" t="str">
        <f aca="false">IF(B1066="","",IFERROR(INDEX(Products!$B$2:$B$501,MATCH(B1066,Products!$A$2:$A$501,0)),"CODE NOT FOUND"))</f>
        <v/>
      </c>
      <c r="D1066" s="7"/>
      <c r="E1066" s="13"/>
      <c r="F1066" s="17" t="str">
        <f aca="false">IF(OR(D1066="",E1066=""),"",D1066*E1066)</f>
        <v/>
      </c>
      <c r="G1066" s="7"/>
      <c r="H1066" s="7"/>
    </row>
    <row r="1067" customFormat="false" ht="15" hidden="false" customHeight="true" outlineLevel="0" collapsed="false">
      <c r="A1067" s="15"/>
      <c r="B1067" s="7"/>
      <c r="C1067" s="16" t="str">
        <f aca="false">IF(B1067="","",IFERROR(INDEX(Products!$B$2:$B$501,MATCH(B1067,Products!$A$2:$A$501,0)),"CODE NOT FOUND"))</f>
        <v/>
      </c>
      <c r="D1067" s="7"/>
      <c r="E1067" s="13"/>
      <c r="F1067" s="17" t="str">
        <f aca="false">IF(OR(D1067="",E1067=""),"",D1067*E1067)</f>
        <v/>
      </c>
      <c r="G1067" s="7"/>
      <c r="H1067" s="7"/>
    </row>
    <row r="1068" customFormat="false" ht="15" hidden="false" customHeight="true" outlineLevel="0" collapsed="false">
      <c r="A1068" s="15"/>
      <c r="B1068" s="7"/>
      <c r="C1068" s="16" t="str">
        <f aca="false">IF(B1068="","",IFERROR(INDEX(Products!$B$2:$B$501,MATCH(B1068,Products!$A$2:$A$501,0)),"CODE NOT FOUND"))</f>
        <v/>
      </c>
      <c r="D1068" s="7"/>
      <c r="E1068" s="13"/>
      <c r="F1068" s="17" t="str">
        <f aca="false">IF(OR(D1068="",E1068=""),"",D1068*E1068)</f>
        <v/>
      </c>
      <c r="G1068" s="7"/>
      <c r="H1068" s="7"/>
    </row>
    <row r="1069" customFormat="false" ht="15" hidden="false" customHeight="true" outlineLevel="0" collapsed="false">
      <c r="A1069" s="15"/>
      <c r="B1069" s="7"/>
      <c r="C1069" s="16" t="str">
        <f aca="false">IF(B1069="","",IFERROR(INDEX(Products!$B$2:$B$501,MATCH(B1069,Products!$A$2:$A$501,0)),"CODE NOT FOUND"))</f>
        <v/>
      </c>
      <c r="D1069" s="7"/>
      <c r="E1069" s="13"/>
      <c r="F1069" s="17" t="str">
        <f aca="false">IF(OR(D1069="",E1069=""),"",D1069*E1069)</f>
        <v/>
      </c>
      <c r="G1069" s="7"/>
      <c r="H1069" s="7"/>
    </row>
    <row r="1070" customFormat="false" ht="15" hidden="false" customHeight="true" outlineLevel="0" collapsed="false">
      <c r="A1070" s="15"/>
      <c r="B1070" s="7"/>
      <c r="C1070" s="16" t="str">
        <f aca="false">IF(B1070="","",IFERROR(INDEX(Products!$B$2:$B$501,MATCH(B1070,Products!$A$2:$A$501,0)),"CODE NOT FOUND"))</f>
        <v/>
      </c>
      <c r="D1070" s="7"/>
      <c r="E1070" s="13"/>
      <c r="F1070" s="17" t="str">
        <f aca="false">IF(OR(D1070="",E1070=""),"",D1070*E1070)</f>
        <v/>
      </c>
      <c r="G1070" s="7"/>
      <c r="H1070" s="7"/>
    </row>
    <row r="1071" customFormat="false" ht="15" hidden="false" customHeight="true" outlineLevel="0" collapsed="false">
      <c r="A1071" s="15"/>
      <c r="B1071" s="7"/>
      <c r="C1071" s="16" t="str">
        <f aca="false">IF(B1071="","",IFERROR(INDEX(Products!$B$2:$B$501,MATCH(B1071,Products!$A$2:$A$501,0)),"CODE NOT FOUND"))</f>
        <v/>
      </c>
      <c r="D1071" s="7"/>
      <c r="E1071" s="13"/>
      <c r="F1071" s="17" t="str">
        <f aca="false">IF(OR(D1071="",E1071=""),"",D1071*E1071)</f>
        <v/>
      </c>
      <c r="G1071" s="7"/>
      <c r="H1071" s="7"/>
    </row>
    <row r="1072" customFormat="false" ht="15" hidden="false" customHeight="true" outlineLevel="0" collapsed="false">
      <c r="A1072" s="15"/>
      <c r="B1072" s="7"/>
      <c r="C1072" s="16" t="str">
        <f aca="false">IF(B1072="","",IFERROR(INDEX(Products!$B$2:$B$501,MATCH(B1072,Products!$A$2:$A$501,0)),"CODE NOT FOUND"))</f>
        <v/>
      </c>
      <c r="D1072" s="7"/>
      <c r="E1072" s="13"/>
      <c r="F1072" s="17" t="str">
        <f aca="false">IF(OR(D1072="",E1072=""),"",D1072*E1072)</f>
        <v/>
      </c>
      <c r="G1072" s="7"/>
      <c r="H1072" s="7"/>
    </row>
    <row r="1073" customFormat="false" ht="15" hidden="false" customHeight="true" outlineLevel="0" collapsed="false">
      <c r="A1073" s="15"/>
      <c r="B1073" s="7"/>
      <c r="C1073" s="16" t="str">
        <f aca="false">IF(B1073="","",IFERROR(INDEX(Products!$B$2:$B$501,MATCH(B1073,Products!$A$2:$A$501,0)),"CODE NOT FOUND"))</f>
        <v/>
      </c>
      <c r="D1073" s="7"/>
      <c r="E1073" s="13"/>
      <c r="F1073" s="17" t="str">
        <f aca="false">IF(OR(D1073="",E1073=""),"",D1073*E1073)</f>
        <v/>
      </c>
      <c r="G1073" s="7"/>
      <c r="H1073" s="7"/>
    </row>
    <row r="1074" customFormat="false" ht="15" hidden="false" customHeight="true" outlineLevel="0" collapsed="false">
      <c r="A1074" s="15"/>
      <c r="B1074" s="7"/>
      <c r="C1074" s="16" t="str">
        <f aca="false">IF(B1074="","",IFERROR(INDEX(Products!$B$2:$B$501,MATCH(B1074,Products!$A$2:$A$501,0)),"CODE NOT FOUND"))</f>
        <v/>
      </c>
      <c r="D1074" s="7"/>
      <c r="E1074" s="13"/>
      <c r="F1074" s="17" t="str">
        <f aca="false">IF(OR(D1074="",E1074=""),"",D1074*E1074)</f>
        <v/>
      </c>
      <c r="G1074" s="7"/>
      <c r="H1074" s="7"/>
    </row>
    <row r="1075" customFormat="false" ht="15" hidden="false" customHeight="true" outlineLevel="0" collapsed="false">
      <c r="A1075" s="15"/>
      <c r="B1075" s="7"/>
      <c r="C1075" s="16" t="str">
        <f aca="false">IF(B1075="","",IFERROR(INDEX(Products!$B$2:$B$501,MATCH(B1075,Products!$A$2:$A$501,0)),"CODE NOT FOUND"))</f>
        <v/>
      </c>
      <c r="D1075" s="7"/>
      <c r="E1075" s="13"/>
      <c r="F1075" s="17" t="str">
        <f aca="false">IF(OR(D1075="",E1075=""),"",D1075*E1075)</f>
        <v/>
      </c>
      <c r="G1075" s="7"/>
      <c r="H1075" s="7"/>
    </row>
    <row r="1076" customFormat="false" ht="15" hidden="false" customHeight="true" outlineLevel="0" collapsed="false">
      <c r="A1076" s="15"/>
      <c r="B1076" s="7"/>
      <c r="C1076" s="16" t="str">
        <f aca="false">IF(B1076="","",IFERROR(INDEX(Products!$B$2:$B$501,MATCH(B1076,Products!$A$2:$A$501,0)),"CODE NOT FOUND"))</f>
        <v/>
      </c>
      <c r="D1076" s="7"/>
      <c r="E1076" s="13"/>
      <c r="F1076" s="17" t="str">
        <f aca="false">IF(OR(D1076="",E1076=""),"",D1076*E1076)</f>
        <v/>
      </c>
      <c r="G1076" s="7"/>
      <c r="H1076" s="7"/>
    </row>
    <row r="1077" customFormat="false" ht="15" hidden="false" customHeight="true" outlineLevel="0" collapsed="false">
      <c r="A1077" s="15"/>
      <c r="B1077" s="7"/>
      <c r="C1077" s="16" t="str">
        <f aca="false">IF(B1077="","",IFERROR(INDEX(Products!$B$2:$B$501,MATCH(B1077,Products!$A$2:$A$501,0)),"CODE NOT FOUND"))</f>
        <v/>
      </c>
      <c r="D1077" s="7"/>
      <c r="E1077" s="13"/>
      <c r="F1077" s="17" t="str">
        <f aca="false">IF(OR(D1077="",E1077=""),"",D1077*E1077)</f>
        <v/>
      </c>
      <c r="G1077" s="7"/>
      <c r="H1077" s="7"/>
    </row>
    <row r="1078" customFormat="false" ht="15" hidden="false" customHeight="true" outlineLevel="0" collapsed="false">
      <c r="A1078" s="15"/>
      <c r="B1078" s="7"/>
      <c r="C1078" s="16" t="str">
        <f aca="false">IF(B1078="","",IFERROR(INDEX(Products!$B$2:$B$501,MATCH(B1078,Products!$A$2:$A$501,0)),"CODE NOT FOUND"))</f>
        <v/>
      </c>
      <c r="D1078" s="7"/>
      <c r="E1078" s="13"/>
      <c r="F1078" s="17" t="str">
        <f aca="false">IF(OR(D1078="",E1078=""),"",D1078*E1078)</f>
        <v/>
      </c>
      <c r="G1078" s="7"/>
      <c r="H1078" s="7"/>
    </row>
    <row r="1079" customFormat="false" ht="15" hidden="false" customHeight="true" outlineLevel="0" collapsed="false">
      <c r="A1079" s="15"/>
      <c r="B1079" s="7"/>
      <c r="C1079" s="16" t="str">
        <f aca="false">IF(B1079="","",IFERROR(INDEX(Products!$B$2:$B$501,MATCH(B1079,Products!$A$2:$A$501,0)),"CODE NOT FOUND"))</f>
        <v/>
      </c>
      <c r="D1079" s="7"/>
      <c r="E1079" s="13"/>
      <c r="F1079" s="17" t="str">
        <f aca="false">IF(OR(D1079="",E1079=""),"",D1079*E1079)</f>
        <v/>
      </c>
      <c r="G1079" s="7"/>
      <c r="H1079" s="7"/>
    </row>
    <row r="1080" customFormat="false" ht="15" hidden="false" customHeight="true" outlineLevel="0" collapsed="false">
      <c r="A1080" s="15"/>
      <c r="B1080" s="7"/>
      <c r="C1080" s="16" t="str">
        <f aca="false">IF(B1080="","",IFERROR(INDEX(Products!$B$2:$B$501,MATCH(B1080,Products!$A$2:$A$501,0)),"CODE NOT FOUND"))</f>
        <v/>
      </c>
      <c r="D1080" s="7"/>
      <c r="E1080" s="13"/>
      <c r="F1080" s="17" t="str">
        <f aca="false">IF(OR(D1080="",E1080=""),"",D1080*E1080)</f>
        <v/>
      </c>
      <c r="G1080" s="7"/>
      <c r="H1080" s="7"/>
    </row>
    <row r="1081" customFormat="false" ht="15" hidden="false" customHeight="true" outlineLevel="0" collapsed="false">
      <c r="A1081" s="15"/>
      <c r="B1081" s="7"/>
      <c r="C1081" s="16" t="str">
        <f aca="false">IF(B1081="","",IFERROR(INDEX(Products!$B$2:$B$501,MATCH(B1081,Products!$A$2:$A$501,0)),"CODE NOT FOUND"))</f>
        <v/>
      </c>
      <c r="D1081" s="7"/>
      <c r="E1081" s="13"/>
      <c r="F1081" s="17" t="str">
        <f aca="false">IF(OR(D1081="",E1081=""),"",D1081*E1081)</f>
        <v/>
      </c>
      <c r="G1081" s="7"/>
      <c r="H1081" s="7"/>
    </row>
    <row r="1082" customFormat="false" ht="15" hidden="false" customHeight="true" outlineLevel="0" collapsed="false">
      <c r="A1082" s="15"/>
      <c r="B1082" s="7"/>
      <c r="C1082" s="16" t="str">
        <f aca="false">IF(B1082="","",IFERROR(INDEX(Products!$B$2:$B$501,MATCH(B1082,Products!$A$2:$A$501,0)),"CODE NOT FOUND"))</f>
        <v/>
      </c>
      <c r="D1082" s="7"/>
      <c r="E1082" s="13"/>
      <c r="F1082" s="17" t="str">
        <f aca="false">IF(OR(D1082="",E1082=""),"",D1082*E1082)</f>
        <v/>
      </c>
      <c r="G1082" s="7"/>
      <c r="H1082" s="7"/>
    </row>
    <row r="1083" customFormat="false" ht="15" hidden="false" customHeight="true" outlineLevel="0" collapsed="false">
      <c r="A1083" s="15"/>
      <c r="B1083" s="7"/>
      <c r="C1083" s="16" t="str">
        <f aca="false">IF(B1083="","",IFERROR(INDEX(Products!$B$2:$B$501,MATCH(B1083,Products!$A$2:$A$501,0)),"CODE NOT FOUND"))</f>
        <v/>
      </c>
      <c r="D1083" s="7"/>
      <c r="E1083" s="13"/>
      <c r="F1083" s="17" t="str">
        <f aca="false">IF(OR(D1083="",E1083=""),"",D1083*E1083)</f>
        <v/>
      </c>
      <c r="G1083" s="7"/>
      <c r="H1083" s="7"/>
    </row>
    <row r="1084" customFormat="false" ht="15" hidden="false" customHeight="true" outlineLevel="0" collapsed="false">
      <c r="A1084" s="15"/>
      <c r="B1084" s="7"/>
      <c r="C1084" s="16" t="str">
        <f aca="false">IF(B1084="","",IFERROR(INDEX(Products!$B$2:$B$501,MATCH(B1084,Products!$A$2:$A$501,0)),"CODE NOT FOUND"))</f>
        <v/>
      </c>
      <c r="D1084" s="7"/>
      <c r="E1084" s="13"/>
      <c r="F1084" s="17" t="str">
        <f aca="false">IF(OR(D1084="",E1084=""),"",D1084*E1084)</f>
        <v/>
      </c>
      <c r="G1084" s="7"/>
      <c r="H1084" s="7"/>
    </row>
    <row r="1085" customFormat="false" ht="15" hidden="false" customHeight="true" outlineLevel="0" collapsed="false">
      <c r="A1085" s="15"/>
      <c r="B1085" s="7"/>
      <c r="C1085" s="16" t="str">
        <f aca="false">IF(B1085="","",IFERROR(INDEX(Products!$B$2:$B$501,MATCH(B1085,Products!$A$2:$A$501,0)),"CODE NOT FOUND"))</f>
        <v/>
      </c>
      <c r="D1085" s="7"/>
      <c r="E1085" s="13"/>
      <c r="F1085" s="17" t="str">
        <f aca="false">IF(OR(D1085="",E1085=""),"",D1085*E1085)</f>
        <v/>
      </c>
      <c r="G1085" s="7"/>
      <c r="H1085" s="7"/>
    </row>
    <row r="1086" customFormat="false" ht="15" hidden="false" customHeight="true" outlineLevel="0" collapsed="false">
      <c r="A1086" s="15"/>
      <c r="B1086" s="7"/>
      <c r="C1086" s="16" t="str">
        <f aca="false">IF(B1086="","",IFERROR(INDEX(Products!$B$2:$B$501,MATCH(B1086,Products!$A$2:$A$501,0)),"CODE NOT FOUND"))</f>
        <v/>
      </c>
      <c r="D1086" s="7"/>
      <c r="E1086" s="13"/>
      <c r="F1086" s="17" t="str">
        <f aca="false">IF(OR(D1086="",E1086=""),"",D1086*E1086)</f>
        <v/>
      </c>
      <c r="G1086" s="7"/>
      <c r="H1086" s="7"/>
    </row>
    <row r="1087" customFormat="false" ht="15" hidden="false" customHeight="true" outlineLevel="0" collapsed="false">
      <c r="A1087" s="15"/>
      <c r="B1087" s="7"/>
      <c r="C1087" s="16" t="str">
        <f aca="false">IF(B1087="","",IFERROR(INDEX(Products!$B$2:$B$501,MATCH(B1087,Products!$A$2:$A$501,0)),"CODE NOT FOUND"))</f>
        <v/>
      </c>
      <c r="D1087" s="7"/>
      <c r="E1087" s="13"/>
      <c r="F1087" s="17" t="str">
        <f aca="false">IF(OR(D1087="",E1087=""),"",D1087*E1087)</f>
        <v/>
      </c>
      <c r="G1087" s="7"/>
      <c r="H1087" s="7"/>
    </row>
    <row r="1088" customFormat="false" ht="15" hidden="false" customHeight="true" outlineLevel="0" collapsed="false">
      <c r="A1088" s="15"/>
      <c r="B1088" s="7"/>
      <c r="C1088" s="16" t="str">
        <f aca="false">IF(B1088="","",IFERROR(INDEX(Products!$B$2:$B$501,MATCH(B1088,Products!$A$2:$A$501,0)),"CODE NOT FOUND"))</f>
        <v/>
      </c>
      <c r="D1088" s="7"/>
      <c r="E1088" s="13"/>
      <c r="F1088" s="17" t="str">
        <f aca="false">IF(OR(D1088="",E1088=""),"",D1088*E1088)</f>
        <v/>
      </c>
      <c r="G1088" s="7"/>
      <c r="H1088" s="7"/>
    </row>
    <row r="1089" customFormat="false" ht="15" hidden="false" customHeight="true" outlineLevel="0" collapsed="false">
      <c r="A1089" s="15"/>
      <c r="B1089" s="7"/>
      <c r="C1089" s="16" t="str">
        <f aca="false">IF(B1089="","",IFERROR(INDEX(Products!$B$2:$B$501,MATCH(B1089,Products!$A$2:$A$501,0)),"CODE NOT FOUND"))</f>
        <v/>
      </c>
      <c r="D1089" s="7"/>
      <c r="E1089" s="13"/>
      <c r="F1089" s="17" t="str">
        <f aca="false">IF(OR(D1089="",E1089=""),"",D1089*E1089)</f>
        <v/>
      </c>
      <c r="G1089" s="7"/>
      <c r="H1089" s="7"/>
    </row>
    <row r="1090" customFormat="false" ht="15" hidden="false" customHeight="true" outlineLevel="0" collapsed="false">
      <c r="A1090" s="15"/>
      <c r="B1090" s="7"/>
      <c r="C1090" s="16" t="str">
        <f aca="false">IF(B1090="","",IFERROR(INDEX(Products!$B$2:$B$501,MATCH(B1090,Products!$A$2:$A$501,0)),"CODE NOT FOUND"))</f>
        <v/>
      </c>
      <c r="D1090" s="7"/>
      <c r="E1090" s="13"/>
      <c r="F1090" s="17" t="str">
        <f aca="false">IF(OR(D1090="",E1090=""),"",D1090*E1090)</f>
        <v/>
      </c>
      <c r="G1090" s="7"/>
      <c r="H1090" s="7"/>
    </row>
    <row r="1091" customFormat="false" ht="15" hidden="false" customHeight="true" outlineLevel="0" collapsed="false">
      <c r="A1091" s="15"/>
      <c r="B1091" s="7"/>
      <c r="C1091" s="16" t="str">
        <f aca="false">IF(B1091="","",IFERROR(INDEX(Products!$B$2:$B$501,MATCH(B1091,Products!$A$2:$A$501,0)),"CODE NOT FOUND"))</f>
        <v/>
      </c>
      <c r="D1091" s="7"/>
      <c r="E1091" s="13"/>
      <c r="F1091" s="17" t="str">
        <f aca="false">IF(OR(D1091="",E1091=""),"",D1091*E1091)</f>
        <v/>
      </c>
      <c r="G1091" s="7"/>
      <c r="H1091" s="7"/>
    </row>
    <row r="1092" customFormat="false" ht="15" hidden="false" customHeight="true" outlineLevel="0" collapsed="false">
      <c r="A1092" s="15"/>
      <c r="B1092" s="7"/>
      <c r="C1092" s="16" t="str">
        <f aca="false">IF(B1092="","",IFERROR(INDEX(Products!$B$2:$B$501,MATCH(B1092,Products!$A$2:$A$501,0)),"CODE NOT FOUND"))</f>
        <v/>
      </c>
      <c r="D1092" s="7"/>
      <c r="E1092" s="13"/>
      <c r="F1092" s="17" t="str">
        <f aca="false">IF(OR(D1092="",E1092=""),"",D1092*E1092)</f>
        <v/>
      </c>
      <c r="G1092" s="7"/>
      <c r="H1092" s="7"/>
    </row>
    <row r="1093" customFormat="false" ht="15" hidden="false" customHeight="true" outlineLevel="0" collapsed="false">
      <c r="A1093" s="15"/>
      <c r="B1093" s="7"/>
      <c r="C1093" s="16" t="str">
        <f aca="false">IF(B1093="","",IFERROR(INDEX(Products!$B$2:$B$501,MATCH(B1093,Products!$A$2:$A$501,0)),"CODE NOT FOUND"))</f>
        <v/>
      </c>
      <c r="D1093" s="7"/>
      <c r="E1093" s="13"/>
      <c r="F1093" s="17" t="str">
        <f aca="false">IF(OR(D1093="",E1093=""),"",D1093*E1093)</f>
        <v/>
      </c>
      <c r="G1093" s="7"/>
      <c r="H1093" s="7"/>
    </row>
    <row r="1094" customFormat="false" ht="15" hidden="false" customHeight="true" outlineLevel="0" collapsed="false">
      <c r="A1094" s="15"/>
      <c r="B1094" s="7"/>
      <c r="C1094" s="16" t="str">
        <f aca="false">IF(B1094="","",IFERROR(INDEX(Products!$B$2:$B$501,MATCH(B1094,Products!$A$2:$A$501,0)),"CODE NOT FOUND"))</f>
        <v/>
      </c>
      <c r="D1094" s="7"/>
      <c r="E1094" s="13"/>
      <c r="F1094" s="17" t="str">
        <f aca="false">IF(OR(D1094="",E1094=""),"",D1094*E1094)</f>
        <v/>
      </c>
      <c r="G1094" s="7"/>
      <c r="H1094" s="7"/>
    </row>
    <row r="1095" customFormat="false" ht="15" hidden="false" customHeight="true" outlineLevel="0" collapsed="false">
      <c r="A1095" s="15"/>
      <c r="B1095" s="7"/>
      <c r="C1095" s="16" t="str">
        <f aca="false">IF(B1095="","",IFERROR(INDEX(Products!$B$2:$B$501,MATCH(B1095,Products!$A$2:$A$501,0)),"CODE NOT FOUND"))</f>
        <v/>
      </c>
      <c r="D1095" s="7"/>
      <c r="E1095" s="13"/>
      <c r="F1095" s="17" t="str">
        <f aca="false">IF(OR(D1095="",E1095=""),"",D1095*E1095)</f>
        <v/>
      </c>
      <c r="G1095" s="7"/>
      <c r="H1095" s="7"/>
    </row>
    <row r="1096" customFormat="false" ht="15" hidden="false" customHeight="true" outlineLevel="0" collapsed="false">
      <c r="A1096" s="15"/>
      <c r="B1096" s="7"/>
      <c r="C1096" s="16" t="str">
        <f aca="false">IF(B1096="","",IFERROR(INDEX(Products!$B$2:$B$501,MATCH(B1096,Products!$A$2:$A$501,0)),"CODE NOT FOUND"))</f>
        <v/>
      </c>
      <c r="D1096" s="7"/>
      <c r="E1096" s="13"/>
      <c r="F1096" s="17" t="str">
        <f aca="false">IF(OR(D1096="",E1096=""),"",D1096*E1096)</f>
        <v/>
      </c>
      <c r="G1096" s="7"/>
      <c r="H1096" s="7"/>
    </row>
    <row r="1097" customFormat="false" ht="15" hidden="false" customHeight="true" outlineLevel="0" collapsed="false">
      <c r="A1097" s="15"/>
      <c r="B1097" s="7"/>
      <c r="C1097" s="16" t="str">
        <f aca="false">IF(B1097="","",IFERROR(INDEX(Products!$B$2:$B$501,MATCH(B1097,Products!$A$2:$A$501,0)),"CODE NOT FOUND"))</f>
        <v/>
      </c>
      <c r="D1097" s="7"/>
      <c r="E1097" s="13"/>
      <c r="F1097" s="17" t="str">
        <f aca="false">IF(OR(D1097="",E1097=""),"",D1097*E1097)</f>
        <v/>
      </c>
      <c r="G1097" s="7"/>
      <c r="H1097" s="7"/>
    </row>
    <row r="1098" customFormat="false" ht="15" hidden="false" customHeight="true" outlineLevel="0" collapsed="false">
      <c r="A1098" s="15"/>
      <c r="B1098" s="7"/>
      <c r="C1098" s="16" t="str">
        <f aca="false">IF(B1098="","",IFERROR(INDEX(Products!$B$2:$B$501,MATCH(B1098,Products!$A$2:$A$501,0)),"CODE NOT FOUND"))</f>
        <v/>
      </c>
      <c r="D1098" s="7"/>
      <c r="E1098" s="13"/>
      <c r="F1098" s="17" t="str">
        <f aca="false">IF(OR(D1098="",E1098=""),"",D1098*E1098)</f>
        <v/>
      </c>
      <c r="G1098" s="7"/>
      <c r="H1098" s="7"/>
    </row>
    <row r="1099" customFormat="false" ht="15" hidden="false" customHeight="true" outlineLevel="0" collapsed="false">
      <c r="A1099" s="15"/>
      <c r="B1099" s="7"/>
      <c r="C1099" s="16" t="str">
        <f aca="false">IF(B1099="","",IFERROR(INDEX(Products!$B$2:$B$501,MATCH(B1099,Products!$A$2:$A$501,0)),"CODE NOT FOUND"))</f>
        <v/>
      </c>
      <c r="D1099" s="7"/>
      <c r="E1099" s="13"/>
      <c r="F1099" s="17" t="str">
        <f aca="false">IF(OR(D1099="",E1099=""),"",D1099*E1099)</f>
        <v/>
      </c>
      <c r="G1099" s="7"/>
      <c r="H1099" s="7"/>
    </row>
    <row r="1100" customFormat="false" ht="15" hidden="false" customHeight="true" outlineLevel="0" collapsed="false">
      <c r="A1100" s="15"/>
      <c r="B1100" s="7"/>
      <c r="C1100" s="16" t="str">
        <f aca="false">IF(B1100="","",IFERROR(INDEX(Products!$B$2:$B$501,MATCH(B1100,Products!$A$2:$A$501,0)),"CODE NOT FOUND"))</f>
        <v/>
      </c>
      <c r="D1100" s="7"/>
      <c r="E1100" s="13"/>
      <c r="F1100" s="17" t="str">
        <f aca="false">IF(OR(D1100="",E1100=""),"",D1100*E1100)</f>
        <v/>
      </c>
      <c r="G1100" s="7"/>
      <c r="H1100" s="7"/>
    </row>
    <row r="1101" customFormat="false" ht="15" hidden="false" customHeight="true" outlineLevel="0" collapsed="false">
      <c r="A1101" s="15"/>
      <c r="B1101" s="7"/>
      <c r="C1101" s="16" t="str">
        <f aca="false">IF(B1101="","",IFERROR(INDEX(Products!$B$2:$B$501,MATCH(B1101,Products!$A$2:$A$501,0)),"CODE NOT FOUND"))</f>
        <v/>
      </c>
      <c r="D1101" s="7"/>
      <c r="E1101" s="13"/>
      <c r="F1101" s="17" t="str">
        <f aca="false">IF(OR(D1101="",E1101=""),"",D1101*E1101)</f>
        <v/>
      </c>
      <c r="G1101" s="7"/>
      <c r="H1101" s="7"/>
    </row>
    <row r="1102" customFormat="false" ht="15" hidden="false" customHeight="true" outlineLevel="0" collapsed="false">
      <c r="A1102" s="15"/>
      <c r="B1102" s="7"/>
      <c r="C1102" s="16" t="str">
        <f aca="false">IF(B1102="","",IFERROR(INDEX(Products!$B$2:$B$501,MATCH(B1102,Products!$A$2:$A$501,0)),"CODE NOT FOUND"))</f>
        <v/>
      </c>
      <c r="D1102" s="7"/>
      <c r="E1102" s="13"/>
      <c r="F1102" s="17" t="str">
        <f aca="false">IF(OR(D1102="",E1102=""),"",D1102*E1102)</f>
        <v/>
      </c>
      <c r="G1102" s="7"/>
      <c r="H1102" s="7"/>
    </row>
    <row r="1103" customFormat="false" ht="15" hidden="false" customHeight="true" outlineLevel="0" collapsed="false">
      <c r="A1103" s="15"/>
      <c r="B1103" s="7"/>
      <c r="C1103" s="16" t="str">
        <f aca="false">IF(B1103="","",IFERROR(INDEX(Products!$B$2:$B$501,MATCH(B1103,Products!$A$2:$A$501,0)),"CODE NOT FOUND"))</f>
        <v/>
      </c>
      <c r="D1103" s="7"/>
      <c r="E1103" s="13"/>
      <c r="F1103" s="17" t="str">
        <f aca="false">IF(OR(D1103="",E1103=""),"",D1103*E1103)</f>
        <v/>
      </c>
      <c r="G1103" s="7"/>
      <c r="H1103" s="7"/>
    </row>
    <row r="1104" customFormat="false" ht="15" hidden="false" customHeight="true" outlineLevel="0" collapsed="false">
      <c r="A1104" s="15"/>
      <c r="B1104" s="7"/>
      <c r="C1104" s="16" t="str">
        <f aca="false">IF(B1104="","",IFERROR(INDEX(Products!$B$2:$B$501,MATCH(B1104,Products!$A$2:$A$501,0)),"CODE NOT FOUND"))</f>
        <v/>
      </c>
      <c r="D1104" s="7"/>
      <c r="E1104" s="13"/>
      <c r="F1104" s="17" t="str">
        <f aca="false">IF(OR(D1104="",E1104=""),"",D1104*E1104)</f>
        <v/>
      </c>
      <c r="G1104" s="7"/>
      <c r="H1104" s="7"/>
    </row>
    <row r="1105" customFormat="false" ht="15" hidden="false" customHeight="true" outlineLevel="0" collapsed="false">
      <c r="A1105" s="15"/>
      <c r="B1105" s="7"/>
      <c r="C1105" s="16" t="str">
        <f aca="false">IF(B1105="","",IFERROR(INDEX(Products!$B$2:$B$501,MATCH(B1105,Products!$A$2:$A$501,0)),"CODE NOT FOUND"))</f>
        <v/>
      </c>
      <c r="D1105" s="7"/>
      <c r="E1105" s="13"/>
      <c r="F1105" s="17" t="str">
        <f aca="false">IF(OR(D1105="",E1105=""),"",D1105*E1105)</f>
        <v/>
      </c>
      <c r="G1105" s="7"/>
      <c r="H1105" s="7"/>
    </row>
    <row r="1106" customFormat="false" ht="15" hidden="false" customHeight="true" outlineLevel="0" collapsed="false">
      <c r="A1106" s="15"/>
      <c r="B1106" s="7"/>
      <c r="C1106" s="16" t="str">
        <f aca="false">IF(B1106="","",IFERROR(INDEX(Products!$B$2:$B$501,MATCH(B1106,Products!$A$2:$A$501,0)),"CODE NOT FOUND"))</f>
        <v/>
      </c>
      <c r="D1106" s="7"/>
      <c r="E1106" s="13"/>
      <c r="F1106" s="17" t="str">
        <f aca="false">IF(OR(D1106="",E1106=""),"",D1106*E1106)</f>
        <v/>
      </c>
      <c r="G1106" s="7"/>
      <c r="H1106" s="7"/>
    </row>
    <row r="1107" customFormat="false" ht="15" hidden="false" customHeight="true" outlineLevel="0" collapsed="false">
      <c r="A1107" s="15"/>
      <c r="B1107" s="7"/>
      <c r="C1107" s="16" t="str">
        <f aca="false">IF(B1107="","",IFERROR(INDEX(Products!$B$2:$B$501,MATCH(B1107,Products!$A$2:$A$501,0)),"CODE NOT FOUND"))</f>
        <v/>
      </c>
      <c r="D1107" s="7"/>
      <c r="E1107" s="13"/>
      <c r="F1107" s="17" t="str">
        <f aca="false">IF(OR(D1107="",E1107=""),"",D1107*E1107)</f>
        <v/>
      </c>
      <c r="G1107" s="7"/>
      <c r="H1107" s="7"/>
    </row>
    <row r="1108" customFormat="false" ht="15" hidden="false" customHeight="true" outlineLevel="0" collapsed="false">
      <c r="A1108" s="15"/>
      <c r="B1108" s="7"/>
      <c r="C1108" s="16" t="str">
        <f aca="false">IF(B1108="","",IFERROR(INDEX(Products!$B$2:$B$501,MATCH(B1108,Products!$A$2:$A$501,0)),"CODE NOT FOUND"))</f>
        <v/>
      </c>
      <c r="D1108" s="7"/>
      <c r="E1108" s="13"/>
      <c r="F1108" s="17" t="str">
        <f aca="false">IF(OR(D1108="",E1108=""),"",D1108*E1108)</f>
        <v/>
      </c>
      <c r="G1108" s="7"/>
      <c r="H1108" s="7"/>
    </row>
    <row r="1109" customFormat="false" ht="15" hidden="false" customHeight="true" outlineLevel="0" collapsed="false">
      <c r="A1109" s="15"/>
      <c r="B1109" s="7"/>
      <c r="C1109" s="16" t="str">
        <f aca="false">IF(B1109="","",IFERROR(INDEX(Products!$B$2:$B$501,MATCH(B1109,Products!$A$2:$A$501,0)),"CODE NOT FOUND"))</f>
        <v/>
      </c>
      <c r="D1109" s="7"/>
      <c r="E1109" s="13"/>
      <c r="F1109" s="17" t="str">
        <f aca="false">IF(OR(D1109="",E1109=""),"",D1109*E1109)</f>
        <v/>
      </c>
      <c r="G1109" s="7"/>
      <c r="H1109" s="7"/>
    </row>
    <row r="1110" customFormat="false" ht="15" hidden="false" customHeight="true" outlineLevel="0" collapsed="false">
      <c r="A1110" s="15"/>
      <c r="B1110" s="7"/>
      <c r="C1110" s="16" t="str">
        <f aca="false">IF(B1110="","",IFERROR(INDEX(Products!$B$2:$B$501,MATCH(B1110,Products!$A$2:$A$501,0)),"CODE NOT FOUND"))</f>
        <v/>
      </c>
      <c r="D1110" s="7"/>
      <c r="E1110" s="13"/>
      <c r="F1110" s="17" t="str">
        <f aca="false">IF(OR(D1110="",E1110=""),"",D1110*E1110)</f>
        <v/>
      </c>
      <c r="G1110" s="7"/>
      <c r="H1110" s="7"/>
    </row>
    <row r="1111" customFormat="false" ht="15" hidden="false" customHeight="true" outlineLevel="0" collapsed="false">
      <c r="A1111" s="15"/>
      <c r="B1111" s="7"/>
      <c r="C1111" s="16" t="str">
        <f aca="false">IF(B1111="","",IFERROR(INDEX(Products!$B$2:$B$501,MATCH(B1111,Products!$A$2:$A$501,0)),"CODE NOT FOUND"))</f>
        <v/>
      </c>
      <c r="D1111" s="7"/>
      <c r="E1111" s="13"/>
      <c r="F1111" s="17" t="str">
        <f aca="false">IF(OR(D1111="",E1111=""),"",D1111*E1111)</f>
        <v/>
      </c>
      <c r="G1111" s="7"/>
      <c r="H1111" s="7"/>
    </row>
    <row r="1112" customFormat="false" ht="15" hidden="false" customHeight="true" outlineLevel="0" collapsed="false">
      <c r="A1112" s="15"/>
      <c r="B1112" s="7"/>
      <c r="C1112" s="16" t="str">
        <f aca="false">IF(B1112="","",IFERROR(INDEX(Products!$B$2:$B$501,MATCH(B1112,Products!$A$2:$A$501,0)),"CODE NOT FOUND"))</f>
        <v/>
      </c>
      <c r="D1112" s="7"/>
      <c r="E1112" s="13"/>
      <c r="F1112" s="17" t="str">
        <f aca="false">IF(OR(D1112="",E1112=""),"",D1112*E1112)</f>
        <v/>
      </c>
      <c r="G1112" s="7"/>
      <c r="H1112" s="7"/>
    </row>
    <row r="1113" customFormat="false" ht="15" hidden="false" customHeight="true" outlineLevel="0" collapsed="false">
      <c r="A1113" s="15"/>
      <c r="B1113" s="7"/>
      <c r="C1113" s="16" t="str">
        <f aca="false">IF(B1113="","",IFERROR(INDEX(Products!$B$2:$B$501,MATCH(B1113,Products!$A$2:$A$501,0)),"CODE NOT FOUND"))</f>
        <v/>
      </c>
      <c r="D1113" s="7"/>
      <c r="E1113" s="13"/>
      <c r="F1113" s="17" t="str">
        <f aca="false">IF(OR(D1113="",E1113=""),"",D1113*E1113)</f>
        <v/>
      </c>
      <c r="G1113" s="7"/>
      <c r="H1113" s="7"/>
    </row>
    <row r="1114" customFormat="false" ht="15" hidden="false" customHeight="true" outlineLevel="0" collapsed="false">
      <c r="A1114" s="15"/>
      <c r="B1114" s="7"/>
      <c r="C1114" s="16" t="str">
        <f aca="false">IF(B1114="","",IFERROR(INDEX(Products!$B$2:$B$501,MATCH(B1114,Products!$A$2:$A$501,0)),"CODE NOT FOUND"))</f>
        <v/>
      </c>
      <c r="D1114" s="7"/>
      <c r="E1114" s="13"/>
      <c r="F1114" s="17" t="str">
        <f aca="false">IF(OR(D1114="",E1114=""),"",D1114*E1114)</f>
        <v/>
      </c>
      <c r="G1114" s="7"/>
      <c r="H1114" s="7"/>
    </row>
    <row r="1115" customFormat="false" ht="15" hidden="false" customHeight="true" outlineLevel="0" collapsed="false">
      <c r="A1115" s="15"/>
      <c r="B1115" s="7"/>
      <c r="C1115" s="16" t="str">
        <f aca="false">IF(B1115="","",IFERROR(INDEX(Products!$B$2:$B$501,MATCH(B1115,Products!$A$2:$A$501,0)),"CODE NOT FOUND"))</f>
        <v/>
      </c>
      <c r="D1115" s="7"/>
      <c r="E1115" s="13"/>
      <c r="F1115" s="17" t="str">
        <f aca="false">IF(OR(D1115="",E1115=""),"",D1115*E1115)</f>
        <v/>
      </c>
      <c r="G1115" s="7"/>
      <c r="H1115" s="7"/>
    </row>
    <row r="1116" customFormat="false" ht="15" hidden="false" customHeight="true" outlineLevel="0" collapsed="false">
      <c r="A1116" s="15"/>
      <c r="B1116" s="7"/>
      <c r="C1116" s="16" t="str">
        <f aca="false">IF(B1116="","",IFERROR(INDEX(Products!$B$2:$B$501,MATCH(B1116,Products!$A$2:$A$501,0)),"CODE NOT FOUND"))</f>
        <v/>
      </c>
      <c r="D1116" s="7"/>
      <c r="E1116" s="13"/>
      <c r="F1116" s="17" t="str">
        <f aca="false">IF(OR(D1116="",E1116=""),"",D1116*E1116)</f>
        <v/>
      </c>
      <c r="G1116" s="7"/>
      <c r="H1116" s="7"/>
    </row>
    <row r="1117" customFormat="false" ht="15" hidden="false" customHeight="true" outlineLevel="0" collapsed="false">
      <c r="A1117" s="15"/>
      <c r="B1117" s="7"/>
      <c r="C1117" s="16" t="str">
        <f aca="false">IF(B1117="","",IFERROR(INDEX(Products!$B$2:$B$501,MATCH(B1117,Products!$A$2:$A$501,0)),"CODE NOT FOUND"))</f>
        <v/>
      </c>
      <c r="D1117" s="7"/>
      <c r="E1117" s="13"/>
      <c r="F1117" s="17" t="str">
        <f aca="false">IF(OR(D1117="",E1117=""),"",D1117*E1117)</f>
        <v/>
      </c>
      <c r="G1117" s="7"/>
      <c r="H1117" s="7"/>
    </row>
    <row r="1118" customFormat="false" ht="15" hidden="false" customHeight="true" outlineLevel="0" collapsed="false">
      <c r="A1118" s="15"/>
      <c r="B1118" s="7"/>
      <c r="C1118" s="16" t="str">
        <f aca="false">IF(B1118="","",IFERROR(INDEX(Products!$B$2:$B$501,MATCH(B1118,Products!$A$2:$A$501,0)),"CODE NOT FOUND"))</f>
        <v/>
      </c>
      <c r="D1118" s="7"/>
      <c r="E1118" s="13"/>
      <c r="F1118" s="17" t="str">
        <f aca="false">IF(OR(D1118="",E1118=""),"",D1118*E1118)</f>
        <v/>
      </c>
      <c r="G1118" s="7"/>
      <c r="H1118" s="7"/>
    </row>
    <row r="1119" customFormat="false" ht="15" hidden="false" customHeight="true" outlineLevel="0" collapsed="false">
      <c r="A1119" s="15"/>
      <c r="B1119" s="7"/>
      <c r="C1119" s="16" t="str">
        <f aca="false">IF(B1119="","",IFERROR(INDEX(Products!$B$2:$B$501,MATCH(B1119,Products!$A$2:$A$501,0)),"CODE NOT FOUND"))</f>
        <v/>
      </c>
      <c r="D1119" s="7"/>
      <c r="E1119" s="13"/>
      <c r="F1119" s="17" t="str">
        <f aca="false">IF(OR(D1119="",E1119=""),"",D1119*E1119)</f>
        <v/>
      </c>
      <c r="G1119" s="7"/>
      <c r="H1119" s="7"/>
    </row>
    <row r="1120" customFormat="false" ht="15" hidden="false" customHeight="true" outlineLevel="0" collapsed="false">
      <c r="A1120" s="15"/>
      <c r="B1120" s="7"/>
      <c r="C1120" s="16" t="str">
        <f aca="false">IF(B1120="","",IFERROR(INDEX(Products!$B$2:$B$501,MATCH(B1120,Products!$A$2:$A$501,0)),"CODE NOT FOUND"))</f>
        <v/>
      </c>
      <c r="D1120" s="7"/>
      <c r="E1120" s="13"/>
      <c r="F1120" s="17" t="str">
        <f aca="false">IF(OR(D1120="",E1120=""),"",D1120*E1120)</f>
        <v/>
      </c>
      <c r="G1120" s="7"/>
      <c r="H1120" s="7"/>
    </row>
    <row r="1121" customFormat="false" ht="15" hidden="false" customHeight="true" outlineLevel="0" collapsed="false">
      <c r="A1121" s="15"/>
      <c r="B1121" s="7"/>
      <c r="C1121" s="16" t="str">
        <f aca="false">IF(B1121="","",IFERROR(INDEX(Products!$B$2:$B$501,MATCH(B1121,Products!$A$2:$A$501,0)),"CODE NOT FOUND"))</f>
        <v/>
      </c>
      <c r="D1121" s="7"/>
      <c r="E1121" s="13"/>
      <c r="F1121" s="17" t="str">
        <f aca="false">IF(OR(D1121="",E1121=""),"",D1121*E1121)</f>
        <v/>
      </c>
      <c r="G1121" s="7"/>
      <c r="H1121" s="7"/>
    </row>
    <row r="1122" customFormat="false" ht="15" hidden="false" customHeight="true" outlineLevel="0" collapsed="false">
      <c r="A1122" s="15"/>
      <c r="B1122" s="7"/>
      <c r="C1122" s="16" t="str">
        <f aca="false">IF(B1122="","",IFERROR(INDEX(Products!$B$2:$B$501,MATCH(B1122,Products!$A$2:$A$501,0)),"CODE NOT FOUND"))</f>
        <v/>
      </c>
      <c r="D1122" s="7"/>
      <c r="E1122" s="13"/>
      <c r="F1122" s="17" t="str">
        <f aca="false">IF(OR(D1122="",E1122=""),"",D1122*E1122)</f>
        <v/>
      </c>
      <c r="G1122" s="7"/>
      <c r="H1122" s="7"/>
    </row>
    <row r="1123" customFormat="false" ht="15" hidden="false" customHeight="true" outlineLevel="0" collapsed="false">
      <c r="A1123" s="15"/>
      <c r="B1123" s="7"/>
      <c r="C1123" s="16" t="str">
        <f aca="false">IF(B1123="","",IFERROR(INDEX(Products!$B$2:$B$501,MATCH(B1123,Products!$A$2:$A$501,0)),"CODE NOT FOUND"))</f>
        <v/>
      </c>
      <c r="D1123" s="7"/>
      <c r="E1123" s="13"/>
      <c r="F1123" s="17" t="str">
        <f aca="false">IF(OR(D1123="",E1123=""),"",D1123*E1123)</f>
        <v/>
      </c>
      <c r="G1123" s="7"/>
      <c r="H1123" s="7"/>
    </row>
    <row r="1124" customFormat="false" ht="15" hidden="false" customHeight="true" outlineLevel="0" collapsed="false">
      <c r="A1124" s="15"/>
      <c r="B1124" s="7"/>
      <c r="C1124" s="16" t="str">
        <f aca="false">IF(B1124="","",IFERROR(INDEX(Products!$B$2:$B$501,MATCH(B1124,Products!$A$2:$A$501,0)),"CODE NOT FOUND"))</f>
        <v/>
      </c>
      <c r="D1124" s="7"/>
      <c r="E1124" s="13"/>
      <c r="F1124" s="17" t="str">
        <f aca="false">IF(OR(D1124="",E1124=""),"",D1124*E1124)</f>
        <v/>
      </c>
      <c r="G1124" s="7"/>
      <c r="H1124" s="7"/>
    </row>
    <row r="1125" customFormat="false" ht="15" hidden="false" customHeight="true" outlineLevel="0" collapsed="false">
      <c r="A1125" s="15"/>
      <c r="B1125" s="7"/>
      <c r="C1125" s="16" t="str">
        <f aca="false">IF(B1125="","",IFERROR(INDEX(Products!$B$2:$B$501,MATCH(B1125,Products!$A$2:$A$501,0)),"CODE NOT FOUND"))</f>
        <v/>
      </c>
      <c r="D1125" s="7"/>
      <c r="E1125" s="13"/>
      <c r="F1125" s="17" t="str">
        <f aca="false">IF(OR(D1125="",E1125=""),"",D1125*E1125)</f>
        <v/>
      </c>
      <c r="G1125" s="7"/>
      <c r="H1125" s="7"/>
    </row>
    <row r="1126" customFormat="false" ht="15" hidden="false" customHeight="true" outlineLevel="0" collapsed="false">
      <c r="A1126" s="15"/>
      <c r="B1126" s="7"/>
      <c r="C1126" s="16" t="str">
        <f aca="false">IF(B1126="","",IFERROR(INDEX(Products!$B$2:$B$501,MATCH(B1126,Products!$A$2:$A$501,0)),"CODE NOT FOUND"))</f>
        <v/>
      </c>
      <c r="D1126" s="7"/>
      <c r="E1126" s="13"/>
      <c r="F1126" s="17" t="str">
        <f aca="false">IF(OR(D1126="",E1126=""),"",D1126*E1126)</f>
        <v/>
      </c>
      <c r="G1126" s="7"/>
      <c r="H1126" s="7"/>
    </row>
    <row r="1127" customFormat="false" ht="15" hidden="false" customHeight="true" outlineLevel="0" collapsed="false">
      <c r="A1127" s="15"/>
      <c r="B1127" s="7"/>
      <c r="C1127" s="16" t="str">
        <f aca="false">IF(B1127="","",IFERROR(INDEX(Products!$B$2:$B$501,MATCH(B1127,Products!$A$2:$A$501,0)),"CODE NOT FOUND"))</f>
        <v/>
      </c>
      <c r="D1127" s="7"/>
      <c r="E1127" s="13"/>
      <c r="F1127" s="17" t="str">
        <f aca="false">IF(OR(D1127="",E1127=""),"",D1127*E1127)</f>
        <v/>
      </c>
      <c r="G1127" s="7"/>
      <c r="H1127" s="7"/>
    </row>
    <row r="1128" customFormat="false" ht="15" hidden="false" customHeight="true" outlineLevel="0" collapsed="false">
      <c r="A1128" s="15"/>
      <c r="B1128" s="7"/>
      <c r="C1128" s="16" t="str">
        <f aca="false">IF(B1128="","",IFERROR(INDEX(Products!$B$2:$B$501,MATCH(B1128,Products!$A$2:$A$501,0)),"CODE NOT FOUND"))</f>
        <v/>
      </c>
      <c r="D1128" s="7"/>
      <c r="E1128" s="13"/>
      <c r="F1128" s="17" t="str">
        <f aca="false">IF(OR(D1128="",E1128=""),"",D1128*E1128)</f>
        <v/>
      </c>
      <c r="G1128" s="7"/>
      <c r="H1128" s="7"/>
    </row>
    <row r="1129" customFormat="false" ht="15" hidden="false" customHeight="true" outlineLevel="0" collapsed="false">
      <c r="A1129" s="15"/>
      <c r="B1129" s="7"/>
      <c r="C1129" s="16" t="str">
        <f aca="false">IF(B1129="","",IFERROR(INDEX(Products!$B$2:$B$501,MATCH(B1129,Products!$A$2:$A$501,0)),"CODE NOT FOUND"))</f>
        <v/>
      </c>
      <c r="D1129" s="7"/>
      <c r="E1129" s="13"/>
      <c r="F1129" s="17" t="str">
        <f aca="false">IF(OR(D1129="",E1129=""),"",D1129*E1129)</f>
        <v/>
      </c>
      <c r="G1129" s="7"/>
      <c r="H1129" s="7"/>
    </row>
    <row r="1130" customFormat="false" ht="15" hidden="false" customHeight="true" outlineLevel="0" collapsed="false">
      <c r="A1130" s="15"/>
      <c r="B1130" s="7"/>
      <c r="C1130" s="16" t="str">
        <f aca="false">IF(B1130="","",IFERROR(INDEX(Products!$B$2:$B$501,MATCH(B1130,Products!$A$2:$A$501,0)),"CODE NOT FOUND"))</f>
        <v/>
      </c>
      <c r="D1130" s="7"/>
      <c r="E1130" s="13"/>
      <c r="F1130" s="17" t="str">
        <f aca="false">IF(OR(D1130="",E1130=""),"",D1130*E1130)</f>
        <v/>
      </c>
      <c r="G1130" s="7"/>
      <c r="H1130" s="7"/>
    </row>
    <row r="1131" customFormat="false" ht="15" hidden="false" customHeight="true" outlineLevel="0" collapsed="false">
      <c r="A1131" s="15"/>
      <c r="B1131" s="7"/>
      <c r="C1131" s="16" t="str">
        <f aca="false">IF(B1131="","",IFERROR(INDEX(Products!$B$2:$B$501,MATCH(B1131,Products!$A$2:$A$501,0)),"CODE NOT FOUND"))</f>
        <v/>
      </c>
      <c r="D1131" s="7"/>
      <c r="E1131" s="13"/>
      <c r="F1131" s="17" t="str">
        <f aca="false">IF(OR(D1131="",E1131=""),"",D1131*E1131)</f>
        <v/>
      </c>
      <c r="G1131" s="7"/>
      <c r="H1131" s="7"/>
    </row>
    <row r="1132" customFormat="false" ht="15" hidden="false" customHeight="true" outlineLevel="0" collapsed="false">
      <c r="A1132" s="15"/>
      <c r="B1132" s="7"/>
      <c r="C1132" s="16" t="str">
        <f aca="false">IF(B1132="","",IFERROR(INDEX(Products!$B$2:$B$501,MATCH(B1132,Products!$A$2:$A$501,0)),"CODE NOT FOUND"))</f>
        <v/>
      </c>
      <c r="D1132" s="7"/>
      <c r="E1132" s="13"/>
      <c r="F1132" s="17" t="str">
        <f aca="false">IF(OR(D1132="",E1132=""),"",D1132*E1132)</f>
        <v/>
      </c>
      <c r="G1132" s="7"/>
      <c r="H1132" s="7"/>
    </row>
    <row r="1133" customFormat="false" ht="15" hidden="false" customHeight="true" outlineLevel="0" collapsed="false">
      <c r="A1133" s="15"/>
      <c r="B1133" s="7"/>
      <c r="C1133" s="16" t="str">
        <f aca="false">IF(B1133="","",IFERROR(INDEX(Products!$B$2:$B$501,MATCH(B1133,Products!$A$2:$A$501,0)),"CODE NOT FOUND"))</f>
        <v/>
      </c>
      <c r="D1133" s="7"/>
      <c r="E1133" s="13"/>
      <c r="F1133" s="17" t="str">
        <f aca="false">IF(OR(D1133="",E1133=""),"",D1133*E1133)</f>
        <v/>
      </c>
      <c r="G1133" s="7"/>
      <c r="H1133" s="7"/>
    </row>
    <row r="1134" customFormat="false" ht="15" hidden="false" customHeight="true" outlineLevel="0" collapsed="false">
      <c r="A1134" s="15"/>
      <c r="B1134" s="7"/>
      <c r="C1134" s="16" t="str">
        <f aca="false">IF(B1134="","",IFERROR(INDEX(Products!$B$2:$B$501,MATCH(B1134,Products!$A$2:$A$501,0)),"CODE NOT FOUND"))</f>
        <v/>
      </c>
      <c r="D1134" s="7"/>
      <c r="E1134" s="13"/>
      <c r="F1134" s="17" t="str">
        <f aca="false">IF(OR(D1134="",E1134=""),"",D1134*E1134)</f>
        <v/>
      </c>
      <c r="G1134" s="7"/>
      <c r="H1134" s="7"/>
    </row>
    <row r="1135" customFormat="false" ht="15" hidden="false" customHeight="true" outlineLevel="0" collapsed="false">
      <c r="A1135" s="15"/>
      <c r="B1135" s="7"/>
      <c r="C1135" s="16" t="str">
        <f aca="false">IF(B1135="","",IFERROR(INDEX(Products!$B$2:$B$501,MATCH(B1135,Products!$A$2:$A$501,0)),"CODE NOT FOUND"))</f>
        <v/>
      </c>
      <c r="D1135" s="7"/>
      <c r="E1135" s="13"/>
      <c r="F1135" s="17" t="str">
        <f aca="false">IF(OR(D1135="",E1135=""),"",D1135*E1135)</f>
        <v/>
      </c>
      <c r="G1135" s="7"/>
      <c r="H1135" s="7"/>
    </row>
    <row r="1136" customFormat="false" ht="15" hidden="false" customHeight="true" outlineLevel="0" collapsed="false">
      <c r="A1136" s="15"/>
      <c r="B1136" s="7"/>
      <c r="C1136" s="16" t="str">
        <f aca="false">IF(B1136="","",IFERROR(INDEX(Products!$B$2:$B$501,MATCH(B1136,Products!$A$2:$A$501,0)),"CODE NOT FOUND"))</f>
        <v/>
      </c>
      <c r="D1136" s="7"/>
      <c r="E1136" s="13"/>
      <c r="F1136" s="17" t="str">
        <f aca="false">IF(OR(D1136="",E1136=""),"",D1136*E1136)</f>
        <v/>
      </c>
      <c r="G1136" s="7"/>
      <c r="H1136" s="7"/>
    </row>
    <row r="1137" customFormat="false" ht="15" hidden="false" customHeight="true" outlineLevel="0" collapsed="false">
      <c r="A1137" s="15"/>
      <c r="B1137" s="7"/>
      <c r="C1137" s="16" t="str">
        <f aca="false">IF(B1137="","",IFERROR(INDEX(Products!$B$2:$B$501,MATCH(B1137,Products!$A$2:$A$501,0)),"CODE NOT FOUND"))</f>
        <v/>
      </c>
      <c r="D1137" s="7"/>
      <c r="E1137" s="13"/>
      <c r="F1137" s="17" t="str">
        <f aca="false">IF(OR(D1137="",E1137=""),"",D1137*E1137)</f>
        <v/>
      </c>
      <c r="G1137" s="7"/>
      <c r="H1137" s="7"/>
    </row>
    <row r="1138" customFormat="false" ht="15" hidden="false" customHeight="true" outlineLevel="0" collapsed="false">
      <c r="A1138" s="15"/>
      <c r="B1138" s="7"/>
      <c r="C1138" s="16" t="str">
        <f aca="false">IF(B1138="","",IFERROR(INDEX(Products!$B$2:$B$501,MATCH(B1138,Products!$A$2:$A$501,0)),"CODE NOT FOUND"))</f>
        <v/>
      </c>
      <c r="D1138" s="7"/>
      <c r="E1138" s="13"/>
      <c r="F1138" s="17" t="str">
        <f aca="false">IF(OR(D1138="",E1138=""),"",D1138*E1138)</f>
        <v/>
      </c>
      <c r="G1138" s="7"/>
      <c r="H1138" s="7"/>
    </row>
    <row r="1139" customFormat="false" ht="15" hidden="false" customHeight="true" outlineLevel="0" collapsed="false">
      <c r="A1139" s="15"/>
      <c r="B1139" s="7"/>
      <c r="C1139" s="16" t="str">
        <f aca="false">IF(B1139="","",IFERROR(INDEX(Products!$B$2:$B$501,MATCH(B1139,Products!$A$2:$A$501,0)),"CODE NOT FOUND"))</f>
        <v/>
      </c>
      <c r="D1139" s="7"/>
      <c r="E1139" s="13"/>
      <c r="F1139" s="17" t="str">
        <f aca="false">IF(OR(D1139="",E1139=""),"",D1139*E1139)</f>
        <v/>
      </c>
      <c r="G1139" s="7"/>
      <c r="H1139" s="7"/>
    </row>
    <row r="1140" customFormat="false" ht="15" hidden="false" customHeight="true" outlineLevel="0" collapsed="false">
      <c r="A1140" s="15"/>
      <c r="B1140" s="7"/>
      <c r="C1140" s="16" t="str">
        <f aca="false">IF(B1140="","",IFERROR(INDEX(Products!$B$2:$B$501,MATCH(B1140,Products!$A$2:$A$501,0)),"CODE NOT FOUND"))</f>
        <v/>
      </c>
      <c r="D1140" s="7"/>
      <c r="E1140" s="13"/>
      <c r="F1140" s="17" t="str">
        <f aca="false">IF(OR(D1140="",E1140=""),"",D1140*E1140)</f>
        <v/>
      </c>
      <c r="G1140" s="7"/>
      <c r="H1140" s="7"/>
    </row>
    <row r="1141" customFormat="false" ht="15" hidden="false" customHeight="true" outlineLevel="0" collapsed="false">
      <c r="A1141" s="15"/>
      <c r="B1141" s="7"/>
      <c r="C1141" s="16" t="str">
        <f aca="false">IF(B1141="","",IFERROR(INDEX(Products!$B$2:$B$501,MATCH(B1141,Products!$A$2:$A$501,0)),"CODE NOT FOUND"))</f>
        <v/>
      </c>
      <c r="D1141" s="7"/>
      <c r="E1141" s="13"/>
      <c r="F1141" s="17" t="str">
        <f aca="false">IF(OR(D1141="",E1141=""),"",D1141*E1141)</f>
        <v/>
      </c>
      <c r="G1141" s="7"/>
      <c r="H1141" s="7"/>
    </row>
    <row r="1142" customFormat="false" ht="15" hidden="false" customHeight="true" outlineLevel="0" collapsed="false">
      <c r="A1142" s="15"/>
      <c r="B1142" s="7"/>
      <c r="C1142" s="16" t="str">
        <f aca="false">IF(B1142="","",IFERROR(INDEX(Products!$B$2:$B$501,MATCH(B1142,Products!$A$2:$A$501,0)),"CODE NOT FOUND"))</f>
        <v/>
      </c>
      <c r="D1142" s="7"/>
      <c r="E1142" s="13"/>
      <c r="F1142" s="17" t="str">
        <f aca="false">IF(OR(D1142="",E1142=""),"",D1142*E1142)</f>
        <v/>
      </c>
      <c r="G1142" s="7"/>
      <c r="H1142" s="7"/>
    </row>
    <row r="1143" customFormat="false" ht="15" hidden="false" customHeight="true" outlineLevel="0" collapsed="false">
      <c r="A1143" s="15"/>
      <c r="B1143" s="7"/>
      <c r="C1143" s="16" t="str">
        <f aca="false">IF(B1143="","",IFERROR(INDEX(Products!$B$2:$B$501,MATCH(B1143,Products!$A$2:$A$501,0)),"CODE NOT FOUND"))</f>
        <v/>
      </c>
      <c r="D1143" s="7"/>
      <c r="E1143" s="13"/>
      <c r="F1143" s="17" t="str">
        <f aca="false">IF(OR(D1143="",E1143=""),"",D1143*E1143)</f>
        <v/>
      </c>
      <c r="G1143" s="7"/>
      <c r="H1143" s="7"/>
    </row>
    <row r="1144" customFormat="false" ht="15" hidden="false" customHeight="true" outlineLevel="0" collapsed="false">
      <c r="A1144" s="15"/>
      <c r="B1144" s="7"/>
      <c r="C1144" s="16" t="str">
        <f aca="false">IF(B1144="","",IFERROR(INDEX(Products!$B$2:$B$501,MATCH(B1144,Products!$A$2:$A$501,0)),"CODE NOT FOUND"))</f>
        <v/>
      </c>
      <c r="D1144" s="7"/>
      <c r="E1144" s="13"/>
      <c r="F1144" s="17" t="str">
        <f aca="false">IF(OR(D1144="",E1144=""),"",D1144*E1144)</f>
        <v/>
      </c>
      <c r="G1144" s="7"/>
      <c r="H1144" s="7"/>
    </row>
    <row r="1145" customFormat="false" ht="15" hidden="false" customHeight="true" outlineLevel="0" collapsed="false">
      <c r="A1145" s="15"/>
      <c r="B1145" s="7"/>
      <c r="C1145" s="16" t="str">
        <f aca="false">IF(B1145="","",IFERROR(INDEX(Products!$B$2:$B$501,MATCH(B1145,Products!$A$2:$A$501,0)),"CODE NOT FOUND"))</f>
        <v/>
      </c>
      <c r="D1145" s="7"/>
      <c r="E1145" s="13"/>
      <c r="F1145" s="17" t="str">
        <f aca="false">IF(OR(D1145="",E1145=""),"",D1145*E1145)</f>
        <v/>
      </c>
      <c r="G1145" s="7"/>
      <c r="H1145" s="7"/>
    </row>
    <row r="1146" customFormat="false" ht="15" hidden="false" customHeight="true" outlineLevel="0" collapsed="false">
      <c r="A1146" s="15"/>
      <c r="B1146" s="7"/>
      <c r="C1146" s="16" t="str">
        <f aca="false">IF(B1146="","",IFERROR(INDEX(Products!$B$2:$B$501,MATCH(B1146,Products!$A$2:$A$501,0)),"CODE NOT FOUND"))</f>
        <v/>
      </c>
      <c r="D1146" s="7"/>
      <c r="E1146" s="13"/>
      <c r="F1146" s="17" t="str">
        <f aca="false">IF(OR(D1146="",E1146=""),"",D1146*E1146)</f>
        <v/>
      </c>
      <c r="G1146" s="7"/>
      <c r="H1146" s="7"/>
    </row>
    <row r="1147" customFormat="false" ht="15" hidden="false" customHeight="true" outlineLevel="0" collapsed="false">
      <c r="A1147" s="15"/>
      <c r="B1147" s="7"/>
      <c r="C1147" s="16" t="str">
        <f aca="false">IF(B1147="","",IFERROR(INDEX(Products!$B$2:$B$501,MATCH(B1147,Products!$A$2:$A$501,0)),"CODE NOT FOUND"))</f>
        <v/>
      </c>
      <c r="D1147" s="7"/>
      <c r="E1147" s="13"/>
      <c r="F1147" s="17" t="str">
        <f aca="false">IF(OR(D1147="",E1147=""),"",D1147*E1147)</f>
        <v/>
      </c>
      <c r="G1147" s="7"/>
      <c r="H1147" s="7"/>
    </row>
    <row r="1148" customFormat="false" ht="15" hidden="false" customHeight="true" outlineLevel="0" collapsed="false">
      <c r="A1148" s="15"/>
      <c r="B1148" s="7"/>
      <c r="C1148" s="16" t="str">
        <f aca="false">IF(B1148="","",IFERROR(INDEX(Products!$B$2:$B$501,MATCH(B1148,Products!$A$2:$A$501,0)),"CODE NOT FOUND"))</f>
        <v/>
      </c>
      <c r="D1148" s="7"/>
      <c r="E1148" s="13"/>
      <c r="F1148" s="17" t="str">
        <f aca="false">IF(OR(D1148="",E1148=""),"",D1148*E1148)</f>
        <v/>
      </c>
      <c r="G1148" s="7"/>
      <c r="H1148" s="7"/>
    </row>
    <row r="1149" customFormat="false" ht="15" hidden="false" customHeight="true" outlineLevel="0" collapsed="false">
      <c r="A1149" s="15"/>
      <c r="B1149" s="7"/>
      <c r="C1149" s="16" t="str">
        <f aca="false">IF(B1149="","",IFERROR(INDEX(Products!$B$2:$B$501,MATCH(B1149,Products!$A$2:$A$501,0)),"CODE NOT FOUND"))</f>
        <v/>
      </c>
      <c r="D1149" s="7"/>
      <c r="E1149" s="13"/>
      <c r="F1149" s="17" t="str">
        <f aca="false">IF(OR(D1149="",E1149=""),"",D1149*E1149)</f>
        <v/>
      </c>
      <c r="G1149" s="7"/>
      <c r="H1149" s="7"/>
    </row>
    <row r="1150" customFormat="false" ht="15" hidden="false" customHeight="true" outlineLevel="0" collapsed="false">
      <c r="A1150" s="15"/>
      <c r="B1150" s="7"/>
      <c r="C1150" s="16" t="str">
        <f aca="false">IF(B1150="","",IFERROR(INDEX(Products!$B$2:$B$501,MATCH(B1150,Products!$A$2:$A$501,0)),"CODE NOT FOUND"))</f>
        <v/>
      </c>
      <c r="D1150" s="7"/>
      <c r="E1150" s="13"/>
      <c r="F1150" s="17" t="str">
        <f aca="false">IF(OR(D1150="",E1150=""),"",D1150*E1150)</f>
        <v/>
      </c>
      <c r="G1150" s="7"/>
      <c r="H1150" s="7"/>
    </row>
    <row r="1151" customFormat="false" ht="15" hidden="false" customHeight="true" outlineLevel="0" collapsed="false">
      <c r="A1151" s="15"/>
      <c r="B1151" s="7"/>
      <c r="C1151" s="16" t="str">
        <f aca="false">IF(B1151="","",IFERROR(INDEX(Products!$B$2:$B$501,MATCH(B1151,Products!$A$2:$A$501,0)),"CODE NOT FOUND"))</f>
        <v/>
      </c>
      <c r="D1151" s="7"/>
      <c r="E1151" s="13"/>
      <c r="F1151" s="17" t="str">
        <f aca="false">IF(OR(D1151="",E1151=""),"",D1151*E1151)</f>
        <v/>
      </c>
      <c r="G1151" s="7"/>
      <c r="H1151" s="7"/>
    </row>
    <row r="1152" customFormat="false" ht="15" hidden="false" customHeight="true" outlineLevel="0" collapsed="false">
      <c r="A1152" s="15"/>
      <c r="B1152" s="7"/>
      <c r="C1152" s="16" t="str">
        <f aca="false">IF(B1152="","",IFERROR(INDEX(Products!$B$2:$B$501,MATCH(B1152,Products!$A$2:$A$501,0)),"CODE NOT FOUND"))</f>
        <v/>
      </c>
      <c r="D1152" s="7"/>
      <c r="E1152" s="13"/>
      <c r="F1152" s="17" t="str">
        <f aca="false">IF(OR(D1152="",E1152=""),"",D1152*E1152)</f>
        <v/>
      </c>
      <c r="G1152" s="7"/>
      <c r="H1152" s="7"/>
    </row>
    <row r="1153" customFormat="false" ht="15" hidden="false" customHeight="true" outlineLevel="0" collapsed="false">
      <c r="A1153" s="15"/>
      <c r="B1153" s="7"/>
      <c r="C1153" s="16" t="str">
        <f aca="false">IF(B1153="","",IFERROR(INDEX(Products!$B$2:$B$501,MATCH(B1153,Products!$A$2:$A$501,0)),"CODE NOT FOUND"))</f>
        <v/>
      </c>
      <c r="D1153" s="7"/>
      <c r="E1153" s="13"/>
      <c r="F1153" s="17" t="str">
        <f aca="false">IF(OR(D1153="",E1153=""),"",D1153*E1153)</f>
        <v/>
      </c>
      <c r="G1153" s="7"/>
      <c r="H1153" s="7"/>
    </row>
    <row r="1154" customFormat="false" ht="15" hidden="false" customHeight="true" outlineLevel="0" collapsed="false">
      <c r="A1154" s="15"/>
      <c r="B1154" s="7"/>
      <c r="C1154" s="16" t="str">
        <f aca="false">IF(B1154="","",IFERROR(INDEX(Products!$B$2:$B$501,MATCH(B1154,Products!$A$2:$A$501,0)),"CODE NOT FOUND"))</f>
        <v/>
      </c>
      <c r="D1154" s="7"/>
      <c r="E1154" s="13"/>
      <c r="F1154" s="17" t="str">
        <f aca="false">IF(OR(D1154="",E1154=""),"",D1154*E1154)</f>
        <v/>
      </c>
      <c r="G1154" s="7"/>
      <c r="H1154" s="7"/>
    </row>
    <row r="1155" customFormat="false" ht="15" hidden="false" customHeight="true" outlineLevel="0" collapsed="false">
      <c r="A1155" s="15"/>
      <c r="B1155" s="7"/>
      <c r="C1155" s="16" t="str">
        <f aca="false">IF(B1155="","",IFERROR(INDEX(Products!$B$2:$B$501,MATCH(B1155,Products!$A$2:$A$501,0)),"CODE NOT FOUND"))</f>
        <v/>
      </c>
      <c r="D1155" s="7"/>
      <c r="E1155" s="13"/>
      <c r="F1155" s="17" t="str">
        <f aca="false">IF(OR(D1155="",E1155=""),"",D1155*E1155)</f>
        <v/>
      </c>
      <c r="G1155" s="7"/>
      <c r="H1155" s="7"/>
    </row>
    <row r="1156" customFormat="false" ht="15" hidden="false" customHeight="true" outlineLevel="0" collapsed="false">
      <c r="A1156" s="15"/>
      <c r="B1156" s="7"/>
      <c r="C1156" s="16" t="str">
        <f aca="false">IF(B1156="","",IFERROR(INDEX(Products!$B$2:$B$501,MATCH(B1156,Products!$A$2:$A$501,0)),"CODE NOT FOUND"))</f>
        <v/>
      </c>
      <c r="D1156" s="7"/>
      <c r="E1156" s="13"/>
      <c r="F1156" s="17" t="str">
        <f aca="false">IF(OR(D1156="",E1156=""),"",D1156*E1156)</f>
        <v/>
      </c>
      <c r="G1156" s="7"/>
      <c r="H1156" s="7"/>
    </row>
    <row r="1157" customFormat="false" ht="15" hidden="false" customHeight="true" outlineLevel="0" collapsed="false">
      <c r="A1157" s="15"/>
      <c r="B1157" s="7"/>
      <c r="C1157" s="16" t="str">
        <f aca="false">IF(B1157="","",IFERROR(INDEX(Products!$B$2:$B$501,MATCH(B1157,Products!$A$2:$A$501,0)),"CODE NOT FOUND"))</f>
        <v/>
      </c>
      <c r="D1157" s="7"/>
      <c r="E1157" s="13"/>
      <c r="F1157" s="17" t="str">
        <f aca="false">IF(OR(D1157="",E1157=""),"",D1157*E1157)</f>
        <v/>
      </c>
      <c r="G1157" s="7"/>
      <c r="H1157" s="7"/>
    </row>
    <row r="1158" customFormat="false" ht="15" hidden="false" customHeight="true" outlineLevel="0" collapsed="false">
      <c r="A1158" s="15"/>
      <c r="B1158" s="7"/>
      <c r="C1158" s="16" t="str">
        <f aca="false">IF(B1158="","",IFERROR(INDEX(Products!$B$2:$B$501,MATCH(B1158,Products!$A$2:$A$501,0)),"CODE NOT FOUND"))</f>
        <v/>
      </c>
      <c r="D1158" s="7"/>
      <c r="E1158" s="13"/>
      <c r="F1158" s="17" t="str">
        <f aca="false">IF(OR(D1158="",E1158=""),"",D1158*E1158)</f>
        <v/>
      </c>
      <c r="G1158" s="7"/>
      <c r="H1158" s="7"/>
    </row>
    <row r="1159" customFormat="false" ht="15" hidden="false" customHeight="true" outlineLevel="0" collapsed="false">
      <c r="A1159" s="15"/>
      <c r="B1159" s="7"/>
      <c r="C1159" s="16" t="str">
        <f aca="false">IF(B1159="","",IFERROR(INDEX(Products!$B$2:$B$501,MATCH(B1159,Products!$A$2:$A$501,0)),"CODE NOT FOUND"))</f>
        <v/>
      </c>
      <c r="D1159" s="7"/>
      <c r="E1159" s="13"/>
      <c r="F1159" s="17" t="str">
        <f aca="false">IF(OR(D1159="",E1159=""),"",D1159*E1159)</f>
        <v/>
      </c>
      <c r="G1159" s="7"/>
      <c r="H1159" s="7"/>
    </row>
    <row r="1160" customFormat="false" ht="15" hidden="false" customHeight="true" outlineLevel="0" collapsed="false">
      <c r="A1160" s="15"/>
      <c r="B1160" s="7"/>
      <c r="C1160" s="16" t="str">
        <f aca="false">IF(B1160="","",IFERROR(INDEX(Products!$B$2:$B$501,MATCH(B1160,Products!$A$2:$A$501,0)),"CODE NOT FOUND"))</f>
        <v/>
      </c>
      <c r="D1160" s="7"/>
      <c r="E1160" s="13"/>
      <c r="F1160" s="17" t="str">
        <f aca="false">IF(OR(D1160="",E1160=""),"",D1160*E1160)</f>
        <v/>
      </c>
      <c r="G1160" s="7"/>
      <c r="H1160" s="7"/>
    </row>
    <row r="1161" customFormat="false" ht="15" hidden="false" customHeight="true" outlineLevel="0" collapsed="false">
      <c r="A1161" s="15"/>
      <c r="B1161" s="7"/>
      <c r="C1161" s="16" t="str">
        <f aca="false">IF(B1161="","",IFERROR(INDEX(Products!$B$2:$B$501,MATCH(B1161,Products!$A$2:$A$501,0)),"CODE NOT FOUND"))</f>
        <v/>
      </c>
      <c r="D1161" s="7"/>
      <c r="E1161" s="13"/>
      <c r="F1161" s="17" t="str">
        <f aca="false">IF(OR(D1161="",E1161=""),"",D1161*E1161)</f>
        <v/>
      </c>
      <c r="G1161" s="7"/>
      <c r="H1161" s="7"/>
    </row>
    <row r="1162" customFormat="false" ht="15" hidden="false" customHeight="true" outlineLevel="0" collapsed="false">
      <c r="A1162" s="15"/>
      <c r="B1162" s="7"/>
      <c r="C1162" s="16" t="str">
        <f aca="false">IF(B1162="","",IFERROR(INDEX(Products!$B$2:$B$501,MATCH(B1162,Products!$A$2:$A$501,0)),"CODE NOT FOUND"))</f>
        <v/>
      </c>
      <c r="D1162" s="7"/>
      <c r="E1162" s="13"/>
      <c r="F1162" s="17" t="str">
        <f aca="false">IF(OR(D1162="",E1162=""),"",D1162*E1162)</f>
        <v/>
      </c>
      <c r="G1162" s="7"/>
      <c r="H1162" s="7"/>
    </row>
    <row r="1163" customFormat="false" ht="15" hidden="false" customHeight="true" outlineLevel="0" collapsed="false">
      <c r="A1163" s="15"/>
      <c r="B1163" s="7"/>
      <c r="C1163" s="16" t="str">
        <f aca="false">IF(B1163="","",IFERROR(INDEX(Products!$B$2:$B$501,MATCH(B1163,Products!$A$2:$A$501,0)),"CODE NOT FOUND"))</f>
        <v/>
      </c>
      <c r="D1163" s="7"/>
      <c r="E1163" s="13"/>
      <c r="F1163" s="17" t="str">
        <f aca="false">IF(OR(D1163="",E1163=""),"",D1163*E1163)</f>
        <v/>
      </c>
      <c r="G1163" s="7"/>
      <c r="H1163" s="7"/>
    </row>
    <row r="1164" customFormat="false" ht="15" hidden="false" customHeight="true" outlineLevel="0" collapsed="false">
      <c r="A1164" s="15"/>
      <c r="B1164" s="7"/>
      <c r="C1164" s="16" t="str">
        <f aca="false">IF(B1164="","",IFERROR(INDEX(Products!$B$2:$B$501,MATCH(B1164,Products!$A$2:$A$501,0)),"CODE NOT FOUND"))</f>
        <v/>
      </c>
      <c r="D1164" s="7"/>
      <c r="E1164" s="13"/>
      <c r="F1164" s="17" t="str">
        <f aca="false">IF(OR(D1164="",E1164=""),"",D1164*E1164)</f>
        <v/>
      </c>
      <c r="G1164" s="7"/>
      <c r="H1164" s="7"/>
    </row>
    <row r="1165" customFormat="false" ht="15" hidden="false" customHeight="true" outlineLevel="0" collapsed="false">
      <c r="A1165" s="15"/>
      <c r="B1165" s="7"/>
      <c r="C1165" s="16" t="str">
        <f aca="false">IF(B1165="","",IFERROR(INDEX(Products!$B$2:$B$501,MATCH(B1165,Products!$A$2:$A$501,0)),"CODE NOT FOUND"))</f>
        <v/>
      </c>
      <c r="D1165" s="7"/>
      <c r="E1165" s="13"/>
      <c r="F1165" s="17" t="str">
        <f aca="false">IF(OR(D1165="",E1165=""),"",D1165*E1165)</f>
        <v/>
      </c>
      <c r="G1165" s="7"/>
      <c r="H1165" s="7"/>
    </row>
    <row r="1166" customFormat="false" ht="15" hidden="false" customHeight="true" outlineLevel="0" collapsed="false">
      <c r="A1166" s="15"/>
      <c r="B1166" s="7"/>
      <c r="C1166" s="16" t="str">
        <f aca="false">IF(B1166="","",IFERROR(INDEX(Products!$B$2:$B$501,MATCH(B1166,Products!$A$2:$A$501,0)),"CODE NOT FOUND"))</f>
        <v/>
      </c>
      <c r="D1166" s="7"/>
      <c r="E1166" s="13"/>
      <c r="F1166" s="17" t="str">
        <f aca="false">IF(OR(D1166="",E1166=""),"",D1166*E1166)</f>
        <v/>
      </c>
      <c r="G1166" s="7"/>
      <c r="H1166" s="7"/>
    </row>
    <row r="1167" customFormat="false" ht="15" hidden="false" customHeight="true" outlineLevel="0" collapsed="false">
      <c r="A1167" s="15"/>
      <c r="B1167" s="7"/>
      <c r="C1167" s="16" t="str">
        <f aca="false">IF(B1167="","",IFERROR(INDEX(Products!$B$2:$B$501,MATCH(B1167,Products!$A$2:$A$501,0)),"CODE NOT FOUND"))</f>
        <v/>
      </c>
      <c r="D1167" s="7"/>
      <c r="E1167" s="13"/>
      <c r="F1167" s="17" t="str">
        <f aca="false">IF(OR(D1167="",E1167=""),"",D1167*E1167)</f>
        <v/>
      </c>
      <c r="G1167" s="7"/>
      <c r="H1167" s="7"/>
    </row>
    <row r="1168" customFormat="false" ht="15" hidden="false" customHeight="true" outlineLevel="0" collapsed="false">
      <c r="A1168" s="15"/>
      <c r="B1168" s="7"/>
      <c r="C1168" s="16" t="str">
        <f aca="false">IF(B1168="","",IFERROR(INDEX(Products!$B$2:$B$501,MATCH(B1168,Products!$A$2:$A$501,0)),"CODE NOT FOUND"))</f>
        <v/>
      </c>
      <c r="D1168" s="7"/>
      <c r="E1168" s="13"/>
      <c r="F1168" s="17" t="str">
        <f aca="false">IF(OR(D1168="",E1168=""),"",D1168*E1168)</f>
        <v/>
      </c>
      <c r="G1168" s="7"/>
      <c r="H1168" s="7"/>
    </row>
    <row r="1169" customFormat="false" ht="15" hidden="false" customHeight="true" outlineLevel="0" collapsed="false">
      <c r="A1169" s="15"/>
      <c r="B1169" s="7"/>
      <c r="C1169" s="16" t="str">
        <f aca="false">IF(B1169="","",IFERROR(INDEX(Products!$B$2:$B$501,MATCH(B1169,Products!$A$2:$A$501,0)),"CODE NOT FOUND"))</f>
        <v/>
      </c>
      <c r="D1169" s="7"/>
      <c r="E1169" s="13"/>
      <c r="F1169" s="17" t="str">
        <f aca="false">IF(OR(D1169="",E1169=""),"",D1169*E1169)</f>
        <v/>
      </c>
      <c r="G1169" s="7"/>
      <c r="H1169" s="7"/>
    </row>
    <row r="1170" customFormat="false" ht="15" hidden="false" customHeight="true" outlineLevel="0" collapsed="false">
      <c r="A1170" s="15"/>
      <c r="B1170" s="7"/>
      <c r="C1170" s="16" t="str">
        <f aca="false">IF(B1170="","",IFERROR(INDEX(Products!$B$2:$B$501,MATCH(B1170,Products!$A$2:$A$501,0)),"CODE NOT FOUND"))</f>
        <v/>
      </c>
      <c r="D1170" s="7"/>
      <c r="E1170" s="13"/>
      <c r="F1170" s="17" t="str">
        <f aca="false">IF(OR(D1170="",E1170=""),"",D1170*E1170)</f>
        <v/>
      </c>
      <c r="G1170" s="7"/>
      <c r="H1170" s="7"/>
    </row>
    <row r="1171" customFormat="false" ht="15" hidden="false" customHeight="true" outlineLevel="0" collapsed="false">
      <c r="A1171" s="15"/>
      <c r="B1171" s="7"/>
      <c r="C1171" s="16" t="str">
        <f aca="false">IF(B1171="","",IFERROR(INDEX(Products!$B$2:$B$501,MATCH(B1171,Products!$A$2:$A$501,0)),"CODE NOT FOUND"))</f>
        <v/>
      </c>
      <c r="D1171" s="7"/>
      <c r="E1171" s="13"/>
      <c r="F1171" s="17" t="str">
        <f aca="false">IF(OR(D1171="",E1171=""),"",D1171*E1171)</f>
        <v/>
      </c>
      <c r="G1171" s="7"/>
      <c r="H1171" s="7"/>
    </row>
    <row r="1172" customFormat="false" ht="15" hidden="false" customHeight="true" outlineLevel="0" collapsed="false">
      <c r="A1172" s="15"/>
      <c r="B1172" s="7"/>
      <c r="C1172" s="16" t="str">
        <f aca="false">IF(B1172="","",IFERROR(INDEX(Products!$B$2:$B$501,MATCH(B1172,Products!$A$2:$A$501,0)),"CODE NOT FOUND"))</f>
        <v/>
      </c>
      <c r="D1172" s="7"/>
      <c r="E1172" s="13"/>
      <c r="F1172" s="17" t="str">
        <f aca="false">IF(OR(D1172="",E1172=""),"",D1172*E1172)</f>
        <v/>
      </c>
      <c r="G1172" s="7"/>
      <c r="H1172" s="7"/>
    </row>
    <row r="1173" customFormat="false" ht="15" hidden="false" customHeight="true" outlineLevel="0" collapsed="false">
      <c r="A1173" s="15"/>
      <c r="B1173" s="7"/>
      <c r="C1173" s="16" t="str">
        <f aca="false">IF(B1173="","",IFERROR(INDEX(Products!$B$2:$B$501,MATCH(B1173,Products!$A$2:$A$501,0)),"CODE NOT FOUND"))</f>
        <v/>
      </c>
      <c r="D1173" s="7"/>
      <c r="E1173" s="13"/>
      <c r="F1173" s="17" t="str">
        <f aca="false">IF(OR(D1173="",E1173=""),"",D1173*E1173)</f>
        <v/>
      </c>
      <c r="G1173" s="7"/>
      <c r="H1173" s="7"/>
    </row>
    <row r="1174" customFormat="false" ht="15" hidden="false" customHeight="true" outlineLevel="0" collapsed="false">
      <c r="A1174" s="15"/>
      <c r="B1174" s="7"/>
      <c r="C1174" s="16" t="str">
        <f aca="false">IF(B1174="","",IFERROR(INDEX(Products!$B$2:$B$501,MATCH(B1174,Products!$A$2:$A$501,0)),"CODE NOT FOUND"))</f>
        <v/>
      </c>
      <c r="D1174" s="7"/>
      <c r="E1174" s="13"/>
      <c r="F1174" s="17" t="str">
        <f aca="false">IF(OR(D1174="",E1174=""),"",D1174*E1174)</f>
        <v/>
      </c>
      <c r="G1174" s="7"/>
      <c r="H1174" s="7"/>
    </row>
    <row r="1175" customFormat="false" ht="15" hidden="false" customHeight="true" outlineLevel="0" collapsed="false">
      <c r="A1175" s="15"/>
      <c r="B1175" s="7"/>
      <c r="C1175" s="16" t="str">
        <f aca="false">IF(B1175="","",IFERROR(INDEX(Products!$B$2:$B$501,MATCH(B1175,Products!$A$2:$A$501,0)),"CODE NOT FOUND"))</f>
        <v/>
      </c>
      <c r="D1175" s="7"/>
      <c r="E1175" s="13"/>
      <c r="F1175" s="17" t="str">
        <f aca="false">IF(OR(D1175="",E1175=""),"",D1175*E1175)</f>
        <v/>
      </c>
      <c r="G1175" s="7"/>
      <c r="H1175" s="7"/>
    </row>
    <row r="1176" customFormat="false" ht="15" hidden="false" customHeight="true" outlineLevel="0" collapsed="false">
      <c r="A1176" s="15"/>
      <c r="B1176" s="7"/>
      <c r="C1176" s="16" t="str">
        <f aca="false">IF(B1176="","",IFERROR(INDEX(Products!$B$2:$B$501,MATCH(B1176,Products!$A$2:$A$501,0)),"CODE NOT FOUND"))</f>
        <v/>
      </c>
      <c r="D1176" s="7"/>
      <c r="E1176" s="13"/>
      <c r="F1176" s="17" t="str">
        <f aca="false">IF(OR(D1176="",E1176=""),"",D1176*E1176)</f>
        <v/>
      </c>
      <c r="G1176" s="7"/>
      <c r="H1176" s="7"/>
    </row>
    <row r="1177" customFormat="false" ht="15" hidden="false" customHeight="true" outlineLevel="0" collapsed="false">
      <c r="A1177" s="15"/>
      <c r="B1177" s="7"/>
      <c r="C1177" s="16" t="str">
        <f aca="false">IF(B1177="","",IFERROR(INDEX(Products!$B$2:$B$501,MATCH(B1177,Products!$A$2:$A$501,0)),"CODE NOT FOUND"))</f>
        <v/>
      </c>
      <c r="D1177" s="7"/>
      <c r="E1177" s="13"/>
      <c r="F1177" s="17" t="str">
        <f aca="false">IF(OR(D1177="",E1177=""),"",D1177*E1177)</f>
        <v/>
      </c>
      <c r="G1177" s="7"/>
      <c r="H1177" s="7"/>
    </row>
    <row r="1178" customFormat="false" ht="15" hidden="false" customHeight="true" outlineLevel="0" collapsed="false">
      <c r="A1178" s="15"/>
      <c r="B1178" s="7"/>
      <c r="C1178" s="16" t="str">
        <f aca="false">IF(B1178="","",IFERROR(INDEX(Products!$B$2:$B$501,MATCH(B1178,Products!$A$2:$A$501,0)),"CODE NOT FOUND"))</f>
        <v/>
      </c>
      <c r="D1178" s="7"/>
      <c r="E1178" s="13"/>
      <c r="F1178" s="17" t="str">
        <f aca="false">IF(OR(D1178="",E1178=""),"",D1178*E1178)</f>
        <v/>
      </c>
      <c r="G1178" s="7"/>
      <c r="H1178" s="7"/>
    </row>
    <row r="1179" customFormat="false" ht="15" hidden="false" customHeight="true" outlineLevel="0" collapsed="false">
      <c r="A1179" s="15"/>
      <c r="B1179" s="7"/>
      <c r="C1179" s="16" t="str">
        <f aca="false">IF(B1179="","",IFERROR(INDEX(Products!$B$2:$B$501,MATCH(B1179,Products!$A$2:$A$501,0)),"CODE NOT FOUND"))</f>
        <v/>
      </c>
      <c r="D1179" s="7"/>
      <c r="E1179" s="13"/>
      <c r="F1179" s="17" t="str">
        <f aca="false">IF(OR(D1179="",E1179=""),"",D1179*E1179)</f>
        <v/>
      </c>
      <c r="G1179" s="7"/>
      <c r="H1179" s="7"/>
    </row>
    <row r="1180" customFormat="false" ht="15" hidden="false" customHeight="true" outlineLevel="0" collapsed="false">
      <c r="A1180" s="15"/>
      <c r="B1180" s="7"/>
      <c r="C1180" s="16" t="str">
        <f aca="false">IF(B1180="","",IFERROR(INDEX(Products!$B$2:$B$501,MATCH(B1180,Products!$A$2:$A$501,0)),"CODE NOT FOUND"))</f>
        <v/>
      </c>
      <c r="D1180" s="7"/>
      <c r="E1180" s="13"/>
      <c r="F1180" s="17" t="str">
        <f aca="false">IF(OR(D1180="",E1180=""),"",D1180*E1180)</f>
        <v/>
      </c>
      <c r="G1180" s="7"/>
      <c r="H1180" s="7"/>
    </row>
    <row r="1181" customFormat="false" ht="15" hidden="false" customHeight="true" outlineLevel="0" collapsed="false">
      <c r="A1181" s="15"/>
      <c r="B1181" s="7"/>
      <c r="C1181" s="16" t="str">
        <f aca="false">IF(B1181="","",IFERROR(INDEX(Products!$B$2:$B$501,MATCH(B1181,Products!$A$2:$A$501,0)),"CODE NOT FOUND"))</f>
        <v/>
      </c>
      <c r="D1181" s="7"/>
      <c r="E1181" s="13"/>
      <c r="F1181" s="17" t="str">
        <f aca="false">IF(OR(D1181="",E1181=""),"",D1181*E1181)</f>
        <v/>
      </c>
      <c r="G1181" s="7"/>
      <c r="H1181" s="7"/>
    </row>
    <row r="1182" customFormat="false" ht="15" hidden="false" customHeight="true" outlineLevel="0" collapsed="false">
      <c r="A1182" s="15"/>
      <c r="B1182" s="7"/>
      <c r="C1182" s="16" t="str">
        <f aca="false">IF(B1182="","",IFERROR(INDEX(Products!$B$2:$B$501,MATCH(B1182,Products!$A$2:$A$501,0)),"CODE NOT FOUND"))</f>
        <v/>
      </c>
      <c r="D1182" s="7"/>
      <c r="E1182" s="13"/>
      <c r="F1182" s="17" t="str">
        <f aca="false">IF(OR(D1182="",E1182=""),"",D1182*E1182)</f>
        <v/>
      </c>
      <c r="G1182" s="7"/>
      <c r="H1182" s="7"/>
    </row>
    <row r="1183" customFormat="false" ht="15" hidden="false" customHeight="true" outlineLevel="0" collapsed="false">
      <c r="A1183" s="15"/>
      <c r="B1183" s="7"/>
      <c r="C1183" s="16" t="str">
        <f aca="false">IF(B1183="","",IFERROR(INDEX(Products!$B$2:$B$501,MATCH(B1183,Products!$A$2:$A$501,0)),"CODE NOT FOUND"))</f>
        <v/>
      </c>
      <c r="D1183" s="7"/>
      <c r="E1183" s="13"/>
      <c r="F1183" s="17" t="str">
        <f aca="false">IF(OR(D1183="",E1183=""),"",D1183*E1183)</f>
        <v/>
      </c>
      <c r="G1183" s="7"/>
      <c r="H1183" s="7"/>
    </row>
    <row r="1184" customFormat="false" ht="15" hidden="false" customHeight="true" outlineLevel="0" collapsed="false">
      <c r="A1184" s="15"/>
      <c r="B1184" s="7"/>
      <c r="C1184" s="16" t="str">
        <f aca="false">IF(B1184="","",IFERROR(INDEX(Products!$B$2:$B$501,MATCH(B1184,Products!$A$2:$A$501,0)),"CODE NOT FOUND"))</f>
        <v/>
      </c>
      <c r="D1184" s="7"/>
      <c r="E1184" s="13"/>
      <c r="F1184" s="17" t="str">
        <f aca="false">IF(OR(D1184="",E1184=""),"",D1184*E1184)</f>
        <v/>
      </c>
      <c r="G1184" s="7"/>
      <c r="H1184" s="7"/>
    </row>
    <row r="1185" customFormat="false" ht="15" hidden="false" customHeight="true" outlineLevel="0" collapsed="false">
      <c r="A1185" s="15"/>
      <c r="B1185" s="7"/>
      <c r="C1185" s="16" t="str">
        <f aca="false">IF(B1185="","",IFERROR(INDEX(Products!$B$2:$B$501,MATCH(B1185,Products!$A$2:$A$501,0)),"CODE NOT FOUND"))</f>
        <v/>
      </c>
      <c r="D1185" s="7"/>
      <c r="E1185" s="13"/>
      <c r="F1185" s="17" t="str">
        <f aca="false">IF(OR(D1185="",E1185=""),"",D1185*E1185)</f>
        <v/>
      </c>
      <c r="G1185" s="7"/>
      <c r="H1185" s="7"/>
    </row>
    <row r="1186" customFormat="false" ht="15" hidden="false" customHeight="true" outlineLevel="0" collapsed="false">
      <c r="A1186" s="15"/>
      <c r="B1186" s="7"/>
      <c r="C1186" s="16" t="str">
        <f aca="false">IF(B1186="","",IFERROR(INDEX(Products!$B$2:$B$501,MATCH(B1186,Products!$A$2:$A$501,0)),"CODE NOT FOUND"))</f>
        <v/>
      </c>
      <c r="D1186" s="7"/>
      <c r="E1186" s="13"/>
      <c r="F1186" s="17" t="str">
        <f aca="false">IF(OR(D1186="",E1186=""),"",D1186*E1186)</f>
        <v/>
      </c>
      <c r="G1186" s="7"/>
      <c r="H1186" s="7"/>
    </row>
    <row r="1187" customFormat="false" ht="15" hidden="false" customHeight="true" outlineLevel="0" collapsed="false">
      <c r="A1187" s="15"/>
      <c r="B1187" s="7"/>
      <c r="C1187" s="16" t="str">
        <f aca="false">IF(B1187="","",IFERROR(INDEX(Products!$B$2:$B$501,MATCH(B1187,Products!$A$2:$A$501,0)),"CODE NOT FOUND"))</f>
        <v/>
      </c>
      <c r="D1187" s="7"/>
      <c r="E1187" s="13"/>
      <c r="F1187" s="17" t="str">
        <f aca="false">IF(OR(D1187="",E1187=""),"",D1187*E1187)</f>
        <v/>
      </c>
      <c r="G1187" s="7"/>
      <c r="H1187" s="7"/>
    </row>
    <row r="1188" customFormat="false" ht="15" hidden="false" customHeight="true" outlineLevel="0" collapsed="false">
      <c r="A1188" s="15"/>
      <c r="B1188" s="7"/>
      <c r="C1188" s="16" t="str">
        <f aca="false">IF(B1188="","",IFERROR(INDEX(Products!$B$2:$B$501,MATCH(B1188,Products!$A$2:$A$501,0)),"CODE NOT FOUND"))</f>
        <v/>
      </c>
      <c r="D1188" s="7"/>
      <c r="E1188" s="13"/>
      <c r="F1188" s="17" t="str">
        <f aca="false">IF(OR(D1188="",E1188=""),"",D1188*E1188)</f>
        <v/>
      </c>
      <c r="G1188" s="7"/>
      <c r="H1188" s="7"/>
    </row>
    <row r="1189" customFormat="false" ht="15" hidden="false" customHeight="true" outlineLevel="0" collapsed="false">
      <c r="A1189" s="15"/>
      <c r="B1189" s="7"/>
      <c r="C1189" s="16" t="str">
        <f aca="false">IF(B1189="","",IFERROR(INDEX(Products!$B$2:$B$501,MATCH(B1189,Products!$A$2:$A$501,0)),"CODE NOT FOUND"))</f>
        <v/>
      </c>
      <c r="D1189" s="7"/>
      <c r="E1189" s="13"/>
      <c r="F1189" s="17" t="str">
        <f aca="false">IF(OR(D1189="",E1189=""),"",D1189*E1189)</f>
        <v/>
      </c>
      <c r="G1189" s="7"/>
      <c r="H1189" s="7"/>
    </row>
    <row r="1190" customFormat="false" ht="15" hidden="false" customHeight="true" outlineLevel="0" collapsed="false">
      <c r="A1190" s="15"/>
      <c r="B1190" s="7"/>
      <c r="C1190" s="16" t="str">
        <f aca="false">IF(B1190="","",IFERROR(INDEX(Products!$B$2:$B$501,MATCH(B1190,Products!$A$2:$A$501,0)),"CODE NOT FOUND"))</f>
        <v/>
      </c>
      <c r="D1190" s="7"/>
      <c r="E1190" s="13"/>
      <c r="F1190" s="17" t="str">
        <f aca="false">IF(OR(D1190="",E1190=""),"",D1190*E1190)</f>
        <v/>
      </c>
      <c r="G1190" s="7"/>
      <c r="H1190" s="7"/>
    </row>
    <row r="1191" customFormat="false" ht="15" hidden="false" customHeight="true" outlineLevel="0" collapsed="false">
      <c r="A1191" s="15"/>
      <c r="B1191" s="7"/>
      <c r="C1191" s="16" t="str">
        <f aca="false">IF(B1191="","",IFERROR(INDEX(Products!$B$2:$B$501,MATCH(B1191,Products!$A$2:$A$501,0)),"CODE NOT FOUND"))</f>
        <v/>
      </c>
      <c r="D1191" s="7"/>
      <c r="E1191" s="13"/>
      <c r="F1191" s="17" t="str">
        <f aca="false">IF(OR(D1191="",E1191=""),"",D1191*E1191)</f>
        <v/>
      </c>
      <c r="G1191" s="7"/>
      <c r="H1191" s="7"/>
    </row>
    <row r="1192" customFormat="false" ht="15" hidden="false" customHeight="true" outlineLevel="0" collapsed="false">
      <c r="A1192" s="15"/>
      <c r="B1192" s="7"/>
      <c r="C1192" s="16" t="str">
        <f aca="false">IF(B1192="","",IFERROR(INDEX(Products!$B$2:$B$501,MATCH(B1192,Products!$A$2:$A$501,0)),"CODE NOT FOUND"))</f>
        <v/>
      </c>
      <c r="D1192" s="7"/>
      <c r="E1192" s="13"/>
      <c r="F1192" s="17" t="str">
        <f aca="false">IF(OR(D1192="",E1192=""),"",D1192*E1192)</f>
        <v/>
      </c>
      <c r="G1192" s="7"/>
      <c r="H1192" s="7"/>
    </row>
    <row r="1193" customFormat="false" ht="15" hidden="false" customHeight="true" outlineLevel="0" collapsed="false">
      <c r="A1193" s="15"/>
      <c r="B1193" s="7"/>
      <c r="C1193" s="16" t="str">
        <f aca="false">IF(B1193="","",IFERROR(INDEX(Products!$B$2:$B$501,MATCH(B1193,Products!$A$2:$A$501,0)),"CODE NOT FOUND"))</f>
        <v/>
      </c>
      <c r="D1193" s="7"/>
      <c r="E1193" s="13"/>
      <c r="F1193" s="17" t="str">
        <f aca="false">IF(OR(D1193="",E1193=""),"",D1193*E1193)</f>
        <v/>
      </c>
      <c r="G1193" s="7"/>
      <c r="H1193" s="7"/>
    </row>
    <row r="1194" customFormat="false" ht="15" hidden="false" customHeight="true" outlineLevel="0" collapsed="false">
      <c r="A1194" s="15"/>
      <c r="B1194" s="7"/>
      <c r="C1194" s="16" t="str">
        <f aca="false">IF(B1194="","",IFERROR(INDEX(Products!$B$2:$B$501,MATCH(B1194,Products!$A$2:$A$501,0)),"CODE NOT FOUND"))</f>
        <v/>
      </c>
      <c r="D1194" s="7"/>
      <c r="E1194" s="13"/>
      <c r="F1194" s="17" t="str">
        <f aca="false">IF(OR(D1194="",E1194=""),"",D1194*E1194)</f>
        <v/>
      </c>
      <c r="G1194" s="7"/>
      <c r="H1194" s="7"/>
    </row>
    <row r="1195" customFormat="false" ht="15" hidden="false" customHeight="true" outlineLevel="0" collapsed="false">
      <c r="A1195" s="15"/>
      <c r="B1195" s="7"/>
      <c r="C1195" s="16" t="str">
        <f aca="false">IF(B1195="","",IFERROR(INDEX(Products!$B$2:$B$501,MATCH(B1195,Products!$A$2:$A$501,0)),"CODE NOT FOUND"))</f>
        <v/>
      </c>
      <c r="D1195" s="7"/>
      <c r="E1195" s="13"/>
      <c r="F1195" s="17" t="str">
        <f aca="false">IF(OR(D1195="",E1195=""),"",D1195*E1195)</f>
        <v/>
      </c>
      <c r="G1195" s="7"/>
      <c r="H1195" s="7"/>
    </row>
    <row r="1196" customFormat="false" ht="15" hidden="false" customHeight="true" outlineLevel="0" collapsed="false">
      <c r="A1196" s="15"/>
      <c r="B1196" s="7"/>
      <c r="C1196" s="16" t="str">
        <f aca="false">IF(B1196="","",IFERROR(INDEX(Products!$B$2:$B$501,MATCH(B1196,Products!$A$2:$A$501,0)),"CODE NOT FOUND"))</f>
        <v/>
      </c>
      <c r="D1196" s="7"/>
      <c r="E1196" s="13"/>
      <c r="F1196" s="17" t="str">
        <f aca="false">IF(OR(D1196="",E1196=""),"",D1196*E1196)</f>
        <v/>
      </c>
      <c r="G1196" s="7"/>
      <c r="H1196" s="7"/>
    </row>
    <row r="1197" customFormat="false" ht="15" hidden="false" customHeight="true" outlineLevel="0" collapsed="false">
      <c r="A1197" s="15"/>
      <c r="B1197" s="7"/>
      <c r="C1197" s="16" t="str">
        <f aca="false">IF(B1197="","",IFERROR(INDEX(Products!$B$2:$B$501,MATCH(B1197,Products!$A$2:$A$501,0)),"CODE NOT FOUND"))</f>
        <v/>
      </c>
      <c r="D1197" s="7"/>
      <c r="E1197" s="13"/>
      <c r="F1197" s="17" t="str">
        <f aca="false">IF(OR(D1197="",E1197=""),"",D1197*E1197)</f>
        <v/>
      </c>
      <c r="G1197" s="7"/>
      <c r="H1197" s="7"/>
    </row>
    <row r="1198" customFormat="false" ht="15" hidden="false" customHeight="true" outlineLevel="0" collapsed="false">
      <c r="A1198" s="15"/>
      <c r="B1198" s="7"/>
      <c r="C1198" s="16" t="str">
        <f aca="false">IF(B1198="","",IFERROR(INDEX(Products!$B$2:$B$501,MATCH(B1198,Products!$A$2:$A$501,0)),"CODE NOT FOUND"))</f>
        <v/>
      </c>
      <c r="D1198" s="7"/>
      <c r="E1198" s="13"/>
      <c r="F1198" s="17" t="str">
        <f aca="false">IF(OR(D1198="",E1198=""),"",D1198*E1198)</f>
        <v/>
      </c>
      <c r="G1198" s="7"/>
      <c r="H1198" s="7"/>
    </row>
    <row r="1199" customFormat="false" ht="15" hidden="false" customHeight="true" outlineLevel="0" collapsed="false">
      <c r="A1199" s="15"/>
      <c r="B1199" s="7"/>
      <c r="C1199" s="16" t="str">
        <f aca="false">IF(B1199="","",IFERROR(INDEX(Products!$B$2:$B$501,MATCH(B1199,Products!$A$2:$A$501,0)),"CODE NOT FOUND"))</f>
        <v/>
      </c>
      <c r="D1199" s="7"/>
      <c r="E1199" s="13"/>
      <c r="F1199" s="17" t="str">
        <f aca="false">IF(OR(D1199="",E1199=""),"",D1199*E1199)</f>
        <v/>
      </c>
      <c r="G1199" s="7"/>
      <c r="H1199" s="7"/>
    </row>
    <row r="1200" customFormat="false" ht="15" hidden="false" customHeight="true" outlineLevel="0" collapsed="false">
      <c r="A1200" s="15"/>
      <c r="B1200" s="7"/>
      <c r="C1200" s="16" t="str">
        <f aca="false">IF(B1200="","",IFERROR(INDEX(Products!$B$2:$B$501,MATCH(B1200,Products!$A$2:$A$501,0)),"CODE NOT FOUND"))</f>
        <v/>
      </c>
      <c r="D1200" s="7"/>
      <c r="E1200" s="13"/>
      <c r="F1200" s="17" t="str">
        <f aca="false">IF(OR(D1200="",E1200=""),"",D1200*E1200)</f>
        <v/>
      </c>
      <c r="G1200" s="7"/>
      <c r="H1200" s="7"/>
    </row>
    <row r="1201" customFormat="false" ht="15" hidden="false" customHeight="true" outlineLevel="0" collapsed="false">
      <c r="A1201" s="15"/>
      <c r="B1201" s="7"/>
      <c r="C1201" s="16" t="str">
        <f aca="false">IF(B1201="","",IFERROR(INDEX(Products!$B$2:$B$501,MATCH(B1201,Products!$A$2:$A$501,0)),"CODE NOT FOUND"))</f>
        <v/>
      </c>
      <c r="D1201" s="7"/>
      <c r="E1201" s="13"/>
      <c r="F1201" s="17" t="str">
        <f aca="false">IF(OR(D1201="",E1201=""),"",D1201*E1201)</f>
        <v/>
      </c>
      <c r="G1201" s="7"/>
      <c r="H1201" s="7"/>
    </row>
    <row r="1202" customFormat="false" ht="15" hidden="false" customHeight="true" outlineLevel="0" collapsed="false">
      <c r="A1202" s="15"/>
      <c r="B1202" s="7"/>
      <c r="C1202" s="16" t="str">
        <f aca="false">IF(B1202="","",IFERROR(INDEX(Products!$B$2:$B$501,MATCH(B1202,Products!$A$2:$A$501,0)),"CODE NOT FOUND"))</f>
        <v/>
      </c>
      <c r="D1202" s="7"/>
      <c r="E1202" s="13"/>
      <c r="F1202" s="17" t="str">
        <f aca="false">IF(OR(D1202="",E1202=""),"",D1202*E1202)</f>
        <v/>
      </c>
      <c r="G1202" s="7"/>
      <c r="H1202" s="7"/>
    </row>
    <row r="1203" customFormat="false" ht="15" hidden="false" customHeight="true" outlineLevel="0" collapsed="false">
      <c r="A1203" s="15"/>
      <c r="B1203" s="7"/>
      <c r="C1203" s="16" t="str">
        <f aca="false">IF(B1203="","",IFERROR(INDEX(Products!$B$2:$B$501,MATCH(B1203,Products!$A$2:$A$501,0)),"CODE NOT FOUND"))</f>
        <v/>
      </c>
      <c r="D1203" s="7"/>
      <c r="E1203" s="13"/>
      <c r="F1203" s="17" t="str">
        <f aca="false">IF(OR(D1203="",E1203=""),"",D1203*E1203)</f>
        <v/>
      </c>
      <c r="G1203" s="7"/>
      <c r="H1203" s="7"/>
    </row>
    <row r="1204" customFormat="false" ht="15" hidden="false" customHeight="true" outlineLevel="0" collapsed="false">
      <c r="A1204" s="15"/>
      <c r="B1204" s="7"/>
      <c r="C1204" s="16" t="str">
        <f aca="false">IF(B1204="","",IFERROR(INDEX(Products!$B$2:$B$501,MATCH(B1204,Products!$A$2:$A$501,0)),"CODE NOT FOUND"))</f>
        <v/>
      </c>
      <c r="D1204" s="7"/>
      <c r="E1204" s="13"/>
      <c r="F1204" s="17" t="str">
        <f aca="false">IF(OR(D1204="",E1204=""),"",D1204*E1204)</f>
        <v/>
      </c>
      <c r="G1204" s="7"/>
      <c r="H1204" s="7"/>
    </row>
    <row r="1205" customFormat="false" ht="15" hidden="false" customHeight="true" outlineLevel="0" collapsed="false">
      <c r="A1205" s="15"/>
      <c r="B1205" s="7"/>
      <c r="C1205" s="16" t="str">
        <f aca="false">IF(B1205="","",IFERROR(INDEX(Products!$B$2:$B$501,MATCH(B1205,Products!$A$2:$A$501,0)),"CODE NOT FOUND"))</f>
        <v/>
      </c>
      <c r="D1205" s="7"/>
      <c r="E1205" s="13"/>
      <c r="F1205" s="17" t="str">
        <f aca="false">IF(OR(D1205="",E1205=""),"",D1205*E1205)</f>
        <v/>
      </c>
      <c r="G1205" s="7"/>
      <c r="H1205" s="7"/>
    </row>
    <row r="1206" customFormat="false" ht="15" hidden="false" customHeight="true" outlineLevel="0" collapsed="false">
      <c r="A1206" s="15"/>
      <c r="B1206" s="7"/>
      <c r="C1206" s="16" t="str">
        <f aca="false">IF(B1206="","",IFERROR(INDEX(Products!$B$2:$B$501,MATCH(B1206,Products!$A$2:$A$501,0)),"CODE NOT FOUND"))</f>
        <v/>
      </c>
      <c r="D1206" s="7"/>
      <c r="E1206" s="13"/>
      <c r="F1206" s="17" t="str">
        <f aca="false">IF(OR(D1206="",E1206=""),"",D1206*E1206)</f>
        <v/>
      </c>
      <c r="G1206" s="7"/>
      <c r="H1206" s="7"/>
    </row>
    <row r="1207" customFormat="false" ht="15" hidden="false" customHeight="true" outlineLevel="0" collapsed="false">
      <c r="A1207" s="15"/>
      <c r="B1207" s="7"/>
      <c r="C1207" s="16" t="str">
        <f aca="false">IF(B1207="","",IFERROR(INDEX(Products!$B$2:$B$501,MATCH(B1207,Products!$A$2:$A$501,0)),"CODE NOT FOUND"))</f>
        <v/>
      </c>
      <c r="D1207" s="7"/>
      <c r="E1207" s="13"/>
      <c r="F1207" s="17" t="str">
        <f aca="false">IF(OR(D1207="",E1207=""),"",D1207*E1207)</f>
        <v/>
      </c>
      <c r="G1207" s="7"/>
      <c r="H1207" s="7"/>
    </row>
    <row r="1208" customFormat="false" ht="15" hidden="false" customHeight="true" outlineLevel="0" collapsed="false">
      <c r="A1208" s="15"/>
      <c r="B1208" s="7"/>
      <c r="C1208" s="16" t="str">
        <f aca="false">IF(B1208="","",IFERROR(INDEX(Products!$B$2:$B$501,MATCH(B1208,Products!$A$2:$A$501,0)),"CODE NOT FOUND"))</f>
        <v/>
      </c>
      <c r="D1208" s="7"/>
      <c r="E1208" s="13"/>
      <c r="F1208" s="17" t="str">
        <f aca="false">IF(OR(D1208="",E1208=""),"",D1208*E1208)</f>
        <v/>
      </c>
      <c r="G1208" s="7"/>
      <c r="H1208" s="7"/>
    </row>
    <row r="1209" customFormat="false" ht="15" hidden="false" customHeight="true" outlineLevel="0" collapsed="false">
      <c r="A1209" s="15"/>
      <c r="B1209" s="7"/>
      <c r="C1209" s="16" t="str">
        <f aca="false">IF(B1209="","",IFERROR(INDEX(Products!$B$2:$B$501,MATCH(B1209,Products!$A$2:$A$501,0)),"CODE NOT FOUND"))</f>
        <v/>
      </c>
      <c r="D1209" s="7"/>
      <c r="E1209" s="13"/>
      <c r="F1209" s="17" t="str">
        <f aca="false">IF(OR(D1209="",E1209=""),"",D1209*E1209)</f>
        <v/>
      </c>
      <c r="G1209" s="7"/>
      <c r="H1209" s="7"/>
    </row>
    <row r="1210" customFormat="false" ht="15" hidden="false" customHeight="true" outlineLevel="0" collapsed="false">
      <c r="A1210" s="15"/>
      <c r="B1210" s="7"/>
      <c r="C1210" s="16" t="str">
        <f aca="false">IF(B1210="","",IFERROR(INDEX(Products!$B$2:$B$501,MATCH(B1210,Products!$A$2:$A$501,0)),"CODE NOT FOUND"))</f>
        <v/>
      </c>
      <c r="D1210" s="7"/>
      <c r="E1210" s="13"/>
      <c r="F1210" s="17" t="str">
        <f aca="false">IF(OR(D1210="",E1210=""),"",D1210*E1210)</f>
        <v/>
      </c>
      <c r="G1210" s="7"/>
      <c r="H1210" s="7"/>
    </row>
    <row r="1211" customFormat="false" ht="15" hidden="false" customHeight="true" outlineLevel="0" collapsed="false">
      <c r="A1211" s="15"/>
      <c r="B1211" s="7"/>
      <c r="C1211" s="16" t="str">
        <f aca="false">IF(B1211="","",IFERROR(INDEX(Products!$B$2:$B$501,MATCH(B1211,Products!$A$2:$A$501,0)),"CODE NOT FOUND"))</f>
        <v/>
      </c>
      <c r="D1211" s="7"/>
      <c r="E1211" s="13"/>
      <c r="F1211" s="17" t="str">
        <f aca="false">IF(OR(D1211="",E1211=""),"",D1211*E1211)</f>
        <v/>
      </c>
      <c r="G1211" s="7"/>
      <c r="H1211" s="7"/>
    </row>
    <row r="1212" customFormat="false" ht="15" hidden="false" customHeight="true" outlineLevel="0" collapsed="false">
      <c r="A1212" s="15"/>
      <c r="B1212" s="7"/>
      <c r="C1212" s="16" t="str">
        <f aca="false">IF(B1212="","",IFERROR(INDEX(Products!$B$2:$B$501,MATCH(B1212,Products!$A$2:$A$501,0)),"CODE NOT FOUND"))</f>
        <v/>
      </c>
      <c r="D1212" s="7"/>
      <c r="E1212" s="13"/>
      <c r="F1212" s="17" t="str">
        <f aca="false">IF(OR(D1212="",E1212=""),"",D1212*E1212)</f>
        <v/>
      </c>
      <c r="G1212" s="7"/>
      <c r="H1212" s="7"/>
    </row>
    <row r="1213" customFormat="false" ht="15" hidden="false" customHeight="true" outlineLevel="0" collapsed="false">
      <c r="A1213" s="15"/>
      <c r="B1213" s="7"/>
      <c r="C1213" s="16" t="str">
        <f aca="false">IF(B1213="","",IFERROR(INDEX(Products!$B$2:$B$501,MATCH(B1213,Products!$A$2:$A$501,0)),"CODE NOT FOUND"))</f>
        <v/>
      </c>
      <c r="D1213" s="7"/>
      <c r="E1213" s="13"/>
      <c r="F1213" s="17" t="str">
        <f aca="false">IF(OR(D1213="",E1213=""),"",D1213*E1213)</f>
        <v/>
      </c>
      <c r="G1213" s="7"/>
      <c r="H1213" s="7"/>
    </row>
    <row r="1214" customFormat="false" ht="15" hidden="false" customHeight="true" outlineLevel="0" collapsed="false">
      <c r="A1214" s="15"/>
      <c r="B1214" s="7"/>
      <c r="C1214" s="16" t="str">
        <f aca="false">IF(B1214="","",IFERROR(INDEX(Products!$B$2:$B$501,MATCH(B1214,Products!$A$2:$A$501,0)),"CODE NOT FOUND"))</f>
        <v/>
      </c>
      <c r="D1214" s="7"/>
      <c r="E1214" s="13"/>
      <c r="F1214" s="17" t="str">
        <f aca="false">IF(OR(D1214="",E1214=""),"",D1214*E1214)</f>
        <v/>
      </c>
      <c r="G1214" s="7"/>
      <c r="H1214" s="7"/>
    </row>
    <row r="1215" customFormat="false" ht="15" hidden="false" customHeight="true" outlineLevel="0" collapsed="false">
      <c r="A1215" s="15"/>
      <c r="B1215" s="7"/>
      <c r="C1215" s="16" t="str">
        <f aca="false">IF(B1215="","",IFERROR(INDEX(Products!$B$2:$B$501,MATCH(B1215,Products!$A$2:$A$501,0)),"CODE NOT FOUND"))</f>
        <v/>
      </c>
      <c r="D1215" s="7"/>
      <c r="E1215" s="13"/>
      <c r="F1215" s="17" t="str">
        <f aca="false">IF(OR(D1215="",E1215=""),"",D1215*E1215)</f>
        <v/>
      </c>
      <c r="G1215" s="7"/>
      <c r="H1215" s="7"/>
    </row>
    <row r="1216" customFormat="false" ht="15" hidden="false" customHeight="true" outlineLevel="0" collapsed="false">
      <c r="A1216" s="15"/>
      <c r="B1216" s="7"/>
      <c r="C1216" s="16" t="str">
        <f aca="false">IF(B1216="","",IFERROR(INDEX(Products!$B$2:$B$501,MATCH(B1216,Products!$A$2:$A$501,0)),"CODE NOT FOUND"))</f>
        <v/>
      </c>
      <c r="D1216" s="7"/>
      <c r="E1216" s="13"/>
      <c r="F1216" s="17" t="str">
        <f aca="false">IF(OR(D1216="",E1216=""),"",D1216*E1216)</f>
        <v/>
      </c>
      <c r="G1216" s="7"/>
      <c r="H1216" s="7"/>
    </row>
    <row r="1217" customFormat="false" ht="15" hidden="false" customHeight="true" outlineLevel="0" collapsed="false">
      <c r="A1217" s="15"/>
      <c r="B1217" s="7"/>
      <c r="C1217" s="16" t="str">
        <f aca="false">IF(B1217="","",IFERROR(INDEX(Products!$B$2:$B$501,MATCH(B1217,Products!$A$2:$A$501,0)),"CODE NOT FOUND"))</f>
        <v/>
      </c>
      <c r="D1217" s="7"/>
      <c r="E1217" s="13"/>
      <c r="F1217" s="17" t="str">
        <f aca="false">IF(OR(D1217="",E1217=""),"",D1217*E1217)</f>
        <v/>
      </c>
      <c r="G1217" s="7"/>
      <c r="H1217" s="7"/>
    </row>
    <row r="1218" customFormat="false" ht="15" hidden="false" customHeight="true" outlineLevel="0" collapsed="false">
      <c r="A1218" s="15"/>
      <c r="B1218" s="7"/>
      <c r="C1218" s="16" t="str">
        <f aca="false">IF(B1218="","",IFERROR(INDEX(Products!$B$2:$B$501,MATCH(B1218,Products!$A$2:$A$501,0)),"CODE NOT FOUND"))</f>
        <v/>
      </c>
      <c r="D1218" s="7"/>
      <c r="E1218" s="13"/>
      <c r="F1218" s="17" t="str">
        <f aca="false">IF(OR(D1218="",E1218=""),"",D1218*E1218)</f>
        <v/>
      </c>
      <c r="G1218" s="7"/>
      <c r="H1218" s="7"/>
    </row>
    <row r="1219" customFormat="false" ht="15" hidden="false" customHeight="true" outlineLevel="0" collapsed="false">
      <c r="A1219" s="15"/>
      <c r="B1219" s="7"/>
      <c r="C1219" s="16" t="str">
        <f aca="false">IF(B1219="","",IFERROR(INDEX(Products!$B$2:$B$501,MATCH(B1219,Products!$A$2:$A$501,0)),"CODE NOT FOUND"))</f>
        <v/>
      </c>
      <c r="D1219" s="7"/>
      <c r="E1219" s="13"/>
      <c r="F1219" s="17" t="str">
        <f aca="false">IF(OR(D1219="",E1219=""),"",D1219*E1219)</f>
        <v/>
      </c>
      <c r="G1219" s="7"/>
      <c r="H1219" s="7"/>
    </row>
    <row r="1220" customFormat="false" ht="15" hidden="false" customHeight="true" outlineLevel="0" collapsed="false">
      <c r="A1220" s="15"/>
      <c r="B1220" s="7"/>
      <c r="C1220" s="16" t="str">
        <f aca="false">IF(B1220="","",IFERROR(INDEX(Products!$B$2:$B$501,MATCH(B1220,Products!$A$2:$A$501,0)),"CODE NOT FOUND"))</f>
        <v/>
      </c>
      <c r="D1220" s="7"/>
      <c r="E1220" s="13"/>
      <c r="F1220" s="17" t="str">
        <f aca="false">IF(OR(D1220="",E1220=""),"",D1220*E1220)</f>
        <v/>
      </c>
      <c r="G1220" s="7"/>
      <c r="H1220" s="7"/>
    </row>
    <row r="1221" customFormat="false" ht="15" hidden="false" customHeight="true" outlineLevel="0" collapsed="false">
      <c r="A1221" s="15"/>
      <c r="B1221" s="7"/>
      <c r="C1221" s="16" t="str">
        <f aca="false">IF(B1221="","",IFERROR(INDEX(Products!$B$2:$B$501,MATCH(B1221,Products!$A$2:$A$501,0)),"CODE NOT FOUND"))</f>
        <v/>
      </c>
      <c r="D1221" s="7"/>
      <c r="E1221" s="13"/>
      <c r="F1221" s="17" t="str">
        <f aca="false">IF(OR(D1221="",E1221=""),"",D1221*E1221)</f>
        <v/>
      </c>
      <c r="G1221" s="7"/>
      <c r="H1221" s="7"/>
    </row>
    <row r="1222" customFormat="false" ht="15" hidden="false" customHeight="true" outlineLevel="0" collapsed="false">
      <c r="A1222" s="15"/>
      <c r="B1222" s="7"/>
      <c r="C1222" s="16" t="str">
        <f aca="false">IF(B1222="","",IFERROR(INDEX(Products!$B$2:$B$501,MATCH(B1222,Products!$A$2:$A$501,0)),"CODE NOT FOUND"))</f>
        <v/>
      </c>
      <c r="D1222" s="7"/>
      <c r="E1222" s="13"/>
      <c r="F1222" s="17" t="str">
        <f aca="false">IF(OR(D1222="",E1222=""),"",D1222*E1222)</f>
        <v/>
      </c>
      <c r="G1222" s="7"/>
      <c r="H1222" s="7"/>
    </row>
    <row r="1223" customFormat="false" ht="15" hidden="false" customHeight="true" outlineLevel="0" collapsed="false">
      <c r="A1223" s="15"/>
      <c r="B1223" s="7"/>
      <c r="C1223" s="16" t="str">
        <f aca="false">IF(B1223="","",IFERROR(INDEX(Products!$B$2:$B$501,MATCH(B1223,Products!$A$2:$A$501,0)),"CODE NOT FOUND"))</f>
        <v/>
      </c>
      <c r="D1223" s="7"/>
      <c r="E1223" s="13"/>
      <c r="F1223" s="17" t="str">
        <f aca="false">IF(OR(D1223="",E1223=""),"",D1223*E1223)</f>
        <v/>
      </c>
      <c r="G1223" s="7"/>
      <c r="H1223" s="7"/>
    </row>
    <row r="1224" customFormat="false" ht="15" hidden="false" customHeight="true" outlineLevel="0" collapsed="false">
      <c r="A1224" s="15"/>
      <c r="B1224" s="7"/>
      <c r="C1224" s="16" t="str">
        <f aca="false">IF(B1224="","",IFERROR(INDEX(Products!$B$2:$B$501,MATCH(B1224,Products!$A$2:$A$501,0)),"CODE NOT FOUND"))</f>
        <v/>
      </c>
      <c r="D1224" s="7"/>
      <c r="E1224" s="13"/>
      <c r="F1224" s="17" t="str">
        <f aca="false">IF(OR(D1224="",E1224=""),"",D1224*E1224)</f>
        <v/>
      </c>
      <c r="G1224" s="7"/>
      <c r="H1224" s="7"/>
    </row>
    <row r="1225" customFormat="false" ht="15" hidden="false" customHeight="true" outlineLevel="0" collapsed="false">
      <c r="A1225" s="15"/>
      <c r="B1225" s="7"/>
      <c r="C1225" s="16" t="str">
        <f aca="false">IF(B1225="","",IFERROR(INDEX(Products!$B$2:$B$501,MATCH(B1225,Products!$A$2:$A$501,0)),"CODE NOT FOUND"))</f>
        <v/>
      </c>
      <c r="D1225" s="7"/>
      <c r="E1225" s="13"/>
      <c r="F1225" s="17" t="str">
        <f aca="false">IF(OR(D1225="",E1225=""),"",D1225*E1225)</f>
        <v/>
      </c>
      <c r="G1225" s="7"/>
      <c r="H1225" s="7"/>
    </row>
    <row r="1226" customFormat="false" ht="15" hidden="false" customHeight="true" outlineLevel="0" collapsed="false">
      <c r="A1226" s="15"/>
      <c r="B1226" s="7"/>
      <c r="C1226" s="16" t="str">
        <f aca="false">IF(B1226="","",IFERROR(INDEX(Products!$B$2:$B$501,MATCH(B1226,Products!$A$2:$A$501,0)),"CODE NOT FOUND"))</f>
        <v/>
      </c>
      <c r="D1226" s="7"/>
      <c r="E1226" s="13"/>
      <c r="F1226" s="17" t="str">
        <f aca="false">IF(OR(D1226="",E1226=""),"",D1226*E1226)</f>
        <v/>
      </c>
      <c r="G1226" s="7"/>
      <c r="H1226" s="7"/>
    </row>
    <row r="1227" customFormat="false" ht="15" hidden="false" customHeight="true" outlineLevel="0" collapsed="false">
      <c r="A1227" s="15"/>
      <c r="B1227" s="7"/>
      <c r="C1227" s="16" t="str">
        <f aca="false">IF(B1227="","",IFERROR(INDEX(Products!$B$2:$B$501,MATCH(B1227,Products!$A$2:$A$501,0)),"CODE NOT FOUND"))</f>
        <v/>
      </c>
      <c r="D1227" s="7"/>
      <c r="E1227" s="13"/>
      <c r="F1227" s="17" t="str">
        <f aca="false">IF(OR(D1227="",E1227=""),"",D1227*E1227)</f>
        <v/>
      </c>
      <c r="G1227" s="7"/>
      <c r="H1227" s="7"/>
    </row>
    <row r="1228" customFormat="false" ht="15" hidden="false" customHeight="true" outlineLevel="0" collapsed="false">
      <c r="A1228" s="15"/>
      <c r="B1228" s="7"/>
      <c r="C1228" s="16" t="str">
        <f aca="false">IF(B1228="","",IFERROR(INDEX(Products!$B$2:$B$501,MATCH(B1228,Products!$A$2:$A$501,0)),"CODE NOT FOUND"))</f>
        <v/>
      </c>
      <c r="D1228" s="7"/>
      <c r="E1228" s="13"/>
      <c r="F1228" s="17" t="str">
        <f aca="false">IF(OR(D1228="",E1228=""),"",D1228*E1228)</f>
        <v/>
      </c>
      <c r="G1228" s="7"/>
      <c r="H1228" s="7"/>
    </row>
    <row r="1229" customFormat="false" ht="15" hidden="false" customHeight="true" outlineLevel="0" collapsed="false">
      <c r="A1229" s="15"/>
      <c r="B1229" s="7"/>
      <c r="C1229" s="16" t="str">
        <f aca="false">IF(B1229="","",IFERROR(INDEX(Products!$B$2:$B$501,MATCH(B1229,Products!$A$2:$A$501,0)),"CODE NOT FOUND"))</f>
        <v/>
      </c>
      <c r="D1229" s="7"/>
      <c r="E1229" s="13"/>
      <c r="F1229" s="17" t="str">
        <f aca="false">IF(OR(D1229="",E1229=""),"",D1229*E1229)</f>
        <v/>
      </c>
      <c r="G1229" s="7"/>
      <c r="H1229" s="7"/>
    </row>
    <row r="1230" customFormat="false" ht="15" hidden="false" customHeight="true" outlineLevel="0" collapsed="false">
      <c r="A1230" s="15"/>
      <c r="B1230" s="7"/>
      <c r="C1230" s="16" t="str">
        <f aca="false">IF(B1230="","",IFERROR(INDEX(Products!$B$2:$B$501,MATCH(B1230,Products!$A$2:$A$501,0)),"CODE NOT FOUND"))</f>
        <v/>
      </c>
      <c r="D1230" s="7"/>
      <c r="E1230" s="13"/>
      <c r="F1230" s="17" t="str">
        <f aca="false">IF(OR(D1230="",E1230=""),"",D1230*E1230)</f>
        <v/>
      </c>
      <c r="G1230" s="7"/>
      <c r="H1230" s="7"/>
    </row>
    <row r="1231" customFormat="false" ht="15" hidden="false" customHeight="true" outlineLevel="0" collapsed="false">
      <c r="A1231" s="15"/>
      <c r="B1231" s="7"/>
      <c r="C1231" s="16" t="str">
        <f aca="false">IF(B1231="","",IFERROR(INDEX(Products!$B$2:$B$501,MATCH(B1231,Products!$A$2:$A$501,0)),"CODE NOT FOUND"))</f>
        <v/>
      </c>
      <c r="D1231" s="7"/>
      <c r="E1231" s="13"/>
      <c r="F1231" s="17" t="str">
        <f aca="false">IF(OR(D1231="",E1231=""),"",D1231*E1231)</f>
        <v/>
      </c>
      <c r="G1231" s="7"/>
      <c r="H1231" s="7"/>
    </row>
    <row r="1232" customFormat="false" ht="15" hidden="false" customHeight="true" outlineLevel="0" collapsed="false">
      <c r="A1232" s="15"/>
      <c r="B1232" s="7"/>
      <c r="C1232" s="16" t="str">
        <f aca="false">IF(B1232="","",IFERROR(INDEX(Products!$B$2:$B$501,MATCH(B1232,Products!$A$2:$A$501,0)),"CODE NOT FOUND"))</f>
        <v/>
      </c>
      <c r="D1232" s="7"/>
      <c r="E1232" s="13"/>
      <c r="F1232" s="17" t="str">
        <f aca="false">IF(OR(D1232="",E1232=""),"",D1232*E1232)</f>
        <v/>
      </c>
      <c r="G1232" s="7"/>
      <c r="H1232" s="7"/>
    </row>
    <row r="1233" customFormat="false" ht="15" hidden="false" customHeight="true" outlineLevel="0" collapsed="false">
      <c r="A1233" s="15"/>
      <c r="B1233" s="7"/>
      <c r="C1233" s="16" t="str">
        <f aca="false">IF(B1233="","",IFERROR(INDEX(Products!$B$2:$B$501,MATCH(B1233,Products!$A$2:$A$501,0)),"CODE NOT FOUND"))</f>
        <v/>
      </c>
      <c r="D1233" s="7"/>
      <c r="E1233" s="13"/>
      <c r="F1233" s="17" t="str">
        <f aca="false">IF(OR(D1233="",E1233=""),"",D1233*E1233)</f>
        <v/>
      </c>
      <c r="G1233" s="7"/>
      <c r="H1233" s="7"/>
    </row>
    <row r="1234" customFormat="false" ht="15" hidden="false" customHeight="true" outlineLevel="0" collapsed="false">
      <c r="A1234" s="15"/>
      <c r="B1234" s="7"/>
      <c r="C1234" s="16" t="str">
        <f aca="false">IF(B1234="","",IFERROR(INDEX(Products!$B$2:$B$501,MATCH(B1234,Products!$A$2:$A$501,0)),"CODE NOT FOUND"))</f>
        <v/>
      </c>
      <c r="D1234" s="7"/>
      <c r="E1234" s="13"/>
      <c r="F1234" s="17" t="str">
        <f aca="false">IF(OR(D1234="",E1234=""),"",D1234*E1234)</f>
        <v/>
      </c>
      <c r="G1234" s="7"/>
      <c r="H1234" s="7"/>
    </row>
    <row r="1235" customFormat="false" ht="15" hidden="false" customHeight="true" outlineLevel="0" collapsed="false">
      <c r="A1235" s="15"/>
      <c r="B1235" s="7"/>
      <c r="C1235" s="16" t="str">
        <f aca="false">IF(B1235="","",IFERROR(INDEX(Products!$B$2:$B$501,MATCH(B1235,Products!$A$2:$A$501,0)),"CODE NOT FOUND"))</f>
        <v/>
      </c>
      <c r="D1235" s="7"/>
      <c r="E1235" s="13"/>
      <c r="F1235" s="17" t="str">
        <f aca="false">IF(OR(D1235="",E1235=""),"",D1235*E1235)</f>
        <v/>
      </c>
      <c r="G1235" s="7"/>
      <c r="H1235" s="7"/>
    </row>
    <row r="1236" customFormat="false" ht="15" hidden="false" customHeight="true" outlineLevel="0" collapsed="false">
      <c r="A1236" s="15"/>
      <c r="B1236" s="7"/>
      <c r="C1236" s="16" t="str">
        <f aca="false">IF(B1236="","",IFERROR(INDEX(Products!$B$2:$B$501,MATCH(B1236,Products!$A$2:$A$501,0)),"CODE NOT FOUND"))</f>
        <v/>
      </c>
      <c r="D1236" s="7"/>
      <c r="E1236" s="13"/>
      <c r="F1236" s="17" t="str">
        <f aca="false">IF(OR(D1236="",E1236=""),"",D1236*E1236)</f>
        <v/>
      </c>
      <c r="G1236" s="7"/>
      <c r="H1236" s="7"/>
    </row>
    <row r="1237" customFormat="false" ht="15" hidden="false" customHeight="true" outlineLevel="0" collapsed="false">
      <c r="A1237" s="15"/>
      <c r="B1237" s="7"/>
      <c r="C1237" s="16" t="str">
        <f aca="false">IF(B1237="","",IFERROR(INDEX(Products!$B$2:$B$501,MATCH(B1237,Products!$A$2:$A$501,0)),"CODE NOT FOUND"))</f>
        <v/>
      </c>
      <c r="D1237" s="7"/>
      <c r="E1237" s="13"/>
      <c r="F1237" s="17" t="str">
        <f aca="false">IF(OR(D1237="",E1237=""),"",D1237*E1237)</f>
        <v/>
      </c>
      <c r="G1237" s="7"/>
      <c r="H1237" s="7"/>
    </row>
    <row r="1238" customFormat="false" ht="15" hidden="false" customHeight="true" outlineLevel="0" collapsed="false">
      <c r="A1238" s="15"/>
      <c r="B1238" s="7"/>
      <c r="C1238" s="16" t="str">
        <f aca="false">IF(B1238="","",IFERROR(INDEX(Products!$B$2:$B$501,MATCH(B1238,Products!$A$2:$A$501,0)),"CODE NOT FOUND"))</f>
        <v/>
      </c>
      <c r="D1238" s="7"/>
      <c r="E1238" s="13"/>
      <c r="F1238" s="17" t="str">
        <f aca="false">IF(OR(D1238="",E1238=""),"",D1238*E1238)</f>
        <v/>
      </c>
      <c r="G1238" s="7"/>
      <c r="H1238" s="7"/>
    </row>
    <row r="1239" customFormat="false" ht="15" hidden="false" customHeight="true" outlineLevel="0" collapsed="false">
      <c r="A1239" s="15"/>
      <c r="B1239" s="7"/>
      <c r="C1239" s="16" t="str">
        <f aca="false">IF(B1239="","",IFERROR(INDEX(Products!$B$2:$B$501,MATCH(B1239,Products!$A$2:$A$501,0)),"CODE NOT FOUND"))</f>
        <v/>
      </c>
      <c r="D1239" s="7"/>
      <c r="E1239" s="13"/>
      <c r="F1239" s="17" t="str">
        <f aca="false">IF(OR(D1239="",E1239=""),"",D1239*E1239)</f>
        <v/>
      </c>
      <c r="G1239" s="7"/>
      <c r="H1239" s="7"/>
    </row>
    <row r="1240" customFormat="false" ht="15" hidden="false" customHeight="true" outlineLevel="0" collapsed="false">
      <c r="A1240" s="15"/>
      <c r="B1240" s="7"/>
      <c r="C1240" s="16" t="str">
        <f aca="false">IF(B1240="","",IFERROR(INDEX(Products!$B$2:$B$501,MATCH(B1240,Products!$A$2:$A$501,0)),"CODE NOT FOUND"))</f>
        <v/>
      </c>
      <c r="D1240" s="7"/>
      <c r="E1240" s="13"/>
      <c r="F1240" s="17" t="str">
        <f aca="false">IF(OR(D1240="",E1240=""),"",D1240*E1240)</f>
        <v/>
      </c>
      <c r="G1240" s="7"/>
      <c r="H1240" s="7"/>
    </row>
    <row r="1241" customFormat="false" ht="15" hidden="false" customHeight="true" outlineLevel="0" collapsed="false">
      <c r="A1241" s="15"/>
      <c r="B1241" s="7"/>
      <c r="C1241" s="16" t="str">
        <f aca="false">IF(B1241="","",IFERROR(INDEX(Products!$B$2:$B$501,MATCH(B1241,Products!$A$2:$A$501,0)),"CODE NOT FOUND"))</f>
        <v/>
      </c>
      <c r="D1241" s="7"/>
      <c r="E1241" s="13"/>
      <c r="F1241" s="17" t="str">
        <f aca="false">IF(OR(D1241="",E1241=""),"",D1241*E1241)</f>
        <v/>
      </c>
      <c r="G1241" s="7"/>
      <c r="H1241" s="7"/>
    </row>
    <row r="1242" customFormat="false" ht="15" hidden="false" customHeight="true" outlineLevel="0" collapsed="false">
      <c r="A1242" s="15"/>
      <c r="B1242" s="7"/>
      <c r="C1242" s="16" t="str">
        <f aca="false">IF(B1242="","",IFERROR(INDEX(Products!$B$2:$B$501,MATCH(B1242,Products!$A$2:$A$501,0)),"CODE NOT FOUND"))</f>
        <v/>
      </c>
      <c r="D1242" s="7"/>
      <c r="E1242" s="13"/>
      <c r="F1242" s="17" t="str">
        <f aca="false">IF(OR(D1242="",E1242=""),"",D1242*E1242)</f>
        <v/>
      </c>
      <c r="G1242" s="7"/>
      <c r="H1242" s="7"/>
    </row>
    <row r="1243" customFormat="false" ht="15" hidden="false" customHeight="true" outlineLevel="0" collapsed="false">
      <c r="A1243" s="15"/>
      <c r="B1243" s="7"/>
      <c r="C1243" s="16" t="str">
        <f aca="false">IF(B1243="","",IFERROR(INDEX(Products!$B$2:$B$501,MATCH(B1243,Products!$A$2:$A$501,0)),"CODE NOT FOUND"))</f>
        <v/>
      </c>
      <c r="D1243" s="7"/>
      <c r="E1243" s="13"/>
      <c r="F1243" s="17" t="str">
        <f aca="false">IF(OR(D1243="",E1243=""),"",D1243*E1243)</f>
        <v/>
      </c>
      <c r="G1243" s="7"/>
      <c r="H1243" s="7"/>
    </row>
    <row r="1244" customFormat="false" ht="15" hidden="false" customHeight="true" outlineLevel="0" collapsed="false">
      <c r="A1244" s="15"/>
      <c r="B1244" s="7"/>
      <c r="C1244" s="16" t="str">
        <f aca="false">IF(B1244="","",IFERROR(INDEX(Products!$B$2:$B$501,MATCH(B1244,Products!$A$2:$A$501,0)),"CODE NOT FOUND"))</f>
        <v/>
      </c>
      <c r="D1244" s="7"/>
      <c r="E1244" s="13"/>
      <c r="F1244" s="17" t="str">
        <f aca="false">IF(OR(D1244="",E1244=""),"",D1244*E1244)</f>
        <v/>
      </c>
      <c r="G1244" s="7"/>
      <c r="H1244" s="7"/>
    </row>
    <row r="1245" customFormat="false" ht="15" hidden="false" customHeight="true" outlineLevel="0" collapsed="false">
      <c r="A1245" s="15"/>
      <c r="B1245" s="7"/>
      <c r="C1245" s="16" t="str">
        <f aca="false">IF(B1245="","",IFERROR(INDEX(Products!$B$2:$B$501,MATCH(B1245,Products!$A$2:$A$501,0)),"CODE NOT FOUND"))</f>
        <v/>
      </c>
      <c r="D1245" s="7"/>
      <c r="E1245" s="13"/>
      <c r="F1245" s="17" t="str">
        <f aca="false">IF(OR(D1245="",E1245=""),"",D1245*E1245)</f>
        <v/>
      </c>
      <c r="G1245" s="7"/>
      <c r="H1245" s="7"/>
    </row>
    <row r="1246" customFormat="false" ht="15" hidden="false" customHeight="true" outlineLevel="0" collapsed="false">
      <c r="A1246" s="15"/>
      <c r="B1246" s="7"/>
      <c r="C1246" s="16" t="str">
        <f aca="false">IF(B1246="","",IFERROR(INDEX(Products!$B$2:$B$501,MATCH(B1246,Products!$A$2:$A$501,0)),"CODE NOT FOUND"))</f>
        <v/>
      </c>
      <c r="D1246" s="7"/>
      <c r="E1246" s="13"/>
      <c r="F1246" s="17" t="str">
        <f aca="false">IF(OR(D1246="",E1246=""),"",D1246*E1246)</f>
        <v/>
      </c>
      <c r="G1246" s="7"/>
      <c r="H1246" s="7"/>
    </row>
    <row r="1247" customFormat="false" ht="15" hidden="false" customHeight="true" outlineLevel="0" collapsed="false">
      <c r="A1247" s="15"/>
      <c r="B1247" s="7"/>
      <c r="C1247" s="16" t="str">
        <f aca="false">IF(B1247="","",IFERROR(INDEX(Products!$B$2:$B$501,MATCH(B1247,Products!$A$2:$A$501,0)),"CODE NOT FOUND"))</f>
        <v/>
      </c>
      <c r="D1247" s="7"/>
      <c r="E1247" s="13"/>
      <c r="F1247" s="17" t="str">
        <f aca="false">IF(OR(D1247="",E1247=""),"",D1247*E1247)</f>
        <v/>
      </c>
      <c r="G1247" s="7"/>
      <c r="H1247" s="7"/>
    </row>
    <row r="1248" customFormat="false" ht="15" hidden="false" customHeight="true" outlineLevel="0" collapsed="false">
      <c r="A1248" s="15"/>
      <c r="B1248" s="7"/>
      <c r="C1248" s="16" t="str">
        <f aca="false">IF(B1248="","",IFERROR(INDEX(Products!$B$2:$B$501,MATCH(B1248,Products!$A$2:$A$501,0)),"CODE NOT FOUND"))</f>
        <v/>
      </c>
      <c r="D1248" s="7"/>
      <c r="E1248" s="13"/>
      <c r="F1248" s="17" t="str">
        <f aca="false">IF(OR(D1248="",E1248=""),"",D1248*E1248)</f>
        <v/>
      </c>
      <c r="G1248" s="7"/>
      <c r="H1248" s="7"/>
    </row>
    <row r="1249" customFormat="false" ht="15" hidden="false" customHeight="true" outlineLevel="0" collapsed="false">
      <c r="A1249" s="15"/>
      <c r="B1249" s="7"/>
      <c r="C1249" s="16" t="str">
        <f aca="false">IF(B1249="","",IFERROR(INDEX(Products!$B$2:$B$501,MATCH(B1249,Products!$A$2:$A$501,0)),"CODE NOT FOUND"))</f>
        <v/>
      </c>
      <c r="D1249" s="7"/>
      <c r="E1249" s="13"/>
      <c r="F1249" s="17" t="str">
        <f aca="false">IF(OR(D1249="",E1249=""),"",D1249*E1249)</f>
        <v/>
      </c>
      <c r="G1249" s="7"/>
      <c r="H1249" s="7"/>
    </row>
    <row r="1250" customFormat="false" ht="15" hidden="false" customHeight="true" outlineLevel="0" collapsed="false">
      <c r="A1250" s="15"/>
      <c r="B1250" s="7"/>
      <c r="C1250" s="16" t="str">
        <f aca="false">IF(B1250="","",IFERROR(INDEX(Products!$B$2:$B$501,MATCH(B1250,Products!$A$2:$A$501,0)),"CODE NOT FOUND"))</f>
        <v/>
      </c>
      <c r="D1250" s="7"/>
      <c r="E1250" s="13"/>
      <c r="F1250" s="17" t="str">
        <f aca="false">IF(OR(D1250="",E1250=""),"",D1250*E1250)</f>
        <v/>
      </c>
      <c r="G1250" s="7"/>
      <c r="H1250" s="7"/>
    </row>
    <row r="1251" customFormat="false" ht="15" hidden="false" customHeight="true" outlineLevel="0" collapsed="false">
      <c r="A1251" s="15"/>
      <c r="B1251" s="7"/>
      <c r="C1251" s="16" t="str">
        <f aca="false">IF(B1251="","",IFERROR(INDEX(Products!$B$2:$B$501,MATCH(B1251,Products!$A$2:$A$501,0)),"CODE NOT FOUND"))</f>
        <v/>
      </c>
      <c r="D1251" s="7"/>
      <c r="E1251" s="13"/>
      <c r="F1251" s="17" t="str">
        <f aca="false">IF(OR(D1251="",E1251=""),"",D1251*E1251)</f>
        <v/>
      </c>
      <c r="G1251" s="7"/>
      <c r="H1251" s="7"/>
    </row>
    <row r="1252" customFormat="false" ht="15" hidden="false" customHeight="true" outlineLevel="0" collapsed="false">
      <c r="A1252" s="15"/>
      <c r="B1252" s="7"/>
      <c r="C1252" s="16" t="str">
        <f aca="false">IF(B1252="","",IFERROR(INDEX(Products!$B$2:$B$501,MATCH(B1252,Products!$A$2:$A$501,0)),"CODE NOT FOUND"))</f>
        <v/>
      </c>
      <c r="D1252" s="7"/>
      <c r="E1252" s="13"/>
      <c r="F1252" s="17" t="str">
        <f aca="false">IF(OR(D1252="",E1252=""),"",D1252*E1252)</f>
        <v/>
      </c>
      <c r="G1252" s="7"/>
      <c r="H1252" s="7"/>
    </row>
    <row r="1253" customFormat="false" ht="15" hidden="false" customHeight="true" outlineLevel="0" collapsed="false">
      <c r="A1253" s="15"/>
      <c r="B1253" s="7"/>
      <c r="C1253" s="16" t="str">
        <f aca="false">IF(B1253="","",IFERROR(INDEX(Products!$B$2:$B$501,MATCH(B1253,Products!$A$2:$A$501,0)),"CODE NOT FOUND"))</f>
        <v/>
      </c>
      <c r="D1253" s="7"/>
      <c r="E1253" s="13"/>
      <c r="F1253" s="17" t="str">
        <f aca="false">IF(OR(D1253="",E1253=""),"",D1253*E1253)</f>
        <v/>
      </c>
      <c r="G1253" s="7"/>
      <c r="H1253" s="7"/>
    </row>
    <row r="1254" customFormat="false" ht="15" hidden="false" customHeight="true" outlineLevel="0" collapsed="false">
      <c r="A1254" s="15"/>
      <c r="B1254" s="7"/>
      <c r="C1254" s="16" t="str">
        <f aca="false">IF(B1254="","",IFERROR(INDEX(Products!$B$2:$B$501,MATCH(B1254,Products!$A$2:$A$501,0)),"CODE NOT FOUND"))</f>
        <v/>
      </c>
      <c r="D1254" s="7"/>
      <c r="E1254" s="13"/>
      <c r="F1254" s="17" t="str">
        <f aca="false">IF(OR(D1254="",E1254=""),"",D1254*E1254)</f>
        <v/>
      </c>
      <c r="G1254" s="7"/>
      <c r="H1254" s="7"/>
    </row>
    <row r="1255" customFormat="false" ht="15" hidden="false" customHeight="true" outlineLevel="0" collapsed="false">
      <c r="A1255" s="15"/>
      <c r="B1255" s="7"/>
      <c r="C1255" s="16" t="str">
        <f aca="false">IF(B1255="","",IFERROR(INDEX(Products!$B$2:$B$501,MATCH(B1255,Products!$A$2:$A$501,0)),"CODE NOT FOUND"))</f>
        <v/>
      </c>
      <c r="D1255" s="7"/>
      <c r="E1255" s="13"/>
      <c r="F1255" s="17" t="str">
        <f aca="false">IF(OR(D1255="",E1255=""),"",D1255*E1255)</f>
        <v/>
      </c>
      <c r="G1255" s="7"/>
      <c r="H1255" s="7"/>
    </row>
    <row r="1256" customFormat="false" ht="15" hidden="false" customHeight="true" outlineLevel="0" collapsed="false">
      <c r="A1256" s="15"/>
      <c r="B1256" s="7"/>
      <c r="C1256" s="16" t="str">
        <f aca="false">IF(B1256="","",IFERROR(INDEX(Products!$B$2:$B$501,MATCH(B1256,Products!$A$2:$A$501,0)),"CODE NOT FOUND"))</f>
        <v/>
      </c>
      <c r="D1256" s="7"/>
      <c r="E1256" s="13"/>
      <c r="F1256" s="17" t="str">
        <f aca="false">IF(OR(D1256="",E1256=""),"",D1256*E1256)</f>
        <v/>
      </c>
      <c r="G1256" s="7"/>
      <c r="H1256" s="7"/>
    </row>
    <row r="1257" customFormat="false" ht="15" hidden="false" customHeight="true" outlineLevel="0" collapsed="false">
      <c r="A1257" s="15"/>
      <c r="B1257" s="7"/>
      <c r="C1257" s="16" t="str">
        <f aca="false">IF(B1257="","",IFERROR(INDEX(Products!$B$2:$B$501,MATCH(B1257,Products!$A$2:$A$501,0)),"CODE NOT FOUND"))</f>
        <v/>
      </c>
      <c r="D1257" s="7"/>
      <c r="E1257" s="13"/>
      <c r="F1257" s="17" t="str">
        <f aca="false">IF(OR(D1257="",E1257=""),"",D1257*E1257)</f>
        <v/>
      </c>
      <c r="G1257" s="7"/>
      <c r="H1257" s="7"/>
    </row>
    <row r="1258" customFormat="false" ht="15" hidden="false" customHeight="true" outlineLevel="0" collapsed="false">
      <c r="A1258" s="15"/>
      <c r="B1258" s="7"/>
      <c r="C1258" s="16" t="str">
        <f aca="false">IF(B1258="","",IFERROR(INDEX(Products!$B$2:$B$501,MATCH(B1258,Products!$A$2:$A$501,0)),"CODE NOT FOUND"))</f>
        <v/>
      </c>
      <c r="D1258" s="7"/>
      <c r="E1258" s="13"/>
      <c r="F1258" s="17" t="str">
        <f aca="false">IF(OR(D1258="",E1258=""),"",D1258*E1258)</f>
        <v/>
      </c>
      <c r="G1258" s="7"/>
      <c r="H1258" s="7"/>
    </row>
    <row r="1259" customFormat="false" ht="15" hidden="false" customHeight="true" outlineLevel="0" collapsed="false">
      <c r="A1259" s="15"/>
      <c r="B1259" s="7"/>
      <c r="C1259" s="16" t="str">
        <f aca="false">IF(B1259="","",IFERROR(INDEX(Products!$B$2:$B$501,MATCH(B1259,Products!$A$2:$A$501,0)),"CODE NOT FOUND"))</f>
        <v/>
      </c>
      <c r="D1259" s="7"/>
      <c r="E1259" s="13"/>
      <c r="F1259" s="17" t="str">
        <f aca="false">IF(OR(D1259="",E1259=""),"",D1259*E1259)</f>
        <v/>
      </c>
      <c r="G1259" s="7"/>
      <c r="H1259" s="7"/>
    </row>
    <row r="1260" customFormat="false" ht="15" hidden="false" customHeight="true" outlineLevel="0" collapsed="false">
      <c r="A1260" s="15"/>
      <c r="B1260" s="7"/>
      <c r="C1260" s="16" t="str">
        <f aca="false">IF(B1260="","",IFERROR(INDEX(Products!$B$2:$B$501,MATCH(B1260,Products!$A$2:$A$501,0)),"CODE NOT FOUND"))</f>
        <v/>
      </c>
      <c r="D1260" s="7"/>
      <c r="E1260" s="13"/>
      <c r="F1260" s="17" t="str">
        <f aca="false">IF(OR(D1260="",E1260=""),"",D1260*E1260)</f>
        <v/>
      </c>
      <c r="G1260" s="7"/>
      <c r="H1260" s="7"/>
    </row>
    <row r="1261" customFormat="false" ht="15" hidden="false" customHeight="true" outlineLevel="0" collapsed="false">
      <c r="A1261" s="15"/>
      <c r="B1261" s="7"/>
      <c r="C1261" s="16" t="str">
        <f aca="false">IF(B1261="","",IFERROR(INDEX(Products!$B$2:$B$501,MATCH(B1261,Products!$A$2:$A$501,0)),"CODE NOT FOUND"))</f>
        <v/>
      </c>
      <c r="D1261" s="7"/>
      <c r="E1261" s="13"/>
      <c r="F1261" s="17" t="str">
        <f aca="false">IF(OR(D1261="",E1261=""),"",D1261*E1261)</f>
        <v/>
      </c>
      <c r="G1261" s="7"/>
      <c r="H1261" s="7"/>
    </row>
    <row r="1262" customFormat="false" ht="15" hidden="false" customHeight="true" outlineLevel="0" collapsed="false">
      <c r="A1262" s="15"/>
      <c r="B1262" s="7"/>
      <c r="C1262" s="16" t="str">
        <f aca="false">IF(B1262="","",IFERROR(INDEX(Products!$B$2:$B$501,MATCH(B1262,Products!$A$2:$A$501,0)),"CODE NOT FOUND"))</f>
        <v/>
      </c>
      <c r="D1262" s="7"/>
      <c r="E1262" s="13"/>
      <c r="F1262" s="17" t="str">
        <f aca="false">IF(OR(D1262="",E1262=""),"",D1262*E1262)</f>
        <v/>
      </c>
      <c r="G1262" s="7"/>
      <c r="H1262" s="7"/>
    </row>
    <row r="1263" customFormat="false" ht="15" hidden="false" customHeight="true" outlineLevel="0" collapsed="false">
      <c r="A1263" s="15"/>
      <c r="B1263" s="7"/>
      <c r="C1263" s="16" t="str">
        <f aca="false">IF(B1263="","",IFERROR(INDEX(Products!$B$2:$B$501,MATCH(B1263,Products!$A$2:$A$501,0)),"CODE NOT FOUND"))</f>
        <v/>
      </c>
      <c r="D1263" s="7"/>
      <c r="E1263" s="13"/>
      <c r="F1263" s="17" t="str">
        <f aca="false">IF(OR(D1263="",E1263=""),"",D1263*E1263)</f>
        <v/>
      </c>
      <c r="G1263" s="7"/>
      <c r="H1263" s="7"/>
    </row>
    <row r="1264" customFormat="false" ht="15" hidden="false" customHeight="true" outlineLevel="0" collapsed="false">
      <c r="A1264" s="15"/>
      <c r="B1264" s="7"/>
      <c r="C1264" s="16" t="str">
        <f aca="false">IF(B1264="","",IFERROR(INDEX(Products!$B$2:$B$501,MATCH(B1264,Products!$A$2:$A$501,0)),"CODE NOT FOUND"))</f>
        <v/>
      </c>
      <c r="D1264" s="7"/>
      <c r="E1264" s="13"/>
      <c r="F1264" s="17" t="str">
        <f aca="false">IF(OR(D1264="",E1264=""),"",D1264*E1264)</f>
        <v/>
      </c>
      <c r="G1264" s="7"/>
      <c r="H1264" s="7"/>
    </row>
    <row r="1265" customFormat="false" ht="15" hidden="false" customHeight="true" outlineLevel="0" collapsed="false">
      <c r="A1265" s="15"/>
      <c r="B1265" s="7"/>
      <c r="C1265" s="16" t="str">
        <f aca="false">IF(B1265="","",IFERROR(INDEX(Products!$B$2:$B$501,MATCH(B1265,Products!$A$2:$A$501,0)),"CODE NOT FOUND"))</f>
        <v/>
      </c>
      <c r="D1265" s="7"/>
      <c r="E1265" s="13"/>
      <c r="F1265" s="17" t="str">
        <f aca="false">IF(OR(D1265="",E1265=""),"",D1265*E1265)</f>
        <v/>
      </c>
      <c r="G1265" s="7"/>
      <c r="H1265" s="7"/>
    </row>
    <row r="1266" customFormat="false" ht="15" hidden="false" customHeight="true" outlineLevel="0" collapsed="false">
      <c r="A1266" s="15"/>
      <c r="B1266" s="7"/>
      <c r="C1266" s="16" t="str">
        <f aca="false">IF(B1266="","",IFERROR(INDEX(Products!$B$2:$B$501,MATCH(B1266,Products!$A$2:$A$501,0)),"CODE NOT FOUND"))</f>
        <v/>
      </c>
      <c r="D1266" s="7"/>
      <c r="E1266" s="13"/>
      <c r="F1266" s="17" t="str">
        <f aca="false">IF(OR(D1266="",E1266=""),"",D1266*E1266)</f>
        <v/>
      </c>
      <c r="G1266" s="7"/>
      <c r="H1266" s="7"/>
    </row>
    <row r="1267" customFormat="false" ht="15" hidden="false" customHeight="true" outlineLevel="0" collapsed="false">
      <c r="A1267" s="15"/>
      <c r="B1267" s="7"/>
      <c r="C1267" s="16" t="str">
        <f aca="false">IF(B1267="","",IFERROR(INDEX(Products!$B$2:$B$501,MATCH(B1267,Products!$A$2:$A$501,0)),"CODE NOT FOUND"))</f>
        <v/>
      </c>
      <c r="D1267" s="7"/>
      <c r="E1267" s="13"/>
      <c r="F1267" s="17" t="str">
        <f aca="false">IF(OR(D1267="",E1267=""),"",D1267*E1267)</f>
        <v/>
      </c>
      <c r="G1267" s="7"/>
      <c r="H1267" s="7"/>
    </row>
    <row r="1268" customFormat="false" ht="15" hidden="false" customHeight="true" outlineLevel="0" collapsed="false">
      <c r="A1268" s="15"/>
      <c r="B1268" s="7"/>
      <c r="C1268" s="16" t="str">
        <f aca="false">IF(B1268="","",IFERROR(INDEX(Products!$B$2:$B$501,MATCH(B1268,Products!$A$2:$A$501,0)),"CODE NOT FOUND"))</f>
        <v/>
      </c>
      <c r="D1268" s="7"/>
      <c r="E1268" s="13"/>
      <c r="F1268" s="17" t="str">
        <f aca="false">IF(OR(D1268="",E1268=""),"",D1268*E1268)</f>
        <v/>
      </c>
      <c r="G1268" s="7"/>
      <c r="H1268" s="7"/>
    </row>
    <row r="1269" customFormat="false" ht="15" hidden="false" customHeight="true" outlineLevel="0" collapsed="false">
      <c r="A1269" s="15"/>
      <c r="B1269" s="7"/>
      <c r="C1269" s="16" t="str">
        <f aca="false">IF(B1269="","",IFERROR(INDEX(Products!$B$2:$B$501,MATCH(B1269,Products!$A$2:$A$501,0)),"CODE NOT FOUND"))</f>
        <v/>
      </c>
      <c r="D1269" s="7"/>
      <c r="E1269" s="13"/>
      <c r="F1269" s="17" t="str">
        <f aca="false">IF(OR(D1269="",E1269=""),"",D1269*E1269)</f>
        <v/>
      </c>
      <c r="G1269" s="7"/>
      <c r="H1269" s="7"/>
    </row>
    <row r="1270" customFormat="false" ht="15" hidden="false" customHeight="true" outlineLevel="0" collapsed="false">
      <c r="A1270" s="15"/>
      <c r="B1270" s="7"/>
      <c r="C1270" s="16" t="str">
        <f aca="false">IF(B1270="","",IFERROR(INDEX(Products!$B$2:$B$501,MATCH(B1270,Products!$A$2:$A$501,0)),"CODE NOT FOUND"))</f>
        <v/>
      </c>
      <c r="D1270" s="7"/>
      <c r="E1270" s="13"/>
      <c r="F1270" s="17" t="str">
        <f aca="false">IF(OR(D1270="",E1270=""),"",D1270*E1270)</f>
        <v/>
      </c>
      <c r="G1270" s="7"/>
      <c r="H1270" s="7"/>
    </row>
    <row r="1271" customFormat="false" ht="15" hidden="false" customHeight="true" outlineLevel="0" collapsed="false">
      <c r="A1271" s="15"/>
      <c r="B1271" s="7"/>
      <c r="C1271" s="16" t="str">
        <f aca="false">IF(B1271="","",IFERROR(INDEX(Products!$B$2:$B$501,MATCH(B1271,Products!$A$2:$A$501,0)),"CODE NOT FOUND"))</f>
        <v/>
      </c>
      <c r="D1271" s="7"/>
      <c r="E1271" s="13"/>
      <c r="F1271" s="17" t="str">
        <f aca="false">IF(OR(D1271="",E1271=""),"",D1271*E1271)</f>
        <v/>
      </c>
      <c r="G1271" s="7"/>
      <c r="H1271" s="7"/>
    </row>
    <row r="1272" customFormat="false" ht="15" hidden="false" customHeight="true" outlineLevel="0" collapsed="false">
      <c r="A1272" s="15"/>
      <c r="B1272" s="7"/>
      <c r="C1272" s="16" t="str">
        <f aca="false">IF(B1272="","",IFERROR(INDEX(Products!$B$2:$B$501,MATCH(B1272,Products!$A$2:$A$501,0)),"CODE NOT FOUND"))</f>
        <v/>
      </c>
      <c r="D1272" s="7"/>
      <c r="E1272" s="13"/>
      <c r="F1272" s="17" t="str">
        <f aca="false">IF(OR(D1272="",E1272=""),"",D1272*E1272)</f>
        <v/>
      </c>
      <c r="G1272" s="7"/>
      <c r="H1272" s="7"/>
    </row>
    <row r="1273" customFormat="false" ht="15" hidden="false" customHeight="true" outlineLevel="0" collapsed="false">
      <c r="A1273" s="15"/>
      <c r="B1273" s="7"/>
      <c r="C1273" s="16" t="str">
        <f aca="false">IF(B1273="","",IFERROR(INDEX(Products!$B$2:$B$501,MATCH(B1273,Products!$A$2:$A$501,0)),"CODE NOT FOUND"))</f>
        <v/>
      </c>
      <c r="D1273" s="7"/>
      <c r="E1273" s="13"/>
      <c r="F1273" s="17" t="str">
        <f aca="false">IF(OR(D1273="",E1273=""),"",D1273*E1273)</f>
        <v/>
      </c>
      <c r="G1273" s="7"/>
      <c r="H1273" s="7"/>
    </row>
    <row r="1274" customFormat="false" ht="15" hidden="false" customHeight="true" outlineLevel="0" collapsed="false">
      <c r="A1274" s="15"/>
      <c r="B1274" s="7"/>
      <c r="C1274" s="16" t="str">
        <f aca="false">IF(B1274="","",IFERROR(INDEX(Products!$B$2:$B$501,MATCH(B1274,Products!$A$2:$A$501,0)),"CODE NOT FOUND"))</f>
        <v/>
      </c>
      <c r="D1274" s="7"/>
      <c r="E1274" s="13"/>
      <c r="F1274" s="17" t="str">
        <f aca="false">IF(OR(D1274="",E1274=""),"",D1274*E1274)</f>
        <v/>
      </c>
      <c r="G1274" s="7"/>
      <c r="H1274" s="7"/>
    </row>
    <row r="1275" customFormat="false" ht="15" hidden="false" customHeight="true" outlineLevel="0" collapsed="false">
      <c r="A1275" s="15"/>
      <c r="B1275" s="7"/>
      <c r="C1275" s="16" t="str">
        <f aca="false">IF(B1275="","",IFERROR(INDEX(Products!$B$2:$B$501,MATCH(B1275,Products!$A$2:$A$501,0)),"CODE NOT FOUND"))</f>
        <v/>
      </c>
      <c r="D1275" s="7"/>
      <c r="E1275" s="13"/>
      <c r="F1275" s="17" t="str">
        <f aca="false">IF(OR(D1275="",E1275=""),"",D1275*E1275)</f>
        <v/>
      </c>
      <c r="G1275" s="7"/>
      <c r="H1275" s="7"/>
    </row>
    <row r="1276" customFormat="false" ht="15" hidden="false" customHeight="true" outlineLevel="0" collapsed="false">
      <c r="A1276" s="15"/>
      <c r="B1276" s="7"/>
      <c r="C1276" s="16" t="str">
        <f aca="false">IF(B1276="","",IFERROR(INDEX(Products!$B$2:$B$501,MATCH(B1276,Products!$A$2:$A$501,0)),"CODE NOT FOUND"))</f>
        <v/>
      </c>
      <c r="D1276" s="7"/>
      <c r="E1276" s="13"/>
      <c r="F1276" s="17" t="str">
        <f aca="false">IF(OR(D1276="",E1276=""),"",D1276*E1276)</f>
        <v/>
      </c>
      <c r="G1276" s="7"/>
      <c r="H1276" s="7"/>
    </row>
    <row r="1277" customFormat="false" ht="15" hidden="false" customHeight="true" outlineLevel="0" collapsed="false">
      <c r="A1277" s="15"/>
      <c r="B1277" s="7"/>
      <c r="C1277" s="16" t="str">
        <f aca="false">IF(B1277="","",IFERROR(INDEX(Products!$B$2:$B$501,MATCH(B1277,Products!$A$2:$A$501,0)),"CODE NOT FOUND"))</f>
        <v/>
      </c>
      <c r="D1277" s="7"/>
      <c r="E1277" s="13"/>
      <c r="F1277" s="17" t="str">
        <f aca="false">IF(OR(D1277="",E1277=""),"",D1277*E1277)</f>
        <v/>
      </c>
      <c r="G1277" s="7"/>
      <c r="H1277" s="7"/>
    </row>
    <row r="1278" customFormat="false" ht="15" hidden="false" customHeight="true" outlineLevel="0" collapsed="false">
      <c r="A1278" s="15"/>
      <c r="B1278" s="7"/>
      <c r="C1278" s="16" t="str">
        <f aca="false">IF(B1278="","",IFERROR(INDEX(Products!$B$2:$B$501,MATCH(B1278,Products!$A$2:$A$501,0)),"CODE NOT FOUND"))</f>
        <v/>
      </c>
      <c r="D1278" s="7"/>
      <c r="E1278" s="13"/>
      <c r="F1278" s="17" t="str">
        <f aca="false">IF(OR(D1278="",E1278=""),"",D1278*E1278)</f>
        <v/>
      </c>
      <c r="G1278" s="7"/>
      <c r="H1278" s="7"/>
    </row>
    <row r="1279" customFormat="false" ht="15" hidden="false" customHeight="true" outlineLevel="0" collapsed="false">
      <c r="A1279" s="15"/>
      <c r="B1279" s="7"/>
      <c r="C1279" s="16" t="str">
        <f aca="false">IF(B1279="","",IFERROR(INDEX(Products!$B$2:$B$501,MATCH(B1279,Products!$A$2:$A$501,0)),"CODE NOT FOUND"))</f>
        <v/>
      </c>
      <c r="D1279" s="7"/>
      <c r="E1279" s="13"/>
      <c r="F1279" s="17" t="str">
        <f aca="false">IF(OR(D1279="",E1279=""),"",D1279*E1279)</f>
        <v/>
      </c>
      <c r="G1279" s="7"/>
      <c r="H1279" s="7"/>
    </row>
    <row r="1280" customFormat="false" ht="15" hidden="false" customHeight="true" outlineLevel="0" collapsed="false">
      <c r="A1280" s="15"/>
      <c r="B1280" s="7"/>
      <c r="C1280" s="16" t="str">
        <f aca="false">IF(B1280="","",IFERROR(INDEX(Products!$B$2:$B$501,MATCH(B1280,Products!$A$2:$A$501,0)),"CODE NOT FOUND"))</f>
        <v/>
      </c>
      <c r="D1280" s="7"/>
      <c r="E1280" s="13"/>
      <c r="F1280" s="17" t="str">
        <f aca="false">IF(OR(D1280="",E1280=""),"",D1280*E1280)</f>
        <v/>
      </c>
      <c r="G1280" s="7"/>
      <c r="H1280" s="7"/>
    </row>
    <row r="1281" customFormat="false" ht="15" hidden="false" customHeight="true" outlineLevel="0" collapsed="false">
      <c r="A1281" s="15"/>
      <c r="B1281" s="7"/>
      <c r="C1281" s="16" t="str">
        <f aca="false">IF(B1281="","",IFERROR(INDEX(Products!$B$2:$B$501,MATCH(B1281,Products!$A$2:$A$501,0)),"CODE NOT FOUND"))</f>
        <v/>
      </c>
      <c r="D1281" s="7"/>
      <c r="E1281" s="13"/>
      <c r="F1281" s="17" t="str">
        <f aca="false">IF(OR(D1281="",E1281=""),"",D1281*E1281)</f>
        <v/>
      </c>
      <c r="G1281" s="7"/>
      <c r="H1281" s="7"/>
    </row>
    <row r="1282" customFormat="false" ht="15" hidden="false" customHeight="true" outlineLevel="0" collapsed="false">
      <c r="A1282" s="15"/>
      <c r="B1282" s="7"/>
      <c r="C1282" s="16" t="str">
        <f aca="false">IF(B1282="","",IFERROR(INDEX(Products!$B$2:$B$501,MATCH(B1282,Products!$A$2:$A$501,0)),"CODE NOT FOUND"))</f>
        <v/>
      </c>
      <c r="D1282" s="7"/>
      <c r="E1282" s="13"/>
      <c r="F1282" s="17" t="str">
        <f aca="false">IF(OR(D1282="",E1282=""),"",D1282*E1282)</f>
        <v/>
      </c>
      <c r="G1282" s="7"/>
      <c r="H1282" s="7"/>
    </row>
    <row r="1283" customFormat="false" ht="15" hidden="false" customHeight="true" outlineLevel="0" collapsed="false">
      <c r="A1283" s="15"/>
      <c r="B1283" s="7"/>
      <c r="C1283" s="16" t="str">
        <f aca="false">IF(B1283="","",IFERROR(INDEX(Products!$B$2:$B$501,MATCH(B1283,Products!$A$2:$A$501,0)),"CODE NOT FOUND"))</f>
        <v/>
      </c>
      <c r="D1283" s="7"/>
      <c r="E1283" s="13"/>
      <c r="F1283" s="17" t="str">
        <f aca="false">IF(OR(D1283="",E1283=""),"",D1283*E1283)</f>
        <v/>
      </c>
      <c r="G1283" s="7"/>
      <c r="H1283" s="7"/>
    </row>
    <row r="1284" customFormat="false" ht="15" hidden="false" customHeight="true" outlineLevel="0" collapsed="false">
      <c r="A1284" s="15"/>
      <c r="B1284" s="7"/>
      <c r="C1284" s="16" t="str">
        <f aca="false">IF(B1284="","",IFERROR(INDEX(Products!$B$2:$B$501,MATCH(B1284,Products!$A$2:$A$501,0)),"CODE NOT FOUND"))</f>
        <v/>
      </c>
      <c r="D1284" s="7"/>
      <c r="E1284" s="13"/>
      <c r="F1284" s="17" t="str">
        <f aca="false">IF(OR(D1284="",E1284=""),"",D1284*E1284)</f>
        <v/>
      </c>
      <c r="G1284" s="7"/>
      <c r="H1284" s="7"/>
    </row>
    <row r="1285" customFormat="false" ht="15" hidden="false" customHeight="true" outlineLevel="0" collapsed="false">
      <c r="A1285" s="15"/>
      <c r="B1285" s="7"/>
      <c r="C1285" s="16" t="str">
        <f aca="false">IF(B1285="","",IFERROR(INDEX(Products!$B$2:$B$501,MATCH(B1285,Products!$A$2:$A$501,0)),"CODE NOT FOUND"))</f>
        <v/>
      </c>
      <c r="D1285" s="7"/>
      <c r="E1285" s="13"/>
      <c r="F1285" s="17" t="str">
        <f aca="false">IF(OR(D1285="",E1285=""),"",D1285*E1285)</f>
        <v/>
      </c>
      <c r="G1285" s="7"/>
      <c r="H1285" s="7"/>
    </row>
    <row r="1286" customFormat="false" ht="15" hidden="false" customHeight="true" outlineLevel="0" collapsed="false">
      <c r="A1286" s="15"/>
      <c r="B1286" s="7"/>
      <c r="C1286" s="16" t="str">
        <f aca="false">IF(B1286="","",IFERROR(INDEX(Products!$B$2:$B$501,MATCH(B1286,Products!$A$2:$A$501,0)),"CODE NOT FOUND"))</f>
        <v/>
      </c>
      <c r="D1286" s="7"/>
      <c r="E1286" s="13"/>
      <c r="F1286" s="17" t="str">
        <f aca="false">IF(OR(D1286="",E1286=""),"",D1286*E1286)</f>
        <v/>
      </c>
      <c r="G1286" s="7"/>
      <c r="H1286" s="7"/>
    </row>
    <row r="1287" customFormat="false" ht="15" hidden="false" customHeight="true" outlineLevel="0" collapsed="false">
      <c r="A1287" s="15"/>
      <c r="B1287" s="7"/>
      <c r="C1287" s="16" t="str">
        <f aca="false">IF(B1287="","",IFERROR(INDEX(Products!$B$2:$B$501,MATCH(B1287,Products!$A$2:$A$501,0)),"CODE NOT FOUND"))</f>
        <v/>
      </c>
      <c r="D1287" s="7"/>
      <c r="E1287" s="13"/>
      <c r="F1287" s="17" t="str">
        <f aca="false">IF(OR(D1287="",E1287=""),"",D1287*E1287)</f>
        <v/>
      </c>
      <c r="G1287" s="7"/>
      <c r="H1287" s="7"/>
    </row>
    <row r="1288" customFormat="false" ht="15" hidden="false" customHeight="true" outlineLevel="0" collapsed="false">
      <c r="A1288" s="15"/>
      <c r="B1288" s="7"/>
      <c r="C1288" s="16" t="str">
        <f aca="false">IF(B1288="","",IFERROR(INDEX(Products!$B$2:$B$501,MATCH(B1288,Products!$A$2:$A$501,0)),"CODE NOT FOUND"))</f>
        <v/>
      </c>
      <c r="D1288" s="7"/>
      <c r="E1288" s="13"/>
      <c r="F1288" s="17" t="str">
        <f aca="false">IF(OR(D1288="",E1288=""),"",D1288*E1288)</f>
        <v/>
      </c>
      <c r="G1288" s="7"/>
      <c r="H1288" s="7"/>
    </row>
    <row r="1289" customFormat="false" ht="15" hidden="false" customHeight="true" outlineLevel="0" collapsed="false">
      <c r="A1289" s="15"/>
      <c r="B1289" s="7"/>
      <c r="C1289" s="16" t="str">
        <f aca="false">IF(B1289="","",IFERROR(INDEX(Products!$B$2:$B$501,MATCH(B1289,Products!$A$2:$A$501,0)),"CODE NOT FOUND"))</f>
        <v/>
      </c>
      <c r="D1289" s="7"/>
      <c r="E1289" s="13"/>
      <c r="F1289" s="17" t="str">
        <f aca="false">IF(OR(D1289="",E1289=""),"",D1289*E1289)</f>
        <v/>
      </c>
      <c r="G1289" s="7"/>
      <c r="H1289" s="7"/>
    </row>
    <row r="1290" customFormat="false" ht="15" hidden="false" customHeight="true" outlineLevel="0" collapsed="false">
      <c r="A1290" s="15"/>
      <c r="B1290" s="7"/>
      <c r="C1290" s="16" t="str">
        <f aca="false">IF(B1290="","",IFERROR(INDEX(Products!$B$2:$B$501,MATCH(B1290,Products!$A$2:$A$501,0)),"CODE NOT FOUND"))</f>
        <v/>
      </c>
      <c r="D1290" s="7"/>
      <c r="E1290" s="13"/>
      <c r="F1290" s="17" t="str">
        <f aca="false">IF(OR(D1290="",E1290=""),"",D1290*E1290)</f>
        <v/>
      </c>
      <c r="G1290" s="7"/>
      <c r="H1290" s="7"/>
    </row>
    <row r="1291" customFormat="false" ht="15" hidden="false" customHeight="true" outlineLevel="0" collapsed="false">
      <c r="A1291" s="15"/>
      <c r="B1291" s="7"/>
      <c r="C1291" s="16" t="str">
        <f aca="false">IF(B1291="","",IFERROR(INDEX(Products!$B$2:$B$501,MATCH(B1291,Products!$A$2:$A$501,0)),"CODE NOT FOUND"))</f>
        <v/>
      </c>
      <c r="D1291" s="7"/>
      <c r="E1291" s="13"/>
      <c r="F1291" s="17" t="str">
        <f aca="false">IF(OR(D1291="",E1291=""),"",D1291*E1291)</f>
        <v/>
      </c>
      <c r="G1291" s="7"/>
      <c r="H1291" s="7"/>
    </row>
    <row r="1292" customFormat="false" ht="15" hidden="false" customHeight="true" outlineLevel="0" collapsed="false">
      <c r="A1292" s="15"/>
      <c r="B1292" s="7"/>
      <c r="C1292" s="16" t="str">
        <f aca="false">IF(B1292="","",IFERROR(INDEX(Products!$B$2:$B$501,MATCH(B1292,Products!$A$2:$A$501,0)),"CODE NOT FOUND"))</f>
        <v/>
      </c>
      <c r="D1292" s="7"/>
      <c r="E1292" s="13"/>
      <c r="F1292" s="17" t="str">
        <f aca="false">IF(OR(D1292="",E1292=""),"",D1292*E1292)</f>
        <v/>
      </c>
      <c r="G1292" s="7"/>
      <c r="H1292" s="7"/>
    </row>
    <row r="1293" customFormat="false" ht="15" hidden="false" customHeight="true" outlineLevel="0" collapsed="false">
      <c r="A1293" s="15"/>
      <c r="B1293" s="7"/>
      <c r="C1293" s="16" t="str">
        <f aca="false">IF(B1293="","",IFERROR(INDEX(Products!$B$2:$B$501,MATCH(B1293,Products!$A$2:$A$501,0)),"CODE NOT FOUND"))</f>
        <v/>
      </c>
      <c r="D1293" s="7"/>
      <c r="E1293" s="13"/>
      <c r="F1293" s="17" t="str">
        <f aca="false">IF(OR(D1293="",E1293=""),"",D1293*E1293)</f>
        <v/>
      </c>
      <c r="G1293" s="7"/>
      <c r="H1293" s="7"/>
    </row>
    <row r="1294" customFormat="false" ht="15" hidden="false" customHeight="true" outlineLevel="0" collapsed="false">
      <c r="A1294" s="15"/>
      <c r="B1294" s="7"/>
      <c r="C1294" s="16" t="str">
        <f aca="false">IF(B1294="","",IFERROR(INDEX(Products!$B$2:$B$501,MATCH(B1294,Products!$A$2:$A$501,0)),"CODE NOT FOUND"))</f>
        <v/>
      </c>
      <c r="D1294" s="7"/>
      <c r="E1294" s="13"/>
      <c r="F1294" s="17" t="str">
        <f aca="false">IF(OR(D1294="",E1294=""),"",D1294*E1294)</f>
        <v/>
      </c>
      <c r="G1294" s="7"/>
      <c r="H1294" s="7"/>
    </row>
    <row r="1295" customFormat="false" ht="15" hidden="false" customHeight="true" outlineLevel="0" collapsed="false">
      <c r="A1295" s="15"/>
      <c r="B1295" s="7"/>
      <c r="C1295" s="16" t="str">
        <f aca="false">IF(B1295="","",IFERROR(INDEX(Products!$B$2:$B$501,MATCH(B1295,Products!$A$2:$A$501,0)),"CODE NOT FOUND"))</f>
        <v/>
      </c>
      <c r="D1295" s="7"/>
      <c r="E1295" s="13"/>
      <c r="F1295" s="17" t="str">
        <f aca="false">IF(OR(D1295="",E1295=""),"",D1295*E1295)</f>
        <v/>
      </c>
      <c r="G1295" s="7"/>
      <c r="H1295" s="7"/>
    </row>
    <row r="1296" customFormat="false" ht="15" hidden="false" customHeight="true" outlineLevel="0" collapsed="false">
      <c r="A1296" s="15"/>
      <c r="B1296" s="7"/>
      <c r="C1296" s="16" t="str">
        <f aca="false">IF(B1296="","",IFERROR(INDEX(Products!$B$2:$B$501,MATCH(B1296,Products!$A$2:$A$501,0)),"CODE NOT FOUND"))</f>
        <v/>
      </c>
      <c r="D1296" s="7"/>
      <c r="E1296" s="13"/>
      <c r="F1296" s="17" t="str">
        <f aca="false">IF(OR(D1296="",E1296=""),"",D1296*E1296)</f>
        <v/>
      </c>
      <c r="G1296" s="7"/>
      <c r="H1296" s="7"/>
    </row>
    <row r="1297" customFormat="false" ht="15" hidden="false" customHeight="true" outlineLevel="0" collapsed="false">
      <c r="A1297" s="15"/>
      <c r="B1297" s="7"/>
      <c r="C1297" s="16" t="str">
        <f aca="false">IF(B1297="","",IFERROR(INDEX(Products!$B$2:$B$501,MATCH(B1297,Products!$A$2:$A$501,0)),"CODE NOT FOUND"))</f>
        <v/>
      </c>
      <c r="D1297" s="7"/>
      <c r="E1297" s="13"/>
      <c r="F1297" s="17" t="str">
        <f aca="false">IF(OR(D1297="",E1297=""),"",D1297*E1297)</f>
        <v/>
      </c>
      <c r="G1297" s="7"/>
      <c r="H1297" s="7"/>
    </row>
    <row r="1298" customFormat="false" ht="15" hidden="false" customHeight="true" outlineLevel="0" collapsed="false">
      <c r="A1298" s="15"/>
      <c r="B1298" s="7"/>
      <c r="C1298" s="16" t="str">
        <f aca="false">IF(B1298="","",IFERROR(INDEX(Products!$B$2:$B$501,MATCH(B1298,Products!$A$2:$A$501,0)),"CODE NOT FOUND"))</f>
        <v/>
      </c>
      <c r="D1298" s="7"/>
      <c r="E1298" s="13"/>
      <c r="F1298" s="17" t="str">
        <f aca="false">IF(OR(D1298="",E1298=""),"",D1298*E1298)</f>
        <v/>
      </c>
      <c r="G1298" s="7"/>
      <c r="H1298" s="7"/>
    </row>
    <row r="1299" customFormat="false" ht="15" hidden="false" customHeight="true" outlineLevel="0" collapsed="false">
      <c r="A1299" s="15"/>
      <c r="B1299" s="7"/>
      <c r="C1299" s="16" t="str">
        <f aca="false">IF(B1299="","",IFERROR(INDEX(Products!$B$2:$B$501,MATCH(B1299,Products!$A$2:$A$501,0)),"CODE NOT FOUND"))</f>
        <v/>
      </c>
      <c r="D1299" s="7"/>
      <c r="E1299" s="13"/>
      <c r="F1299" s="17" t="str">
        <f aca="false">IF(OR(D1299="",E1299=""),"",D1299*E1299)</f>
        <v/>
      </c>
      <c r="G1299" s="7"/>
      <c r="H1299" s="7"/>
    </row>
    <row r="1300" customFormat="false" ht="15" hidden="false" customHeight="true" outlineLevel="0" collapsed="false">
      <c r="A1300" s="15"/>
      <c r="B1300" s="7"/>
      <c r="C1300" s="16" t="str">
        <f aca="false">IF(B1300="","",IFERROR(INDEX(Products!$B$2:$B$501,MATCH(B1300,Products!$A$2:$A$501,0)),"CODE NOT FOUND"))</f>
        <v/>
      </c>
      <c r="D1300" s="7"/>
      <c r="E1300" s="13"/>
      <c r="F1300" s="17" t="str">
        <f aca="false">IF(OR(D1300="",E1300=""),"",D1300*E1300)</f>
        <v/>
      </c>
      <c r="G1300" s="7"/>
      <c r="H1300" s="7"/>
    </row>
    <row r="1301" customFormat="false" ht="15" hidden="false" customHeight="true" outlineLevel="0" collapsed="false">
      <c r="A1301" s="15"/>
      <c r="B1301" s="7"/>
      <c r="C1301" s="16" t="str">
        <f aca="false">IF(B1301="","",IFERROR(INDEX(Products!$B$2:$B$501,MATCH(B1301,Products!$A$2:$A$501,0)),"CODE NOT FOUND"))</f>
        <v/>
      </c>
      <c r="D1301" s="7"/>
      <c r="E1301" s="13"/>
      <c r="F1301" s="17" t="str">
        <f aca="false">IF(OR(D1301="",E1301=""),"",D1301*E1301)</f>
        <v/>
      </c>
      <c r="G1301" s="7"/>
      <c r="H1301" s="7"/>
    </row>
    <row r="1302" customFormat="false" ht="15" hidden="false" customHeight="true" outlineLevel="0" collapsed="false">
      <c r="A1302" s="15"/>
      <c r="B1302" s="7"/>
      <c r="C1302" s="16" t="str">
        <f aca="false">IF(B1302="","",IFERROR(INDEX(Products!$B$2:$B$501,MATCH(B1302,Products!$A$2:$A$501,0)),"CODE NOT FOUND"))</f>
        <v/>
      </c>
      <c r="D1302" s="7"/>
      <c r="E1302" s="13"/>
      <c r="F1302" s="17" t="str">
        <f aca="false">IF(OR(D1302="",E1302=""),"",D1302*E1302)</f>
        <v/>
      </c>
      <c r="G1302" s="7"/>
      <c r="H1302" s="7"/>
    </row>
    <row r="1303" customFormat="false" ht="15" hidden="false" customHeight="true" outlineLevel="0" collapsed="false">
      <c r="A1303" s="15"/>
      <c r="B1303" s="7"/>
      <c r="C1303" s="16" t="str">
        <f aca="false">IF(B1303="","",IFERROR(INDEX(Products!$B$2:$B$501,MATCH(B1303,Products!$A$2:$A$501,0)),"CODE NOT FOUND"))</f>
        <v/>
      </c>
      <c r="D1303" s="7"/>
      <c r="E1303" s="13"/>
      <c r="F1303" s="17" t="str">
        <f aca="false">IF(OR(D1303="",E1303=""),"",D1303*E1303)</f>
        <v/>
      </c>
      <c r="G1303" s="7"/>
      <c r="H1303" s="7"/>
    </row>
    <row r="1304" customFormat="false" ht="15" hidden="false" customHeight="true" outlineLevel="0" collapsed="false">
      <c r="A1304" s="15"/>
      <c r="B1304" s="7"/>
      <c r="C1304" s="16" t="str">
        <f aca="false">IF(B1304="","",IFERROR(INDEX(Products!$B$2:$B$501,MATCH(B1304,Products!$A$2:$A$501,0)),"CODE NOT FOUND"))</f>
        <v/>
      </c>
      <c r="D1304" s="7"/>
      <c r="E1304" s="13"/>
      <c r="F1304" s="17" t="str">
        <f aca="false">IF(OR(D1304="",E1304=""),"",D1304*E1304)</f>
        <v/>
      </c>
      <c r="G1304" s="7"/>
      <c r="H1304" s="7"/>
    </row>
    <row r="1305" customFormat="false" ht="15" hidden="false" customHeight="true" outlineLevel="0" collapsed="false">
      <c r="A1305" s="15"/>
      <c r="B1305" s="7"/>
      <c r="C1305" s="16" t="str">
        <f aca="false">IF(B1305="","",IFERROR(INDEX(Products!$B$2:$B$501,MATCH(B1305,Products!$A$2:$A$501,0)),"CODE NOT FOUND"))</f>
        <v/>
      </c>
      <c r="D1305" s="7"/>
      <c r="E1305" s="13"/>
      <c r="F1305" s="17" t="str">
        <f aca="false">IF(OR(D1305="",E1305=""),"",D1305*E1305)</f>
        <v/>
      </c>
      <c r="G1305" s="7"/>
      <c r="H1305" s="7"/>
    </row>
    <row r="1306" customFormat="false" ht="15" hidden="false" customHeight="true" outlineLevel="0" collapsed="false">
      <c r="A1306" s="15"/>
      <c r="B1306" s="7"/>
      <c r="C1306" s="16" t="str">
        <f aca="false">IF(B1306="","",IFERROR(INDEX(Products!$B$2:$B$501,MATCH(B1306,Products!$A$2:$A$501,0)),"CODE NOT FOUND"))</f>
        <v/>
      </c>
      <c r="D1306" s="7"/>
      <c r="E1306" s="13"/>
      <c r="F1306" s="17" t="str">
        <f aca="false">IF(OR(D1306="",E1306=""),"",D1306*E1306)</f>
        <v/>
      </c>
      <c r="G1306" s="7"/>
      <c r="H1306" s="7"/>
    </row>
    <row r="1307" customFormat="false" ht="15" hidden="false" customHeight="true" outlineLevel="0" collapsed="false">
      <c r="A1307" s="15"/>
      <c r="B1307" s="7"/>
      <c r="C1307" s="16" t="str">
        <f aca="false">IF(B1307="","",IFERROR(INDEX(Products!$B$2:$B$501,MATCH(B1307,Products!$A$2:$A$501,0)),"CODE NOT FOUND"))</f>
        <v/>
      </c>
      <c r="D1307" s="7"/>
      <c r="E1307" s="13"/>
      <c r="F1307" s="17" t="str">
        <f aca="false">IF(OR(D1307="",E1307=""),"",D1307*E1307)</f>
        <v/>
      </c>
      <c r="G1307" s="7"/>
      <c r="H1307" s="7"/>
    </row>
    <row r="1308" customFormat="false" ht="15" hidden="false" customHeight="true" outlineLevel="0" collapsed="false">
      <c r="A1308" s="15"/>
      <c r="B1308" s="7"/>
      <c r="C1308" s="16" t="str">
        <f aca="false">IF(B1308="","",IFERROR(INDEX(Products!$B$2:$B$501,MATCH(B1308,Products!$A$2:$A$501,0)),"CODE NOT FOUND"))</f>
        <v/>
      </c>
      <c r="D1308" s="7"/>
      <c r="E1308" s="13"/>
      <c r="F1308" s="17" t="str">
        <f aca="false">IF(OR(D1308="",E1308=""),"",D1308*E1308)</f>
        <v/>
      </c>
      <c r="G1308" s="7"/>
      <c r="H1308" s="7"/>
    </row>
    <row r="1309" customFormat="false" ht="15" hidden="false" customHeight="true" outlineLevel="0" collapsed="false">
      <c r="A1309" s="15"/>
      <c r="B1309" s="7"/>
      <c r="C1309" s="16" t="str">
        <f aca="false">IF(B1309="","",IFERROR(INDEX(Products!$B$2:$B$501,MATCH(B1309,Products!$A$2:$A$501,0)),"CODE NOT FOUND"))</f>
        <v/>
      </c>
      <c r="D1309" s="7"/>
      <c r="E1309" s="13"/>
      <c r="F1309" s="17" t="str">
        <f aca="false">IF(OR(D1309="",E1309=""),"",D1309*E1309)</f>
        <v/>
      </c>
      <c r="G1309" s="7"/>
      <c r="H1309" s="7"/>
    </row>
    <row r="1310" customFormat="false" ht="15" hidden="false" customHeight="true" outlineLevel="0" collapsed="false">
      <c r="A1310" s="15"/>
      <c r="B1310" s="7"/>
      <c r="C1310" s="16" t="str">
        <f aca="false">IF(B1310="","",IFERROR(INDEX(Products!$B$2:$B$501,MATCH(B1310,Products!$A$2:$A$501,0)),"CODE NOT FOUND"))</f>
        <v/>
      </c>
      <c r="D1310" s="7"/>
      <c r="E1310" s="13"/>
      <c r="F1310" s="17" t="str">
        <f aca="false">IF(OR(D1310="",E1310=""),"",D1310*E1310)</f>
        <v/>
      </c>
      <c r="G1310" s="7"/>
      <c r="H1310" s="7"/>
    </row>
    <row r="1311" customFormat="false" ht="15" hidden="false" customHeight="true" outlineLevel="0" collapsed="false">
      <c r="A1311" s="15"/>
      <c r="B1311" s="7"/>
      <c r="C1311" s="16" t="str">
        <f aca="false">IF(B1311="","",IFERROR(INDEX(Products!$B$2:$B$501,MATCH(B1311,Products!$A$2:$A$501,0)),"CODE NOT FOUND"))</f>
        <v/>
      </c>
      <c r="D1311" s="7"/>
      <c r="E1311" s="13"/>
      <c r="F1311" s="17" t="str">
        <f aca="false">IF(OR(D1311="",E1311=""),"",D1311*E1311)</f>
        <v/>
      </c>
      <c r="G1311" s="7"/>
      <c r="H1311" s="7"/>
    </row>
    <row r="1312" customFormat="false" ht="15" hidden="false" customHeight="true" outlineLevel="0" collapsed="false">
      <c r="A1312" s="15"/>
      <c r="B1312" s="7"/>
      <c r="C1312" s="16" t="str">
        <f aca="false">IF(B1312="","",IFERROR(INDEX(Products!$B$2:$B$501,MATCH(B1312,Products!$A$2:$A$501,0)),"CODE NOT FOUND"))</f>
        <v/>
      </c>
      <c r="D1312" s="7"/>
      <c r="E1312" s="13"/>
      <c r="F1312" s="17" t="str">
        <f aca="false">IF(OR(D1312="",E1312=""),"",D1312*E1312)</f>
        <v/>
      </c>
      <c r="G1312" s="7"/>
      <c r="H1312" s="7"/>
    </row>
    <row r="1313" customFormat="false" ht="15" hidden="false" customHeight="true" outlineLevel="0" collapsed="false">
      <c r="A1313" s="15"/>
      <c r="B1313" s="7"/>
      <c r="C1313" s="16" t="str">
        <f aca="false">IF(B1313="","",IFERROR(INDEX(Products!$B$2:$B$501,MATCH(B1313,Products!$A$2:$A$501,0)),"CODE NOT FOUND"))</f>
        <v/>
      </c>
      <c r="D1313" s="7"/>
      <c r="E1313" s="13"/>
      <c r="F1313" s="17" t="str">
        <f aca="false">IF(OR(D1313="",E1313=""),"",D1313*E1313)</f>
        <v/>
      </c>
      <c r="G1313" s="7"/>
      <c r="H1313" s="7"/>
    </row>
    <row r="1314" customFormat="false" ht="15" hidden="false" customHeight="true" outlineLevel="0" collapsed="false">
      <c r="A1314" s="15"/>
      <c r="B1314" s="7"/>
      <c r="C1314" s="16" t="str">
        <f aca="false">IF(B1314="","",IFERROR(INDEX(Products!$B$2:$B$501,MATCH(B1314,Products!$A$2:$A$501,0)),"CODE NOT FOUND"))</f>
        <v/>
      </c>
      <c r="D1314" s="7"/>
      <c r="E1314" s="13"/>
      <c r="F1314" s="17" t="str">
        <f aca="false">IF(OR(D1314="",E1314=""),"",D1314*E1314)</f>
        <v/>
      </c>
      <c r="G1314" s="7"/>
      <c r="H1314" s="7"/>
    </row>
    <row r="1315" customFormat="false" ht="15" hidden="false" customHeight="true" outlineLevel="0" collapsed="false">
      <c r="A1315" s="15"/>
      <c r="B1315" s="7"/>
      <c r="C1315" s="16" t="str">
        <f aca="false">IF(B1315="","",IFERROR(INDEX(Products!$B$2:$B$501,MATCH(B1315,Products!$A$2:$A$501,0)),"CODE NOT FOUND"))</f>
        <v/>
      </c>
      <c r="D1315" s="7"/>
      <c r="E1315" s="13"/>
      <c r="F1315" s="17" t="str">
        <f aca="false">IF(OR(D1315="",E1315=""),"",D1315*E1315)</f>
        <v/>
      </c>
      <c r="G1315" s="7"/>
      <c r="H1315" s="7"/>
    </row>
    <row r="1316" customFormat="false" ht="15" hidden="false" customHeight="true" outlineLevel="0" collapsed="false">
      <c r="A1316" s="15"/>
      <c r="B1316" s="7"/>
      <c r="C1316" s="16" t="str">
        <f aca="false">IF(B1316="","",IFERROR(INDEX(Products!$B$2:$B$501,MATCH(B1316,Products!$A$2:$A$501,0)),"CODE NOT FOUND"))</f>
        <v/>
      </c>
      <c r="D1316" s="7"/>
      <c r="E1316" s="13"/>
      <c r="F1316" s="17" t="str">
        <f aca="false">IF(OR(D1316="",E1316=""),"",D1316*E1316)</f>
        <v/>
      </c>
      <c r="G1316" s="7"/>
      <c r="H1316" s="7"/>
    </row>
    <row r="1317" customFormat="false" ht="15" hidden="false" customHeight="true" outlineLevel="0" collapsed="false">
      <c r="A1317" s="15"/>
      <c r="B1317" s="7"/>
      <c r="C1317" s="16" t="str">
        <f aca="false">IF(B1317="","",IFERROR(INDEX(Products!$B$2:$B$501,MATCH(B1317,Products!$A$2:$A$501,0)),"CODE NOT FOUND"))</f>
        <v/>
      </c>
      <c r="D1317" s="7"/>
      <c r="E1317" s="13"/>
      <c r="F1317" s="17" t="str">
        <f aca="false">IF(OR(D1317="",E1317=""),"",D1317*E1317)</f>
        <v/>
      </c>
      <c r="G1317" s="7"/>
      <c r="H1317" s="7"/>
    </row>
    <row r="1318" customFormat="false" ht="15" hidden="false" customHeight="true" outlineLevel="0" collapsed="false">
      <c r="A1318" s="15"/>
      <c r="B1318" s="7"/>
      <c r="C1318" s="16" t="str">
        <f aca="false">IF(B1318="","",IFERROR(INDEX(Products!$B$2:$B$501,MATCH(B1318,Products!$A$2:$A$501,0)),"CODE NOT FOUND"))</f>
        <v/>
      </c>
      <c r="D1318" s="7"/>
      <c r="E1318" s="13"/>
      <c r="F1318" s="17" t="str">
        <f aca="false">IF(OR(D1318="",E1318=""),"",D1318*E1318)</f>
        <v/>
      </c>
      <c r="G1318" s="7"/>
      <c r="H1318" s="7"/>
    </row>
    <row r="1319" customFormat="false" ht="15" hidden="false" customHeight="true" outlineLevel="0" collapsed="false">
      <c r="A1319" s="15"/>
      <c r="B1319" s="7"/>
      <c r="C1319" s="16" t="str">
        <f aca="false">IF(B1319="","",IFERROR(INDEX(Products!$B$2:$B$501,MATCH(B1319,Products!$A$2:$A$501,0)),"CODE NOT FOUND"))</f>
        <v/>
      </c>
      <c r="D1319" s="7"/>
      <c r="E1319" s="13"/>
      <c r="F1319" s="17" t="str">
        <f aca="false">IF(OR(D1319="",E1319=""),"",D1319*E1319)</f>
        <v/>
      </c>
      <c r="G1319" s="7"/>
      <c r="H1319" s="7"/>
    </row>
    <row r="1320" customFormat="false" ht="15" hidden="false" customHeight="true" outlineLevel="0" collapsed="false">
      <c r="A1320" s="15"/>
      <c r="B1320" s="7"/>
      <c r="C1320" s="16" t="str">
        <f aca="false">IF(B1320="","",IFERROR(INDEX(Products!$B$2:$B$501,MATCH(B1320,Products!$A$2:$A$501,0)),"CODE NOT FOUND"))</f>
        <v/>
      </c>
      <c r="D1320" s="7"/>
      <c r="E1320" s="13"/>
      <c r="F1320" s="17" t="str">
        <f aca="false">IF(OR(D1320="",E1320=""),"",D1320*E1320)</f>
        <v/>
      </c>
      <c r="G1320" s="7"/>
      <c r="H1320" s="7"/>
    </row>
    <row r="1321" customFormat="false" ht="15" hidden="false" customHeight="true" outlineLevel="0" collapsed="false">
      <c r="A1321" s="15"/>
      <c r="B1321" s="7"/>
      <c r="C1321" s="16" t="str">
        <f aca="false">IF(B1321="","",IFERROR(INDEX(Products!$B$2:$B$501,MATCH(B1321,Products!$A$2:$A$501,0)),"CODE NOT FOUND"))</f>
        <v/>
      </c>
      <c r="D1321" s="7"/>
      <c r="E1321" s="13"/>
      <c r="F1321" s="17" t="str">
        <f aca="false">IF(OR(D1321="",E1321=""),"",D1321*E1321)</f>
        <v/>
      </c>
      <c r="G1321" s="7"/>
      <c r="H1321" s="7"/>
    </row>
    <row r="1322" customFormat="false" ht="15" hidden="false" customHeight="true" outlineLevel="0" collapsed="false">
      <c r="A1322" s="15"/>
      <c r="B1322" s="7"/>
      <c r="C1322" s="16" t="str">
        <f aca="false">IF(B1322="","",IFERROR(INDEX(Products!$B$2:$B$501,MATCH(B1322,Products!$A$2:$A$501,0)),"CODE NOT FOUND"))</f>
        <v/>
      </c>
      <c r="D1322" s="7"/>
      <c r="E1322" s="13"/>
      <c r="F1322" s="17" t="str">
        <f aca="false">IF(OR(D1322="",E1322=""),"",D1322*E1322)</f>
        <v/>
      </c>
      <c r="G1322" s="7"/>
      <c r="H1322" s="7"/>
    </row>
    <row r="1323" customFormat="false" ht="15" hidden="false" customHeight="true" outlineLevel="0" collapsed="false">
      <c r="A1323" s="15"/>
      <c r="B1323" s="7"/>
      <c r="C1323" s="16" t="str">
        <f aca="false">IF(B1323="","",IFERROR(INDEX(Products!$B$2:$B$501,MATCH(B1323,Products!$A$2:$A$501,0)),"CODE NOT FOUND"))</f>
        <v/>
      </c>
      <c r="D1323" s="7"/>
      <c r="E1323" s="13"/>
      <c r="F1323" s="17" t="str">
        <f aca="false">IF(OR(D1323="",E1323=""),"",D1323*E1323)</f>
        <v/>
      </c>
      <c r="G1323" s="7"/>
      <c r="H1323" s="7"/>
    </row>
    <row r="1324" customFormat="false" ht="15" hidden="false" customHeight="true" outlineLevel="0" collapsed="false">
      <c r="A1324" s="15"/>
      <c r="B1324" s="7"/>
      <c r="C1324" s="16" t="str">
        <f aca="false">IF(B1324="","",IFERROR(INDEX(Products!$B$2:$B$501,MATCH(B1324,Products!$A$2:$A$501,0)),"CODE NOT FOUND"))</f>
        <v/>
      </c>
      <c r="D1324" s="7"/>
      <c r="E1324" s="13"/>
      <c r="F1324" s="17" t="str">
        <f aca="false">IF(OR(D1324="",E1324=""),"",D1324*E1324)</f>
        <v/>
      </c>
      <c r="G1324" s="7"/>
      <c r="H1324" s="7"/>
    </row>
    <row r="1325" customFormat="false" ht="15" hidden="false" customHeight="true" outlineLevel="0" collapsed="false">
      <c r="A1325" s="15"/>
      <c r="B1325" s="7"/>
      <c r="C1325" s="16" t="str">
        <f aca="false">IF(B1325="","",IFERROR(INDEX(Products!$B$2:$B$501,MATCH(B1325,Products!$A$2:$A$501,0)),"CODE NOT FOUND"))</f>
        <v/>
      </c>
      <c r="D1325" s="7"/>
      <c r="E1325" s="13"/>
      <c r="F1325" s="17" t="str">
        <f aca="false">IF(OR(D1325="",E1325=""),"",D1325*E1325)</f>
        <v/>
      </c>
      <c r="G1325" s="7"/>
      <c r="H1325" s="7"/>
    </row>
    <row r="1326" customFormat="false" ht="15" hidden="false" customHeight="true" outlineLevel="0" collapsed="false">
      <c r="A1326" s="15"/>
      <c r="B1326" s="7"/>
      <c r="C1326" s="16" t="str">
        <f aca="false">IF(B1326="","",IFERROR(INDEX(Products!$B$2:$B$501,MATCH(B1326,Products!$A$2:$A$501,0)),"CODE NOT FOUND"))</f>
        <v/>
      </c>
      <c r="D1326" s="7"/>
      <c r="E1326" s="13"/>
      <c r="F1326" s="17" t="str">
        <f aca="false">IF(OR(D1326="",E1326=""),"",D1326*E1326)</f>
        <v/>
      </c>
      <c r="G1326" s="7"/>
      <c r="H1326" s="7"/>
    </row>
    <row r="1327" customFormat="false" ht="15" hidden="false" customHeight="true" outlineLevel="0" collapsed="false">
      <c r="A1327" s="15"/>
      <c r="B1327" s="7"/>
      <c r="C1327" s="16" t="str">
        <f aca="false">IF(B1327="","",IFERROR(INDEX(Products!$B$2:$B$501,MATCH(B1327,Products!$A$2:$A$501,0)),"CODE NOT FOUND"))</f>
        <v/>
      </c>
      <c r="D1327" s="7"/>
      <c r="E1327" s="13"/>
      <c r="F1327" s="17" t="str">
        <f aca="false">IF(OR(D1327="",E1327=""),"",D1327*E1327)</f>
        <v/>
      </c>
      <c r="G1327" s="7"/>
      <c r="H1327" s="7"/>
    </row>
    <row r="1328" customFormat="false" ht="15" hidden="false" customHeight="true" outlineLevel="0" collapsed="false">
      <c r="A1328" s="15"/>
      <c r="B1328" s="7"/>
      <c r="C1328" s="16" t="str">
        <f aca="false">IF(B1328="","",IFERROR(INDEX(Products!$B$2:$B$501,MATCH(B1328,Products!$A$2:$A$501,0)),"CODE NOT FOUND"))</f>
        <v/>
      </c>
      <c r="D1328" s="7"/>
      <c r="E1328" s="13"/>
      <c r="F1328" s="17" t="str">
        <f aca="false">IF(OR(D1328="",E1328=""),"",D1328*E1328)</f>
        <v/>
      </c>
      <c r="G1328" s="7"/>
      <c r="H1328" s="7"/>
    </row>
    <row r="1329" customFormat="false" ht="15" hidden="false" customHeight="true" outlineLevel="0" collapsed="false">
      <c r="A1329" s="15"/>
      <c r="B1329" s="7"/>
      <c r="C1329" s="16" t="str">
        <f aca="false">IF(B1329="","",IFERROR(INDEX(Products!$B$2:$B$501,MATCH(B1329,Products!$A$2:$A$501,0)),"CODE NOT FOUND"))</f>
        <v/>
      </c>
      <c r="D1329" s="7"/>
      <c r="E1329" s="13"/>
      <c r="F1329" s="17" t="str">
        <f aca="false">IF(OR(D1329="",E1329=""),"",D1329*E1329)</f>
        <v/>
      </c>
      <c r="G1329" s="7"/>
      <c r="H1329" s="7"/>
    </row>
    <row r="1330" customFormat="false" ht="15" hidden="false" customHeight="true" outlineLevel="0" collapsed="false">
      <c r="A1330" s="15"/>
      <c r="B1330" s="7"/>
      <c r="C1330" s="16" t="str">
        <f aca="false">IF(B1330="","",IFERROR(INDEX(Products!$B$2:$B$501,MATCH(B1330,Products!$A$2:$A$501,0)),"CODE NOT FOUND"))</f>
        <v/>
      </c>
      <c r="D1330" s="7"/>
      <c r="E1330" s="13"/>
      <c r="F1330" s="17" t="str">
        <f aca="false">IF(OR(D1330="",E1330=""),"",D1330*E1330)</f>
        <v/>
      </c>
      <c r="G1330" s="7"/>
      <c r="H1330" s="7"/>
    </row>
    <row r="1331" customFormat="false" ht="15" hidden="false" customHeight="true" outlineLevel="0" collapsed="false">
      <c r="A1331" s="15"/>
      <c r="B1331" s="7"/>
      <c r="C1331" s="16" t="str">
        <f aca="false">IF(B1331="","",IFERROR(INDEX(Products!$B$2:$B$501,MATCH(B1331,Products!$A$2:$A$501,0)),"CODE NOT FOUND"))</f>
        <v/>
      </c>
      <c r="D1331" s="7"/>
      <c r="E1331" s="13"/>
      <c r="F1331" s="17" t="str">
        <f aca="false">IF(OR(D1331="",E1331=""),"",D1331*E1331)</f>
        <v/>
      </c>
      <c r="G1331" s="7"/>
      <c r="H1331" s="7"/>
    </row>
    <row r="1332" customFormat="false" ht="15" hidden="false" customHeight="true" outlineLevel="0" collapsed="false">
      <c r="A1332" s="15"/>
      <c r="B1332" s="7"/>
      <c r="C1332" s="16" t="str">
        <f aca="false">IF(B1332="","",IFERROR(INDEX(Products!$B$2:$B$501,MATCH(B1332,Products!$A$2:$A$501,0)),"CODE NOT FOUND"))</f>
        <v/>
      </c>
      <c r="D1332" s="7"/>
      <c r="E1332" s="13"/>
      <c r="F1332" s="17" t="str">
        <f aca="false">IF(OR(D1332="",E1332=""),"",D1332*E1332)</f>
        <v/>
      </c>
      <c r="G1332" s="7"/>
      <c r="H1332" s="7"/>
    </row>
    <row r="1333" customFormat="false" ht="15" hidden="false" customHeight="true" outlineLevel="0" collapsed="false">
      <c r="A1333" s="15"/>
      <c r="B1333" s="7"/>
      <c r="C1333" s="16" t="str">
        <f aca="false">IF(B1333="","",IFERROR(INDEX(Products!$B$2:$B$501,MATCH(B1333,Products!$A$2:$A$501,0)),"CODE NOT FOUND"))</f>
        <v/>
      </c>
      <c r="D1333" s="7"/>
      <c r="E1333" s="13"/>
      <c r="F1333" s="17" t="str">
        <f aca="false">IF(OR(D1333="",E1333=""),"",D1333*E1333)</f>
        <v/>
      </c>
      <c r="G1333" s="7"/>
      <c r="H1333" s="7"/>
    </row>
    <row r="1334" customFormat="false" ht="15" hidden="false" customHeight="true" outlineLevel="0" collapsed="false">
      <c r="A1334" s="15"/>
      <c r="B1334" s="7"/>
      <c r="C1334" s="16" t="str">
        <f aca="false">IF(B1334="","",IFERROR(INDEX(Products!$B$2:$B$501,MATCH(B1334,Products!$A$2:$A$501,0)),"CODE NOT FOUND"))</f>
        <v/>
      </c>
      <c r="D1334" s="7"/>
      <c r="E1334" s="13"/>
      <c r="F1334" s="17" t="str">
        <f aca="false">IF(OR(D1334="",E1334=""),"",D1334*E1334)</f>
        <v/>
      </c>
      <c r="G1334" s="7"/>
      <c r="H1334" s="7"/>
    </row>
    <row r="1335" customFormat="false" ht="15" hidden="false" customHeight="true" outlineLevel="0" collapsed="false">
      <c r="A1335" s="15"/>
      <c r="B1335" s="7"/>
      <c r="C1335" s="16" t="str">
        <f aca="false">IF(B1335="","",IFERROR(INDEX(Products!$B$2:$B$501,MATCH(B1335,Products!$A$2:$A$501,0)),"CODE NOT FOUND"))</f>
        <v/>
      </c>
      <c r="D1335" s="7"/>
      <c r="E1335" s="13"/>
      <c r="F1335" s="17" t="str">
        <f aca="false">IF(OR(D1335="",E1335=""),"",D1335*E1335)</f>
        <v/>
      </c>
      <c r="G1335" s="7"/>
      <c r="H1335" s="7"/>
    </row>
    <row r="1336" customFormat="false" ht="15" hidden="false" customHeight="true" outlineLevel="0" collapsed="false">
      <c r="A1336" s="15"/>
      <c r="B1336" s="7"/>
      <c r="C1336" s="16" t="str">
        <f aca="false">IF(B1336="","",IFERROR(INDEX(Products!$B$2:$B$501,MATCH(B1336,Products!$A$2:$A$501,0)),"CODE NOT FOUND"))</f>
        <v/>
      </c>
      <c r="D1336" s="7"/>
      <c r="E1336" s="13"/>
      <c r="F1336" s="17" t="str">
        <f aca="false">IF(OR(D1336="",E1336=""),"",D1336*E1336)</f>
        <v/>
      </c>
      <c r="G1336" s="7"/>
      <c r="H1336" s="7"/>
    </row>
    <row r="1337" customFormat="false" ht="15" hidden="false" customHeight="true" outlineLevel="0" collapsed="false">
      <c r="A1337" s="15"/>
      <c r="B1337" s="7"/>
      <c r="C1337" s="16" t="str">
        <f aca="false">IF(B1337="","",IFERROR(INDEX(Products!$B$2:$B$501,MATCH(B1337,Products!$A$2:$A$501,0)),"CODE NOT FOUND"))</f>
        <v/>
      </c>
      <c r="D1337" s="7"/>
      <c r="E1337" s="13"/>
      <c r="F1337" s="17" t="str">
        <f aca="false">IF(OR(D1337="",E1337=""),"",D1337*E1337)</f>
        <v/>
      </c>
      <c r="G1337" s="7"/>
      <c r="H1337" s="7"/>
    </row>
    <row r="1338" customFormat="false" ht="15" hidden="false" customHeight="true" outlineLevel="0" collapsed="false">
      <c r="A1338" s="15"/>
      <c r="B1338" s="7"/>
      <c r="C1338" s="16" t="str">
        <f aca="false">IF(B1338="","",IFERROR(INDEX(Products!$B$2:$B$501,MATCH(B1338,Products!$A$2:$A$501,0)),"CODE NOT FOUND"))</f>
        <v/>
      </c>
      <c r="D1338" s="7"/>
      <c r="E1338" s="13"/>
      <c r="F1338" s="17" t="str">
        <f aca="false">IF(OR(D1338="",E1338=""),"",D1338*E1338)</f>
        <v/>
      </c>
      <c r="G1338" s="7"/>
      <c r="H1338" s="7"/>
    </row>
    <row r="1339" customFormat="false" ht="15" hidden="false" customHeight="true" outlineLevel="0" collapsed="false">
      <c r="A1339" s="15"/>
      <c r="B1339" s="7"/>
      <c r="C1339" s="16" t="str">
        <f aca="false">IF(B1339="","",IFERROR(INDEX(Products!$B$2:$B$501,MATCH(B1339,Products!$A$2:$A$501,0)),"CODE NOT FOUND"))</f>
        <v/>
      </c>
      <c r="D1339" s="7"/>
      <c r="E1339" s="13"/>
      <c r="F1339" s="17" t="str">
        <f aca="false">IF(OR(D1339="",E1339=""),"",D1339*E1339)</f>
        <v/>
      </c>
      <c r="G1339" s="7"/>
      <c r="H1339" s="7"/>
    </row>
    <row r="1340" customFormat="false" ht="15" hidden="false" customHeight="true" outlineLevel="0" collapsed="false">
      <c r="A1340" s="15"/>
      <c r="B1340" s="7"/>
      <c r="C1340" s="16" t="str">
        <f aca="false">IF(B1340="","",IFERROR(INDEX(Products!$B$2:$B$501,MATCH(B1340,Products!$A$2:$A$501,0)),"CODE NOT FOUND"))</f>
        <v/>
      </c>
      <c r="D1340" s="7"/>
      <c r="E1340" s="13"/>
      <c r="F1340" s="17" t="str">
        <f aca="false">IF(OR(D1340="",E1340=""),"",D1340*E1340)</f>
        <v/>
      </c>
      <c r="G1340" s="7"/>
      <c r="H1340" s="7"/>
    </row>
    <row r="1341" customFormat="false" ht="15" hidden="false" customHeight="true" outlineLevel="0" collapsed="false">
      <c r="A1341" s="15"/>
      <c r="B1341" s="7"/>
      <c r="C1341" s="16" t="str">
        <f aca="false">IF(B1341="","",IFERROR(INDEX(Products!$B$2:$B$501,MATCH(B1341,Products!$A$2:$A$501,0)),"CODE NOT FOUND"))</f>
        <v/>
      </c>
      <c r="D1341" s="7"/>
      <c r="E1341" s="13"/>
      <c r="F1341" s="17" t="str">
        <f aca="false">IF(OR(D1341="",E1341=""),"",D1341*E1341)</f>
        <v/>
      </c>
      <c r="G1341" s="7"/>
      <c r="H1341" s="7"/>
    </row>
    <row r="1342" customFormat="false" ht="15" hidden="false" customHeight="true" outlineLevel="0" collapsed="false">
      <c r="A1342" s="15"/>
      <c r="B1342" s="7"/>
      <c r="C1342" s="16" t="str">
        <f aca="false">IF(B1342="","",IFERROR(INDEX(Products!$B$2:$B$501,MATCH(B1342,Products!$A$2:$A$501,0)),"CODE NOT FOUND"))</f>
        <v/>
      </c>
      <c r="D1342" s="7"/>
      <c r="E1342" s="13"/>
      <c r="F1342" s="17" t="str">
        <f aca="false">IF(OR(D1342="",E1342=""),"",D1342*E1342)</f>
        <v/>
      </c>
      <c r="G1342" s="7"/>
      <c r="H1342" s="7"/>
    </row>
    <row r="1343" customFormat="false" ht="15" hidden="false" customHeight="true" outlineLevel="0" collapsed="false">
      <c r="A1343" s="15"/>
      <c r="B1343" s="7"/>
      <c r="C1343" s="16" t="str">
        <f aca="false">IF(B1343="","",IFERROR(INDEX(Products!$B$2:$B$501,MATCH(B1343,Products!$A$2:$A$501,0)),"CODE NOT FOUND"))</f>
        <v/>
      </c>
      <c r="D1343" s="7"/>
      <c r="E1343" s="13"/>
      <c r="F1343" s="17" t="str">
        <f aca="false">IF(OR(D1343="",E1343=""),"",D1343*E1343)</f>
        <v/>
      </c>
      <c r="G1343" s="7"/>
      <c r="H1343" s="7"/>
    </row>
    <row r="1344" customFormat="false" ht="15" hidden="false" customHeight="true" outlineLevel="0" collapsed="false">
      <c r="A1344" s="15"/>
      <c r="B1344" s="7"/>
      <c r="C1344" s="16" t="str">
        <f aca="false">IF(B1344="","",IFERROR(INDEX(Products!$B$2:$B$501,MATCH(B1344,Products!$A$2:$A$501,0)),"CODE NOT FOUND"))</f>
        <v/>
      </c>
      <c r="D1344" s="7"/>
      <c r="E1344" s="13"/>
      <c r="F1344" s="17" t="str">
        <f aca="false">IF(OR(D1344="",E1344=""),"",D1344*E1344)</f>
        <v/>
      </c>
      <c r="G1344" s="7"/>
      <c r="H1344" s="7"/>
    </row>
    <row r="1345" customFormat="false" ht="15" hidden="false" customHeight="true" outlineLevel="0" collapsed="false">
      <c r="A1345" s="15"/>
      <c r="B1345" s="7"/>
      <c r="C1345" s="16" t="str">
        <f aca="false">IF(B1345="","",IFERROR(INDEX(Products!$B$2:$B$501,MATCH(B1345,Products!$A$2:$A$501,0)),"CODE NOT FOUND"))</f>
        <v/>
      </c>
      <c r="D1345" s="7"/>
      <c r="E1345" s="13"/>
      <c r="F1345" s="17" t="str">
        <f aca="false">IF(OR(D1345="",E1345=""),"",D1345*E1345)</f>
        <v/>
      </c>
      <c r="G1345" s="7"/>
      <c r="H1345" s="7"/>
    </row>
    <row r="1346" customFormat="false" ht="15" hidden="false" customHeight="true" outlineLevel="0" collapsed="false">
      <c r="A1346" s="15"/>
      <c r="B1346" s="7"/>
      <c r="C1346" s="16" t="str">
        <f aca="false">IF(B1346="","",IFERROR(INDEX(Products!$B$2:$B$501,MATCH(B1346,Products!$A$2:$A$501,0)),"CODE NOT FOUND"))</f>
        <v/>
      </c>
      <c r="D1346" s="7"/>
      <c r="E1346" s="13"/>
      <c r="F1346" s="17" t="str">
        <f aca="false">IF(OR(D1346="",E1346=""),"",D1346*E1346)</f>
        <v/>
      </c>
      <c r="G1346" s="7"/>
      <c r="H1346" s="7"/>
    </row>
    <row r="1347" customFormat="false" ht="15" hidden="false" customHeight="true" outlineLevel="0" collapsed="false">
      <c r="A1347" s="15"/>
      <c r="B1347" s="7"/>
      <c r="C1347" s="16" t="str">
        <f aca="false">IF(B1347="","",IFERROR(INDEX(Products!$B$2:$B$501,MATCH(B1347,Products!$A$2:$A$501,0)),"CODE NOT FOUND"))</f>
        <v/>
      </c>
      <c r="D1347" s="7"/>
      <c r="E1347" s="13"/>
      <c r="F1347" s="17" t="str">
        <f aca="false">IF(OR(D1347="",E1347=""),"",D1347*E1347)</f>
        <v/>
      </c>
      <c r="G1347" s="7"/>
      <c r="H1347" s="7"/>
    </row>
    <row r="1348" customFormat="false" ht="15" hidden="false" customHeight="true" outlineLevel="0" collapsed="false">
      <c r="A1348" s="15"/>
      <c r="B1348" s="7"/>
      <c r="C1348" s="16" t="str">
        <f aca="false">IF(B1348="","",IFERROR(INDEX(Products!$B$2:$B$501,MATCH(B1348,Products!$A$2:$A$501,0)),"CODE NOT FOUND"))</f>
        <v/>
      </c>
      <c r="D1348" s="7"/>
      <c r="E1348" s="13"/>
      <c r="F1348" s="17" t="str">
        <f aca="false">IF(OR(D1348="",E1348=""),"",D1348*E1348)</f>
        <v/>
      </c>
      <c r="G1348" s="7"/>
      <c r="H1348" s="7"/>
    </row>
    <row r="1349" customFormat="false" ht="15" hidden="false" customHeight="true" outlineLevel="0" collapsed="false">
      <c r="A1349" s="15"/>
      <c r="B1349" s="7"/>
      <c r="C1349" s="16" t="str">
        <f aca="false">IF(B1349="","",IFERROR(INDEX(Products!$B$2:$B$501,MATCH(B1349,Products!$A$2:$A$501,0)),"CODE NOT FOUND"))</f>
        <v/>
      </c>
      <c r="D1349" s="7"/>
      <c r="E1349" s="13"/>
      <c r="F1349" s="17" t="str">
        <f aca="false">IF(OR(D1349="",E1349=""),"",D1349*E1349)</f>
        <v/>
      </c>
      <c r="G1349" s="7"/>
      <c r="H1349" s="7"/>
    </row>
    <row r="1350" customFormat="false" ht="15" hidden="false" customHeight="true" outlineLevel="0" collapsed="false">
      <c r="A1350" s="15"/>
      <c r="B1350" s="7"/>
      <c r="C1350" s="16" t="str">
        <f aca="false">IF(B1350="","",IFERROR(INDEX(Products!$B$2:$B$501,MATCH(B1350,Products!$A$2:$A$501,0)),"CODE NOT FOUND"))</f>
        <v/>
      </c>
      <c r="D1350" s="7"/>
      <c r="E1350" s="13"/>
      <c r="F1350" s="17" t="str">
        <f aca="false">IF(OR(D1350="",E1350=""),"",D1350*E1350)</f>
        <v/>
      </c>
      <c r="G1350" s="7"/>
      <c r="H1350" s="7"/>
    </row>
    <row r="1351" customFormat="false" ht="15" hidden="false" customHeight="true" outlineLevel="0" collapsed="false">
      <c r="A1351" s="15"/>
      <c r="B1351" s="7"/>
      <c r="C1351" s="16" t="str">
        <f aca="false">IF(B1351="","",IFERROR(INDEX(Products!$B$2:$B$501,MATCH(B1351,Products!$A$2:$A$501,0)),"CODE NOT FOUND"))</f>
        <v/>
      </c>
      <c r="D1351" s="7"/>
      <c r="E1351" s="13"/>
      <c r="F1351" s="17" t="str">
        <f aca="false">IF(OR(D1351="",E1351=""),"",D1351*E1351)</f>
        <v/>
      </c>
      <c r="G1351" s="7"/>
      <c r="H1351" s="7"/>
    </row>
    <row r="1352" customFormat="false" ht="15" hidden="false" customHeight="true" outlineLevel="0" collapsed="false">
      <c r="A1352" s="15"/>
      <c r="B1352" s="7"/>
      <c r="C1352" s="16" t="str">
        <f aca="false">IF(B1352="","",IFERROR(INDEX(Products!$B$2:$B$501,MATCH(B1352,Products!$A$2:$A$501,0)),"CODE NOT FOUND"))</f>
        <v/>
      </c>
      <c r="D1352" s="7"/>
      <c r="E1352" s="13"/>
      <c r="F1352" s="17" t="str">
        <f aca="false">IF(OR(D1352="",E1352=""),"",D1352*E1352)</f>
        <v/>
      </c>
      <c r="G1352" s="7"/>
      <c r="H1352" s="7"/>
    </row>
    <row r="1353" customFormat="false" ht="15" hidden="false" customHeight="true" outlineLevel="0" collapsed="false">
      <c r="A1353" s="15"/>
      <c r="B1353" s="7"/>
      <c r="C1353" s="16" t="str">
        <f aca="false">IF(B1353="","",IFERROR(INDEX(Products!$B$2:$B$501,MATCH(B1353,Products!$A$2:$A$501,0)),"CODE NOT FOUND"))</f>
        <v/>
      </c>
      <c r="D1353" s="7"/>
      <c r="E1353" s="13"/>
      <c r="F1353" s="17" t="str">
        <f aca="false">IF(OR(D1353="",E1353=""),"",D1353*E1353)</f>
        <v/>
      </c>
      <c r="G1353" s="7"/>
      <c r="H1353" s="7"/>
    </row>
    <row r="1354" customFormat="false" ht="15" hidden="false" customHeight="true" outlineLevel="0" collapsed="false">
      <c r="A1354" s="15"/>
      <c r="B1354" s="7"/>
      <c r="C1354" s="16" t="str">
        <f aca="false">IF(B1354="","",IFERROR(INDEX(Products!$B$2:$B$501,MATCH(B1354,Products!$A$2:$A$501,0)),"CODE NOT FOUND"))</f>
        <v/>
      </c>
      <c r="D1354" s="7"/>
      <c r="E1354" s="13"/>
      <c r="F1354" s="17" t="str">
        <f aca="false">IF(OR(D1354="",E1354=""),"",D1354*E1354)</f>
        <v/>
      </c>
      <c r="G1354" s="7"/>
      <c r="H1354" s="7"/>
    </row>
    <row r="1355" customFormat="false" ht="15" hidden="false" customHeight="true" outlineLevel="0" collapsed="false">
      <c r="A1355" s="15"/>
      <c r="B1355" s="7"/>
      <c r="C1355" s="16" t="str">
        <f aca="false">IF(B1355="","",IFERROR(INDEX(Products!$B$2:$B$501,MATCH(B1355,Products!$A$2:$A$501,0)),"CODE NOT FOUND"))</f>
        <v/>
      </c>
      <c r="D1355" s="7"/>
      <c r="E1355" s="13"/>
      <c r="F1355" s="17" t="str">
        <f aca="false">IF(OR(D1355="",E1355=""),"",D1355*E1355)</f>
        <v/>
      </c>
      <c r="G1355" s="7"/>
      <c r="H1355" s="7"/>
    </row>
    <row r="1356" customFormat="false" ht="15" hidden="false" customHeight="true" outlineLevel="0" collapsed="false">
      <c r="A1356" s="15"/>
      <c r="B1356" s="7"/>
      <c r="C1356" s="16" t="str">
        <f aca="false">IF(B1356="","",IFERROR(INDEX(Products!$B$2:$B$501,MATCH(B1356,Products!$A$2:$A$501,0)),"CODE NOT FOUND"))</f>
        <v/>
      </c>
      <c r="D1356" s="7"/>
      <c r="E1356" s="13"/>
      <c r="F1356" s="17" t="str">
        <f aca="false">IF(OR(D1356="",E1356=""),"",D1356*E1356)</f>
        <v/>
      </c>
      <c r="G1356" s="7"/>
      <c r="H1356" s="7"/>
    </row>
    <row r="1357" customFormat="false" ht="15" hidden="false" customHeight="true" outlineLevel="0" collapsed="false">
      <c r="A1357" s="15"/>
      <c r="B1357" s="7"/>
      <c r="C1357" s="16" t="str">
        <f aca="false">IF(B1357="","",IFERROR(INDEX(Products!$B$2:$B$501,MATCH(B1357,Products!$A$2:$A$501,0)),"CODE NOT FOUND"))</f>
        <v/>
      </c>
      <c r="D1357" s="7"/>
      <c r="E1357" s="13"/>
      <c r="F1357" s="17" t="str">
        <f aca="false">IF(OR(D1357="",E1357=""),"",D1357*E1357)</f>
        <v/>
      </c>
      <c r="G1357" s="7"/>
      <c r="H1357" s="7"/>
    </row>
    <row r="1358" customFormat="false" ht="15" hidden="false" customHeight="true" outlineLevel="0" collapsed="false">
      <c r="A1358" s="15"/>
      <c r="B1358" s="7"/>
      <c r="C1358" s="16" t="str">
        <f aca="false">IF(B1358="","",IFERROR(INDEX(Products!$B$2:$B$501,MATCH(B1358,Products!$A$2:$A$501,0)),"CODE NOT FOUND"))</f>
        <v/>
      </c>
      <c r="D1358" s="7"/>
      <c r="E1358" s="13"/>
      <c r="F1358" s="17" t="str">
        <f aca="false">IF(OR(D1358="",E1358=""),"",D1358*E1358)</f>
        <v/>
      </c>
      <c r="G1358" s="7"/>
      <c r="H1358" s="7"/>
    </row>
    <row r="1359" customFormat="false" ht="15" hidden="false" customHeight="true" outlineLevel="0" collapsed="false">
      <c r="A1359" s="15"/>
      <c r="B1359" s="7"/>
      <c r="C1359" s="16" t="str">
        <f aca="false">IF(B1359="","",IFERROR(INDEX(Products!$B$2:$B$501,MATCH(B1359,Products!$A$2:$A$501,0)),"CODE NOT FOUND"))</f>
        <v/>
      </c>
      <c r="D1359" s="7"/>
      <c r="E1359" s="13"/>
      <c r="F1359" s="17" t="str">
        <f aca="false">IF(OR(D1359="",E1359=""),"",D1359*E1359)</f>
        <v/>
      </c>
      <c r="G1359" s="7"/>
      <c r="H1359" s="7"/>
    </row>
    <row r="1360" customFormat="false" ht="15" hidden="false" customHeight="true" outlineLevel="0" collapsed="false">
      <c r="A1360" s="15"/>
      <c r="B1360" s="7"/>
      <c r="C1360" s="16" t="str">
        <f aca="false">IF(B1360="","",IFERROR(INDEX(Products!$B$2:$B$501,MATCH(B1360,Products!$A$2:$A$501,0)),"CODE NOT FOUND"))</f>
        <v/>
      </c>
      <c r="D1360" s="7"/>
      <c r="E1360" s="13"/>
      <c r="F1360" s="17" t="str">
        <f aca="false">IF(OR(D1360="",E1360=""),"",D1360*E1360)</f>
        <v/>
      </c>
      <c r="G1360" s="7"/>
      <c r="H1360" s="7"/>
    </row>
    <row r="1361" customFormat="false" ht="15" hidden="false" customHeight="true" outlineLevel="0" collapsed="false">
      <c r="A1361" s="15"/>
      <c r="B1361" s="7"/>
      <c r="C1361" s="16" t="str">
        <f aca="false">IF(B1361="","",IFERROR(INDEX(Products!$B$2:$B$501,MATCH(B1361,Products!$A$2:$A$501,0)),"CODE NOT FOUND"))</f>
        <v/>
      </c>
      <c r="D1361" s="7"/>
      <c r="E1361" s="13"/>
      <c r="F1361" s="17" t="str">
        <f aca="false">IF(OR(D1361="",E1361=""),"",D1361*E1361)</f>
        <v/>
      </c>
      <c r="G1361" s="7"/>
      <c r="H1361" s="7"/>
    </row>
    <row r="1362" customFormat="false" ht="15" hidden="false" customHeight="true" outlineLevel="0" collapsed="false">
      <c r="A1362" s="15"/>
      <c r="B1362" s="7"/>
      <c r="C1362" s="16" t="str">
        <f aca="false">IF(B1362="","",IFERROR(INDEX(Products!$B$2:$B$501,MATCH(B1362,Products!$A$2:$A$501,0)),"CODE NOT FOUND"))</f>
        <v/>
      </c>
      <c r="D1362" s="7"/>
      <c r="E1362" s="13"/>
      <c r="F1362" s="17" t="str">
        <f aca="false">IF(OR(D1362="",E1362=""),"",D1362*E1362)</f>
        <v/>
      </c>
      <c r="G1362" s="7"/>
      <c r="H1362" s="7"/>
    </row>
    <row r="1363" customFormat="false" ht="15" hidden="false" customHeight="true" outlineLevel="0" collapsed="false">
      <c r="A1363" s="15"/>
      <c r="B1363" s="7"/>
      <c r="C1363" s="16" t="str">
        <f aca="false">IF(B1363="","",IFERROR(INDEX(Products!$B$2:$B$501,MATCH(B1363,Products!$A$2:$A$501,0)),"CODE NOT FOUND"))</f>
        <v/>
      </c>
      <c r="D1363" s="7"/>
      <c r="E1363" s="13"/>
      <c r="F1363" s="17" t="str">
        <f aca="false">IF(OR(D1363="",E1363=""),"",D1363*E1363)</f>
        <v/>
      </c>
      <c r="G1363" s="7"/>
      <c r="H1363" s="7"/>
    </row>
    <row r="1364" customFormat="false" ht="15" hidden="false" customHeight="true" outlineLevel="0" collapsed="false">
      <c r="A1364" s="15"/>
      <c r="B1364" s="7"/>
      <c r="C1364" s="16" t="str">
        <f aca="false">IF(B1364="","",IFERROR(INDEX(Products!$B$2:$B$501,MATCH(B1364,Products!$A$2:$A$501,0)),"CODE NOT FOUND"))</f>
        <v/>
      </c>
      <c r="D1364" s="7"/>
      <c r="E1364" s="13"/>
      <c r="F1364" s="17" t="str">
        <f aca="false">IF(OR(D1364="",E1364=""),"",D1364*E1364)</f>
        <v/>
      </c>
      <c r="G1364" s="7"/>
      <c r="H1364" s="7"/>
    </row>
    <row r="1365" customFormat="false" ht="15" hidden="false" customHeight="true" outlineLevel="0" collapsed="false">
      <c r="A1365" s="15"/>
      <c r="B1365" s="7"/>
      <c r="C1365" s="16" t="str">
        <f aca="false">IF(B1365="","",IFERROR(INDEX(Products!$B$2:$B$501,MATCH(B1365,Products!$A$2:$A$501,0)),"CODE NOT FOUND"))</f>
        <v/>
      </c>
      <c r="D1365" s="7"/>
      <c r="E1365" s="13"/>
      <c r="F1365" s="17" t="str">
        <f aca="false">IF(OR(D1365="",E1365=""),"",D1365*E1365)</f>
        <v/>
      </c>
      <c r="G1365" s="7"/>
      <c r="H1365" s="7"/>
    </row>
    <row r="1366" customFormat="false" ht="15" hidden="false" customHeight="true" outlineLevel="0" collapsed="false">
      <c r="A1366" s="15"/>
      <c r="B1366" s="7"/>
      <c r="C1366" s="16" t="str">
        <f aca="false">IF(B1366="","",IFERROR(INDEX(Products!$B$2:$B$501,MATCH(B1366,Products!$A$2:$A$501,0)),"CODE NOT FOUND"))</f>
        <v/>
      </c>
      <c r="D1366" s="7"/>
      <c r="E1366" s="13"/>
      <c r="F1366" s="17" t="str">
        <f aca="false">IF(OR(D1366="",E1366=""),"",D1366*E1366)</f>
        <v/>
      </c>
      <c r="G1366" s="7"/>
      <c r="H1366" s="7"/>
    </row>
    <row r="1367" customFormat="false" ht="15" hidden="false" customHeight="true" outlineLevel="0" collapsed="false">
      <c r="A1367" s="15"/>
      <c r="B1367" s="7"/>
      <c r="C1367" s="16" t="str">
        <f aca="false">IF(B1367="","",IFERROR(INDEX(Products!$B$2:$B$501,MATCH(B1367,Products!$A$2:$A$501,0)),"CODE NOT FOUND"))</f>
        <v/>
      </c>
      <c r="D1367" s="7"/>
      <c r="E1367" s="13"/>
      <c r="F1367" s="17" t="str">
        <f aca="false">IF(OR(D1367="",E1367=""),"",D1367*E1367)</f>
        <v/>
      </c>
      <c r="G1367" s="7"/>
      <c r="H1367" s="7"/>
    </row>
    <row r="1368" customFormat="false" ht="15" hidden="false" customHeight="true" outlineLevel="0" collapsed="false">
      <c r="A1368" s="15"/>
      <c r="B1368" s="7"/>
      <c r="C1368" s="16" t="str">
        <f aca="false">IF(B1368="","",IFERROR(INDEX(Products!$B$2:$B$501,MATCH(B1368,Products!$A$2:$A$501,0)),"CODE NOT FOUND"))</f>
        <v/>
      </c>
      <c r="D1368" s="7"/>
      <c r="E1368" s="13"/>
      <c r="F1368" s="17" t="str">
        <f aca="false">IF(OR(D1368="",E1368=""),"",D1368*E1368)</f>
        <v/>
      </c>
      <c r="G1368" s="7"/>
      <c r="H1368" s="7"/>
    </row>
    <row r="1369" customFormat="false" ht="15" hidden="false" customHeight="true" outlineLevel="0" collapsed="false">
      <c r="A1369" s="15"/>
      <c r="B1369" s="7"/>
      <c r="C1369" s="16" t="str">
        <f aca="false">IF(B1369="","",IFERROR(INDEX(Products!$B$2:$B$501,MATCH(B1369,Products!$A$2:$A$501,0)),"CODE NOT FOUND"))</f>
        <v/>
      </c>
      <c r="D1369" s="7"/>
      <c r="E1369" s="13"/>
      <c r="F1369" s="17" t="str">
        <f aca="false">IF(OR(D1369="",E1369=""),"",D1369*E1369)</f>
        <v/>
      </c>
      <c r="G1369" s="7"/>
      <c r="H1369" s="7"/>
    </row>
    <row r="1370" customFormat="false" ht="15" hidden="false" customHeight="true" outlineLevel="0" collapsed="false">
      <c r="A1370" s="15"/>
      <c r="B1370" s="7"/>
      <c r="C1370" s="16" t="str">
        <f aca="false">IF(B1370="","",IFERROR(INDEX(Products!$B$2:$B$501,MATCH(B1370,Products!$A$2:$A$501,0)),"CODE NOT FOUND"))</f>
        <v/>
      </c>
      <c r="D1370" s="7"/>
      <c r="E1370" s="13"/>
      <c r="F1370" s="17" t="str">
        <f aca="false">IF(OR(D1370="",E1370=""),"",D1370*E1370)</f>
        <v/>
      </c>
      <c r="G1370" s="7"/>
      <c r="H1370" s="7"/>
    </row>
    <row r="1371" customFormat="false" ht="15" hidden="false" customHeight="true" outlineLevel="0" collapsed="false">
      <c r="A1371" s="15"/>
      <c r="B1371" s="7"/>
      <c r="C1371" s="16" t="str">
        <f aca="false">IF(B1371="","",IFERROR(INDEX(Products!$B$2:$B$501,MATCH(B1371,Products!$A$2:$A$501,0)),"CODE NOT FOUND"))</f>
        <v/>
      </c>
      <c r="D1371" s="7"/>
      <c r="E1371" s="13"/>
      <c r="F1371" s="17" t="str">
        <f aca="false">IF(OR(D1371="",E1371=""),"",D1371*E1371)</f>
        <v/>
      </c>
      <c r="G1371" s="7"/>
      <c r="H1371" s="7"/>
    </row>
    <row r="1372" customFormat="false" ht="15" hidden="false" customHeight="true" outlineLevel="0" collapsed="false">
      <c r="A1372" s="15"/>
      <c r="B1372" s="7"/>
      <c r="C1372" s="16" t="str">
        <f aca="false">IF(B1372="","",IFERROR(INDEX(Products!$B$2:$B$501,MATCH(B1372,Products!$A$2:$A$501,0)),"CODE NOT FOUND"))</f>
        <v/>
      </c>
      <c r="D1372" s="7"/>
      <c r="E1372" s="13"/>
      <c r="F1372" s="17" t="str">
        <f aca="false">IF(OR(D1372="",E1372=""),"",D1372*E1372)</f>
        <v/>
      </c>
      <c r="G1372" s="7"/>
      <c r="H1372" s="7"/>
    </row>
    <row r="1373" customFormat="false" ht="15" hidden="false" customHeight="true" outlineLevel="0" collapsed="false">
      <c r="A1373" s="15"/>
      <c r="B1373" s="7"/>
      <c r="C1373" s="16" t="str">
        <f aca="false">IF(B1373="","",IFERROR(INDEX(Products!$B$2:$B$501,MATCH(B1373,Products!$A$2:$A$501,0)),"CODE NOT FOUND"))</f>
        <v/>
      </c>
      <c r="D1373" s="7"/>
      <c r="E1373" s="13"/>
      <c r="F1373" s="17" t="str">
        <f aca="false">IF(OR(D1373="",E1373=""),"",D1373*E1373)</f>
        <v/>
      </c>
      <c r="G1373" s="7"/>
      <c r="H1373" s="7"/>
    </row>
    <row r="1374" customFormat="false" ht="15" hidden="false" customHeight="true" outlineLevel="0" collapsed="false">
      <c r="A1374" s="15"/>
      <c r="B1374" s="7"/>
      <c r="C1374" s="16" t="str">
        <f aca="false">IF(B1374="","",IFERROR(INDEX(Products!$B$2:$B$501,MATCH(B1374,Products!$A$2:$A$501,0)),"CODE NOT FOUND"))</f>
        <v/>
      </c>
      <c r="D1374" s="7"/>
      <c r="E1374" s="13"/>
      <c r="F1374" s="17" t="str">
        <f aca="false">IF(OR(D1374="",E1374=""),"",D1374*E1374)</f>
        <v/>
      </c>
      <c r="G1374" s="7"/>
      <c r="H1374" s="7"/>
    </row>
    <row r="1375" customFormat="false" ht="15" hidden="false" customHeight="true" outlineLevel="0" collapsed="false">
      <c r="A1375" s="15"/>
      <c r="B1375" s="7"/>
      <c r="C1375" s="16" t="str">
        <f aca="false">IF(B1375="","",IFERROR(INDEX(Products!$B$2:$B$501,MATCH(B1375,Products!$A$2:$A$501,0)),"CODE NOT FOUND"))</f>
        <v/>
      </c>
      <c r="D1375" s="7"/>
      <c r="E1375" s="13"/>
      <c r="F1375" s="17" t="str">
        <f aca="false">IF(OR(D1375="",E1375=""),"",D1375*E1375)</f>
        <v/>
      </c>
      <c r="G1375" s="7"/>
      <c r="H1375" s="7"/>
    </row>
    <row r="1376" customFormat="false" ht="15" hidden="false" customHeight="true" outlineLevel="0" collapsed="false">
      <c r="A1376" s="15"/>
      <c r="B1376" s="7"/>
      <c r="C1376" s="16" t="str">
        <f aca="false">IF(B1376="","",IFERROR(INDEX(Products!$B$2:$B$501,MATCH(B1376,Products!$A$2:$A$501,0)),"CODE NOT FOUND"))</f>
        <v/>
      </c>
      <c r="D1376" s="7"/>
      <c r="E1376" s="13"/>
      <c r="F1376" s="17" t="str">
        <f aca="false">IF(OR(D1376="",E1376=""),"",D1376*E1376)</f>
        <v/>
      </c>
      <c r="G1376" s="7"/>
      <c r="H1376" s="7"/>
    </row>
    <row r="1377" customFormat="false" ht="15" hidden="false" customHeight="true" outlineLevel="0" collapsed="false">
      <c r="A1377" s="15"/>
      <c r="B1377" s="7"/>
      <c r="C1377" s="16" t="str">
        <f aca="false">IF(B1377="","",IFERROR(INDEX(Products!$B$2:$B$501,MATCH(B1377,Products!$A$2:$A$501,0)),"CODE NOT FOUND"))</f>
        <v/>
      </c>
      <c r="D1377" s="7"/>
      <c r="E1377" s="13"/>
      <c r="F1377" s="17" t="str">
        <f aca="false">IF(OR(D1377="",E1377=""),"",D1377*E1377)</f>
        <v/>
      </c>
      <c r="G1377" s="7"/>
      <c r="H1377" s="7"/>
    </row>
    <row r="1378" customFormat="false" ht="15" hidden="false" customHeight="true" outlineLevel="0" collapsed="false">
      <c r="A1378" s="15"/>
      <c r="B1378" s="7"/>
      <c r="C1378" s="16" t="str">
        <f aca="false">IF(B1378="","",IFERROR(INDEX(Products!$B$2:$B$501,MATCH(B1378,Products!$A$2:$A$501,0)),"CODE NOT FOUND"))</f>
        <v/>
      </c>
      <c r="D1378" s="7"/>
      <c r="E1378" s="13"/>
      <c r="F1378" s="17" t="str">
        <f aca="false">IF(OR(D1378="",E1378=""),"",D1378*E1378)</f>
        <v/>
      </c>
      <c r="G1378" s="7"/>
      <c r="H1378" s="7"/>
    </row>
    <row r="1379" customFormat="false" ht="15" hidden="false" customHeight="true" outlineLevel="0" collapsed="false">
      <c r="A1379" s="15"/>
      <c r="B1379" s="7"/>
      <c r="C1379" s="16" t="str">
        <f aca="false">IF(B1379="","",IFERROR(INDEX(Products!$B$2:$B$501,MATCH(B1379,Products!$A$2:$A$501,0)),"CODE NOT FOUND"))</f>
        <v/>
      </c>
      <c r="D1379" s="7"/>
      <c r="E1379" s="13"/>
      <c r="F1379" s="17" t="str">
        <f aca="false">IF(OR(D1379="",E1379=""),"",D1379*E1379)</f>
        <v/>
      </c>
      <c r="G1379" s="7"/>
      <c r="H1379" s="7"/>
    </row>
    <row r="1380" customFormat="false" ht="15" hidden="false" customHeight="true" outlineLevel="0" collapsed="false">
      <c r="A1380" s="15"/>
      <c r="B1380" s="7"/>
      <c r="C1380" s="16" t="str">
        <f aca="false">IF(B1380="","",IFERROR(INDEX(Products!$B$2:$B$501,MATCH(B1380,Products!$A$2:$A$501,0)),"CODE NOT FOUND"))</f>
        <v/>
      </c>
      <c r="D1380" s="7"/>
      <c r="E1380" s="13"/>
      <c r="F1380" s="17" t="str">
        <f aca="false">IF(OR(D1380="",E1380=""),"",D1380*E1380)</f>
        <v/>
      </c>
      <c r="G1380" s="7"/>
      <c r="H1380" s="7"/>
    </row>
    <row r="1381" customFormat="false" ht="15" hidden="false" customHeight="true" outlineLevel="0" collapsed="false">
      <c r="A1381" s="15"/>
      <c r="B1381" s="7"/>
      <c r="C1381" s="16" t="str">
        <f aca="false">IF(B1381="","",IFERROR(INDEX(Products!$B$2:$B$501,MATCH(B1381,Products!$A$2:$A$501,0)),"CODE NOT FOUND"))</f>
        <v/>
      </c>
      <c r="D1381" s="7"/>
      <c r="E1381" s="13"/>
      <c r="F1381" s="17" t="str">
        <f aca="false">IF(OR(D1381="",E1381=""),"",D1381*E1381)</f>
        <v/>
      </c>
      <c r="G1381" s="7"/>
      <c r="H1381" s="7"/>
    </row>
    <row r="1382" customFormat="false" ht="15" hidden="false" customHeight="true" outlineLevel="0" collapsed="false">
      <c r="A1382" s="15"/>
      <c r="B1382" s="7"/>
      <c r="C1382" s="16" t="str">
        <f aca="false">IF(B1382="","",IFERROR(INDEX(Products!$B$2:$B$501,MATCH(B1382,Products!$A$2:$A$501,0)),"CODE NOT FOUND"))</f>
        <v/>
      </c>
      <c r="D1382" s="7"/>
      <c r="E1382" s="13"/>
      <c r="F1382" s="17" t="str">
        <f aca="false">IF(OR(D1382="",E1382=""),"",D1382*E1382)</f>
        <v/>
      </c>
      <c r="G1382" s="7"/>
      <c r="H1382" s="7"/>
    </row>
    <row r="1383" customFormat="false" ht="15" hidden="false" customHeight="true" outlineLevel="0" collapsed="false">
      <c r="A1383" s="15"/>
      <c r="B1383" s="7"/>
      <c r="C1383" s="16" t="str">
        <f aca="false">IF(B1383="","",IFERROR(INDEX(Products!$B$2:$B$501,MATCH(B1383,Products!$A$2:$A$501,0)),"CODE NOT FOUND"))</f>
        <v/>
      </c>
      <c r="D1383" s="7"/>
      <c r="E1383" s="13"/>
      <c r="F1383" s="17" t="str">
        <f aca="false">IF(OR(D1383="",E1383=""),"",D1383*E1383)</f>
        <v/>
      </c>
      <c r="G1383" s="7"/>
      <c r="H1383" s="7"/>
    </row>
    <row r="1384" customFormat="false" ht="15" hidden="false" customHeight="true" outlineLevel="0" collapsed="false">
      <c r="A1384" s="15"/>
      <c r="B1384" s="7"/>
      <c r="C1384" s="16" t="str">
        <f aca="false">IF(B1384="","",IFERROR(INDEX(Products!$B$2:$B$501,MATCH(B1384,Products!$A$2:$A$501,0)),"CODE NOT FOUND"))</f>
        <v/>
      </c>
      <c r="D1384" s="7"/>
      <c r="E1384" s="13"/>
      <c r="F1384" s="17" t="str">
        <f aca="false">IF(OR(D1384="",E1384=""),"",D1384*E1384)</f>
        <v/>
      </c>
      <c r="G1384" s="7"/>
      <c r="H1384" s="7"/>
    </row>
    <row r="1385" customFormat="false" ht="15" hidden="false" customHeight="true" outlineLevel="0" collapsed="false">
      <c r="A1385" s="15"/>
      <c r="B1385" s="7"/>
      <c r="C1385" s="16" t="str">
        <f aca="false">IF(B1385="","",IFERROR(INDEX(Products!$B$2:$B$501,MATCH(B1385,Products!$A$2:$A$501,0)),"CODE NOT FOUND"))</f>
        <v/>
      </c>
      <c r="D1385" s="7"/>
      <c r="E1385" s="13"/>
      <c r="F1385" s="17" t="str">
        <f aca="false">IF(OR(D1385="",E1385=""),"",D1385*E1385)</f>
        <v/>
      </c>
      <c r="G1385" s="7"/>
      <c r="H1385" s="7"/>
    </row>
    <row r="1386" customFormat="false" ht="15" hidden="false" customHeight="true" outlineLevel="0" collapsed="false">
      <c r="A1386" s="15"/>
      <c r="B1386" s="7"/>
      <c r="C1386" s="16" t="str">
        <f aca="false">IF(B1386="","",IFERROR(INDEX(Products!$B$2:$B$501,MATCH(B1386,Products!$A$2:$A$501,0)),"CODE NOT FOUND"))</f>
        <v/>
      </c>
      <c r="D1386" s="7"/>
      <c r="E1386" s="13"/>
      <c r="F1386" s="17" t="str">
        <f aca="false">IF(OR(D1386="",E1386=""),"",D1386*E1386)</f>
        <v/>
      </c>
      <c r="G1386" s="7"/>
      <c r="H1386" s="7"/>
    </row>
    <row r="1387" customFormat="false" ht="15" hidden="false" customHeight="true" outlineLevel="0" collapsed="false">
      <c r="A1387" s="15"/>
      <c r="B1387" s="7"/>
      <c r="C1387" s="16" t="str">
        <f aca="false">IF(B1387="","",IFERROR(INDEX(Products!$B$2:$B$501,MATCH(B1387,Products!$A$2:$A$501,0)),"CODE NOT FOUND"))</f>
        <v/>
      </c>
      <c r="D1387" s="7"/>
      <c r="E1387" s="13"/>
      <c r="F1387" s="17" t="str">
        <f aca="false">IF(OR(D1387="",E1387=""),"",D1387*E1387)</f>
        <v/>
      </c>
      <c r="G1387" s="7"/>
      <c r="H1387" s="7"/>
    </row>
    <row r="1388" customFormat="false" ht="15" hidden="false" customHeight="true" outlineLevel="0" collapsed="false">
      <c r="A1388" s="15"/>
      <c r="B1388" s="7"/>
      <c r="C1388" s="16" t="str">
        <f aca="false">IF(B1388="","",IFERROR(INDEX(Products!$B$2:$B$501,MATCH(B1388,Products!$A$2:$A$501,0)),"CODE NOT FOUND"))</f>
        <v/>
      </c>
      <c r="D1388" s="7"/>
      <c r="E1388" s="13"/>
      <c r="F1388" s="17" t="str">
        <f aca="false">IF(OR(D1388="",E1388=""),"",D1388*E1388)</f>
        <v/>
      </c>
      <c r="G1388" s="7"/>
      <c r="H1388" s="7"/>
    </row>
    <row r="1389" customFormat="false" ht="15" hidden="false" customHeight="true" outlineLevel="0" collapsed="false">
      <c r="A1389" s="15"/>
      <c r="B1389" s="7"/>
      <c r="C1389" s="16" t="str">
        <f aca="false">IF(B1389="","",IFERROR(INDEX(Products!$B$2:$B$501,MATCH(B1389,Products!$A$2:$A$501,0)),"CODE NOT FOUND"))</f>
        <v/>
      </c>
      <c r="D1389" s="7"/>
      <c r="E1389" s="13"/>
      <c r="F1389" s="17" t="str">
        <f aca="false">IF(OR(D1389="",E1389=""),"",D1389*E1389)</f>
        <v/>
      </c>
      <c r="G1389" s="7"/>
      <c r="H1389" s="7"/>
    </row>
    <row r="1390" customFormat="false" ht="15" hidden="false" customHeight="true" outlineLevel="0" collapsed="false">
      <c r="A1390" s="15"/>
      <c r="B1390" s="7"/>
      <c r="C1390" s="16" t="str">
        <f aca="false">IF(B1390="","",IFERROR(INDEX(Products!$B$2:$B$501,MATCH(B1390,Products!$A$2:$A$501,0)),"CODE NOT FOUND"))</f>
        <v/>
      </c>
      <c r="D1390" s="7"/>
      <c r="E1390" s="13"/>
      <c r="F1390" s="17" t="str">
        <f aca="false">IF(OR(D1390="",E1390=""),"",D1390*E1390)</f>
        <v/>
      </c>
      <c r="G1390" s="7"/>
      <c r="H1390" s="7"/>
    </row>
    <row r="1391" customFormat="false" ht="15" hidden="false" customHeight="true" outlineLevel="0" collapsed="false">
      <c r="A1391" s="15"/>
      <c r="B1391" s="7"/>
      <c r="C1391" s="16" t="str">
        <f aca="false">IF(B1391="","",IFERROR(INDEX(Products!$B$2:$B$501,MATCH(B1391,Products!$A$2:$A$501,0)),"CODE NOT FOUND"))</f>
        <v/>
      </c>
      <c r="D1391" s="7"/>
      <c r="E1391" s="13"/>
      <c r="F1391" s="17" t="str">
        <f aca="false">IF(OR(D1391="",E1391=""),"",D1391*E1391)</f>
        <v/>
      </c>
      <c r="G1391" s="7"/>
      <c r="H1391" s="7"/>
    </row>
    <row r="1392" customFormat="false" ht="15" hidden="false" customHeight="true" outlineLevel="0" collapsed="false">
      <c r="A1392" s="15"/>
      <c r="B1392" s="7"/>
      <c r="C1392" s="16" t="str">
        <f aca="false">IF(B1392="","",IFERROR(INDEX(Products!$B$2:$B$501,MATCH(B1392,Products!$A$2:$A$501,0)),"CODE NOT FOUND"))</f>
        <v/>
      </c>
      <c r="D1392" s="7"/>
      <c r="E1392" s="13"/>
      <c r="F1392" s="17" t="str">
        <f aca="false">IF(OR(D1392="",E1392=""),"",D1392*E1392)</f>
        <v/>
      </c>
      <c r="G1392" s="7"/>
      <c r="H1392" s="7"/>
    </row>
    <row r="1393" customFormat="false" ht="15" hidden="false" customHeight="true" outlineLevel="0" collapsed="false">
      <c r="A1393" s="15"/>
      <c r="B1393" s="7"/>
      <c r="C1393" s="16" t="str">
        <f aca="false">IF(B1393="","",IFERROR(INDEX(Products!$B$2:$B$501,MATCH(B1393,Products!$A$2:$A$501,0)),"CODE NOT FOUND"))</f>
        <v/>
      </c>
      <c r="D1393" s="7"/>
      <c r="E1393" s="13"/>
      <c r="F1393" s="17" t="str">
        <f aca="false">IF(OR(D1393="",E1393=""),"",D1393*E1393)</f>
        <v/>
      </c>
      <c r="G1393" s="7"/>
      <c r="H1393" s="7"/>
    </row>
    <row r="1394" customFormat="false" ht="15" hidden="false" customHeight="true" outlineLevel="0" collapsed="false">
      <c r="A1394" s="15"/>
      <c r="B1394" s="7"/>
      <c r="C1394" s="16" t="str">
        <f aca="false">IF(B1394="","",IFERROR(INDEX(Products!$B$2:$B$501,MATCH(B1394,Products!$A$2:$A$501,0)),"CODE NOT FOUND"))</f>
        <v/>
      </c>
      <c r="D1394" s="7"/>
      <c r="E1394" s="13"/>
      <c r="F1394" s="17" t="str">
        <f aca="false">IF(OR(D1394="",E1394=""),"",D1394*E1394)</f>
        <v/>
      </c>
      <c r="G1394" s="7"/>
      <c r="H1394" s="7"/>
    </row>
    <row r="1395" customFormat="false" ht="15" hidden="false" customHeight="true" outlineLevel="0" collapsed="false">
      <c r="A1395" s="15"/>
      <c r="B1395" s="7"/>
      <c r="C1395" s="16" t="str">
        <f aca="false">IF(B1395="","",IFERROR(INDEX(Products!$B$2:$B$501,MATCH(B1395,Products!$A$2:$A$501,0)),"CODE NOT FOUND"))</f>
        <v/>
      </c>
      <c r="D1395" s="7"/>
      <c r="E1395" s="13"/>
      <c r="F1395" s="17" t="str">
        <f aca="false">IF(OR(D1395="",E1395=""),"",D1395*E1395)</f>
        <v/>
      </c>
      <c r="G1395" s="7"/>
      <c r="H1395" s="7"/>
    </row>
    <row r="1396" customFormat="false" ht="15" hidden="false" customHeight="true" outlineLevel="0" collapsed="false">
      <c r="A1396" s="15"/>
      <c r="B1396" s="7"/>
      <c r="C1396" s="16" t="str">
        <f aca="false">IF(B1396="","",IFERROR(INDEX(Products!$B$2:$B$501,MATCH(B1396,Products!$A$2:$A$501,0)),"CODE NOT FOUND"))</f>
        <v/>
      </c>
      <c r="D1396" s="7"/>
      <c r="E1396" s="13"/>
      <c r="F1396" s="17" t="str">
        <f aca="false">IF(OR(D1396="",E1396=""),"",D1396*E1396)</f>
        <v/>
      </c>
      <c r="G1396" s="7"/>
      <c r="H1396" s="7"/>
    </row>
    <row r="1397" customFormat="false" ht="15" hidden="false" customHeight="true" outlineLevel="0" collapsed="false">
      <c r="A1397" s="15"/>
      <c r="B1397" s="7"/>
      <c r="C1397" s="16" t="str">
        <f aca="false">IF(B1397="","",IFERROR(INDEX(Products!$B$2:$B$501,MATCH(B1397,Products!$A$2:$A$501,0)),"CODE NOT FOUND"))</f>
        <v/>
      </c>
      <c r="D1397" s="7"/>
      <c r="E1397" s="13"/>
      <c r="F1397" s="17" t="str">
        <f aca="false">IF(OR(D1397="",E1397=""),"",D1397*E1397)</f>
        <v/>
      </c>
      <c r="G1397" s="7"/>
      <c r="H1397" s="7"/>
    </row>
    <row r="1398" customFormat="false" ht="15" hidden="false" customHeight="true" outlineLevel="0" collapsed="false">
      <c r="A1398" s="15"/>
      <c r="B1398" s="7"/>
      <c r="C1398" s="16" t="str">
        <f aca="false">IF(B1398="","",IFERROR(INDEX(Products!$B$2:$B$501,MATCH(B1398,Products!$A$2:$A$501,0)),"CODE NOT FOUND"))</f>
        <v/>
      </c>
      <c r="D1398" s="7"/>
      <c r="E1398" s="13"/>
      <c r="F1398" s="17" t="str">
        <f aca="false">IF(OR(D1398="",E1398=""),"",D1398*E1398)</f>
        <v/>
      </c>
      <c r="G1398" s="7"/>
      <c r="H1398" s="7"/>
    </row>
    <row r="1399" customFormat="false" ht="15" hidden="false" customHeight="true" outlineLevel="0" collapsed="false">
      <c r="A1399" s="15"/>
      <c r="B1399" s="7"/>
      <c r="C1399" s="16" t="str">
        <f aca="false">IF(B1399="","",IFERROR(INDEX(Products!$B$2:$B$501,MATCH(B1399,Products!$A$2:$A$501,0)),"CODE NOT FOUND"))</f>
        <v/>
      </c>
      <c r="D1399" s="7"/>
      <c r="E1399" s="13"/>
      <c r="F1399" s="17" t="str">
        <f aca="false">IF(OR(D1399="",E1399=""),"",D1399*E1399)</f>
        <v/>
      </c>
      <c r="G1399" s="7"/>
      <c r="H1399" s="7"/>
    </row>
    <row r="1400" customFormat="false" ht="15" hidden="false" customHeight="true" outlineLevel="0" collapsed="false">
      <c r="A1400" s="15"/>
      <c r="B1400" s="7"/>
      <c r="C1400" s="16" t="str">
        <f aca="false">IF(B1400="","",IFERROR(INDEX(Products!$B$2:$B$501,MATCH(B1400,Products!$A$2:$A$501,0)),"CODE NOT FOUND"))</f>
        <v/>
      </c>
      <c r="D1400" s="7"/>
      <c r="E1400" s="13"/>
      <c r="F1400" s="17" t="str">
        <f aca="false">IF(OR(D1400="",E1400=""),"",D1400*E1400)</f>
        <v/>
      </c>
      <c r="G1400" s="7"/>
      <c r="H1400" s="7"/>
    </row>
    <row r="1401" customFormat="false" ht="15" hidden="false" customHeight="true" outlineLevel="0" collapsed="false">
      <c r="A1401" s="15"/>
      <c r="B1401" s="7"/>
      <c r="C1401" s="16" t="str">
        <f aca="false">IF(B1401="","",IFERROR(INDEX(Products!$B$2:$B$501,MATCH(B1401,Products!$A$2:$A$501,0)),"CODE NOT FOUND"))</f>
        <v/>
      </c>
      <c r="D1401" s="7"/>
      <c r="E1401" s="13"/>
      <c r="F1401" s="17" t="str">
        <f aca="false">IF(OR(D1401="",E1401=""),"",D1401*E1401)</f>
        <v/>
      </c>
      <c r="G1401" s="7"/>
      <c r="H1401" s="7"/>
    </row>
    <row r="1402" customFormat="false" ht="15" hidden="false" customHeight="true" outlineLevel="0" collapsed="false">
      <c r="A1402" s="15"/>
      <c r="B1402" s="7"/>
      <c r="C1402" s="16" t="str">
        <f aca="false">IF(B1402="","",IFERROR(INDEX(Products!$B$2:$B$501,MATCH(B1402,Products!$A$2:$A$501,0)),"CODE NOT FOUND"))</f>
        <v/>
      </c>
      <c r="D1402" s="7"/>
      <c r="E1402" s="13"/>
      <c r="F1402" s="17" t="str">
        <f aca="false">IF(OR(D1402="",E1402=""),"",D1402*E1402)</f>
        <v/>
      </c>
      <c r="G1402" s="7"/>
      <c r="H1402" s="7"/>
    </row>
    <row r="1403" customFormat="false" ht="15" hidden="false" customHeight="true" outlineLevel="0" collapsed="false">
      <c r="A1403" s="15"/>
      <c r="B1403" s="7"/>
      <c r="C1403" s="16" t="str">
        <f aca="false">IF(B1403="","",IFERROR(INDEX(Products!$B$2:$B$501,MATCH(B1403,Products!$A$2:$A$501,0)),"CODE NOT FOUND"))</f>
        <v/>
      </c>
      <c r="D1403" s="7"/>
      <c r="E1403" s="13"/>
      <c r="F1403" s="17" t="str">
        <f aca="false">IF(OR(D1403="",E1403=""),"",D1403*E1403)</f>
        <v/>
      </c>
      <c r="G1403" s="7"/>
      <c r="H1403" s="7"/>
    </row>
    <row r="1404" customFormat="false" ht="15" hidden="false" customHeight="true" outlineLevel="0" collapsed="false">
      <c r="A1404" s="15"/>
      <c r="B1404" s="7"/>
      <c r="C1404" s="16" t="str">
        <f aca="false">IF(B1404="","",IFERROR(INDEX(Products!$B$2:$B$501,MATCH(B1404,Products!$A$2:$A$501,0)),"CODE NOT FOUND"))</f>
        <v/>
      </c>
      <c r="D1404" s="7"/>
      <c r="E1404" s="13"/>
      <c r="F1404" s="17" t="str">
        <f aca="false">IF(OR(D1404="",E1404=""),"",D1404*E1404)</f>
        <v/>
      </c>
      <c r="G1404" s="7"/>
      <c r="H1404" s="7"/>
    </row>
    <row r="1405" customFormat="false" ht="15" hidden="false" customHeight="true" outlineLevel="0" collapsed="false">
      <c r="A1405" s="15"/>
      <c r="B1405" s="7"/>
      <c r="C1405" s="16" t="str">
        <f aca="false">IF(B1405="","",IFERROR(INDEX(Products!$B$2:$B$501,MATCH(B1405,Products!$A$2:$A$501,0)),"CODE NOT FOUND"))</f>
        <v/>
      </c>
      <c r="D1405" s="7"/>
      <c r="E1405" s="13"/>
      <c r="F1405" s="17" t="str">
        <f aca="false">IF(OR(D1405="",E1405=""),"",D1405*E1405)</f>
        <v/>
      </c>
      <c r="G1405" s="7"/>
      <c r="H1405" s="7"/>
    </row>
    <row r="1406" customFormat="false" ht="15" hidden="false" customHeight="true" outlineLevel="0" collapsed="false">
      <c r="A1406" s="15"/>
      <c r="B1406" s="7"/>
      <c r="C1406" s="16" t="str">
        <f aca="false">IF(B1406="","",IFERROR(INDEX(Products!$B$2:$B$501,MATCH(B1406,Products!$A$2:$A$501,0)),"CODE NOT FOUND"))</f>
        <v/>
      </c>
      <c r="D1406" s="7"/>
      <c r="E1406" s="13"/>
      <c r="F1406" s="17" t="str">
        <f aca="false">IF(OR(D1406="",E1406=""),"",D1406*E1406)</f>
        <v/>
      </c>
      <c r="G1406" s="7"/>
      <c r="H1406" s="7"/>
    </row>
    <row r="1407" customFormat="false" ht="15" hidden="false" customHeight="true" outlineLevel="0" collapsed="false">
      <c r="A1407" s="15"/>
      <c r="B1407" s="7"/>
      <c r="C1407" s="16" t="str">
        <f aca="false">IF(B1407="","",IFERROR(INDEX(Products!$B$2:$B$501,MATCH(B1407,Products!$A$2:$A$501,0)),"CODE NOT FOUND"))</f>
        <v/>
      </c>
      <c r="D1407" s="7"/>
      <c r="E1407" s="13"/>
      <c r="F1407" s="17" t="str">
        <f aca="false">IF(OR(D1407="",E1407=""),"",D1407*E1407)</f>
        <v/>
      </c>
      <c r="G1407" s="7"/>
      <c r="H1407" s="7"/>
    </row>
    <row r="1408" customFormat="false" ht="15" hidden="false" customHeight="true" outlineLevel="0" collapsed="false">
      <c r="A1408" s="15"/>
      <c r="B1408" s="7"/>
      <c r="C1408" s="16" t="str">
        <f aca="false">IF(B1408="","",IFERROR(INDEX(Products!$B$2:$B$501,MATCH(B1408,Products!$A$2:$A$501,0)),"CODE NOT FOUND"))</f>
        <v/>
      </c>
      <c r="D1408" s="7"/>
      <c r="E1408" s="13"/>
      <c r="F1408" s="17" t="str">
        <f aca="false">IF(OR(D1408="",E1408=""),"",D1408*E1408)</f>
        <v/>
      </c>
      <c r="G1408" s="7"/>
      <c r="H1408" s="7"/>
    </row>
    <row r="1409" customFormat="false" ht="15" hidden="false" customHeight="true" outlineLevel="0" collapsed="false">
      <c r="A1409" s="15"/>
      <c r="B1409" s="7"/>
      <c r="C1409" s="16" t="str">
        <f aca="false">IF(B1409="","",IFERROR(INDEX(Products!$B$2:$B$501,MATCH(B1409,Products!$A$2:$A$501,0)),"CODE NOT FOUND"))</f>
        <v/>
      </c>
      <c r="D1409" s="7"/>
      <c r="E1409" s="13"/>
      <c r="F1409" s="17" t="str">
        <f aca="false">IF(OR(D1409="",E1409=""),"",D1409*E1409)</f>
        <v/>
      </c>
      <c r="G1409" s="7"/>
      <c r="H1409" s="7"/>
    </row>
    <row r="1410" customFormat="false" ht="15" hidden="false" customHeight="true" outlineLevel="0" collapsed="false">
      <c r="A1410" s="15"/>
      <c r="B1410" s="7"/>
      <c r="C1410" s="16" t="str">
        <f aca="false">IF(B1410="","",IFERROR(INDEX(Products!$B$2:$B$501,MATCH(B1410,Products!$A$2:$A$501,0)),"CODE NOT FOUND"))</f>
        <v/>
      </c>
      <c r="D1410" s="7"/>
      <c r="E1410" s="13"/>
      <c r="F1410" s="17" t="str">
        <f aca="false">IF(OR(D1410="",E1410=""),"",D1410*E1410)</f>
        <v/>
      </c>
      <c r="G1410" s="7"/>
      <c r="H1410" s="7"/>
    </row>
    <row r="1411" customFormat="false" ht="15" hidden="false" customHeight="true" outlineLevel="0" collapsed="false">
      <c r="A1411" s="15"/>
      <c r="B1411" s="7"/>
      <c r="C1411" s="16" t="str">
        <f aca="false">IF(B1411="","",IFERROR(INDEX(Products!$B$2:$B$501,MATCH(B1411,Products!$A$2:$A$501,0)),"CODE NOT FOUND"))</f>
        <v/>
      </c>
      <c r="D1411" s="7"/>
      <c r="E1411" s="13"/>
      <c r="F1411" s="17" t="str">
        <f aca="false">IF(OR(D1411="",E1411=""),"",D1411*E1411)</f>
        <v/>
      </c>
      <c r="G1411" s="7"/>
      <c r="H1411" s="7"/>
    </row>
    <row r="1412" customFormat="false" ht="15" hidden="false" customHeight="true" outlineLevel="0" collapsed="false">
      <c r="A1412" s="15"/>
      <c r="B1412" s="7"/>
      <c r="C1412" s="16" t="str">
        <f aca="false">IF(B1412="","",IFERROR(INDEX(Products!$B$2:$B$501,MATCH(B1412,Products!$A$2:$A$501,0)),"CODE NOT FOUND"))</f>
        <v/>
      </c>
      <c r="D1412" s="7"/>
      <c r="E1412" s="13"/>
      <c r="F1412" s="17" t="str">
        <f aca="false">IF(OR(D1412="",E1412=""),"",D1412*E1412)</f>
        <v/>
      </c>
      <c r="G1412" s="7"/>
      <c r="H1412" s="7"/>
    </row>
    <row r="1413" customFormat="false" ht="15" hidden="false" customHeight="true" outlineLevel="0" collapsed="false">
      <c r="A1413" s="15"/>
      <c r="B1413" s="7"/>
      <c r="C1413" s="16" t="str">
        <f aca="false">IF(B1413="","",IFERROR(INDEX(Products!$B$2:$B$501,MATCH(B1413,Products!$A$2:$A$501,0)),"CODE NOT FOUND"))</f>
        <v/>
      </c>
      <c r="D1413" s="7"/>
      <c r="E1413" s="13"/>
      <c r="F1413" s="17" t="str">
        <f aca="false">IF(OR(D1413="",E1413=""),"",D1413*E1413)</f>
        <v/>
      </c>
      <c r="G1413" s="7"/>
      <c r="H1413" s="7"/>
    </row>
    <row r="1414" customFormat="false" ht="15" hidden="false" customHeight="true" outlineLevel="0" collapsed="false">
      <c r="A1414" s="15"/>
      <c r="B1414" s="7"/>
      <c r="C1414" s="16" t="str">
        <f aca="false">IF(B1414="","",IFERROR(INDEX(Products!$B$2:$B$501,MATCH(B1414,Products!$A$2:$A$501,0)),"CODE NOT FOUND"))</f>
        <v/>
      </c>
      <c r="D1414" s="7"/>
      <c r="E1414" s="13"/>
      <c r="F1414" s="17" t="str">
        <f aca="false">IF(OR(D1414="",E1414=""),"",D1414*E1414)</f>
        <v/>
      </c>
      <c r="G1414" s="7"/>
      <c r="H1414" s="7"/>
    </row>
    <row r="1415" customFormat="false" ht="15" hidden="false" customHeight="true" outlineLevel="0" collapsed="false">
      <c r="A1415" s="15"/>
      <c r="B1415" s="7"/>
      <c r="C1415" s="16" t="str">
        <f aca="false">IF(B1415="","",IFERROR(INDEX(Products!$B$2:$B$501,MATCH(B1415,Products!$A$2:$A$501,0)),"CODE NOT FOUND"))</f>
        <v/>
      </c>
      <c r="D1415" s="7"/>
      <c r="E1415" s="13"/>
      <c r="F1415" s="17" t="str">
        <f aca="false">IF(OR(D1415="",E1415=""),"",D1415*E1415)</f>
        <v/>
      </c>
      <c r="G1415" s="7"/>
      <c r="H1415" s="7"/>
    </row>
    <row r="1416" customFormat="false" ht="15" hidden="false" customHeight="true" outlineLevel="0" collapsed="false">
      <c r="A1416" s="15"/>
      <c r="B1416" s="7"/>
      <c r="C1416" s="16" t="str">
        <f aca="false">IF(B1416="","",IFERROR(INDEX(Products!$B$2:$B$501,MATCH(B1416,Products!$A$2:$A$501,0)),"CODE NOT FOUND"))</f>
        <v/>
      </c>
      <c r="D1416" s="7"/>
      <c r="E1416" s="13"/>
      <c r="F1416" s="17" t="str">
        <f aca="false">IF(OR(D1416="",E1416=""),"",D1416*E1416)</f>
        <v/>
      </c>
      <c r="G1416" s="7"/>
      <c r="H1416" s="7"/>
    </row>
    <row r="1417" customFormat="false" ht="15" hidden="false" customHeight="true" outlineLevel="0" collapsed="false">
      <c r="A1417" s="15"/>
      <c r="B1417" s="7"/>
      <c r="C1417" s="16" t="str">
        <f aca="false">IF(B1417="","",IFERROR(INDEX(Products!$B$2:$B$501,MATCH(B1417,Products!$A$2:$A$501,0)),"CODE NOT FOUND"))</f>
        <v/>
      </c>
      <c r="D1417" s="7"/>
      <c r="E1417" s="13"/>
      <c r="F1417" s="17" t="str">
        <f aca="false">IF(OR(D1417="",E1417=""),"",D1417*E1417)</f>
        <v/>
      </c>
      <c r="G1417" s="7"/>
      <c r="H1417" s="7"/>
    </row>
    <row r="1418" customFormat="false" ht="15" hidden="false" customHeight="true" outlineLevel="0" collapsed="false">
      <c r="A1418" s="15"/>
      <c r="B1418" s="7"/>
      <c r="C1418" s="16" t="str">
        <f aca="false">IF(B1418="","",IFERROR(INDEX(Products!$B$2:$B$501,MATCH(B1418,Products!$A$2:$A$501,0)),"CODE NOT FOUND"))</f>
        <v/>
      </c>
      <c r="D1418" s="7"/>
      <c r="E1418" s="13"/>
      <c r="F1418" s="17" t="str">
        <f aca="false">IF(OR(D1418="",E1418=""),"",D1418*E1418)</f>
        <v/>
      </c>
      <c r="G1418" s="7"/>
      <c r="H1418" s="7"/>
    </row>
    <row r="1419" customFormat="false" ht="15" hidden="false" customHeight="true" outlineLevel="0" collapsed="false">
      <c r="A1419" s="15"/>
      <c r="B1419" s="7"/>
      <c r="C1419" s="16" t="str">
        <f aca="false">IF(B1419="","",IFERROR(INDEX(Products!$B$2:$B$501,MATCH(B1419,Products!$A$2:$A$501,0)),"CODE NOT FOUND"))</f>
        <v/>
      </c>
      <c r="D1419" s="7"/>
      <c r="E1419" s="13"/>
      <c r="F1419" s="17" t="str">
        <f aca="false">IF(OR(D1419="",E1419=""),"",D1419*E1419)</f>
        <v/>
      </c>
      <c r="G1419" s="7"/>
      <c r="H1419" s="7"/>
    </row>
    <row r="1420" customFormat="false" ht="15" hidden="false" customHeight="true" outlineLevel="0" collapsed="false">
      <c r="A1420" s="15"/>
      <c r="B1420" s="7"/>
      <c r="C1420" s="16" t="str">
        <f aca="false">IF(B1420="","",IFERROR(INDEX(Products!$B$2:$B$501,MATCH(B1420,Products!$A$2:$A$501,0)),"CODE NOT FOUND"))</f>
        <v/>
      </c>
      <c r="D1420" s="7"/>
      <c r="E1420" s="13"/>
      <c r="F1420" s="17" t="str">
        <f aca="false">IF(OR(D1420="",E1420=""),"",D1420*E1420)</f>
        <v/>
      </c>
      <c r="G1420" s="7"/>
      <c r="H1420" s="7"/>
    </row>
    <row r="1421" customFormat="false" ht="15" hidden="false" customHeight="true" outlineLevel="0" collapsed="false">
      <c r="A1421" s="15"/>
      <c r="B1421" s="7"/>
      <c r="C1421" s="16" t="str">
        <f aca="false">IF(B1421="","",IFERROR(INDEX(Products!$B$2:$B$501,MATCH(B1421,Products!$A$2:$A$501,0)),"CODE NOT FOUND"))</f>
        <v/>
      </c>
      <c r="D1421" s="7"/>
      <c r="E1421" s="13"/>
      <c r="F1421" s="17" t="str">
        <f aca="false">IF(OR(D1421="",E1421=""),"",D1421*E1421)</f>
        <v/>
      </c>
      <c r="G1421" s="7"/>
      <c r="H1421" s="7"/>
    </row>
    <row r="1422" customFormat="false" ht="15" hidden="false" customHeight="true" outlineLevel="0" collapsed="false">
      <c r="A1422" s="15"/>
      <c r="B1422" s="7"/>
      <c r="C1422" s="16" t="str">
        <f aca="false">IF(B1422="","",IFERROR(INDEX(Products!$B$2:$B$501,MATCH(B1422,Products!$A$2:$A$501,0)),"CODE NOT FOUND"))</f>
        <v/>
      </c>
      <c r="D1422" s="7"/>
      <c r="E1422" s="13"/>
      <c r="F1422" s="17" t="str">
        <f aca="false">IF(OR(D1422="",E1422=""),"",D1422*E1422)</f>
        <v/>
      </c>
      <c r="G1422" s="7"/>
      <c r="H1422" s="7"/>
    </row>
    <row r="1423" customFormat="false" ht="15" hidden="false" customHeight="true" outlineLevel="0" collapsed="false">
      <c r="A1423" s="15"/>
      <c r="B1423" s="7"/>
      <c r="C1423" s="16" t="str">
        <f aca="false">IF(B1423="","",IFERROR(INDEX(Products!$B$2:$B$501,MATCH(B1423,Products!$A$2:$A$501,0)),"CODE NOT FOUND"))</f>
        <v/>
      </c>
      <c r="D1423" s="7"/>
      <c r="E1423" s="13"/>
      <c r="F1423" s="17" t="str">
        <f aca="false">IF(OR(D1423="",E1423=""),"",D1423*E1423)</f>
        <v/>
      </c>
      <c r="G1423" s="7"/>
      <c r="H1423" s="7"/>
    </row>
    <row r="1424" customFormat="false" ht="15" hidden="false" customHeight="true" outlineLevel="0" collapsed="false">
      <c r="A1424" s="15"/>
      <c r="B1424" s="7"/>
      <c r="C1424" s="16" t="str">
        <f aca="false">IF(B1424="","",IFERROR(INDEX(Products!$B$2:$B$501,MATCH(B1424,Products!$A$2:$A$501,0)),"CODE NOT FOUND"))</f>
        <v/>
      </c>
      <c r="D1424" s="7"/>
      <c r="E1424" s="13"/>
      <c r="F1424" s="17" t="str">
        <f aca="false">IF(OR(D1424="",E1424=""),"",D1424*E1424)</f>
        <v/>
      </c>
      <c r="G1424" s="7"/>
      <c r="H1424" s="7"/>
    </row>
    <row r="1425" customFormat="false" ht="15" hidden="false" customHeight="true" outlineLevel="0" collapsed="false">
      <c r="A1425" s="15"/>
      <c r="B1425" s="7"/>
      <c r="C1425" s="16" t="str">
        <f aca="false">IF(B1425="","",IFERROR(INDEX(Products!$B$2:$B$501,MATCH(B1425,Products!$A$2:$A$501,0)),"CODE NOT FOUND"))</f>
        <v/>
      </c>
      <c r="D1425" s="7"/>
      <c r="E1425" s="13"/>
      <c r="F1425" s="17" t="str">
        <f aca="false">IF(OR(D1425="",E1425=""),"",D1425*E1425)</f>
        <v/>
      </c>
      <c r="G1425" s="7"/>
      <c r="H1425" s="7"/>
    </row>
    <row r="1426" customFormat="false" ht="15" hidden="false" customHeight="true" outlineLevel="0" collapsed="false">
      <c r="A1426" s="15"/>
      <c r="B1426" s="7"/>
      <c r="C1426" s="16" t="str">
        <f aca="false">IF(B1426="","",IFERROR(INDEX(Products!$B$2:$B$501,MATCH(B1426,Products!$A$2:$A$501,0)),"CODE NOT FOUND"))</f>
        <v/>
      </c>
      <c r="D1426" s="7"/>
      <c r="E1426" s="13"/>
      <c r="F1426" s="17" t="str">
        <f aca="false">IF(OR(D1426="",E1426=""),"",D1426*E1426)</f>
        <v/>
      </c>
      <c r="G1426" s="7"/>
      <c r="H1426" s="7"/>
    </row>
    <row r="1427" customFormat="false" ht="15" hidden="false" customHeight="true" outlineLevel="0" collapsed="false">
      <c r="A1427" s="15"/>
      <c r="B1427" s="7"/>
      <c r="C1427" s="16" t="str">
        <f aca="false">IF(B1427="","",IFERROR(INDEX(Products!$B$2:$B$501,MATCH(B1427,Products!$A$2:$A$501,0)),"CODE NOT FOUND"))</f>
        <v/>
      </c>
      <c r="D1427" s="7"/>
      <c r="E1427" s="13"/>
      <c r="F1427" s="17" t="str">
        <f aca="false">IF(OR(D1427="",E1427=""),"",D1427*E1427)</f>
        <v/>
      </c>
      <c r="G1427" s="7"/>
      <c r="H1427" s="7"/>
    </row>
    <row r="1428" customFormat="false" ht="15" hidden="false" customHeight="true" outlineLevel="0" collapsed="false">
      <c r="A1428" s="15"/>
      <c r="B1428" s="7"/>
      <c r="C1428" s="16" t="str">
        <f aca="false">IF(B1428="","",IFERROR(INDEX(Products!$B$2:$B$501,MATCH(B1428,Products!$A$2:$A$501,0)),"CODE NOT FOUND"))</f>
        <v/>
      </c>
      <c r="D1428" s="7"/>
      <c r="E1428" s="13"/>
      <c r="F1428" s="17" t="str">
        <f aca="false">IF(OR(D1428="",E1428=""),"",D1428*E1428)</f>
        <v/>
      </c>
      <c r="G1428" s="7"/>
      <c r="H1428" s="7"/>
    </row>
    <row r="1429" customFormat="false" ht="15" hidden="false" customHeight="true" outlineLevel="0" collapsed="false">
      <c r="A1429" s="15"/>
      <c r="B1429" s="7"/>
      <c r="C1429" s="16" t="str">
        <f aca="false">IF(B1429="","",IFERROR(INDEX(Products!$B$2:$B$501,MATCH(B1429,Products!$A$2:$A$501,0)),"CODE NOT FOUND"))</f>
        <v/>
      </c>
      <c r="D1429" s="7"/>
      <c r="E1429" s="13"/>
      <c r="F1429" s="17" t="str">
        <f aca="false">IF(OR(D1429="",E1429=""),"",D1429*E1429)</f>
        <v/>
      </c>
      <c r="G1429" s="7"/>
      <c r="H1429" s="7"/>
    </row>
    <row r="1430" customFormat="false" ht="15" hidden="false" customHeight="true" outlineLevel="0" collapsed="false">
      <c r="A1430" s="15"/>
      <c r="B1430" s="7"/>
      <c r="C1430" s="16" t="str">
        <f aca="false">IF(B1430="","",IFERROR(INDEX(Products!$B$2:$B$501,MATCH(B1430,Products!$A$2:$A$501,0)),"CODE NOT FOUND"))</f>
        <v/>
      </c>
      <c r="D1430" s="7"/>
      <c r="E1430" s="13"/>
      <c r="F1430" s="17" t="str">
        <f aca="false">IF(OR(D1430="",E1430=""),"",D1430*E1430)</f>
        <v/>
      </c>
      <c r="G1430" s="7"/>
      <c r="H1430" s="7"/>
    </row>
    <row r="1431" customFormat="false" ht="15" hidden="false" customHeight="true" outlineLevel="0" collapsed="false">
      <c r="A1431" s="15"/>
      <c r="B1431" s="7"/>
      <c r="C1431" s="16" t="str">
        <f aca="false">IF(B1431="","",IFERROR(INDEX(Products!$B$2:$B$501,MATCH(B1431,Products!$A$2:$A$501,0)),"CODE NOT FOUND"))</f>
        <v/>
      </c>
      <c r="D1431" s="7"/>
      <c r="E1431" s="13"/>
      <c r="F1431" s="17" t="str">
        <f aca="false">IF(OR(D1431="",E1431=""),"",D1431*E1431)</f>
        <v/>
      </c>
      <c r="G1431" s="7"/>
      <c r="H1431" s="7"/>
    </row>
    <row r="1432" customFormat="false" ht="15" hidden="false" customHeight="true" outlineLevel="0" collapsed="false">
      <c r="A1432" s="15"/>
      <c r="B1432" s="7"/>
      <c r="C1432" s="16" t="str">
        <f aca="false">IF(B1432="","",IFERROR(INDEX(Products!$B$2:$B$501,MATCH(B1432,Products!$A$2:$A$501,0)),"CODE NOT FOUND"))</f>
        <v/>
      </c>
      <c r="D1432" s="7"/>
      <c r="E1432" s="13"/>
      <c r="F1432" s="17" t="str">
        <f aca="false">IF(OR(D1432="",E1432=""),"",D1432*E1432)</f>
        <v/>
      </c>
      <c r="G1432" s="7"/>
      <c r="H1432" s="7"/>
    </row>
    <row r="1433" customFormat="false" ht="15" hidden="false" customHeight="true" outlineLevel="0" collapsed="false">
      <c r="A1433" s="15"/>
      <c r="B1433" s="7"/>
      <c r="C1433" s="16" t="str">
        <f aca="false">IF(B1433="","",IFERROR(INDEX(Products!$B$2:$B$501,MATCH(B1433,Products!$A$2:$A$501,0)),"CODE NOT FOUND"))</f>
        <v/>
      </c>
      <c r="D1433" s="7"/>
      <c r="E1433" s="13"/>
      <c r="F1433" s="17" t="str">
        <f aca="false">IF(OR(D1433="",E1433=""),"",D1433*E1433)</f>
        <v/>
      </c>
      <c r="G1433" s="7"/>
      <c r="H1433" s="7"/>
    </row>
    <row r="1434" customFormat="false" ht="15" hidden="false" customHeight="true" outlineLevel="0" collapsed="false">
      <c r="A1434" s="15"/>
      <c r="B1434" s="7"/>
      <c r="C1434" s="16" t="str">
        <f aca="false">IF(B1434="","",IFERROR(INDEX(Products!$B$2:$B$501,MATCH(B1434,Products!$A$2:$A$501,0)),"CODE NOT FOUND"))</f>
        <v/>
      </c>
      <c r="D1434" s="7"/>
      <c r="E1434" s="13"/>
      <c r="F1434" s="17" t="str">
        <f aca="false">IF(OR(D1434="",E1434=""),"",D1434*E1434)</f>
        <v/>
      </c>
      <c r="G1434" s="7"/>
      <c r="H1434" s="7"/>
    </row>
    <row r="1435" customFormat="false" ht="15" hidden="false" customHeight="true" outlineLevel="0" collapsed="false">
      <c r="A1435" s="15"/>
      <c r="B1435" s="7"/>
      <c r="C1435" s="16" t="str">
        <f aca="false">IF(B1435="","",IFERROR(INDEX(Products!$B$2:$B$501,MATCH(B1435,Products!$A$2:$A$501,0)),"CODE NOT FOUND"))</f>
        <v/>
      </c>
      <c r="D1435" s="7"/>
      <c r="E1435" s="13"/>
      <c r="F1435" s="17" t="str">
        <f aca="false">IF(OR(D1435="",E1435=""),"",D1435*E1435)</f>
        <v/>
      </c>
      <c r="G1435" s="7"/>
      <c r="H1435" s="7"/>
    </row>
    <row r="1436" customFormat="false" ht="15" hidden="false" customHeight="true" outlineLevel="0" collapsed="false">
      <c r="A1436" s="15"/>
      <c r="B1436" s="7"/>
      <c r="C1436" s="16" t="str">
        <f aca="false">IF(B1436="","",IFERROR(INDEX(Products!$B$2:$B$501,MATCH(B1436,Products!$A$2:$A$501,0)),"CODE NOT FOUND"))</f>
        <v/>
      </c>
      <c r="D1436" s="7"/>
      <c r="E1436" s="13"/>
      <c r="F1436" s="17" t="str">
        <f aca="false">IF(OR(D1436="",E1436=""),"",D1436*E1436)</f>
        <v/>
      </c>
      <c r="G1436" s="7"/>
      <c r="H1436" s="7"/>
    </row>
    <row r="1437" customFormat="false" ht="15" hidden="false" customHeight="true" outlineLevel="0" collapsed="false">
      <c r="A1437" s="15"/>
      <c r="B1437" s="7"/>
      <c r="C1437" s="16" t="str">
        <f aca="false">IF(B1437="","",IFERROR(INDEX(Products!$B$2:$B$501,MATCH(B1437,Products!$A$2:$A$501,0)),"CODE NOT FOUND"))</f>
        <v/>
      </c>
      <c r="D1437" s="7"/>
      <c r="E1437" s="13"/>
      <c r="F1437" s="17" t="str">
        <f aca="false">IF(OR(D1437="",E1437=""),"",D1437*E1437)</f>
        <v/>
      </c>
      <c r="G1437" s="7"/>
      <c r="H1437" s="7"/>
    </row>
    <row r="1438" customFormat="false" ht="15" hidden="false" customHeight="true" outlineLevel="0" collapsed="false">
      <c r="A1438" s="15"/>
      <c r="B1438" s="7"/>
      <c r="C1438" s="16" t="str">
        <f aca="false">IF(B1438="","",IFERROR(INDEX(Products!$B$2:$B$501,MATCH(B1438,Products!$A$2:$A$501,0)),"CODE NOT FOUND"))</f>
        <v/>
      </c>
      <c r="D1438" s="7"/>
      <c r="E1438" s="13"/>
      <c r="F1438" s="17" t="str">
        <f aca="false">IF(OR(D1438="",E1438=""),"",D1438*E1438)</f>
        <v/>
      </c>
      <c r="G1438" s="7"/>
      <c r="H1438" s="7"/>
    </row>
    <row r="1439" customFormat="false" ht="15" hidden="false" customHeight="true" outlineLevel="0" collapsed="false">
      <c r="A1439" s="15"/>
      <c r="B1439" s="7"/>
      <c r="C1439" s="16" t="str">
        <f aca="false">IF(B1439="","",IFERROR(INDEX(Products!$B$2:$B$501,MATCH(B1439,Products!$A$2:$A$501,0)),"CODE NOT FOUND"))</f>
        <v/>
      </c>
      <c r="D1439" s="7"/>
      <c r="E1439" s="13"/>
      <c r="F1439" s="17" t="str">
        <f aca="false">IF(OR(D1439="",E1439=""),"",D1439*E1439)</f>
        <v/>
      </c>
      <c r="G1439" s="7"/>
      <c r="H1439" s="7"/>
    </row>
    <row r="1440" customFormat="false" ht="15" hidden="false" customHeight="true" outlineLevel="0" collapsed="false">
      <c r="A1440" s="15"/>
      <c r="B1440" s="7"/>
      <c r="C1440" s="16" t="str">
        <f aca="false">IF(B1440="","",IFERROR(INDEX(Products!$B$2:$B$501,MATCH(B1440,Products!$A$2:$A$501,0)),"CODE NOT FOUND"))</f>
        <v/>
      </c>
      <c r="D1440" s="7"/>
      <c r="E1440" s="13"/>
      <c r="F1440" s="17" t="str">
        <f aca="false">IF(OR(D1440="",E1440=""),"",D1440*E1440)</f>
        <v/>
      </c>
      <c r="G1440" s="7"/>
      <c r="H1440" s="7"/>
    </row>
    <row r="1441" customFormat="false" ht="15" hidden="false" customHeight="true" outlineLevel="0" collapsed="false">
      <c r="A1441" s="15"/>
      <c r="B1441" s="7"/>
      <c r="C1441" s="16" t="str">
        <f aca="false">IF(B1441="","",IFERROR(INDEX(Products!$B$2:$B$501,MATCH(B1441,Products!$A$2:$A$501,0)),"CODE NOT FOUND"))</f>
        <v/>
      </c>
      <c r="D1441" s="7"/>
      <c r="E1441" s="13"/>
      <c r="F1441" s="17" t="str">
        <f aca="false">IF(OR(D1441="",E1441=""),"",D1441*E1441)</f>
        <v/>
      </c>
      <c r="G1441" s="7"/>
      <c r="H1441" s="7"/>
    </row>
    <row r="1442" customFormat="false" ht="15" hidden="false" customHeight="true" outlineLevel="0" collapsed="false">
      <c r="A1442" s="15"/>
      <c r="B1442" s="7"/>
      <c r="C1442" s="16" t="str">
        <f aca="false">IF(B1442="","",IFERROR(INDEX(Products!$B$2:$B$501,MATCH(B1442,Products!$A$2:$A$501,0)),"CODE NOT FOUND"))</f>
        <v/>
      </c>
      <c r="D1442" s="7"/>
      <c r="E1442" s="13"/>
      <c r="F1442" s="17" t="str">
        <f aca="false">IF(OR(D1442="",E1442=""),"",D1442*E1442)</f>
        <v/>
      </c>
      <c r="G1442" s="7"/>
      <c r="H1442" s="7"/>
    </row>
    <row r="1443" customFormat="false" ht="15" hidden="false" customHeight="true" outlineLevel="0" collapsed="false">
      <c r="A1443" s="15"/>
      <c r="B1443" s="7"/>
      <c r="C1443" s="16" t="str">
        <f aca="false">IF(B1443="","",IFERROR(INDEX(Products!$B$2:$B$501,MATCH(B1443,Products!$A$2:$A$501,0)),"CODE NOT FOUND"))</f>
        <v/>
      </c>
      <c r="D1443" s="7"/>
      <c r="E1443" s="13"/>
      <c r="F1443" s="17" t="str">
        <f aca="false">IF(OR(D1443="",E1443=""),"",D1443*E1443)</f>
        <v/>
      </c>
      <c r="G1443" s="7"/>
      <c r="H1443" s="7"/>
    </row>
    <row r="1444" customFormat="false" ht="15" hidden="false" customHeight="true" outlineLevel="0" collapsed="false">
      <c r="A1444" s="15"/>
      <c r="B1444" s="7"/>
      <c r="C1444" s="16" t="str">
        <f aca="false">IF(B1444="","",IFERROR(INDEX(Products!$B$2:$B$501,MATCH(B1444,Products!$A$2:$A$501,0)),"CODE NOT FOUND"))</f>
        <v/>
      </c>
      <c r="D1444" s="7"/>
      <c r="E1444" s="13"/>
      <c r="F1444" s="17" t="str">
        <f aca="false">IF(OR(D1444="",E1444=""),"",D1444*E1444)</f>
        <v/>
      </c>
      <c r="G1444" s="7"/>
      <c r="H1444" s="7"/>
    </row>
    <row r="1445" customFormat="false" ht="15" hidden="false" customHeight="true" outlineLevel="0" collapsed="false">
      <c r="A1445" s="15"/>
      <c r="B1445" s="7"/>
      <c r="C1445" s="16" t="str">
        <f aca="false">IF(B1445="","",IFERROR(INDEX(Products!$B$2:$B$501,MATCH(B1445,Products!$A$2:$A$501,0)),"CODE NOT FOUND"))</f>
        <v/>
      </c>
      <c r="D1445" s="7"/>
      <c r="E1445" s="13"/>
      <c r="F1445" s="17" t="str">
        <f aca="false">IF(OR(D1445="",E1445=""),"",D1445*E1445)</f>
        <v/>
      </c>
      <c r="G1445" s="7"/>
      <c r="H1445" s="7"/>
    </row>
    <row r="1446" customFormat="false" ht="15" hidden="false" customHeight="true" outlineLevel="0" collapsed="false">
      <c r="A1446" s="15"/>
      <c r="B1446" s="7"/>
      <c r="C1446" s="16" t="str">
        <f aca="false">IF(B1446="","",IFERROR(INDEX(Products!$B$2:$B$501,MATCH(B1446,Products!$A$2:$A$501,0)),"CODE NOT FOUND"))</f>
        <v/>
      </c>
      <c r="D1446" s="7"/>
      <c r="E1446" s="13"/>
      <c r="F1446" s="17" t="str">
        <f aca="false">IF(OR(D1446="",E1446=""),"",D1446*E1446)</f>
        <v/>
      </c>
      <c r="G1446" s="7"/>
      <c r="H1446" s="7"/>
    </row>
    <row r="1447" customFormat="false" ht="15" hidden="false" customHeight="true" outlineLevel="0" collapsed="false">
      <c r="A1447" s="15"/>
      <c r="B1447" s="7"/>
      <c r="C1447" s="16" t="str">
        <f aca="false">IF(B1447="","",IFERROR(INDEX(Products!$B$2:$B$501,MATCH(B1447,Products!$A$2:$A$501,0)),"CODE NOT FOUND"))</f>
        <v/>
      </c>
      <c r="D1447" s="7"/>
      <c r="E1447" s="13"/>
      <c r="F1447" s="17" t="str">
        <f aca="false">IF(OR(D1447="",E1447=""),"",D1447*E1447)</f>
        <v/>
      </c>
      <c r="G1447" s="7"/>
      <c r="H1447" s="7"/>
    </row>
    <row r="1448" customFormat="false" ht="15" hidden="false" customHeight="true" outlineLevel="0" collapsed="false">
      <c r="A1448" s="15"/>
      <c r="B1448" s="7"/>
      <c r="C1448" s="16" t="str">
        <f aca="false">IF(B1448="","",IFERROR(INDEX(Products!$B$2:$B$501,MATCH(B1448,Products!$A$2:$A$501,0)),"CODE NOT FOUND"))</f>
        <v/>
      </c>
      <c r="D1448" s="7"/>
      <c r="E1448" s="13"/>
      <c r="F1448" s="17" t="str">
        <f aca="false">IF(OR(D1448="",E1448=""),"",D1448*E1448)</f>
        <v/>
      </c>
      <c r="G1448" s="7"/>
      <c r="H1448" s="7"/>
    </row>
    <row r="1449" customFormat="false" ht="15" hidden="false" customHeight="true" outlineLevel="0" collapsed="false">
      <c r="A1449" s="15"/>
      <c r="B1449" s="7"/>
      <c r="C1449" s="16" t="str">
        <f aca="false">IF(B1449="","",IFERROR(INDEX(Products!$B$2:$B$501,MATCH(B1449,Products!$A$2:$A$501,0)),"CODE NOT FOUND"))</f>
        <v/>
      </c>
      <c r="D1449" s="7"/>
      <c r="E1449" s="13"/>
      <c r="F1449" s="17" t="str">
        <f aca="false">IF(OR(D1449="",E1449=""),"",D1449*E1449)</f>
        <v/>
      </c>
      <c r="G1449" s="7"/>
      <c r="H1449" s="7"/>
    </row>
    <row r="1450" customFormat="false" ht="15" hidden="false" customHeight="true" outlineLevel="0" collapsed="false">
      <c r="A1450" s="15"/>
      <c r="B1450" s="7"/>
      <c r="C1450" s="16" t="str">
        <f aca="false">IF(B1450="","",IFERROR(INDEX(Products!$B$2:$B$501,MATCH(B1450,Products!$A$2:$A$501,0)),"CODE NOT FOUND"))</f>
        <v/>
      </c>
      <c r="D1450" s="7"/>
      <c r="E1450" s="13"/>
      <c r="F1450" s="17" t="str">
        <f aca="false">IF(OR(D1450="",E1450=""),"",D1450*E1450)</f>
        <v/>
      </c>
      <c r="G1450" s="7"/>
      <c r="H1450" s="7"/>
    </row>
    <row r="1451" customFormat="false" ht="15" hidden="false" customHeight="true" outlineLevel="0" collapsed="false">
      <c r="A1451" s="15"/>
      <c r="B1451" s="7"/>
      <c r="C1451" s="16" t="str">
        <f aca="false">IF(B1451="","",IFERROR(INDEX(Products!$B$2:$B$501,MATCH(B1451,Products!$A$2:$A$501,0)),"CODE NOT FOUND"))</f>
        <v/>
      </c>
      <c r="D1451" s="7"/>
      <c r="E1451" s="13"/>
      <c r="F1451" s="17" t="str">
        <f aca="false">IF(OR(D1451="",E1451=""),"",D1451*E1451)</f>
        <v/>
      </c>
      <c r="G1451" s="7"/>
      <c r="H1451" s="7"/>
    </row>
    <row r="1452" customFormat="false" ht="15" hidden="false" customHeight="true" outlineLevel="0" collapsed="false">
      <c r="A1452" s="15"/>
      <c r="B1452" s="7"/>
      <c r="C1452" s="16" t="str">
        <f aca="false">IF(B1452="","",IFERROR(INDEX(Products!$B$2:$B$501,MATCH(B1452,Products!$A$2:$A$501,0)),"CODE NOT FOUND"))</f>
        <v/>
      </c>
      <c r="D1452" s="7"/>
      <c r="E1452" s="13"/>
      <c r="F1452" s="17" t="str">
        <f aca="false">IF(OR(D1452="",E1452=""),"",D1452*E1452)</f>
        <v/>
      </c>
      <c r="G1452" s="7"/>
      <c r="H1452" s="7"/>
    </row>
    <row r="1453" customFormat="false" ht="15" hidden="false" customHeight="true" outlineLevel="0" collapsed="false">
      <c r="A1453" s="15"/>
      <c r="B1453" s="7"/>
      <c r="C1453" s="16" t="str">
        <f aca="false">IF(B1453="","",IFERROR(INDEX(Products!$B$2:$B$501,MATCH(B1453,Products!$A$2:$A$501,0)),"CODE NOT FOUND"))</f>
        <v/>
      </c>
      <c r="D1453" s="7"/>
      <c r="E1453" s="13"/>
      <c r="F1453" s="17" t="str">
        <f aca="false">IF(OR(D1453="",E1453=""),"",D1453*E1453)</f>
        <v/>
      </c>
      <c r="G1453" s="7"/>
      <c r="H1453" s="7"/>
    </row>
    <row r="1454" customFormat="false" ht="15" hidden="false" customHeight="true" outlineLevel="0" collapsed="false">
      <c r="A1454" s="15"/>
      <c r="B1454" s="7"/>
      <c r="C1454" s="16" t="str">
        <f aca="false">IF(B1454="","",IFERROR(INDEX(Products!$B$2:$B$501,MATCH(B1454,Products!$A$2:$A$501,0)),"CODE NOT FOUND"))</f>
        <v/>
      </c>
      <c r="D1454" s="7"/>
      <c r="E1454" s="13"/>
      <c r="F1454" s="17" t="str">
        <f aca="false">IF(OR(D1454="",E1454=""),"",D1454*E1454)</f>
        <v/>
      </c>
      <c r="G1454" s="7"/>
      <c r="H1454" s="7"/>
    </row>
    <row r="1455" customFormat="false" ht="15" hidden="false" customHeight="true" outlineLevel="0" collapsed="false">
      <c r="A1455" s="15"/>
      <c r="B1455" s="7"/>
      <c r="C1455" s="16" t="str">
        <f aca="false">IF(B1455="","",IFERROR(INDEX(Products!$B$2:$B$501,MATCH(B1455,Products!$A$2:$A$501,0)),"CODE NOT FOUND"))</f>
        <v/>
      </c>
      <c r="D1455" s="7"/>
      <c r="E1455" s="13"/>
      <c r="F1455" s="17" t="str">
        <f aca="false">IF(OR(D1455="",E1455=""),"",D1455*E1455)</f>
        <v/>
      </c>
      <c r="G1455" s="7"/>
      <c r="H1455" s="7"/>
    </row>
    <row r="1456" customFormat="false" ht="15" hidden="false" customHeight="true" outlineLevel="0" collapsed="false">
      <c r="A1456" s="15"/>
      <c r="B1456" s="7"/>
      <c r="C1456" s="16" t="str">
        <f aca="false">IF(B1456="","",IFERROR(INDEX(Products!$B$2:$B$501,MATCH(B1456,Products!$A$2:$A$501,0)),"CODE NOT FOUND"))</f>
        <v/>
      </c>
      <c r="D1456" s="7"/>
      <c r="E1456" s="13"/>
      <c r="F1456" s="17" t="str">
        <f aca="false">IF(OR(D1456="",E1456=""),"",D1456*E1456)</f>
        <v/>
      </c>
      <c r="G1456" s="7"/>
      <c r="H1456" s="7"/>
    </row>
    <row r="1457" customFormat="false" ht="15" hidden="false" customHeight="true" outlineLevel="0" collapsed="false">
      <c r="A1457" s="15"/>
      <c r="B1457" s="7"/>
      <c r="C1457" s="16" t="str">
        <f aca="false">IF(B1457="","",IFERROR(INDEX(Products!$B$2:$B$501,MATCH(B1457,Products!$A$2:$A$501,0)),"CODE NOT FOUND"))</f>
        <v/>
      </c>
      <c r="D1457" s="7"/>
      <c r="E1457" s="13"/>
      <c r="F1457" s="17" t="str">
        <f aca="false">IF(OR(D1457="",E1457=""),"",D1457*E1457)</f>
        <v/>
      </c>
      <c r="G1457" s="7"/>
      <c r="H1457" s="7"/>
    </row>
    <row r="1458" customFormat="false" ht="15" hidden="false" customHeight="true" outlineLevel="0" collapsed="false">
      <c r="A1458" s="15"/>
      <c r="B1458" s="7"/>
      <c r="C1458" s="16" t="str">
        <f aca="false">IF(B1458="","",IFERROR(INDEX(Products!$B$2:$B$501,MATCH(B1458,Products!$A$2:$A$501,0)),"CODE NOT FOUND"))</f>
        <v/>
      </c>
      <c r="D1458" s="7"/>
      <c r="E1458" s="13"/>
      <c r="F1458" s="17" t="str">
        <f aca="false">IF(OR(D1458="",E1458=""),"",D1458*E1458)</f>
        <v/>
      </c>
      <c r="G1458" s="7"/>
      <c r="H1458" s="7"/>
    </row>
    <row r="1459" customFormat="false" ht="15" hidden="false" customHeight="true" outlineLevel="0" collapsed="false">
      <c r="A1459" s="15"/>
      <c r="B1459" s="7"/>
      <c r="C1459" s="16" t="str">
        <f aca="false">IF(B1459="","",IFERROR(INDEX(Products!$B$2:$B$501,MATCH(B1459,Products!$A$2:$A$501,0)),"CODE NOT FOUND"))</f>
        <v/>
      </c>
      <c r="D1459" s="7"/>
      <c r="E1459" s="13"/>
      <c r="F1459" s="17" t="str">
        <f aca="false">IF(OR(D1459="",E1459=""),"",D1459*E1459)</f>
        <v/>
      </c>
      <c r="G1459" s="7"/>
      <c r="H1459" s="7"/>
    </row>
    <row r="1460" customFormat="false" ht="15" hidden="false" customHeight="true" outlineLevel="0" collapsed="false">
      <c r="A1460" s="15"/>
      <c r="B1460" s="7"/>
      <c r="C1460" s="16" t="str">
        <f aca="false">IF(B1460="","",IFERROR(INDEX(Products!$B$2:$B$501,MATCH(B1460,Products!$A$2:$A$501,0)),"CODE NOT FOUND"))</f>
        <v/>
      </c>
      <c r="D1460" s="7"/>
      <c r="E1460" s="13"/>
      <c r="F1460" s="17" t="str">
        <f aca="false">IF(OR(D1460="",E1460=""),"",D1460*E1460)</f>
        <v/>
      </c>
      <c r="G1460" s="7"/>
      <c r="H1460" s="7"/>
    </row>
    <row r="1461" customFormat="false" ht="15" hidden="false" customHeight="true" outlineLevel="0" collapsed="false">
      <c r="A1461" s="15"/>
      <c r="B1461" s="7"/>
      <c r="C1461" s="16" t="str">
        <f aca="false">IF(B1461="","",IFERROR(INDEX(Products!$B$2:$B$501,MATCH(B1461,Products!$A$2:$A$501,0)),"CODE NOT FOUND"))</f>
        <v/>
      </c>
      <c r="D1461" s="7"/>
      <c r="E1461" s="13"/>
      <c r="F1461" s="17" t="str">
        <f aca="false">IF(OR(D1461="",E1461=""),"",D1461*E1461)</f>
        <v/>
      </c>
      <c r="G1461" s="7"/>
      <c r="H1461" s="7"/>
    </row>
    <row r="1462" customFormat="false" ht="15" hidden="false" customHeight="true" outlineLevel="0" collapsed="false">
      <c r="A1462" s="15"/>
      <c r="B1462" s="7"/>
      <c r="C1462" s="16" t="str">
        <f aca="false">IF(B1462="","",IFERROR(INDEX(Products!$B$2:$B$501,MATCH(B1462,Products!$A$2:$A$501,0)),"CODE NOT FOUND"))</f>
        <v/>
      </c>
      <c r="D1462" s="7"/>
      <c r="E1462" s="13"/>
      <c r="F1462" s="17" t="str">
        <f aca="false">IF(OR(D1462="",E1462=""),"",D1462*E1462)</f>
        <v/>
      </c>
      <c r="G1462" s="7"/>
      <c r="H1462" s="7"/>
    </row>
    <row r="1463" customFormat="false" ht="15" hidden="false" customHeight="true" outlineLevel="0" collapsed="false">
      <c r="A1463" s="15"/>
      <c r="B1463" s="7"/>
      <c r="C1463" s="16" t="str">
        <f aca="false">IF(B1463="","",IFERROR(INDEX(Products!$B$2:$B$501,MATCH(B1463,Products!$A$2:$A$501,0)),"CODE NOT FOUND"))</f>
        <v/>
      </c>
      <c r="D1463" s="7"/>
      <c r="E1463" s="13"/>
      <c r="F1463" s="17" t="str">
        <f aca="false">IF(OR(D1463="",E1463=""),"",D1463*E1463)</f>
        <v/>
      </c>
      <c r="G1463" s="7"/>
      <c r="H1463" s="7"/>
    </row>
    <row r="1464" customFormat="false" ht="15" hidden="false" customHeight="true" outlineLevel="0" collapsed="false">
      <c r="A1464" s="15"/>
      <c r="B1464" s="7"/>
      <c r="C1464" s="16" t="str">
        <f aca="false">IF(B1464="","",IFERROR(INDEX(Products!$B$2:$B$501,MATCH(B1464,Products!$A$2:$A$501,0)),"CODE NOT FOUND"))</f>
        <v/>
      </c>
      <c r="D1464" s="7"/>
      <c r="E1464" s="13"/>
      <c r="F1464" s="17" t="str">
        <f aca="false">IF(OR(D1464="",E1464=""),"",D1464*E1464)</f>
        <v/>
      </c>
      <c r="G1464" s="7"/>
      <c r="H1464" s="7"/>
    </row>
    <row r="1465" customFormat="false" ht="15" hidden="false" customHeight="true" outlineLevel="0" collapsed="false">
      <c r="A1465" s="15"/>
      <c r="B1465" s="7"/>
      <c r="C1465" s="16" t="str">
        <f aca="false">IF(B1465="","",IFERROR(INDEX(Products!$B$2:$B$501,MATCH(B1465,Products!$A$2:$A$501,0)),"CODE NOT FOUND"))</f>
        <v/>
      </c>
      <c r="D1465" s="7"/>
      <c r="E1465" s="13"/>
      <c r="F1465" s="17" t="str">
        <f aca="false">IF(OR(D1465="",E1465=""),"",D1465*E1465)</f>
        <v/>
      </c>
      <c r="G1465" s="7"/>
      <c r="H1465" s="7"/>
    </row>
    <row r="1466" customFormat="false" ht="15" hidden="false" customHeight="true" outlineLevel="0" collapsed="false">
      <c r="A1466" s="15"/>
      <c r="B1466" s="7"/>
      <c r="C1466" s="16" t="str">
        <f aca="false">IF(B1466="","",IFERROR(INDEX(Products!$B$2:$B$501,MATCH(B1466,Products!$A$2:$A$501,0)),"CODE NOT FOUND"))</f>
        <v/>
      </c>
      <c r="D1466" s="7"/>
      <c r="E1466" s="13"/>
      <c r="F1466" s="17" t="str">
        <f aca="false">IF(OR(D1466="",E1466=""),"",D1466*E1466)</f>
        <v/>
      </c>
      <c r="G1466" s="7"/>
      <c r="H1466" s="7"/>
    </row>
    <row r="1467" customFormat="false" ht="15" hidden="false" customHeight="true" outlineLevel="0" collapsed="false">
      <c r="A1467" s="15"/>
      <c r="B1467" s="7"/>
      <c r="C1467" s="16" t="str">
        <f aca="false">IF(B1467="","",IFERROR(INDEX(Products!$B$2:$B$501,MATCH(B1467,Products!$A$2:$A$501,0)),"CODE NOT FOUND"))</f>
        <v/>
      </c>
      <c r="D1467" s="7"/>
      <c r="E1467" s="13"/>
      <c r="F1467" s="17" t="str">
        <f aca="false">IF(OR(D1467="",E1467=""),"",D1467*E1467)</f>
        <v/>
      </c>
      <c r="G1467" s="7"/>
      <c r="H1467" s="7"/>
    </row>
    <row r="1468" customFormat="false" ht="15" hidden="false" customHeight="true" outlineLevel="0" collapsed="false">
      <c r="A1468" s="15"/>
      <c r="B1468" s="7"/>
      <c r="C1468" s="16" t="str">
        <f aca="false">IF(B1468="","",IFERROR(INDEX(Products!$B$2:$B$501,MATCH(B1468,Products!$A$2:$A$501,0)),"CODE NOT FOUND"))</f>
        <v/>
      </c>
      <c r="D1468" s="7"/>
      <c r="E1468" s="13"/>
      <c r="F1468" s="17" t="str">
        <f aca="false">IF(OR(D1468="",E1468=""),"",D1468*E1468)</f>
        <v/>
      </c>
      <c r="G1468" s="7"/>
      <c r="H1468" s="7"/>
    </row>
    <row r="1469" customFormat="false" ht="15" hidden="false" customHeight="true" outlineLevel="0" collapsed="false">
      <c r="A1469" s="15"/>
      <c r="B1469" s="7"/>
      <c r="C1469" s="16" t="str">
        <f aca="false">IF(B1469="","",IFERROR(INDEX(Products!$B$2:$B$501,MATCH(B1469,Products!$A$2:$A$501,0)),"CODE NOT FOUND"))</f>
        <v/>
      </c>
      <c r="D1469" s="7"/>
      <c r="E1469" s="13"/>
      <c r="F1469" s="17" t="str">
        <f aca="false">IF(OR(D1469="",E1469=""),"",D1469*E1469)</f>
        <v/>
      </c>
      <c r="G1469" s="7"/>
      <c r="H1469" s="7"/>
    </row>
    <row r="1470" customFormat="false" ht="15" hidden="false" customHeight="true" outlineLevel="0" collapsed="false">
      <c r="A1470" s="15"/>
      <c r="B1470" s="7"/>
      <c r="C1470" s="16" t="str">
        <f aca="false">IF(B1470="","",IFERROR(INDEX(Products!$B$2:$B$501,MATCH(B1470,Products!$A$2:$A$501,0)),"CODE NOT FOUND"))</f>
        <v/>
      </c>
      <c r="D1470" s="7"/>
      <c r="E1470" s="13"/>
      <c r="F1470" s="17" t="str">
        <f aca="false">IF(OR(D1470="",E1470=""),"",D1470*E1470)</f>
        <v/>
      </c>
      <c r="G1470" s="7"/>
      <c r="H1470" s="7"/>
    </row>
    <row r="1471" customFormat="false" ht="15" hidden="false" customHeight="true" outlineLevel="0" collapsed="false">
      <c r="A1471" s="15"/>
      <c r="B1471" s="7"/>
      <c r="C1471" s="16" t="str">
        <f aca="false">IF(B1471="","",IFERROR(INDEX(Products!$B$2:$B$501,MATCH(B1471,Products!$A$2:$A$501,0)),"CODE NOT FOUND"))</f>
        <v/>
      </c>
      <c r="D1471" s="7"/>
      <c r="E1471" s="13"/>
      <c r="F1471" s="17" t="str">
        <f aca="false">IF(OR(D1471="",E1471=""),"",D1471*E1471)</f>
        <v/>
      </c>
      <c r="G1471" s="7"/>
      <c r="H1471" s="7"/>
    </row>
    <row r="1472" customFormat="false" ht="15" hidden="false" customHeight="true" outlineLevel="0" collapsed="false">
      <c r="A1472" s="15"/>
      <c r="B1472" s="7"/>
      <c r="C1472" s="16" t="str">
        <f aca="false">IF(B1472="","",IFERROR(INDEX(Products!$B$2:$B$501,MATCH(B1472,Products!$A$2:$A$501,0)),"CODE NOT FOUND"))</f>
        <v/>
      </c>
      <c r="D1472" s="7"/>
      <c r="E1472" s="13"/>
      <c r="F1472" s="17" t="str">
        <f aca="false">IF(OR(D1472="",E1472=""),"",D1472*E1472)</f>
        <v/>
      </c>
      <c r="G1472" s="7"/>
      <c r="H1472" s="7"/>
    </row>
    <row r="1473" customFormat="false" ht="15" hidden="false" customHeight="true" outlineLevel="0" collapsed="false">
      <c r="A1473" s="15"/>
      <c r="B1473" s="7"/>
      <c r="C1473" s="16" t="str">
        <f aca="false">IF(B1473="","",IFERROR(INDEX(Products!$B$2:$B$501,MATCH(B1473,Products!$A$2:$A$501,0)),"CODE NOT FOUND"))</f>
        <v/>
      </c>
      <c r="D1473" s="7"/>
      <c r="E1473" s="13"/>
      <c r="F1473" s="17" t="str">
        <f aca="false">IF(OR(D1473="",E1473=""),"",D1473*E1473)</f>
        <v/>
      </c>
      <c r="G1473" s="7"/>
      <c r="H1473" s="7"/>
    </row>
    <row r="1474" customFormat="false" ht="15" hidden="false" customHeight="true" outlineLevel="0" collapsed="false">
      <c r="A1474" s="15"/>
      <c r="B1474" s="7"/>
      <c r="C1474" s="16" t="str">
        <f aca="false">IF(B1474="","",IFERROR(INDEX(Products!$B$2:$B$501,MATCH(B1474,Products!$A$2:$A$501,0)),"CODE NOT FOUND"))</f>
        <v/>
      </c>
      <c r="D1474" s="7"/>
      <c r="E1474" s="13"/>
      <c r="F1474" s="17" t="str">
        <f aca="false">IF(OR(D1474="",E1474=""),"",D1474*E1474)</f>
        <v/>
      </c>
      <c r="G1474" s="7"/>
      <c r="H1474" s="7"/>
    </row>
    <row r="1475" customFormat="false" ht="15" hidden="false" customHeight="true" outlineLevel="0" collapsed="false">
      <c r="A1475" s="15"/>
      <c r="B1475" s="7"/>
      <c r="C1475" s="16" t="str">
        <f aca="false">IF(B1475="","",IFERROR(INDEX(Products!$B$2:$B$501,MATCH(B1475,Products!$A$2:$A$501,0)),"CODE NOT FOUND"))</f>
        <v/>
      </c>
      <c r="D1475" s="7"/>
      <c r="E1475" s="13"/>
      <c r="F1475" s="17" t="str">
        <f aca="false">IF(OR(D1475="",E1475=""),"",D1475*E1475)</f>
        <v/>
      </c>
      <c r="G1475" s="7"/>
      <c r="H1475" s="7"/>
    </row>
    <row r="1476" customFormat="false" ht="15" hidden="false" customHeight="true" outlineLevel="0" collapsed="false">
      <c r="A1476" s="15"/>
      <c r="B1476" s="7"/>
      <c r="C1476" s="16" t="str">
        <f aca="false">IF(B1476="","",IFERROR(INDEX(Products!$B$2:$B$501,MATCH(B1476,Products!$A$2:$A$501,0)),"CODE NOT FOUND"))</f>
        <v/>
      </c>
      <c r="D1476" s="7"/>
      <c r="E1476" s="13"/>
      <c r="F1476" s="17" t="str">
        <f aca="false">IF(OR(D1476="",E1476=""),"",D1476*E1476)</f>
        <v/>
      </c>
      <c r="G1476" s="7"/>
      <c r="H1476" s="7"/>
    </row>
    <row r="1477" customFormat="false" ht="15" hidden="false" customHeight="true" outlineLevel="0" collapsed="false">
      <c r="A1477" s="15"/>
      <c r="B1477" s="7"/>
      <c r="C1477" s="16" t="str">
        <f aca="false">IF(B1477="","",IFERROR(INDEX(Products!$B$2:$B$501,MATCH(B1477,Products!$A$2:$A$501,0)),"CODE NOT FOUND"))</f>
        <v/>
      </c>
      <c r="D1477" s="7"/>
      <c r="E1477" s="13"/>
      <c r="F1477" s="17" t="str">
        <f aca="false">IF(OR(D1477="",E1477=""),"",D1477*E1477)</f>
        <v/>
      </c>
      <c r="G1477" s="7"/>
      <c r="H1477" s="7"/>
    </row>
    <row r="1478" customFormat="false" ht="15" hidden="false" customHeight="true" outlineLevel="0" collapsed="false">
      <c r="A1478" s="15"/>
      <c r="B1478" s="7"/>
      <c r="C1478" s="16" t="str">
        <f aca="false">IF(B1478="","",IFERROR(INDEX(Products!$B$2:$B$501,MATCH(B1478,Products!$A$2:$A$501,0)),"CODE NOT FOUND"))</f>
        <v/>
      </c>
      <c r="D1478" s="7"/>
      <c r="E1478" s="13"/>
      <c r="F1478" s="17" t="str">
        <f aca="false">IF(OR(D1478="",E1478=""),"",D1478*E1478)</f>
        <v/>
      </c>
      <c r="G1478" s="7"/>
      <c r="H1478" s="7"/>
    </row>
    <row r="1479" customFormat="false" ht="15" hidden="false" customHeight="true" outlineLevel="0" collapsed="false">
      <c r="A1479" s="15"/>
      <c r="B1479" s="7"/>
      <c r="C1479" s="16" t="str">
        <f aca="false">IF(B1479="","",IFERROR(INDEX(Products!$B$2:$B$501,MATCH(B1479,Products!$A$2:$A$501,0)),"CODE NOT FOUND"))</f>
        <v/>
      </c>
      <c r="D1479" s="7"/>
      <c r="E1479" s="13"/>
      <c r="F1479" s="17" t="str">
        <f aca="false">IF(OR(D1479="",E1479=""),"",D1479*E1479)</f>
        <v/>
      </c>
      <c r="G1479" s="7"/>
      <c r="H1479" s="7"/>
    </row>
    <row r="1480" customFormat="false" ht="15" hidden="false" customHeight="true" outlineLevel="0" collapsed="false">
      <c r="A1480" s="15"/>
      <c r="B1480" s="7"/>
      <c r="C1480" s="16" t="str">
        <f aca="false">IF(B1480="","",IFERROR(INDEX(Products!$B$2:$B$501,MATCH(B1480,Products!$A$2:$A$501,0)),"CODE NOT FOUND"))</f>
        <v/>
      </c>
      <c r="D1480" s="7"/>
      <c r="E1480" s="13"/>
      <c r="F1480" s="17" t="str">
        <f aca="false">IF(OR(D1480="",E1480=""),"",D1480*E1480)</f>
        <v/>
      </c>
      <c r="G1480" s="7"/>
      <c r="H1480" s="7"/>
    </row>
    <row r="1481" customFormat="false" ht="15" hidden="false" customHeight="true" outlineLevel="0" collapsed="false">
      <c r="A1481" s="15"/>
      <c r="B1481" s="7"/>
      <c r="C1481" s="16" t="str">
        <f aca="false">IF(B1481="","",IFERROR(INDEX(Products!$B$2:$B$501,MATCH(B1481,Products!$A$2:$A$501,0)),"CODE NOT FOUND"))</f>
        <v/>
      </c>
      <c r="D1481" s="7"/>
      <c r="E1481" s="13"/>
      <c r="F1481" s="17" t="str">
        <f aca="false">IF(OR(D1481="",E1481=""),"",D1481*E1481)</f>
        <v/>
      </c>
      <c r="G1481" s="7"/>
      <c r="H1481" s="7"/>
    </row>
    <row r="1482" customFormat="false" ht="15" hidden="false" customHeight="true" outlineLevel="0" collapsed="false">
      <c r="A1482" s="15"/>
      <c r="B1482" s="7"/>
      <c r="C1482" s="16" t="str">
        <f aca="false">IF(B1482="","",IFERROR(INDEX(Products!$B$2:$B$501,MATCH(B1482,Products!$A$2:$A$501,0)),"CODE NOT FOUND"))</f>
        <v/>
      </c>
      <c r="D1482" s="7"/>
      <c r="E1482" s="13"/>
      <c r="F1482" s="17" t="str">
        <f aca="false">IF(OR(D1482="",E1482=""),"",D1482*E1482)</f>
        <v/>
      </c>
      <c r="G1482" s="7"/>
      <c r="H1482" s="7"/>
    </row>
    <row r="1483" customFormat="false" ht="15" hidden="false" customHeight="true" outlineLevel="0" collapsed="false">
      <c r="A1483" s="15"/>
      <c r="B1483" s="7"/>
      <c r="C1483" s="16" t="str">
        <f aca="false">IF(B1483="","",IFERROR(INDEX(Products!$B$2:$B$501,MATCH(B1483,Products!$A$2:$A$501,0)),"CODE NOT FOUND"))</f>
        <v/>
      </c>
      <c r="D1483" s="7"/>
      <c r="E1483" s="13"/>
      <c r="F1483" s="17" t="str">
        <f aca="false">IF(OR(D1483="",E1483=""),"",D1483*E1483)</f>
        <v/>
      </c>
      <c r="G1483" s="7"/>
      <c r="H1483" s="7"/>
    </row>
    <row r="1484" customFormat="false" ht="15" hidden="false" customHeight="true" outlineLevel="0" collapsed="false">
      <c r="A1484" s="15"/>
      <c r="B1484" s="7"/>
      <c r="C1484" s="16" t="str">
        <f aca="false">IF(B1484="","",IFERROR(INDEX(Products!$B$2:$B$501,MATCH(B1484,Products!$A$2:$A$501,0)),"CODE NOT FOUND"))</f>
        <v/>
      </c>
      <c r="D1484" s="7"/>
      <c r="E1484" s="13"/>
      <c r="F1484" s="17" t="str">
        <f aca="false">IF(OR(D1484="",E1484=""),"",D1484*E1484)</f>
        <v/>
      </c>
      <c r="G1484" s="7"/>
      <c r="H1484" s="7"/>
    </row>
    <row r="1485" customFormat="false" ht="15" hidden="false" customHeight="true" outlineLevel="0" collapsed="false">
      <c r="A1485" s="15"/>
      <c r="B1485" s="7"/>
      <c r="C1485" s="16" t="str">
        <f aca="false">IF(B1485="","",IFERROR(INDEX(Products!$B$2:$B$501,MATCH(B1485,Products!$A$2:$A$501,0)),"CODE NOT FOUND"))</f>
        <v/>
      </c>
      <c r="D1485" s="7"/>
      <c r="E1485" s="13"/>
      <c r="F1485" s="17" t="str">
        <f aca="false">IF(OR(D1485="",E1485=""),"",D1485*E1485)</f>
        <v/>
      </c>
      <c r="G1485" s="7"/>
      <c r="H1485" s="7"/>
    </row>
    <row r="1486" customFormat="false" ht="15" hidden="false" customHeight="true" outlineLevel="0" collapsed="false">
      <c r="A1486" s="15"/>
      <c r="B1486" s="7"/>
      <c r="C1486" s="16" t="str">
        <f aca="false">IF(B1486="","",IFERROR(INDEX(Products!$B$2:$B$501,MATCH(B1486,Products!$A$2:$A$501,0)),"CODE NOT FOUND"))</f>
        <v/>
      </c>
      <c r="D1486" s="7"/>
      <c r="E1486" s="13"/>
      <c r="F1486" s="17" t="str">
        <f aca="false">IF(OR(D1486="",E1486=""),"",D1486*E1486)</f>
        <v/>
      </c>
      <c r="G1486" s="7"/>
      <c r="H1486" s="7"/>
    </row>
    <row r="1487" customFormat="false" ht="15" hidden="false" customHeight="true" outlineLevel="0" collapsed="false">
      <c r="A1487" s="15"/>
      <c r="B1487" s="7"/>
      <c r="C1487" s="16" t="str">
        <f aca="false">IF(B1487="","",IFERROR(INDEX(Products!$B$2:$B$501,MATCH(B1487,Products!$A$2:$A$501,0)),"CODE NOT FOUND"))</f>
        <v/>
      </c>
      <c r="D1487" s="7"/>
      <c r="E1487" s="13"/>
      <c r="F1487" s="17" t="str">
        <f aca="false">IF(OR(D1487="",E1487=""),"",D1487*E1487)</f>
        <v/>
      </c>
      <c r="G1487" s="7"/>
      <c r="H1487" s="7"/>
    </row>
    <row r="1488" customFormat="false" ht="15" hidden="false" customHeight="true" outlineLevel="0" collapsed="false">
      <c r="A1488" s="15"/>
      <c r="B1488" s="7"/>
      <c r="C1488" s="16" t="str">
        <f aca="false">IF(B1488="","",IFERROR(INDEX(Products!$B$2:$B$501,MATCH(B1488,Products!$A$2:$A$501,0)),"CODE NOT FOUND"))</f>
        <v/>
      </c>
      <c r="D1488" s="7"/>
      <c r="E1488" s="13"/>
      <c r="F1488" s="17" t="str">
        <f aca="false">IF(OR(D1488="",E1488=""),"",D1488*E1488)</f>
        <v/>
      </c>
      <c r="G1488" s="7"/>
      <c r="H1488" s="7"/>
    </row>
    <row r="1489" customFormat="false" ht="15" hidden="false" customHeight="true" outlineLevel="0" collapsed="false">
      <c r="A1489" s="15"/>
      <c r="B1489" s="7"/>
      <c r="C1489" s="16" t="str">
        <f aca="false">IF(B1489="","",IFERROR(INDEX(Products!$B$2:$B$501,MATCH(B1489,Products!$A$2:$A$501,0)),"CODE NOT FOUND"))</f>
        <v/>
      </c>
      <c r="D1489" s="7"/>
      <c r="E1489" s="13"/>
      <c r="F1489" s="17" t="str">
        <f aca="false">IF(OR(D1489="",E1489=""),"",D1489*E1489)</f>
        <v/>
      </c>
      <c r="G1489" s="7"/>
      <c r="H1489" s="7"/>
    </row>
    <row r="1490" customFormat="false" ht="15" hidden="false" customHeight="true" outlineLevel="0" collapsed="false">
      <c r="A1490" s="15"/>
      <c r="B1490" s="7"/>
      <c r="C1490" s="16" t="str">
        <f aca="false">IF(B1490="","",IFERROR(INDEX(Products!$B$2:$B$501,MATCH(B1490,Products!$A$2:$A$501,0)),"CODE NOT FOUND"))</f>
        <v/>
      </c>
      <c r="D1490" s="7"/>
      <c r="E1490" s="13"/>
      <c r="F1490" s="17" t="str">
        <f aca="false">IF(OR(D1490="",E1490=""),"",D1490*E1490)</f>
        <v/>
      </c>
      <c r="G1490" s="7"/>
      <c r="H1490" s="7"/>
    </row>
    <row r="1491" customFormat="false" ht="15" hidden="false" customHeight="true" outlineLevel="0" collapsed="false">
      <c r="A1491" s="15"/>
      <c r="B1491" s="7"/>
      <c r="C1491" s="16" t="str">
        <f aca="false">IF(B1491="","",IFERROR(INDEX(Products!$B$2:$B$501,MATCH(B1491,Products!$A$2:$A$501,0)),"CODE NOT FOUND"))</f>
        <v/>
      </c>
      <c r="D1491" s="7"/>
      <c r="E1491" s="13"/>
      <c r="F1491" s="17" t="str">
        <f aca="false">IF(OR(D1491="",E1491=""),"",D1491*E1491)</f>
        <v/>
      </c>
      <c r="G1491" s="7"/>
      <c r="H1491" s="7"/>
    </row>
    <row r="1492" customFormat="false" ht="15" hidden="false" customHeight="true" outlineLevel="0" collapsed="false">
      <c r="A1492" s="15"/>
      <c r="B1492" s="7"/>
      <c r="C1492" s="16" t="str">
        <f aca="false">IF(B1492="","",IFERROR(INDEX(Products!$B$2:$B$501,MATCH(B1492,Products!$A$2:$A$501,0)),"CODE NOT FOUND"))</f>
        <v/>
      </c>
      <c r="D1492" s="7"/>
      <c r="E1492" s="13"/>
      <c r="F1492" s="17" t="str">
        <f aca="false">IF(OR(D1492="",E1492=""),"",D1492*E1492)</f>
        <v/>
      </c>
      <c r="G1492" s="7"/>
      <c r="H1492" s="7"/>
    </row>
    <row r="1493" customFormat="false" ht="15" hidden="false" customHeight="true" outlineLevel="0" collapsed="false">
      <c r="A1493" s="15"/>
      <c r="B1493" s="7"/>
      <c r="C1493" s="16" t="str">
        <f aca="false">IF(B1493="","",IFERROR(INDEX(Products!$B$2:$B$501,MATCH(B1493,Products!$A$2:$A$501,0)),"CODE NOT FOUND"))</f>
        <v/>
      </c>
      <c r="D1493" s="7"/>
      <c r="E1493" s="13"/>
      <c r="F1493" s="17" t="str">
        <f aca="false">IF(OR(D1493="",E1493=""),"",D1493*E1493)</f>
        <v/>
      </c>
      <c r="G1493" s="7"/>
      <c r="H1493" s="7"/>
    </row>
    <row r="1494" customFormat="false" ht="15" hidden="false" customHeight="true" outlineLevel="0" collapsed="false">
      <c r="A1494" s="15"/>
      <c r="B1494" s="7"/>
      <c r="C1494" s="16" t="str">
        <f aca="false">IF(B1494="","",IFERROR(INDEX(Products!$B$2:$B$501,MATCH(B1494,Products!$A$2:$A$501,0)),"CODE NOT FOUND"))</f>
        <v/>
      </c>
      <c r="D1494" s="7"/>
      <c r="E1494" s="13"/>
      <c r="F1494" s="17" t="str">
        <f aca="false">IF(OR(D1494="",E1494=""),"",D1494*E1494)</f>
        <v/>
      </c>
      <c r="G1494" s="7"/>
      <c r="H1494" s="7"/>
    </row>
    <row r="1495" customFormat="false" ht="15" hidden="false" customHeight="true" outlineLevel="0" collapsed="false">
      <c r="A1495" s="15"/>
      <c r="B1495" s="7"/>
      <c r="C1495" s="16" t="str">
        <f aca="false">IF(B1495="","",IFERROR(INDEX(Products!$B$2:$B$501,MATCH(B1495,Products!$A$2:$A$501,0)),"CODE NOT FOUND"))</f>
        <v/>
      </c>
      <c r="D1495" s="7"/>
      <c r="E1495" s="13"/>
      <c r="F1495" s="17" t="str">
        <f aca="false">IF(OR(D1495="",E1495=""),"",D1495*E1495)</f>
        <v/>
      </c>
      <c r="G1495" s="7"/>
      <c r="H1495" s="7"/>
    </row>
    <row r="1496" customFormat="false" ht="15" hidden="false" customHeight="true" outlineLevel="0" collapsed="false">
      <c r="A1496" s="15"/>
      <c r="B1496" s="7"/>
      <c r="C1496" s="16" t="str">
        <f aca="false">IF(B1496="","",IFERROR(INDEX(Products!$B$2:$B$501,MATCH(B1496,Products!$A$2:$A$501,0)),"CODE NOT FOUND"))</f>
        <v/>
      </c>
      <c r="D1496" s="7"/>
      <c r="E1496" s="13"/>
      <c r="F1496" s="17" t="str">
        <f aca="false">IF(OR(D1496="",E1496=""),"",D1496*E1496)</f>
        <v/>
      </c>
      <c r="G1496" s="7"/>
      <c r="H1496" s="7"/>
    </row>
    <row r="1497" customFormat="false" ht="15" hidden="false" customHeight="true" outlineLevel="0" collapsed="false">
      <c r="A1497" s="15"/>
      <c r="B1497" s="7"/>
      <c r="C1497" s="16" t="str">
        <f aca="false">IF(B1497="","",IFERROR(INDEX(Products!$B$2:$B$501,MATCH(B1497,Products!$A$2:$A$501,0)),"CODE NOT FOUND"))</f>
        <v/>
      </c>
      <c r="D1497" s="7"/>
      <c r="E1497" s="13"/>
      <c r="F1497" s="17" t="str">
        <f aca="false">IF(OR(D1497="",E1497=""),"",D1497*E1497)</f>
        <v/>
      </c>
      <c r="G1497" s="7"/>
      <c r="H1497" s="7"/>
    </row>
    <row r="1498" customFormat="false" ht="15" hidden="false" customHeight="true" outlineLevel="0" collapsed="false">
      <c r="A1498" s="15"/>
      <c r="B1498" s="7"/>
      <c r="C1498" s="16" t="str">
        <f aca="false">IF(B1498="","",IFERROR(INDEX(Products!$B$2:$B$501,MATCH(B1498,Products!$A$2:$A$501,0)),"CODE NOT FOUND"))</f>
        <v/>
      </c>
      <c r="D1498" s="7"/>
      <c r="E1498" s="13"/>
      <c r="F1498" s="17" t="str">
        <f aca="false">IF(OR(D1498="",E1498=""),"",D1498*E1498)</f>
        <v/>
      </c>
      <c r="G1498" s="7"/>
      <c r="H1498" s="7"/>
    </row>
    <row r="1499" customFormat="false" ht="15" hidden="false" customHeight="true" outlineLevel="0" collapsed="false">
      <c r="A1499" s="15"/>
      <c r="B1499" s="7"/>
      <c r="C1499" s="16" t="str">
        <f aca="false">IF(B1499="","",IFERROR(INDEX(Products!$B$2:$B$501,MATCH(B1499,Products!$A$2:$A$501,0)),"CODE NOT FOUND"))</f>
        <v/>
      </c>
      <c r="D1499" s="7"/>
      <c r="E1499" s="13"/>
      <c r="F1499" s="17" t="str">
        <f aca="false">IF(OR(D1499="",E1499=""),"",D1499*E1499)</f>
        <v/>
      </c>
      <c r="G1499" s="7"/>
      <c r="H1499" s="7"/>
    </row>
    <row r="1500" customFormat="false" ht="15" hidden="false" customHeight="true" outlineLevel="0" collapsed="false">
      <c r="A1500" s="15"/>
      <c r="B1500" s="7"/>
      <c r="C1500" s="16" t="str">
        <f aca="false">IF(B1500="","",IFERROR(INDEX(Products!$B$2:$B$501,MATCH(B1500,Products!$A$2:$A$501,0)),"CODE NOT FOUND"))</f>
        <v/>
      </c>
      <c r="D1500" s="7"/>
      <c r="E1500" s="13"/>
      <c r="F1500" s="17" t="str">
        <f aca="false">IF(OR(D1500="",E1500=""),"",D1500*E1500)</f>
        <v/>
      </c>
      <c r="G1500" s="7"/>
      <c r="H1500" s="7"/>
    </row>
    <row r="1501" customFormat="false" ht="15" hidden="false" customHeight="true" outlineLevel="0" collapsed="false">
      <c r="A1501" s="15"/>
      <c r="B1501" s="7"/>
      <c r="C1501" s="16" t="str">
        <f aca="false">IF(B1501="","",IFERROR(INDEX(Products!$B$2:$B$501,MATCH(B1501,Products!$A$2:$A$501,0)),"CODE NOT FOUND"))</f>
        <v/>
      </c>
      <c r="D1501" s="7"/>
      <c r="E1501" s="13"/>
      <c r="F1501" s="17" t="str">
        <f aca="false">IF(OR(D1501="",E1501=""),"",D1501*E1501)</f>
        <v/>
      </c>
      <c r="G1501" s="7"/>
      <c r="H1501" s="7"/>
    </row>
    <row r="1502" customFormat="false" ht="15" hidden="false" customHeight="true" outlineLevel="0" collapsed="false">
      <c r="A1502" s="15"/>
      <c r="B1502" s="7"/>
      <c r="C1502" s="16" t="str">
        <f aca="false">IF(B1502="","",IFERROR(INDEX(Products!$B$2:$B$501,MATCH(B1502,Products!$A$2:$A$501,0)),"CODE NOT FOUND"))</f>
        <v/>
      </c>
      <c r="D1502" s="7"/>
      <c r="E1502" s="13"/>
      <c r="F1502" s="17" t="str">
        <f aca="false">IF(OR(D1502="",E1502=""),"",D1502*E1502)</f>
        <v/>
      </c>
      <c r="G1502" s="7"/>
      <c r="H1502" s="7"/>
    </row>
    <row r="1503" customFormat="false" ht="15" hidden="false" customHeight="true" outlineLevel="0" collapsed="false">
      <c r="A1503" s="15"/>
      <c r="B1503" s="7"/>
      <c r="C1503" s="16" t="str">
        <f aca="false">IF(B1503="","",IFERROR(INDEX(Products!$B$2:$B$501,MATCH(B1503,Products!$A$2:$A$501,0)),"CODE NOT FOUND"))</f>
        <v/>
      </c>
      <c r="D1503" s="7"/>
      <c r="E1503" s="13"/>
      <c r="F1503" s="17" t="str">
        <f aca="false">IF(OR(D1503="",E1503=""),"",D1503*E1503)</f>
        <v/>
      </c>
      <c r="G1503" s="7"/>
      <c r="H1503" s="7"/>
    </row>
    <row r="1504" customFormat="false" ht="15" hidden="false" customHeight="true" outlineLevel="0" collapsed="false">
      <c r="A1504" s="15"/>
      <c r="B1504" s="7"/>
      <c r="C1504" s="16" t="str">
        <f aca="false">IF(B1504="","",IFERROR(INDEX(Products!$B$2:$B$501,MATCH(B1504,Products!$A$2:$A$501,0)),"CODE NOT FOUND"))</f>
        <v/>
      </c>
      <c r="D1504" s="7"/>
      <c r="E1504" s="13"/>
      <c r="F1504" s="17" t="str">
        <f aca="false">IF(OR(D1504="",E1504=""),"",D1504*E1504)</f>
        <v/>
      </c>
      <c r="G1504" s="7"/>
      <c r="H1504" s="7"/>
    </row>
    <row r="1505" customFormat="false" ht="15" hidden="false" customHeight="true" outlineLevel="0" collapsed="false">
      <c r="A1505" s="15"/>
      <c r="B1505" s="7"/>
      <c r="C1505" s="16" t="str">
        <f aca="false">IF(B1505="","",IFERROR(INDEX(Products!$B$2:$B$501,MATCH(B1505,Products!$A$2:$A$501,0)),"CODE NOT FOUND"))</f>
        <v/>
      </c>
      <c r="D1505" s="7"/>
      <c r="E1505" s="13"/>
      <c r="F1505" s="17" t="str">
        <f aca="false">IF(OR(D1505="",E1505=""),"",D1505*E1505)</f>
        <v/>
      </c>
      <c r="G1505" s="7"/>
      <c r="H1505" s="7"/>
    </row>
    <row r="1506" customFormat="false" ht="15" hidden="false" customHeight="true" outlineLevel="0" collapsed="false">
      <c r="A1506" s="15"/>
      <c r="B1506" s="7"/>
      <c r="C1506" s="16" t="str">
        <f aca="false">IF(B1506="","",IFERROR(INDEX(Products!$B$2:$B$501,MATCH(B1506,Products!$A$2:$A$501,0)),"CODE NOT FOUND"))</f>
        <v/>
      </c>
      <c r="D1506" s="7"/>
      <c r="E1506" s="13"/>
      <c r="F1506" s="17" t="str">
        <f aca="false">IF(OR(D1506="",E1506=""),"",D1506*E1506)</f>
        <v/>
      </c>
      <c r="G1506" s="7"/>
      <c r="H1506" s="7"/>
    </row>
    <row r="1507" customFormat="false" ht="15" hidden="false" customHeight="true" outlineLevel="0" collapsed="false">
      <c r="A1507" s="15"/>
      <c r="B1507" s="7"/>
      <c r="C1507" s="16" t="str">
        <f aca="false">IF(B1507="","",IFERROR(INDEX(Products!$B$2:$B$501,MATCH(B1507,Products!$A$2:$A$501,0)),"CODE NOT FOUND"))</f>
        <v/>
      </c>
      <c r="D1507" s="7"/>
      <c r="E1507" s="13"/>
      <c r="F1507" s="17" t="str">
        <f aca="false">IF(OR(D1507="",E1507=""),"",D1507*E1507)</f>
        <v/>
      </c>
      <c r="G1507" s="7"/>
      <c r="H1507" s="7"/>
    </row>
    <row r="1508" customFormat="false" ht="15" hidden="false" customHeight="true" outlineLevel="0" collapsed="false">
      <c r="A1508" s="15"/>
      <c r="B1508" s="7"/>
      <c r="C1508" s="16" t="str">
        <f aca="false">IF(B1508="","",IFERROR(INDEX(Products!$B$2:$B$501,MATCH(B1508,Products!$A$2:$A$501,0)),"CODE NOT FOUND"))</f>
        <v/>
      </c>
      <c r="D1508" s="7"/>
      <c r="E1508" s="13"/>
      <c r="F1508" s="17" t="str">
        <f aca="false">IF(OR(D1508="",E1508=""),"",D1508*E1508)</f>
        <v/>
      </c>
      <c r="G1508" s="7"/>
      <c r="H1508" s="7"/>
    </row>
    <row r="1509" customFormat="false" ht="15" hidden="false" customHeight="true" outlineLevel="0" collapsed="false">
      <c r="A1509" s="15"/>
      <c r="B1509" s="7"/>
      <c r="C1509" s="16" t="str">
        <f aca="false">IF(B1509="","",IFERROR(INDEX(Products!$B$2:$B$501,MATCH(B1509,Products!$A$2:$A$501,0)),"CODE NOT FOUND"))</f>
        <v/>
      </c>
      <c r="D1509" s="7"/>
      <c r="E1509" s="13"/>
      <c r="F1509" s="17" t="str">
        <f aca="false">IF(OR(D1509="",E1509=""),"",D1509*E1509)</f>
        <v/>
      </c>
      <c r="G1509" s="7"/>
      <c r="H1509" s="7"/>
    </row>
    <row r="1510" customFormat="false" ht="15" hidden="false" customHeight="true" outlineLevel="0" collapsed="false">
      <c r="A1510" s="15"/>
      <c r="B1510" s="7"/>
      <c r="C1510" s="16" t="str">
        <f aca="false">IF(B1510="","",IFERROR(INDEX(Products!$B$2:$B$501,MATCH(B1510,Products!$A$2:$A$501,0)),"CODE NOT FOUND"))</f>
        <v/>
      </c>
      <c r="D1510" s="7"/>
      <c r="E1510" s="13"/>
      <c r="F1510" s="17" t="str">
        <f aca="false">IF(OR(D1510="",E1510=""),"",D1510*E1510)</f>
        <v/>
      </c>
      <c r="G1510" s="7"/>
      <c r="H1510" s="7"/>
    </row>
    <row r="1511" customFormat="false" ht="15" hidden="false" customHeight="true" outlineLevel="0" collapsed="false">
      <c r="A1511" s="15"/>
      <c r="B1511" s="7"/>
      <c r="C1511" s="16" t="str">
        <f aca="false">IF(B1511="","",IFERROR(INDEX(Products!$B$2:$B$501,MATCH(B1511,Products!$A$2:$A$501,0)),"CODE NOT FOUND"))</f>
        <v/>
      </c>
      <c r="D1511" s="7"/>
      <c r="E1511" s="13"/>
      <c r="F1511" s="17" t="str">
        <f aca="false">IF(OR(D1511="",E1511=""),"",D1511*E1511)</f>
        <v/>
      </c>
      <c r="G1511" s="7"/>
      <c r="H1511" s="7"/>
    </row>
    <row r="1512" customFormat="false" ht="15" hidden="false" customHeight="true" outlineLevel="0" collapsed="false">
      <c r="A1512" s="15"/>
      <c r="B1512" s="7"/>
      <c r="C1512" s="16" t="str">
        <f aca="false">IF(B1512="","",IFERROR(INDEX(Products!$B$2:$B$501,MATCH(B1512,Products!$A$2:$A$501,0)),"CODE NOT FOUND"))</f>
        <v/>
      </c>
      <c r="D1512" s="7"/>
      <c r="E1512" s="13"/>
      <c r="F1512" s="17" t="str">
        <f aca="false">IF(OR(D1512="",E1512=""),"",D1512*E1512)</f>
        <v/>
      </c>
      <c r="G1512" s="7"/>
      <c r="H1512" s="7"/>
    </row>
    <row r="1513" customFormat="false" ht="15" hidden="false" customHeight="true" outlineLevel="0" collapsed="false">
      <c r="A1513" s="15"/>
      <c r="B1513" s="7"/>
      <c r="C1513" s="16" t="str">
        <f aca="false">IF(B1513="","",IFERROR(INDEX(Products!$B$2:$B$501,MATCH(B1513,Products!$A$2:$A$501,0)),"CODE NOT FOUND"))</f>
        <v/>
      </c>
      <c r="D1513" s="7"/>
      <c r="E1513" s="13"/>
      <c r="F1513" s="17" t="str">
        <f aca="false">IF(OR(D1513="",E1513=""),"",D1513*E1513)</f>
        <v/>
      </c>
      <c r="G1513" s="7"/>
      <c r="H1513" s="7"/>
    </row>
    <row r="1514" customFormat="false" ht="15" hidden="false" customHeight="true" outlineLevel="0" collapsed="false">
      <c r="A1514" s="15"/>
      <c r="B1514" s="7"/>
      <c r="C1514" s="16" t="str">
        <f aca="false">IF(B1514="","",IFERROR(INDEX(Products!$B$2:$B$501,MATCH(B1514,Products!$A$2:$A$501,0)),"CODE NOT FOUND"))</f>
        <v/>
      </c>
      <c r="D1514" s="7"/>
      <c r="E1514" s="13"/>
      <c r="F1514" s="17" t="str">
        <f aca="false">IF(OR(D1514="",E1514=""),"",D1514*E1514)</f>
        <v/>
      </c>
      <c r="G1514" s="7"/>
      <c r="H1514" s="7"/>
    </row>
    <row r="1515" customFormat="false" ht="15" hidden="false" customHeight="true" outlineLevel="0" collapsed="false">
      <c r="A1515" s="15"/>
      <c r="B1515" s="7"/>
      <c r="C1515" s="16" t="str">
        <f aca="false">IF(B1515="","",IFERROR(INDEX(Products!$B$2:$B$501,MATCH(B1515,Products!$A$2:$A$501,0)),"CODE NOT FOUND"))</f>
        <v/>
      </c>
      <c r="D1515" s="7"/>
      <c r="E1515" s="13"/>
      <c r="F1515" s="17" t="str">
        <f aca="false">IF(OR(D1515="",E1515=""),"",D1515*E1515)</f>
        <v/>
      </c>
      <c r="G1515" s="7"/>
      <c r="H1515" s="7"/>
    </row>
    <row r="1516" customFormat="false" ht="15" hidden="false" customHeight="true" outlineLevel="0" collapsed="false">
      <c r="A1516" s="15"/>
      <c r="B1516" s="7"/>
      <c r="C1516" s="16" t="str">
        <f aca="false">IF(B1516="","",IFERROR(INDEX(Products!$B$2:$B$501,MATCH(B1516,Products!$A$2:$A$501,0)),"CODE NOT FOUND"))</f>
        <v/>
      </c>
      <c r="D1516" s="7"/>
      <c r="E1516" s="13"/>
      <c r="F1516" s="17" t="str">
        <f aca="false">IF(OR(D1516="",E1516=""),"",D1516*E1516)</f>
        <v/>
      </c>
      <c r="G1516" s="7"/>
      <c r="H1516" s="7"/>
    </row>
    <row r="1517" customFormat="false" ht="15" hidden="false" customHeight="true" outlineLevel="0" collapsed="false">
      <c r="A1517" s="15"/>
      <c r="B1517" s="7"/>
      <c r="C1517" s="16" t="str">
        <f aca="false">IF(B1517="","",IFERROR(INDEX(Products!$B$2:$B$501,MATCH(B1517,Products!$A$2:$A$501,0)),"CODE NOT FOUND"))</f>
        <v/>
      </c>
      <c r="D1517" s="7"/>
      <c r="E1517" s="13"/>
      <c r="F1517" s="17" t="str">
        <f aca="false">IF(OR(D1517="",E1517=""),"",D1517*E1517)</f>
        <v/>
      </c>
      <c r="G1517" s="7"/>
      <c r="H1517" s="7"/>
    </row>
    <row r="1518" customFormat="false" ht="15" hidden="false" customHeight="true" outlineLevel="0" collapsed="false">
      <c r="A1518" s="15"/>
      <c r="B1518" s="7"/>
      <c r="C1518" s="16" t="str">
        <f aca="false">IF(B1518="","",IFERROR(INDEX(Products!$B$2:$B$501,MATCH(B1518,Products!$A$2:$A$501,0)),"CODE NOT FOUND"))</f>
        <v/>
      </c>
      <c r="D1518" s="7"/>
      <c r="E1518" s="13"/>
      <c r="F1518" s="17" t="str">
        <f aca="false">IF(OR(D1518="",E1518=""),"",D1518*E1518)</f>
        <v/>
      </c>
      <c r="G1518" s="7"/>
      <c r="H1518" s="7"/>
    </row>
    <row r="1519" customFormat="false" ht="15" hidden="false" customHeight="true" outlineLevel="0" collapsed="false">
      <c r="A1519" s="15"/>
      <c r="B1519" s="7"/>
      <c r="C1519" s="16" t="str">
        <f aca="false">IF(B1519="","",IFERROR(INDEX(Products!$B$2:$B$501,MATCH(B1519,Products!$A$2:$A$501,0)),"CODE NOT FOUND"))</f>
        <v/>
      </c>
      <c r="D1519" s="7"/>
      <c r="E1519" s="13"/>
      <c r="F1519" s="17" t="str">
        <f aca="false">IF(OR(D1519="",E1519=""),"",D1519*E1519)</f>
        <v/>
      </c>
      <c r="G1519" s="7"/>
      <c r="H1519" s="7"/>
    </row>
    <row r="1520" customFormat="false" ht="15" hidden="false" customHeight="true" outlineLevel="0" collapsed="false">
      <c r="A1520" s="15"/>
      <c r="B1520" s="7"/>
      <c r="C1520" s="16" t="str">
        <f aca="false">IF(B1520="","",IFERROR(INDEX(Products!$B$2:$B$501,MATCH(B1520,Products!$A$2:$A$501,0)),"CODE NOT FOUND"))</f>
        <v/>
      </c>
      <c r="D1520" s="7"/>
      <c r="E1520" s="13"/>
      <c r="F1520" s="17" t="str">
        <f aca="false">IF(OR(D1520="",E1520=""),"",D1520*E1520)</f>
        <v/>
      </c>
      <c r="G1520" s="7"/>
      <c r="H1520" s="7"/>
    </row>
    <row r="1521" customFormat="false" ht="15" hidden="false" customHeight="true" outlineLevel="0" collapsed="false">
      <c r="A1521" s="15"/>
      <c r="B1521" s="7"/>
      <c r="C1521" s="16" t="str">
        <f aca="false">IF(B1521="","",IFERROR(INDEX(Products!$B$2:$B$501,MATCH(B1521,Products!$A$2:$A$501,0)),"CODE NOT FOUND"))</f>
        <v/>
      </c>
      <c r="D1521" s="7"/>
      <c r="E1521" s="13"/>
      <c r="F1521" s="17" t="str">
        <f aca="false">IF(OR(D1521="",E1521=""),"",D1521*E1521)</f>
        <v/>
      </c>
      <c r="G1521" s="7"/>
      <c r="H1521" s="7"/>
    </row>
    <row r="1522" customFormat="false" ht="15" hidden="false" customHeight="true" outlineLevel="0" collapsed="false">
      <c r="A1522" s="15"/>
      <c r="B1522" s="7"/>
      <c r="C1522" s="16" t="str">
        <f aca="false">IF(B1522="","",IFERROR(INDEX(Products!$B$2:$B$501,MATCH(B1522,Products!$A$2:$A$501,0)),"CODE NOT FOUND"))</f>
        <v/>
      </c>
      <c r="D1522" s="7"/>
      <c r="E1522" s="13"/>
      <c r="F1522" s="17" t="str">
        <f aca="false">IF(OR(D1522="",E1522=""),"",D1522*E1522)</f>
        <v/>
      </c>
      <c r="G1522" s="7"/>
      <c r="H1522" s="7"/>
    </row>
    <row r="1523" customFormat="false" ht="15" hidden="false" customHeight="true" outlineLevel="0" collapsed="false">
      <c r="A1523" s="15"/>
      <c r="B1523" s="7"/>
      <c r="C1523" s="16" t="str">
        <f aca="false">IF(B1523="","",IFERROR(INDEX(Products!$B$2:$B$501,MATCH(B1523,Products!$A$2:$A$501,0)),"CODE NOT FOUND"))</f>
        <v/>
      </c>
      <c r="D1523" s="7"/>
      <c r="E1523" s="13"/>
      <c r="F1523" s="17" t="str">
        <f aca="false">IF(OR(D1523="",E1523=""),"",D1523*E1523)</f>
        <v/>
      </c>
      <c r="G1523" s="7"/>
      <c r="H1523" s="7"/>
    </row>
    <row r="1524" customFormat="false" ht="15" hidden="false" customHeight="true" outlineLevel="0" collapsed="false">
      <c r="A1524" s="15"/>
      <c r="B1524" s="7"/>
      <c r="C1524" s="16" t="str">
        <f aca="false">IF(B1524="","",IFERROR(INDEX(Products!$B$2:$B$501,MATCH(B1524,Products!$A$2:$A$501,0)),"CODE NOT FOUND"))</f>
        <v/>
      </c>
      <c r="D1524" s="7"/>
      <c r="E1524" s="13"/>
      <c r="F1524" s="17" t="str">
        <f aca="false">IF(OR(D1524="",E1524=""),"",D1524*E1524)</f>
        <v/>
      </c>
      <c r="G1524" s="7"/>
      <c r="H1524" s="7"/>
    </row>
    <row r="1525" customFormat="false" ht="15" hidden="false" customHeight="true" outlineLevel="0" collapsed="false">
      <c r="A1525" s="15"/>
      <c r="B1525" s="7"/>
      <c r="C1525" s="16" t="str">
        <f aca="false">IF(B1525="","",IFERROR(INDEX(Products!$B$2:$B$501,MATCH(B1525,Products!$A$2:$A$501,0)),"CODE NOT FOUND"))</f>
        <v/>
      </c>
      <c r="D1525" s="7"/>
      <c r="E1525" s="13"/>
      <c r="F1525" s="17" t="str">
        <f aca="false">IF(OR(D1525="",E1525=""),"",D1525*E1525)</f>
        <v/>
      </c>
      <c r="G1525" s="7"/>
      <c r="H1525" s="7"/>
    </row>
    <row r="1526" customFormat="false" ht="15" hidden="false" customHeight="true" outlineLevel="0" collapsed="false">
      <c r="A1526" s="15"/>
      <c r="B1526" s="7"/>
      <c r="C1526" s="16" t="str">
        <f aca="false">IF(B1526="","",IFERROR(INDEX(Products!$B$2:$B$501,MATCH(B1526,Products!$A$2:$A$501,0)),"CODE NOT FOUND"))</f>
        <v/>
      </c>
      <c r="D1526" s="7"/>
      <c r="E1526" s="13"/>
      <c r="F1526" s="17" t="str">
        <f aca="false">IF(OR(D1526="",E1526=""),"",D1526*E1526)</f>
        <v/>
      </c>
      <c r="G1526" s="7"/>
      <c r="H1526" s="7"/>
    </row>
    <row r="1527" customFormat="false" ht="15" hidden="false" customHeight="true" outlineLevel="0" collapsed="false">
      <c r="A1527" s="15"/>
      <c r="B1527" s="7"/>
      <c r="C1527" s="16" t="str">
        <f aca="false">IF(B1527="","",IFERROR(INDEX(Products!$B$2:$B$501,MATCH(B1527,Products!$A$2:$A$501,0)),"CODE NOT FOUND"))</f>
        <v/>
      </c>
      <c r="D1527" s="7"/>
      <c r="E1527" s="13"/>
      <c r="F1527" s="17" t="str">
        <f aca="false">IF(OR(D1527="",E1527=""),"",D1527*E1527)</f>
        <v/>
      </c>
      <c r="G1527" s="7"/>
      <c r="H1527" s="7"/>
    </row>
    <row r="1528" customFormat="false" ht="15" hidden="false" customHeight="true" outlineLevel="0" collapsed="false">
      <c r="A1528" s="15"/>
      <c r="B1528" s="7"/>
      <c r="C1528" s="16" t="str">
        <f aca="false">IF(B1528="","",IFERROR(INDEX(Products!$B$2:$B$501,MATCH(B1528,Products!$A$2:$A$501,0)),"CODE NOT FOUND"))</f>
        <v/>
      </c>
      <c r="D1528" s="7"/>
      <c r="E1528" s="13"/>
      <c r="F1528" s="17" t="str">
        <f aca="false">IF(OR(D1528="",E1528=""),"",D1528*E1528)</f>
        <v/>
      </c>
      <c r="G1528" s="7"/>
      <c r="H1528" s="7"/>
    </row>
    <row r="1529" customFormat="false" ht="15" hidden="false" customHeight="true" outlineLevel="0" collapsed="false">
      <c r="A1529" s="15"/>
      <c r="B1529" s="7"/>
      <c r="C1529" s="16" t="str">
        <f aca="false">IF(B1529="","",IFERROR(INDEX(Products!$B$2:$B$501,MATCH(B1529,Products!$A$2:$A$501,0)),"CODE NOT FOUND"))</f>
        <v/>
      </c>
      <c r="D1529" s="7"/>
      <c r="E1529" s="13"/>
      <c r="F1529" s="17" t="str">
        <f aca="false">IF(OR(D1529="",E1529=""),"",D1529*E1529)</f>
        <v/>
      </c>
      <c r="G1529" s="7"/>
      <c r="H1529" s="7"/>
    </row>
    <row r="1530" customFormat="false" ht="15" hidden="false" customHeight="true" outlineLevel="0" collapsed="false">
      <c r="A1530" s="15"/>
      <c r="B1530" s="7"/>
      <c r="C1530" s="16" t="str">
        <f aca="false">IF(B1530="","",IFERROR(INDEX(Products!$B$2:$B$501,MATCH(B1530,Products!$A$2:$A$501,0)),"CODE NOT FOUND"))</f>
        <v/>
      </c>
      <c r="D1530" s="7"/>
      <c r="E1530" s="13"/>
      <c r="F1530" s="17" t="str">
        <f aca="false">IF(OR(D1530="",E1530=""),"",D1530*E1530)</f>
        <v/>
      </c>
      <c r="G1530" s="7"/>
      <c r="H1530" s="7"/>
    </row>
    <row r="1531" customFormat="false" ht="15" hidden="false" customHeight="true" outlineLevel="0" collapsed="false">
      <c r="A1531" s="15"/>
      <c r="B1531" s="7"/>
      <c r="C1531" s="16" t="str">
        <f aca="false">IF(B1531="","",IFERROR(INDEX(Products!$B$2:$B$501,MATCH(B1531,Products!$A$2:$A$501,0)),"CODE NOT FOUND"))</f>
        <v/>
      </c>
      <c r="D1531" s="7"/>
      <c r="E1531" s="13"/>
      <c r="F1531" s="17" t="str">
        <f aca="false">IF(OR(D1531="",E1531=""),"",D1531*E1531)</f>
        <v/>
      </c>
      <c r="G1531" s="7"/>
      <c r="H1531" s="7"/>
    </row>
    <row r="1532" customFormat="false" ht="15" hidden="false" customHeight="true" outlineLevel="0" collapsed="false">
      <c r="A1532" s="15"/>
      <c r="B1532" s="7"/>
      <c r="C1532" s="16" t="str">
        <f aca="false">IF(B1532="","",IFERROR(INDEX(Products!$B$2:$B$501,MATCH(B1532,Products!$A$2:$A$501,0)),"CODE NOT FOUND"))</f>
        <v/>
      </c>
      <c r="D1532" s="7"/>
      <c r="E1532" s="13"/>
      <c r="F1532" s="17" t="str">
        <f aca="false">IF(OR(D1532="",E1532=""),"",D1532*E1532)</f>
        <v/>
      </c>
      <c r="G1532" s="7"/>
      <c r="H1532" s="7"/>
    </row>
    <row r="1533" customFormat="false" ht="15" hidden="false" customHeight="true" outlineLevel="0" collapsed="false">
      <c r="A1533" s="15"/>
      <c r="B1533" s="7"/>
      <c r="C1533" s="16" t="str">
        <f aca="false">IF(B1533="","",IFERROR(INDEX(Products!$B$2:$B$501,MATCH(B1533,Products!$A$2:$A$501,0)),"CODE NOT FOUND"))</f>
        <v/>
      </c>
      <c r="D1533" s="7"/>
      <c r="E1533" s="13"/>
      <c r="F1533" s="17" t="str">
        <f aca="false">IF(OR(D1533="",E1533=""),"",D1533*E1533)</f>
        <v/>
      </c>
      <c r="G1533" s="7"/>
      <c r="H1533" s="7"/>
    </row>
    <row r="1534" customFormat="false" ht="15" hidden="false" customHeight="true" outlineLevel="0" collapsed="false">
      <c r="A1534" s="15"/>
      <c r="B1534" s="7"/>
      <c r="C1534" s="16" t="str">
        <f aca="false">IF(B1534="","",IFERROR(INDEX(Products!$B$2:$B$501,MATCH(B1534,Products!$A$2:$A$501,0)),"CODE NOT FOUND"))</f>
        <v/>
      </c>
      <c r="D1534" s="7"/>
      <c r="E1534" s="13"/>
      <c r="F1534" s="17" t="str">
        <f aca="false">IF(OR(D1534="",E1534=""),"",D1534*E1534)</f>
        <v/>
      </c>
      <c r="G1534" s="7"/>
      <c r="H1534" s="7"/>
    </row>
    <row r="1535" customFormat="false" ht="15" hidden="false" customHeight="true" outlineLevel="0" collapsed="false">
      <c r="A1535" s="15"/>
      <c r="B1535" s="7"/>
      <c r="C1535" s="16" t="str">
        <f aca="false">IF(B1535="","",IFERROR(INDEX(Products!$B$2:$B$501,MATCH(B1535,Products!$A$2:$A$501,0)),"CODE NOT FOUND"))</f>
        <v/>
      </c>
      <c r="D1535" s="7"/>
      <c r="E1535" s="13"/>
      <c r="F1535" s="17" t="str">
        <f aca="false">IF(OR(D1535="",E1535=""),"",D1535*E1535)</f>
        <v/>
      </c>
      <c r="G1535" s="7"/>
      <c r="H1535" s="7"/>
    </row>
    <row r="1536" customFormat="false" ht="15" hidden="false" customHeight="true" outlineLevel="0" collapsed="false">
      <c r="A1536" s="15"/>
      <c r="B1536" s="7"/>
      <c r="C1536" s="16" t="str">
        <f aca="false">IF(B1536="","",IFERROR(INDEX(Products!$B$2:$B$501,MATCH(B1536,Products!$A$2:$A$501,0)),"CODE NOT FOUND"))</f>
        <v/>
      </c>
      <c r="D1536" s="7"/>
      <c r="E1536" s="13"/>
      <c r="F1536" s="17" t="str">
        <f aca="false">IF(OR(D1536="",E1536=""),"",D1536*E1536)</f>
        <v/>
      </c>
      <c r="G1536" s="7"/>
      <c r="H1536" s="7"/>
    </row>
    <row r="1537" customFormat="false" ht="15" hidden="false" customHeight="true" outlineLevel="0" collapsed="false">
      <c r="A1537" s="15"/>
      <c r="B1537" s="7"/>
      <c r="C1537" s="16" t="str">
        <f aca="false">IF(B1537="","",IFERROR(INDEX(Products!$B$2:$B$501,MATCH(B1537,Products!$A$2:$A$501,0)),"CODE NOT FOUND"))</f>
        <v/>
      </c>
      <c r="D1537" s="7"/>
      <c r="E1537" s="13"/>
      <c r="F1537" s="17" t="str">
        <f aca="false">IF(OR(D1537="",E1537=""),"",D1537*E1537)</f>
        <v/>
      </c>
      <c r="G1537" s="7"/>
      <c r="H1537" s="7"/>
    </row>
    <row r="1538" customFormat="false" ht="15" hidden="false" customHeight="true" outlineLevel="0" collapsed="false">
      <c r="A1538" s="15"/>
      <c r="B1538" s="7"/>
      <c r="C1538" s="16" t="str">
        <f aca="false">IF(B1538="","",IFERROR(INDEX(Products!$B$2:$B$501,MATCH(B1538,Products!$A$2:$A$501,0)),"CODE NOT FOUND"))</f>
        <v/>
      </c>
      <c r="D1538" s="7"/>
      <c r="E1538" s="13"/>
      <c r="F1538" s="17" t="str">
        <f aca="false">IF(OR(D1538="",E1538=""),"",D1538*E1538)</f>
        <v/>
      </c>
      <c r="G1538" s="7"/>
      <c r="H1538" s="7"/>
    </row>
    <row r="1539" customFormat="false" ht="15" hidden="false" customHeight="true" outlineLevel="0" collapsed="false">
      <c r="A1539" s="15"/>
      <c r="B1539" s="7"/>
      <c r="C1539" s="16" t="str">
        <f aca="false">IF(B1539="","",IFERROR(INDEX(Products!$B$2:$B$501,MATCH(B1539,Products!$A$2:$A$501,0)),"CODE NOT FOUND"))</f>
        <v/>
      </c>
      <c r="D1539" s="7"/>
      <c r="E1539" s="13"/>
      <c r="F1539" s="17" t="str">
        <f aca="false">IF(OR(D1539="",E1539=""),"",D1539*E1539)</f>
        <v/>
      </c>
      <c r="G1539" s="7"/>
      <c r="H1539" s="7"/>
    </row>
    <row r="1540" customFormat="false" ht="15" hidden="false" customHeight="true" outlineLevel="0" collapsed="false">
      <c r="A1540" s="15"/>
      <c r="B1540" s="7"/>
      <c r="C1540" s="16" t="str">
        <f aca="false">IF(B1540="","",IFERROR(INDEX(Products!$B$2:$B$501,MATCH(B1540,Products!$A$2:$A$501,0)),"CODE NOT FOUND"))</f>
        <v/>
      </c>
      <c r="D1540" s="7"/>
      <c r="E1540" s="13"/>
      <c r="F1540" s="17" t="str">
        <f aca="false">IF(OR(D1540="",E1540=""),"",D1540*E1540)</f>
        <v/>
      </c>
      <c r="G1540" s="7"/>
      <c r="H1540" s="7"/>
    </row>
    <row r="1541" customFormat="false" ht="15" hidden="false" customHeight="true" outlineLevel="0" collapsed="false">
      <c r="A1541" s="15"/>
      <c r="B1541" s="7"/>
      <c r="C1541" s="16" t="str">
        <f aca="false">IF(B1541="","",IFERROR(INDEX(Products!$B$2:$B$501,MATCH(B1541,Products!$A$2:$A$501,0)),"CODE NOT FOUND"))</f>
        <v/>
      </c>
      <c r="D1541" s="7"/>
      <c r="E1541" s="13"/>
      <c r="F1541" s="17" t="str">
        <f aca="false">IF(OR(D1541="",E1541=""),"",D1541*E1541)</f>
        <v/>
      </c>
      <c r="G1541" s="7"/>
      <c r="H1541" s="7"/>
    </row>
    <row r="1542" customFormat="false" ht="15" hidden="false" customHeight="true" outlineLevel="0" collapsed="false">
      <c r="A1542" s="15"/>
      <c r="B1542" s="7"/>
      <c r="C1542" s="16" t="str">
        <f aca="false">IF(B1542="","",IFERROR(INDEX(Products!$B$2:$B$501,MATCH(B1542,Products!$A$2:$A$501,0)),"CODE NOT FOUND"))</f>
        <v/>
      </c>
      <c r="D1542" s="7"/>
      <c r="E1542" s="13"/>
      <c r="F1542" s="17" t="str">
        <f aca="false">IF(OR(D1542="",E1542=""),"",D1542*E1542)</f>
        <v/>
      </c>
      <c r="G1542" s="7"/>
      <c r="H1542" s="7"/>
    </row>
    <row r="1543" customFormat="false" ht="15" hidden="false" customHeight="true" outlineLevel="0" collapsed="false">
      <c r="A1543" s="15"/>
      <c r="B1543" s="7"/>
      <c r="C1543" s="16" t="str">
        <f aca="false">IF(B1543="","",IFERROR(INDEX(Products!$B$2:$B$501,MATCH(B1543,Products!$A$2:$A$501,0)),"CODE NOT FOUND"))</f>
        <v/>
      </c>
      <c r="D1543" s="7"/>
      <c r="E1543" s="13"/>
      <c r="F1543" s="17" t="str">
        <f aca="false">IF(OR(D1543="",E1543=""),"",D1543*E1543)</f>
        <v/>
      </c>
      <c r="G1543" s="7"/>
      <c r="H1543" s="7"/>
    </row>
    <row r="1544" customFormat="false" ht="15" hidden="false" customHeight="true" outlineLevel="0" collapsed="false">
      <c r="A1544" s="15"/>
      <c r="B1544" s="7"/>
      <c r="C1544" s="16" t="str">
        <f aca="false">IF(B1544="","",IFERROR(INDEX(Products!$B$2:$B$501,MATCH(B1544,Products!$A$2:$A$501,0)),"CODE NOT FOUND"))</f>
        <v/>
      </c>
      <c r="D1544" s="7"/>
      <c r="E1544" s="13"/>
      <c r="F1544" s="17" t="str">
        <f aca="false">IF(OR(D1544="",E1544=""),"",D1544*E1544)</f>
        <v/>
      </c>
      <c r="G1544" s="7"/>
      <c r="H1544" s="7"/>
    </row>
    <row r="1545" customFormat="false" ht="15" hidden="false" customHeight="true" outlineLevel="0" collapsed="false">
      <c r="A1545" s="15"/>
      <c r="B1545" s="7"/>
      <c r="C1545" s="16" t="str">
        <f aca="false">IF(B1545="","",IFERROR(INDEX(Products!$B$2:$B$501,MATCH(B1545,Products!$A$2:$A$501,0)),"CODE NOT FOUND"))</f>
        <v/>
      </c>
      <c r="D1545" s="7"/>
      <c r="E1545" s="13"/>
      <c r="F1545" s="17" t="str">
        <f aca="false">IF(OR(D1545="",E1545=""),"",D1545*E1545)</f>
        <v/>
      </c>
      <c r="G1545" s="7"/>
      <c r="H1545" s="7"/>
    </row>
    <row r="1546" customFormat="false" ht="15" hidden="false" customHeight="true" outlineLevel="0" collapsed="false">
      <c r="A1546" s="15"/>
      <c r="B1546" s="7"/>
      <c r="C1546" s="16" t="str">
        <f aca="false">IF(B1546="","",IFERROR(INDEX(Products!$B$2:$B$501,MATCH(B1546,Products!$A$2:$A$501,0)),"CODE NOT FOUND"))</f>
        <v/>
      </c>
      <c r="D1546" s="7"/>
      <c r="E1546" s="13"/>
      <c r="F1546" s="17" t="str">
        <f aca="false">IF(OR(D1546="",E1546=""),"",D1546*E1546)</f>
        <v/>
      </c>
      <c r="G1546" s="7"/>
      <c r="H1546" s="7"/>
    </row>
    <row r="1547" customFormat="false" ht="15" hidden="false" customHeight="true" outlineLevel="0" collapsed="false">
      <c r="A1547" s="15"/>
      <c r="B1547" s="7"/>
      <c r="C1547" s="16" t="str">
        <f aca="false">IF(B1547="","",IFERROR(INDEX(Products!$B$2:$B$501,MATCH(B1547,Products!$A$2:$A$501,0)),"CODE NOT FOUND"))</f>
        <v/>
      </c>
      <c r="D1547" s="7"/>
      <c r="E1547" s="13"/>
      <c r="F1547" s="17" t="str">
        <f aca="false">IF(OR(D1547="",E1547=""),"",D1547*E1547)</f>
        <v/>
      </c>
      <c r="G1547" s="7"/>
      <c r="H1547" s="7"/>
    </row>
    <row r="1548" customFormat="false" ht="15" hidden="false" customHeight="true" outlineLevel="0" collapsed="false">
      <c r="A1548" s="15"/>
      <c r="B1548" s="7"/>
      <c r="C1548" s="16" t="str">
        <f aca="false">IF(B1548="","",IFERROR(INDEX(Products!$B$2:$B$501,MATCH(B1548,Products!$A$2:$A$501,0)),"CODE NOT FOUND"))</f>
        <v/>
      </c>
      <c r="D1548" s="7"/>
      <c r="E1548" s="13"/>
      <c r="F1548" s="17" t="str">
        <f aca="false">IF(OR(D1548="",E1548=""),"",D1548*E1548)</f>
        <v/>
      </c>
      <c r="G1548" s="7"/>
      <c r="H1548" s="7"/>
    </row>
    <row r="1549" customFormat="false" ht="15" hidden="false" customHeight="true" outlineLevel="0" collapsed="false">
      <c r="A1549" s="15"/>
      <c r="B1549" s="7"/>
      <c r="C1549" s="16" t="str">
        <f aca="false">IF(B1549="","",IFERROR(INDEX(Products!$B$2:$B$501,MATCH(B1549,Products!$A$2:$A$501,0)),"CODE NOT FOUND"))</f>
        <v/>
      </c>
      <c r="D1549" s="7"/>
      <c r="E1549" s="13"/>
      <c r="F1549" s="17" t="str">
        <f aca="false">IF(OR(D1549="",E1549=""),"",D1549*E1549)</f>
        <v/>
      </c>
      <c r="G1549" s="7"/>
      <c r="H1549" s="7"/>
    </row>
    <row r="1550" customFormat="false" ht="15" hidden="false" customHeight="true" outlineLevel="0" collapsed="false">
      <c r="A1550" s="15"/>
      <c r="B1550" s="7"/>
      <c r="C1550" s="16" t="str">
        <f aca="false">IF(B1550="","",IFERROR(INDEX(Products!$B$2:$B$501,MATCH(B1550,Products!$A$2:$A$501,0)),"CODE NOT FOUND"))</f>
        <v/>
      </c>
      <c r="D1550" s="7"/>
      <c r="E1550" s="13"/>
      <c r="F1550" s="17" t="str">
        <f aca="false">IF(OR(D1550="",E1550=""),"",D1550*E1550)</f>
        <v/>
      </c>
      <c r="G1550" s="7"/>
      <c r="H1550" s="7"/>
    </row>
    <row r="1551" customFormat="false" ht="15" hidden="false" customHeight="true" outlineLevel="0" collapsed="false">
      <c r="A1551" s="15"/>
      <c r="B1551" s="7"/>
      <c r="C1551" s="16" t="str">
        <f aca="false">IF(B1551="","",IFERROR(INDEX(Products!$B$2:$B$501,MATCH(B1551,Products!$A$2:$A$501,0)),"CODE NOT FOUND"))</f>
        <v/>
      </c>
      <c r="D1551" s="7"/>
      <c r="E1551" s="13"/>
      <c r="F1551" s="17" t="str">
        <f aca="false">IF(OR(D1551="",E1551=""),"",D1551*E1551)</f>
        <v/>
      </c>
      <c r="G1551" s="7"/>
      <c r="H1551" s="7"/>
    </row>
    <row r="1552" customFormat="false" ht="15" hidden="false" customHeight="true" outlineLevel="0" collapsed="false">
      <c r="A1552" s="15"/>
      <c r="B1552" s="7"/>
      <c r="C1552" s="16" t="str">
        <f aca="false">IF(B1552="","",IFERROR(INDEX(Products!$B$2:$B$501,MATCH(B1552,Products!$A$2:$A$501,0)),"CODE NOT FOUND"))</f>
        <v/>
      </c>
      <c r="D1552" s="7"/>
      <c r="E1552" s="13"/>
      <c r="F1552" s="17" t="str">
        <f aca="false">IF(OR(D1552="",E1552=""),"",D1552*E1552)</f>
        <v/>
      </c>
      <c r="G1552" s="7"/>
      <c r="H1552" s="7"/>
    </row>
    <row r="1553" customFormat="false" ht="15" hidden="false" customHeight="true" outlineLevel="0" collapsed="false">
      <c r="A1553" s="15"/>
      <c r="B1553" s="7"/>
      <c r="C1553" s="16" t="str">
        <f aca="false">IF(B1553="","",IFERROR(INDEX(Products!$B$2:$B$501,MATCH(B1553,Products!$A$2:$A$501,0)),"CODE NOT FOUND"))</f>
        <v/>
      </c>
      <c r="D1553" s="7"/>
      <c r="E1553" s="13"/>
      <c r="F1553" s="17" t="str">
        <f aca="false">IF(OR(D1553="",E1553=""),"",D1553*E1553)</f>
        <v/>
      </c>
      <c r="G1553" s="7"/>
      <c r="H1553" s="7"/>
    </row>
    <row r="1554" customFormat="false" ht="15" hidden="false" customHeight="true" outlineLevel="0" collapsed="false">
      <c r="A1554" s="15"/>
      <c r="B1554" s="7"/>
      <c r="C1554" s="16" t="str">
        <f aca="false">IF(B1554="","",IFERROR(INDEX(Products!$B$2:$B$501,MATCH(B1554,Products!$A$2:$A$501,0)),"CODE NOT FOUND"))</f>
        <v/>
      </c>
      <c r="D1554" s="7"/>
      <c r="E1554" s="13"/>
      <c r="F1554" s="17" t="str">
        <f aca="false">IF(OR(D1554="",E1554=""),"",D1554*E1554)</f>
        <v/>
      </c>
      <c r="G1554" s="7"/>
      <c r="H1554" s="7"/>
    </row>
    <row r="1555" customFormat="false" ht="15" hidden="false" customHeight="true" outlineLevel="0" collapsed="false">
      <c r="A1555" s="15"/>
      <c r="B1555" s="7"/>
      <c r="C1555" s="16" t="str">
        <f aca="false">IF(B1555="","",IFERROR(INDEX(Products!$B$2:$B$501,MATCH(B1555,Products!$A$2:$A$501,0)),"CODE NOT FOUND"))</f>
        <v/>
      </c>
      <c r="D1555" s="7"/>
      <c r="E1555" s="13"/>
      <c r="F1555" s="17" t="str">
        <f aca="false">IF(OR(D1555="",E1555=""),"",D1555*E1555)</f>
        <v/>
      </c>
      <c r="G1555" s="7"/>
      <c r="H1555" s="7"/>
    </row>
    <row r="1556" customFormat="false" ht="15" hidden="false" customHeight="true" outlineLevel="0" collapsed="false">
      <c r="A1556" s="15"/>
      <c r="B1556" s="7"/>
      <c r="C1556" s="16" t="str">
        <f aca="false">IF(B1556="","",IFERROR(INDEX(Products!$B$2:$B$501,MATCH(B1556,Products!$A$2:$A$501,0)),"CODE NOT FOUND"))</f>
        <v/>
      </c>
      <c r="D1556" s="7"/>
      <c r="E1556" s="13"/>
      <c r="F1556" s="17" t="str">
        <f aca="false">IF(OR(D1556="",E1556=""),"",D1556*E1556)</f>
        <v/>
      </c>
      <c r="G1556" s="7"/>
      <c r="H1556" s="7"/>
    </row>
    <row r="1557" customFormat="false" ht="15" hidden="false" customHeight="true" outlineLevel="0" collapsed="false">
      <c r="A1557" s="15"/>
      <c r="B1557" s="7"/>
      <c r="C1557" s="16" t="str">
        <f aca="false">IF(B1557="","",IFERROR(INDEX(Products!$B$2:$B$501,MATCH(B1557,Products!$A$2:$A$501,0)),"CODE NOT FOUND"))</f>
        <v/>
      </c>
      <c r="D1557" s="7"/>
      <c r="E1557" s="13"/>
      <c r="F1557" s="17" t="str">
        <f aca="false">IF(OR(D1557="",E1557=""),"",D1557*E1557)</f>
        <v/>
      </c>
      <c r="G1557" s="7"/>
      <c r="H1557" s="7"/>
    </row>
    <row r="1558" customFormat="false" ht="15" hidden="false" customHeight="true" outlineLevel="0" collapsed="false">
      <c r="A1558" s="15"/>
      <c r="B1558" s="7"/>
      <c r="C1558" s="16" t="str">
        <f aca="false">IF(B1558="","",IFERROR(INDEX(Products!$B$2:$B$501,MATCH(B1558,Products!$A$2:$A$501,0)),"CODE NOT FOUND"))</f>
        <v/>
      </c>
      <c r="D1558" s="7"/>
      <c r="E1558" s="13"/>
      <c r="F1558" s="17" t="str">
        <f aca="false">IF(OR(D1558="",E1558=""),"",D1558*E1558)</f>
        <v/>
      </c>
      <c r="G1558" s="7"/>
      <c r="H1558" s="7"/>
    </row>
    <row r="1559" customFormat="false" ht="15" hidden="false" customHeight="true" outlineLevel="0" collapsed="false">
      <c r="A1559" s="15"/>
      <c r="B1559" s="7"/>
      <c r="C1559" s="16" t="str">
        <f aca="false">IF(B1559="","",IFERROR(INDEX(Products!$B$2:$B$501,MATCH(B1559,Products!$A$2:$A$501,0)),"CODE NOT FOUND"))</f>
        <v/>
      </c>
      <c r="D1559" s="7"/>
      <c r="E1559" s="13"/>
      <c r="F1559" s="17" t="str">
        <f aca="false">IF(OR(D1559="",E1559=""),"",D1559*E1559)</f>
        <v/>
      </c>
      <c r="G1559" s="7"/>
      <c r="H1559" s="7"/>
    </row>
    <row r="1560" customFormat="false" ht="15" hidden="false" customHeight="true" outlineLevel="0" collapsed="false">
      <c r="A1560" s="15"/>
      <c r="B1560" s="7"/>
      <c r="C1560" s="16" t="str">
        <f aca="false">IF(B1560="","",IFERROR(INDEX(Products!$B$2:$B$501,MATCH(B1560,Products!$A$2:$A$501,0)),"CODE NOT FOUND"))</f>
        <v/>
      </c>
      <c r="D1560" s="7"/>
      <c r="E1560" s="13"/>
      <c r="F1560" s="17" t="str">
        <f aca="false">IF(OR(D1560="",E1560=""),"",D1560*E1560)</f>
        <v/>
      </c>
      <c r="G1560" s="7"/>
      <c r="H1560" s="7"/>
    </row>
    <row r="1561" customFormat="false" ht="15" hidden="false" customHeight="true" outlineLevel="0" collapsed="false">
      <c r="A1561" s="15"/>
      <c r="B1561" s="7"/>
      <c r="C1561" s="16" t="str">
        <f aca="false">IF(B1561="","",IFERROR(INDEX(Products!$B$2:$B$501,MATCH(B1561,Products!$A$2:$A$501,0)),"CODE NOT FOUND"))</f>
        <v/>
      </c>
      <c r="D1561" s="7"/>
      <c r="E1561" s="13"/>
      <c r="F1561" s="17" t="str">
        <f aca="false">IF(OR(D1561="",E1561=""),"",D1561*E1561)</f>
        <v/>
      </c>
      <c r="G1561" s="7"/>
      <c r="H1561" s="7"/>
    </row>
    <row r="1562" customFormat="false" ht="15" hidden="false" customHeight="true" outlineLevel="0" collapsed="false">
      <c r="A1562" s="15"/>
      <c r="B1562" s="7"/>
      <c r="C1562" s="16" t="str">
        <f aca="false">IF(B1562="","",IFERROR(INDEX(Products!$B$2:$B$501,MATCH(B1562,Products!$A$2:$A$501,0)),"CODE NOT FOUND"))</f>
        <v/>
      </c>
      <c r="D1562" s="7"/>
      <c r="E1562" s="13"/>
      <c r="F1562" s="17" t="str">
        <f aca="false">IF(OR(D1562="",E1562=""),"",D1562*E1562)</f>
        <v/>
      </c>
      <c r="G1562" s="7"/>
      <c r="H1562" s="7"/>
    </row>
    <row r="1563" customFormat="false" ht="15" hidden="false" customHeight="true" outlineLevel="0" collapsed="false">
      <c r="A1563" s="15"/>
      <c r="B1563" s="7"/>
      <c r="C1563" s="16" t="str">
        <f aca="false">IF(B1563="","",IFERROR(INDEX(Products!$B$2:$B$501,MATCH(B1563,Products!$A$2:$A$501,0)),"CODE NOT FOUND"))</f>
        <v/>
      </c>
      <c r="D1563" s="7"/>
      <c r="E1563" s="13"/>
      <c r="F1563" s="17" t="str">
        <f aca="false">IF(OR(D1563="",E1563=""),"",D1563*E1563)</f>
        <v/>
      </c>
      <c r="G1563" s="7"/>
      <c r="H1563" s="7"/>
    </row>
    <row r="1564" customFormat="false" ht="15" hidden="false" customHeight="true" outlineLevel="0" collapsed="false">
      <c r="A1564" s="15"/>
      <c r="B1564" s="7"/>
      <c r="C1564" s="16" t="str">
        <f aca="false">IF(B1564="","",IFERROR(INDEX(Products!$B$2:$B$501,MATCH(B1564,Products!$A$2:$A$501,0)),"CODE NOT FOUND"))</f>
        <v/>
      </c>
      <c r="D1564" s="7"/>
      <c r="E1564" s="13"/>
      <c r="F1564" s="17" t="str">
        <f aca="false">IF(OR(D1564="",E1564=""),"",D1564*E1564)</f>
        <v/>
      </c>
      <c r="G1564" s="7"/>
      <c r="H1564" s="7"/>
    </row>
    <row r="1565" customFormat="false" ht="15" hidden="false" customHeight="true" outlineLevel="0" collapsed="false">
      <c r="A1565" s="15"/>
      <c r="B1565" s="7"/>
      <c r="C1565" s="16" t="str">
        <f aca="false">IF(B1565="","",IFERROR(INDEX(Products!$B$2:$B$501,MATCH(B1565,Products!$A$2:$A$501,0)),"CODE NOT FOUND"))</f>
        <v/>
      </c>
      <c r="D1565" s="7"/>
      <c r="E1565" s="13"/>
      <c r="F1565" s="17" t="str">
        <f aca="false">IF(OR(D1565="",E1565=""),"",D1565*E1565)</f>
        <v/>
      </c>
      <c r="G1565" s="7"/>
      <c r="H1565" s="7"/>
    </row>
    <row r="1566" customFormat="false" ht="15" hidden="false" customHeight="true" outlineLevel="0" collapsed="false">
      <c r="A1566" s="15"/>
      <c r="B1566" s="7"/>
      <c r="C1566" s="16" t="str">
        <f aca="false">IF(B1566="","",IFERROR(INDEX(Products!$B$2:$B$501,MATCH(B1566,Products!$A$2:$A$501,0)),"CODE NOT FOUND"))</f>
        <v/>
      </c>
      <c r="D1566" s="7"/>
      <c r="E1566" s="13"/>
      <c r="F1566" s="17" t="str">
        <f aca="false">IF(OR(D1566="",E1566=""),"",D1566*E1566)</f>
        <v/>
      </c>
      <c r="G1566" s="7"/>
      <c r="H1566" s="7"/>
    </row>
    <row r="1567" customFormat="false" ht="15" hidden="false" customHeight="true" outlineLevel="0" collapsed="false">
      <c r="A1567" s="15"/>
      <c r="B1567" s="7"/>
      <c r="C1567" s="16" t="str">
        <f aca="false">IF(B1567="","",IFERROR(INDEX(Products!$B$2:$B$501,MATCH(B1567,Products!$A$2:$A$501,0)),"CODE NOT FOUND"))</f>
        <v/>
      </c>
      <c r="D1567" s="7"/>
      <c r="E1567" s="13"/>
      <c r="F1567" s="17" t="str">
        <f aca="false">IF(OR(D1567="",E1567=""),"",D1567*E1567)</f>
        <v/>
      </c>
      <c r="G1567" s="7"/>
      <c r="H1567" s="7"/>
    </row>
    <row r="1568" customFormat="false" ht="15" hidden="false" customHeight="true" outlineLevel="0" collapsed="false">
      <c r="A1568" s="15"/>
      <c r="B1568" s="7"/>
      <c r="C1568" s="16" t="str">
        <f aca="false">IF(B1568="","",IFERROR(INDEX(Products!$B$2:$B$501,MATCH(B1568,Products!$A$2:$A$501,0)),"CODE NOT FOUND"))</f>
        <v/>
      </c>
      <c r="D1568" s="7"/>
      <c r="E1568" s="13"/>
      <c r="F1568" s="17" t="str">
        <f aca="false">IF(OR(D1568="",E1568=""),"",D1568*E1568)</f>
        <v/>
      </c>
      <c r="G1568" s="7"/>
      <c r="H1568" s="7"/>
    </row>
    <row r="1569" customFormat="false" ht="15" hidden="false" customHeight="true" outlineLevel="0" collapsed="false">
      <c r="A1569" s="15"/>
      <c r="B1569" s="7"/>
      <c r="C1569" s="16" t="str">
        <f aca="false">IF(B1569="","",IFERROR(INDEX(Products!$B$2:$B$501,MATCH(B1569,Products!$A$2:$A$501,0)),"CODE NOT FOUND"))</f>
        <v/>
      </c>
      <c r="D1569" s="7"/>
      <c r="E1569" s="13"/>
      <c r="F1569" s="17" t="str">
        <f aca="false">IF(OR(D1569="",E1569=""),"",D1569*E1569)</f>
        <v/>
      </c>
      <c r="G1569" s="7"/>
      <c r="H1569" s="7"/>
    </row>
    <row r="1570" customFormat="false" ht="15" hidden="false" customHeight="true" outlineLevel="0" collapsed="false">
      <c r="A1570" s="15"/>
      <c r="B1570" s="7"/>
      <c r="C1570" s="16" t="str">
        <f aca="false">IF(B1570="","",IFERROR(INDEX(Products!$B$2:$B$501,MATCH(B1570,Products!$A$2:$A$501,0)),"CODE NOT FOUND"))</f>
        <v/>
      </c>
      <c r="D1570" s="7"/>
      <c r="E1570" s="13"/>
      <c r="F1570" s="17" t="str">
        <f aca="false">IF(OR(D1570="",E1570=""),"",D1570*E1570)</f>
        <v/>
      </c>
      <c r="G1570" s="7"/>
      <c r="H1570" s="7"/>
    </row>
    <row r="1571" customFormat="false" ht="15" hidden="false" customHeight="true" outlineLevel="0" collapsed="false">
      <c r="A1571" s="15"/>
      <c r="B1571" s="7"/>
      <c r="C1571" s="16" t="str">
        <f aca="false">IF(B1571="","",IFERROR(INDEX(Products!$B$2:$B$501,MATCH(B1571,Products!$A$2:$A$501,0)),"CODE NOT FOUND"))</f>
        <v/>
      </c>
      <c r="D1571" s="7"/>
      <c r="E1571" s="13"/>
      <c r="F1571" s="17" t="str">
        <f aca="false">IF(OR(D1571="",E1571=""),"",D1571*E1571)</f>
        <v/>
      </c>
      <c r="G1571" s="7"/>
      <c r="H1571" s="7"/>
    </row>
    <row r="1572" customFormat="false" ht="15" hidden="false" customHeight="true" outlineLevel="0" collapsed="false">
      <c r="A1572" s="15"/>
      <c r="B1572" s="7"/>
      <c r="C1572" s="16" t="str">
        <f aca="false">IF(B1572="","",IFERROR(INDEX(Products!$B$2:$B$501,MATCH(B1572,Products!$A$2:$A$501,0)),"CODE NOT FOUND"))</f>
        <v/>
      </c>
      <c r="D1572" s="7"/>
      <c r="E1572" s="13"/>
      <c r="F1572" s="17" t="str">
        <f aca="false">IF(OR(D1572="",E1572=""),"",D1572*E1572)</f>
        <v/>
      </c>
      <c r="G1572" s="7"/>
      <c r="H1572" s="7"/>
    </row>
    <row r="1573" customFormat="false" ht="15" hidden="false" customHeight="true" outlineLevel="0" collapsed="false">
      <c r="A1573" s="15"/>
      <c r="B1573" s="7"/>
      <c r="C1573" s="16" t="str">
        <f aca="false">IF(B1573="","",IFERROR(INDEX(Products!$B$2:$B$501,MATCH(B1573,Products!$A$2:$A$501,0)),"CODE NOT FOUND"))</f>
        <v/>
      </c>
      <c r="D1573" s="7"/>
      <c r="E1573" s="13"/>
      <c r="F1573" s="17" t="str">
        <f aca="false">IF(OR(D1573="",E1573=""),"",D1573*E1573)</f>
        <v/>
      </c>
      <c r="G1573" s="7"/>
      <c r="H1573" s="7"/>
    </row>
    <row r="1574" customFormat="false" ht="15" hidden="false" customHeight="true" outlineLevel="0" collapsed="false">
      <c r="A1574" s="15"/>
      <c r="B1574" s="7"/>
      <c r="C1574" s="16" t="str">
        <f aca="false">IF(B1574="","",IFERROR(INDEX(Products!$B$2:$B$501,MATCH(B1574,Products!$A$2:$A$501,0)),"CODE NOT FOUND"))</f>
        <v/>
      </c>
      <c r="D1574" s="7"/>
      <c r="E1574" s="13"/>
      <c r="F1574" s="17" t="str">
        <f aca="false">IF(OR(D1574="",E1574=""),"",D1574*E1574)</f>
        <v/>
      </c>
      <c r="G1574" s="7"/>
      <c r="H1574" s="7"/>
    </row>
    <row r="1575" customFormat="false" ht="15" hidden="false" customHeight="true" outlineLevel="0" collapsed="false">
      <c r="A1575" s="15"/>
      <c r="B1575" s="7"/>
      <c r="C1575" s="16" t="str">
        <f aca="false">IF(B1575="","",IFERROR(INDEX(Products!$B$2:$B$501,MATCH(B1575,Products!$A$2:$A$501,0)),"CODE NOT FOUND"))</f>
        <v/>
      </c>
      <c r="D1575" s="7"/>
      <c r="E1575" s="13"/>
      <c r="F1575" s="17" t="str">
        <f aca="false">IF(OR(D1575="",E1575=""),"",D1575*E1575)</f>
        <v/>
      </c>
      <c r="G1575" s="7"/>
      <c r="H1575" s="7"/>
    </row>
    <row r="1576" customFormat="false" ht="15" hidden="false" customHeight="true" outlineLevel="0" collapsed="false">
      <c r="A1576" s="15"/>
      <c r="B1576" s="7"/>
      <c r="C1576" s="16" t="str">
        <f aca="false">IF(B1576="","",IFERROR(INDEX(Products!$B$2:$B$501,MATCH(B1576,Products!$A$2:$A$501,0)),"CODE NOT FOUND"))</f>
        <v/>
      </c>
      <c r="D1576" s="7"/>
      <c r="E1576" s="13"/>
      <c r="F1576" s="17" t="str">
        <f aca="false">IF(OR(D1576="",E1576=""),"",D1576*E1576)</f>
        <v/>
      </c>
      <c r="G1576" s="7"/>
      <c r="H1576" s="7"/>
    </row>
    <row r="1577" customFormat="false" ht="15" hidden="false" customHeight="true" outlineLevel="0" collapsed="false">
      <c r="A1577" s="15"/>
      <c r="B1577" s="7"/>
      <c r="C1577" s="16" t="str">
        <f aca="false">IF(B1577="","",IFERROR(INDEX(Products!$B$2:$B$501,MATCH(B1577,Products!$A$2:$A$501,0)),"CODE NOT FOUND"))</f>
        <v/>
      </c>
      <c r="D1577" s="7"/>
      <c r="E1577" s="13"/>
      <c r="F1577" s="17" t="str">
        <f aca="false">IF(OR(D1577="",E1577=""),"",D1577*E1577)</f>
        <v/>
      </c>
      <c r="G1577" s="7"/>
      <c r="H1577" s="7"/>
    </row>
    <row r="1578" customFormat="false" ht="15" hidden="false" customHeight="true" outlineLevel="0" collapsed="false">
      <c r="A1578" s="15"/>
      <c r="B1578" s="7"/>
      <c r="C1578" s="16" t="str">
        <f aca="false">IF(B1578="","",IFERROR(INDEX(Products!$B$2:$B$501,MATCH(B1578,Products!$A$2:$A$501,0)),"CODE NOT FOUND"))</f>
        <v/>
      </c>
      <c r="D1578" s="7"/>
      <c r="E1578" s="13"/>
      <c r="F1578" s="17" t="str">
        <f aca="false">IF(OR(D1578="",E1578=""),"",D1578*E1578)</f>
        <v/>
      </c>
      <c r="G1578" s="7"/>
      <c r="H1578" s="7"/>
    </row>
    <row r="1579" customFormat="false" ht="15" hidden="false" customHeight="true" outlineLevel="0" collapsed="false">
      <c r="A1579" s="15"/>
      <c r="B1579" s="7"/>
      <c r="C1579" s="16" t="str">
        <f aca="false">IF(B1579="","",IFERROR(INDEX(Products!$B$2:$B$501,MATCH(B1579,Products!$A$2:$A$501,0)),"CODE NOT FOUND"))</f>
        <v/>
      </c>
      <c r="D1579" s="7"/>
      <c r="E1579" s="13"/>
      <c r="F1579" s="17" t="str">
        <f aca="false">IF(OR(D1579="",E1579=""),"",D1579*E1579)</f>
        <v/>
      </c>
      <c r="G1579" s="7"/>
      <c r="H1579" s="7"/>
    </row>
    <row r="1580" customFormat="false" ht="15" hidden="false" customHeight="true" outlineLevel="0" collapsed="false">
      <c r="A1580" s="15"/>
      <c r="B1580" s="7"/>
      <c r="C1580" s="16" t="str">
        <f aca="false">IF(B1580="","",IFERROR(INDEX(Products!$B$2:$B$501,MATCH(B1580,Products!$A$2:$A$501,0)),"CODE NOT FOUND"))</f>
        <v/>
      </c>
      <c r="D1580" s="7"/>
      <c r="E1580" s="13"/>
      <c r="F1580" s="17" t="str">
        <f aca="false">IF(OR(D1580="",E1580=""),"",D1580*E1580)</f>
        <v/>
      </c>
      <c r="G1580" s="7"/>
      <c r="H1580" s="7"/>
    </row>
    <row r="1581" customFormat="false" ht="15" hidden="false" customHeight="true" outlineLevel="0" collapsed="false">
      <c r="A1581" s="15"/>
      <c r="B1581" s="7"/>
      <c r="C1581" s="16" t="str">
        <f aca="false">IF(B1581="","",IFERROR(INDEX(Products!$B$2:$B$501,MATCH(B1581,Products!$A$2:$A$501,0)),"CODE NOT FOUND"))</f>
        <v/>
      </c>
      <c r="D1581" s="7"/>
      <c r="E1581" s="13"/>
      <c r="F1581" s="17" t="str">
        <f aca="false">IF(OR(D1581="",E1581=""),"",D1581*E1581)</f>
        <v/>
      </c>
      <c r="G1581" s="7"/>
      <c r="H1581" s="7"/>
    </row>
    <row r="1582" customFormat="false" ht="15" hidden="false" customHeight="true" outlineLevel="0" collapsed="false">
      <c r="A1582" s="15"/>
      <c r="B1582" s="7"/>
      <c r="C1582" s="16" t="str">
        <f aca="false">IF(B1582="","",IFERROR(INDEX(Products!$B$2:$B$501,MATCH(B1582,Products!$A$2:$A$501,0)),"CODE NOT FOUND"))</f>
        <v/>
      </c>
      <c r="D1582" s="7"/>
      <c r="E1582" s="13"/>
      <c r="F1582" s="17" t="str">
        <f aca="false">IF(OR(D1582="",E1582=""),"",D1582*E1582)</f>
        <v/>
      </c>
      <c r="G1582" s="7"/>
      <c r="H1582" s="7"/>
    </row>
    <row r="1583" customFormat="false" ht="15" hidden="false" customHeight="true" outlineLevel="0" collapsed="false">
      <c r="A1583" s="15"/>
      <c r="B1583" s="7"/>
      <c r="C1583" s="16" t="str">
        <f aca="false">IF(B1583="","",IFERROR(INDEX(Products!$B$2:$B$501,MATCH(B1583,Products!$A$2:$A$501,0)),"CODE NOT FOUND"))</f>
        <v/>
      </c>
      <c r="D1583" s="7"/>
      <c r="E1583" s="13"/>
      <c r="F1583" s="17" t="str">
        <f aca="false">IF(OR(D1583="",E1583=""),"",D1583*E1583)</f>
        <v/>
      </c>
      <c r="G1583" s="7"/>
      <c r="H1583" s="7"/>
    </row>
    <row r="1584" customFormat="false" ht="15" hidden="false" customHeight="true" outlineLevel="0" collapsed="false">
      <c r="A1584" s="15"/>
      <c r="B1584" s="7"/>
      <c r="C1584" s="16" t="str">
        <f aca="false">IF(B1584="","",IFERROR(INDEX(Products!$B$2:$B$501,MATCH(B1584,Products!$A$2:$A$501,0)),"CODE NOT FOUND"))</f>
        <v/>
      </c>
      <c r="D1584" s="7"/>
      <c r="E1584" s="13"/>
      <c r="F1584" s="17" t="str">
        <f aca="false">IF(OR(D1584="",E1584=""),"",D1584*E1584)</f>
        <v/>
      </c>
      <c r="G1584" s="7"/>
      <c r="H1584" s="7"/>
    </row>
    <row r="1585" customFormat="false" ht="15" hidden="false" customHeight="true" outlineLevel="0" collapsed="false">
      <c r="A1585" s="15"/>
      <c r="B1585" s="7"/>
      <c r="C1585" s="16" t="str">
        <f aca="false">IF(B1585="","",IFERROR(INDEX(Products!$B$2:$B$501,MATCH(B1585,Products!$A$2:$A$501,0)),"CODE NOT FOUND"))</f>
        <v/>
      </c>
      <c r="D1585" s="7"/>
      <c r="E1585" s="13"/>
      <c r="F1585" s="17" t="str">
        <f aca="false">IF(OR(D1585="",E1585=""),"",D1585*E1585)</f>
        <v/>
      </c>
      <c r="G1585" s="7"/>
      <c r="H1585" s="7"/>
    </row>
    <row r="1586" customFormat="false" ht="15" hidden="false" customHeight="true" outlineLevel="0" collapsed="false">
      <c r="A1586" s="15"/>
      <c r="B1586" s="7"/>
      <c r="C1586" s="16" t="str">
        <f aca="false">IF(B1586="","",IFERROR(INDEX(Products!$B$2:$B$501,MATCH(B1586,Products!$A$2:$A$501,0)),"CODE NOT FOUND"))</f>
        <v/>
      </c>
      <c r="D1586" s="7"/>
      <c r="E1586" s="13"/>
      <c r="F1586" s="17" t="str">
        <f aca="false">IF(OR(D1586="",E1586=""),"",D1586*E1586)</f>
        <v/>
      </c>
      <c r="G1586" s="7"/>
      <c r="H1586" s="7"/>
    </row>
    <row r="1587" customFormat="false" ht="15" hidden="false" customHeight="true" outlineLevel="0" collapsed="false">
      <c r="A1587" s="15"/>
      <c r="B1587" s="7"/>
      <c r="C1587" s="16" t="str">
        <f aca="false">IF(B1587="","",IFERROR(INDEX(Products!$B$2:$B$501,MATCH(B1587,Products!$A$2:$A$501,0)),"CODE NOT FOUND"))</f>
        <v/>
      </c>
      <c r="D1587" s="7"/>
      <c r="E1587" s="13"/>
      <c r="F1587" s="17" t="str">
        <f aca="false">IF(OR(D1587="",E1587=""),"",D1587*E1587)</f>
        <v/>
      </c>
      <c r="G1587" s="7"/>
      <c r="H1587" s="7"/>
    </row>
    <row r="1588" customFormat="false" ht="15" hidden="false" customHeight="true" outlineLevel="0" collapsed="false">
      <c r="A1588" s="15"/>
      <c r="B1588" s="7"/>
      <c r="C1588" s="16" t="str">
        <f aca="false">IF(B1588="","",IFERROR(INDEX(Products!$B$2:$B$501,MATCH(B1588,Products!$A$2:$A$501,0)),"CODE NOT FOUND"))</f>
        <v/>
      </c>
      <c r="D1588" s="7"/>
      <c r="E1588" s="13"/>
      <c r="F1588" s="17" t="str">
        <f aca="false">IF(OR(D1588="",E1588=""),"",D1588*E1588)</f>
        <v/>
      </c>
      <c r="G1588" s="7"/>
      <c r="H1588" s="7"/>
    </row>
    <row r="1589" customFormat="false" ht="15" hidden="false" customHeight="true" outlineLevel="0" collapsed="false">
      <c r="A1589" s="15"/>
      <c r="B1589" s="7"/>
      <c r="C1589" s="16" t="str">
        <f aca="false">IF(B1589="","",IFERROR(INDEX(Products!$B$2:$B$501,MATCH(B1589,Products!$A$2:$A$501,0)),"CODE NOT FOUND"))</f>
        <v/>
      </c>
      <c r="D1589" s="7"/>
      <c r="E1589" s="13"/>
      <c r="F1589" s="17" t="str">
        <f aca="false">IF(OR(D1589="",E1589=""),"",D1589*E1589)</f>
        <v/>
      </c>
      <c r="G1589" s="7"/>
      <c r="H1589" s="7"/>
    </row>
    <row r="1590" customFormat="false" ht="15" hidden="false" customHeight="true" outlineLevel="0" collapsed="false">
      <c r="A1590" s="15"/>
      <c r="B1590" s="7"/>
      <c r="C1590" s="16" t="str">
        <f aca="false">IF(B1590="","",IFERROR(INDEX(Products!$B$2:$B$501,MATCH(B1590,Products!$A$2:$A$501,0)),"CODE NOT FOUND"))</f>
        <v/>
      </c>
      <c r="D1590" s="7"/>
      <c r="E1590" s="13"/>
      <c r="F1590" s="17" t="str">
        <f aca="false">IF(OR(D1590="",E1590=""),"",D1590*E1590)</f>
        <v/>
      </c>
      <c r="G1590" s="7"/>
      <c r="H1590" s="7"/>
    </row>
    <row r="1591" customFormat="false" ht="15" hidden="false" customHeight="true" outlineLevel="0" collapsed="false">
      <c r="A1591" s="15"/>
      <c r="B1591" s="7"/>
      <c r="C1591" s="16" t="str">
        <f aca="false">IF(B1591="","",IFERROR(INDEX(Products!$B$2:$B$501,MATCH(B1591,Products!$A$2:$A$501,0)),"CODE NOT FOUND"))</f>
        <v/>
      </c>
      <c r="D1591" s="7"/>
      <c r="E1591" s="13"/>
      <c r="F1591" s="17" t="str">
        <f aca="false">IF(OR(D1591="",E1591=""),"",D1591*E1591)</f>
        <v/>
      </c>
      <c r="G1591" s="7"/>
      <c r="H1591" s="7"/>
    </row>
    <row r="1592" customFormat="false" ht="15" hidden="false" customHeight="true" outlineLevel="0" collapsed="false">
      <c r="A1592" s="15"/>
      <c r="B1592" s="7"/>
      <c r="C1592" s="16" t="str">
        <f aca="false">IF(B1592="","",IFERROR(INDEX(Products!$B$2:$B$501,MATCH(B1592,Products!$A$2:$A$501,0)),"CODE NOT FOUND"))</f>
        <v/>
      </c>
      <c r="D1592" s="7"/>
      <c r="E1592" s="13"/>
      <c r="F1592" s="17" t="str">
        <f aca="false">IF(OR(D1592="",E1592=""),"",D1592*E1592)</f>
        <v/>
      </c>
      <c r="G1592" s="7"/>
      <c r="H1592" s="7"/>
    </row>
    <row r="1593" customFormat="false" ht="15" hidden="false" customHeight="true" outlineLevel="0" collapsed="false">
      <c r="A1593" s="15"/>
      <c r="B1593" s="7"/>
      <c r="C1593" s="16" t="str">
        <f aca="false">IF(B1593="","",IFERROR(INDEX(Products!$B$2:$B$501,MATCH(B1593,Products!$A$2:$A$501,0)),"CODE NOT FOUND"))</f>
        <v/>
      </c>
      <c r="D1593" s="7"/>
      <c r="E1593" s="13"/>
      <c r="F1593" s="17" t="str">
        <f aca="false">IF(OR(D1593="",E1593=""),"",D1593*E1593)</f>
        <v/>
      </c>
      <c r="G1593" s="7"/>
      <c r="H1593" s="7"/>
    </row>
    <row r="1594" customFormat="false" ht="15" hidden="false" customHeight="true" outlineLevel="0" collapsed="false">
      <c r="A1594" s="15"/>
      <c r="B1594" s="7"/>
      <c r="C1594" s="16" t="str">
        <f aca="false">IF(B1594="","",IFERROR(INDEX(Products!$B$2:$B$501,MATCH(B1594,Products!$A$2:$A$501,0)),"CODE NOT FOUND"))</f>
        <v/>
      </c>
      <c r="D1594" s="7"/>
      <c r="E1594" s="13"/>
      <c r="F1594" s="17" t="str">
        <f aca="false">IF(OR(D1594="",E1594=""),"",D1594*E1594)</f>
        <v/>
      </c>
      <c r="G1594" s="7"/>
      <c r="H1594" s="7"/>
    </row>
    <row r="1595" customFormat="false" ht="15" hidden="false" customHeight="true" outlineLevel="0" collapsed="false">
      <c r="A1595" s="15"/>
      <c r="B1595" s="7"/>
      <c r="C1595" s="16" t="str">
        <f aca="false">IF(B1595="","",IFERROR(INDEX(Products!$B$2:$B$501,MATCH(B1595,Products!$A$2:$A$501,0)),"CODE NOT FOUND"))</f>
        <v/>
      </c>
      <c r="D1595" s="7"/>
      <c r="E1595" s="13"/>
      <c r="F1595" s="17" t="str">
        <f aca="false">IF(OR(D1595="",E1595=""),"",D1595*E1595)</f>
        <v/>
      </c>
      <c r="G1595" s="7"/>
      <c r="H1595" s="7"/>
    </row>
    <row r="1596" customFormat="false" ht="15" hidden="false" customHeight="true" outlineLevel="0" collapsed="false">
      <c r="A1596" s="15"/>
      <c r="B1596" s="7"/>
      <c r="C1596" s="16" t="str">
        <f aca="false">IF(B1596="","",IFERROR(INDEX(Products!$B$2:$B$501,MATCH(B1596,Products!$A$2:$A$501,0)),"CODE NOT FOUND"))</f>
        <v/>
      </c>
      <c r="D1596" s="7"/>
      <c r="E1596" s="13"/>
      <c r="F1596" s="17" t="str">
        <f aca="false">IF(OR(D1596="",E1596=""),"",D1596*E1596)</f>
        <v/>
      </c>
      <c r="G1596" s="7"/>
      <c r="H1596" s="7"/>
    </row>
    <row r="1597" customFormat="false" ht="15" hidden="false" customHeight="true" outlineLevel="0" collapsed="false">
      <c r="A1597" s="15"/>
      <c r="B1597" s="7"/>
      <c r="C1597" s="16" t="str">
        <f aca="false">IF(B1597="","",IFERROR(INDEX(Products!$B$2:$B$501,MATCH(B1597,Products!$A$2:$A$501,0)),"CODE NOT FOUND"))</f>
        <v/>
      </c>
      <c r="D1597" s="7"/>
      <c r="E1597" s="13"/>
      <c r="F1597" s="17" t="str">
        <f aca="false">IF(OR(D1597="",E1597=""),"",D1597*E1597)</f>
        <v/>
      </c>
      <c r="G1597" s="7"/>
      <c r="H1597" s="7"/>
    </row>
    <row r="1598" customFormat="false" ht="15" hidden="false" customHeight="true" outlineLevel="0" collapsed="false">
      <c r="A1598" s="15"/>
      <c r="B1598" s="7"/>
      <c r="C1598" s="16" t="str">
        <f aca="false">IF(B1598="","",IFERROR(INDEX(Products!$B$2:$B$501,MATCH(B1598,Products!$A$2:$A$501,0)),"CODE NOT FOUND"))</f>
        <v/>
      </c>
      <c r="D1598" s="7"/>
      <c r="E1598" s="13"/>
      <c r="F1598" s="17" t="str">
        <f aca="false">IF(OR(D1598="",E1598=""),"",D1598*E1598)</f>
        <v/>
      </c>
      <c r="G1598" s="7"/>
      <c r="H1598" s="7"/>
    </row>
    <row r="1599" customFormat="false" ht="15" hidden="false" customHeight="true" outlineLevel="0" collapsed="false">
      <c r="A1599" s="15"/>
      <c r="B1599" s="7"/>
      <c r="C1599" s="16" t="str">
        <f aca="false">IF(B1599="","",IFERROR(INDEX(Products!$B$2:$B$501,MATCH(B1599,Products!$A$2:$A$501,0)),"CODE NOT FOUND"))</f>
        <v/>
      </c>
      <c r="D1599" s="7"/>
      <c r="E1599" s="13"/>
      <c r="F1599" s="17" t="str">
        <f aca="false">IF(OR(D1599="",E1599=""),"",D1599*E1599)</f>
        <v/>
      </c>
      <c r="G1599" s="7"/>
      <c r="H1599" s="7"/>
    </row>
    <row r="1600" customFormat="false" ht="15" hidden="false" customHeight="true" outlineLevel="0" collapsed="false">
      <c r="A1600" s="15"/>
      <c r="B1600" s="7"/>
      <c r="C1600" s="16" t="str">
        <f aca="false">IF(B1600="","",IFERROR(INDEX(Products!$B$2:$B$501,MATCH(B1600,Products!$A$2:$A$501,0)),"CODE NOT FOUND"))</f>
        <v/>
      </c>
      <c r="D1600" s="7"/>
      <c r="E1600" s="13"/>
      <c r="F1600" s="17" t="str">
        <f aca="false">IF(OR(D1600="",E1600=""),"",D1600*E1600)</f>
        <v/>
      </c>
      <c r="G1600" s="7"/>
      <c r="H1600" s="7"/>
    </row>
    <row r="1601" customFormat="false" ht="15" hidden="false" customHeight="true" outlineLevel="0" collapsed="false">
      <c r="A1601" s="15"/>
      <c r="B1601" s="7"/>
      <c r="C1601" s="16" t="str">
        <f aca="false">IF(B1601="","",IFERROR(INDEX(Products!$B$2:$B$501,MATCH(B1601,Products!$A$2:$A$501,0)),"CODE NOT FOUND"))</f>
        <v/>
      </c>
      <c r="D1601" s="7"/>
      <c r="E1601" s="13"/>
      <c r="F1601" s="17" t="str">
        <f aca="false">IF(OR(D1601="",E1601=""),"",D1601*E1601)</f>
        <v/>
      </c>
      <c r="G1601" s="7"/>
      <c r="H1601" s="7"/>
    </row>
    <row r="1602" customFormat="false" ht="15" hidden="false" customHeight="true" outlineLevel="0" collapsed="false">
      <c r="A1602" s="15"/>
      <c r="B1602" s="7"/>
      <c r="C1602" s="16" t="str">
        <f aca="false">IF(B1602="","",IFERROR(INDEX(Products!$B$2:$B$501,MATCH(B1602,Products!$A$2:$A$501,0)),"CODE NOT FOUND"))</f>
        <v/>
      </c>
      <c r="D1602" s="7"/>
      <c r="E1602" s="13"/>
      <c r="F1602" s="17" t="str">
        <f aca="false">IF(OR(D1602="",E1602=""),"",D1602*E1602)</f>
        <v/>
      </c>
      <c r="G1602" s="7"/>
      <c r="H1602" s="7"/>
    </row>
    <row r="1603" customFormat="false" ht="15" hidden="false" customHeight="true" outlineLevel="0" collapsed="false">
      <c r="A1603" s="15"/>
      <c r="B1603" s="7"/>
      <c r="C1603" s="16" t="str">
        <f aca="false">IF(B1603="","",IFERROR(INDEX(Products!$B$2:$B$501,MATCH(B1603,Products!$A$2:$A$501,0)),"CODE NOT FOUND"))</f>
        <v/>
      </c>
      <c r="D1603" s="7"/>
      <c r="E1603" s="13"/>
      <c r="F1603" s="17" t="str">
        <f aca="false">IF(OR(D1603="",E1603=""),"",D1603*E1603)</f>
        <v/>
      </c>
      <c r="G1603" s="7"/>
      <c r="H1603" s="7"/>
    </row>
    <row r="1604" customFormat="false" ht="15" hidden="false" customHeight="true" outlineLevel="0" collapsed="false">
      <c r="A1604" s="15"/>
      <c r="B1604" s="7"/>
      <c r="C1604" s="16" t="str">
        <f aca="false">IF(B1604="","",IFERROR(INDEX(Products!$B$2:$B$501,MATCH(B1604,Products!$A$2:$A$501,0)),"CODE NOT FOUND"))</f>
        <v/>
      </c>
      <c r="D1604" s="7"/>
      <c r="E1604" s="13"/>
      <c r="F1604" s="17" t="str">
        <f aca="false">IF(OR(D1604="",E1604=""),"",D1604*E1604)</f>
        <v/>
      </c>
      <c r="G1604" s="7"/>
      <c r="H1604" s="7"/>
    </row>
    <row r="1605" customFormat="false" ht="15" hidden="false" customHeight="true" outlineLevel="0" collapsed="false">
      <c r="A1605" s="15"/>
      <c r="B1605" s="7"/>
      <c r="C1605" s="16" t="str">
        <f aca="false">IF(B1605="","",IFERROR(INDEX(Products!$B$2:$B$501,MATCH(B1605,Products!$A$2:$A$501,0)),"CODE NOT FOUND"))</f>
        <v/>
      </c>
      <c r="D1605" s="7"/>
      <c r="E1605" s="13"/>
      <c r="F1605" s="17" t="str">
        <f aca="false">IF(OR(D1605="",E1605=""),"",D1605*E1605)</f>
        <v/>
      </c>
      <c r="G1605" s="7"/>
      <c r="H1605" s="7"/>
    </row>
    <row r="1606" customFormat="false" ht="15" hidden="false" customHeight="true" outlineLevel="0" collapsed="false">
      <c r="A1606" s="15"/>
      <c r="B1606" s="7"/>
      <c r="C1606" s="16" t="str">
        <f aca="false">IF(B1606="","",IFERROR(INDEX(Products!$B$2:$B$501,MATCH(B1606,Products!$A$2:$A$501,0)),"CODE NOT FOUND"))</f>
        <v/>
      </c>
      <c r="D1606" s="7"/>
      <c r="E1606" s="13"/>
      <c r="F1606" s="17" t="str">
        <f aca="false">IF(OR(D1606="",E1606=""),"",D1606*E1606)</f>
        <v/>
      </c>
      <c r="G1606" s="7"/>
      <c r="H1606" s="7"/>
    </row>
    <row r="1607" customFormat="false" ht="15" hidden="false" customHeight="true" outlineLevel="0" collapsed="false">
      <c r="A1607" s="15"/>
      <c r="B1607" s="7"/>
      <c r="C1607" s="16" t="str">
        <f aca="false">IF(B1607="","",IFERROR(INDEX(Products!$B$2:$B$501,MATCH(B1607,Products!$A$2:$A$501,0)),"CODE NOT FOUND"))</f>
        <v/>
      </c>
      <c r="D1607" s="7"/>
      <c r="E1607" s="13"/>
      <c r="F1607" s="17" t="str">
        <f aca="false">IF(OR(D1607="",E1607=""),"",D1607*E1607)</f>
        <v/>
      </c>
      <c r="G1607" s="7"/>
      <c r="H1607" s="7"/>
    </row>
    <row r="1608" customFormat="false" ht="15" hidden="false" customHeight="true" outlineLevel="0" collapsed="false">
      <c r="A1608" s="15"/>
      <c r="B1608" s="7"/>
      <c r="C1608" s="16" t="str">
        <f aca="false">IF(B1608="","",IFERROR(INDEX(Products!$B$2:$B$501,MATCH(B1608,Products!$A$2:$A$501,0)),"CODE NOT FOUND"))</f>
        <v/>
      </c>
      <c r="D1608" s="7"/>
      <c r="E1608" s="13"/>
      <c r="F1608" s="17" t="str">
        <f aca="false">IF(OR(D1608="",E1608=""),"",D1608*E1608)</f>
        <v/>
      </c>
      <c r="G1608" s="7"/>
      <c r="H1608" s="7"/>
    </row>
    <row r="1609" customFormat="false" ht="15" hidden="false" customHeight="true" outlineLevel="0" collapsed="false">
      <c r="A1609" s="15"/>
      <c r="B1609" s="7"/>
      <c r="C1609" s="16" t="str">
        <f aca="false">IF(B1609="","",IFERROR(INDEX(Products!$B$2:$B$501,MATCH(B1609,Products!$A$2:$A$501,0)),"CODE NOT FOUND"))</f>
        <v/>
      </c>
      <c r="D1609" s="7"/>
      <c r="E1609" s="13"/>
      <c r="F1609" s="17" t="str">
        <f aca="false">IF(OR(D1609="",E1609=""),"",D1609*E1609)</f>
        <v/>
      </c>
      <c r="G1609" s="7"/>
      <c r="H1609" s="7"/>
    </row>
    <row r="1610" customFormat="false" ht="15" hidden="false" customHeight="true" outlineLevel="0" collapsed="false">
      <c r="A1610" s="15"/>
      <c r="B1610" s="7"/>
      <c r="C1610" s="16" t="str">
        <f aca="false">IF(B1610="","",IFERROR(INDEX(Products!$B$2:$B$501,MATCH(B1610,Products!$A$2:$A$501,0)),"CODE NOT FOUND"))</f>
        <v/>
      </c>
      <c r="D1610" s="7"/>
      <c r="E1610" s="13"/>
      <c r="F1610" s="17" t="str">
        <f aca="false">IF(OR(D1610="",E1610=""),"",D1610*E1610)</f>
        <v/>
      </c>
      <c r="G1610" s="7"/>
      <c r="H1610" s="7"/>
    </row>
    <row r="1611" customFormat="false" ht="15" hidden="false" customHeight="true" outlineLevel="0" collapsed="false">
      <c r="A1611" s="15"/>
      <c r="B1611" s="7"/>
      <c r="C1611" s="16" t="str">
        <f aca="false">IF(B1611="","",IFERROR(INDEX(Products!$B$2:$B$501,MATCH(B1611,Products!$A$2:$A$501,0)),"CODE NOT FOUND"))</f>
        <v/>
      </c>
      <c r="D1611" s="7"/>
      <c r="E1611" s="13"/>
      <c r="F1611" s="17" t="str">
        <f aca="false">IF(OR(D1611="",E1611=""),"",D1611*E1611)</f>
        <v/>
      </c>
      <c r="G1611" s="7"/>
      <c r="H1611" s="7"/>
    </row>
    <row r="1612" customFormat="false" ht="15" hidden="false" customHeight="true" outlineLevel="0" collapsed="false">
      <c r="A1612" s="15"/>
      <c r="B1612" s="7"/>
      <c r="C1612" s="16" t="str">
        <f aca="false">IF(B1612="","",IFERROR(INDEX(Products!$B$2:$B$501,MATCH(B1612,Products!$A$2:$A$501,0)),"CODE NOT FOUND"))</f>
        <v/>
      </c>
      <c r="D1612" s="7"/>
      <c r="E1612" s="13"/>
      <c r="F1612" s="17" t="str">
        <f aca="false">IF(OR(D1612="",E1612=""),"",D1612*E1612)</f>
        <v/>
      </c>
      <c r="G1612" s="7"/>
      <c r="H1612" s="7"/>
    </row>
    <row r="1613" customFormat="false" ht="15" hidden="false" customHeight="true" outlineLevel="0" collapsed="false">
      <c r="A1613" s="15"/>
      <c r="B1613" s="7"/>
      <c r="C1613" s="16" t="str">
        <f aca="false">IF(B1613="","",IFERROR(INDEX(Products!$B$2:$B$501,MATCH(B1613,Products!$A$2:$A$501,0)),"CODE NOT FOUND"))</f>
        <v/>
      </c>
      <c r="D1613" s="7"/>
      <c r="E1613" s="13"/>
      <c r="F1613" s="17" t="str">
        <f aca="false">IF(OR(D1613="",E1613=""),"",D1613*E1613)</f>
        <v/>
      </c>
      <c r="G1613" s="7"/>
      <c r="H1613" s="7"/>
    </row>
    <row r="1614" customFormat="false" ht="15" hidden="false" customHeight="true" outlineLevel="0" collapsed="false">
      <c r="A1614" s="15"/>
      <c r="B1614" s="7"/>
      <c r="C1614" s="16" t="str">
        <f aca="false">IF(B1614="","",IFERROR(INDEX(Products!$B$2:$B$501,MATCH(B1614,Products!$A$2:$A$501,0)),"CODE NOT FOUND"))</f>
        <v/>
      </c>
      <c r="D1614" s="7"/>
      <c r="E1614" s="13"/>
      <c r="F1614" s="17" t="str">
        <f aca="false">IF(OR(D1614="",E1614=""),"",D1614*E1614)</f>
        <v/>
      </c>
      <c r="G1614" s="7"/>
      <c r="H1614" s="7"/>
    </row>
    <row r="1615" customFormat="false" ht="15" hidden="false" customHeight="true" outlineLevel="0" collapsed="false">
      <c r="A1615" s="15"/>
      <c r="B1615" s="7"/>
      <c r="C1615" s="16" t="str">
        <f aca="false">IF(B1615="","",IFERROR(INDEX(Products!$B$2:$B$501,MATCH(B1615,Products!$A$2:$A$501,0)),"CODE NOT FOUND"))</f>
        <v/>
      </c>
      <c r="D1615" s="7"/>
      <c r="E1615" s="13"/>
      <c r="F1615" s="17" t="str">
        <f aca="false">IF(OR(D1615="",E1615=""),"",D1615*E1615)</f>
        <v/>
      </c>
      <c r="G1615" s="7"/>
      <c r="H1615" s="7"/>
    </row>
    <row r="1616" customFormat="false" ht="15" hidden="false" customHeight="true" outlineLevel="0" collapsed="false">
      <c r="A1616" s="15"/>
      <c r="B1616" s="7"/>
      <c r="C1616" s="16" t="str">
        <f aca="false">IF(B1616="","",IFERROR(INDEX(Products!$B$2:$B$501,MATCH(B1616,Products!$A$2:$A$501,0)),"CODE NOT FOUND"))</f>
        <v/>
      </c>
      <c r="D1616" s="7"/>
      <c r="E1616" s="13"/>
      <c r="F1616" s="17" t="str">
        <f aca="false">IF(OR(D1616="",E1616=""),"",D1616*E1616)</f>
        <v/>
      </c>
      <c r="G1616" s="7"/>
      <c r="H1616" s="7"/>
    </row>
    <row r="1617" customFormat="false" ht="15" hidden="false" customHeight="true" outlineLevel="0" collapsed="false">
      <c r="A1617" s="15"/>
      <c r="B1617" s="7"/>
      <c r="C1617" s="16" t="str">
        <f aca="false">IF(B1617="","",IFERROR(INDEX(Products!$B$2:$B$501,MATCH(B1617,Products!$A$2:$A$501,0)),"CODE NOT FOUND"))</f>
        <v/>
      </c>
      <c r="D1617" s="7"/>
      <c r="E1617" s="13"/>
      <c r="F1617" s="17" t="str">
        <f aca="false">IF(OR(D1617="",E1617=""),"",D1617*E1617)</f>
        <v/>
      </c>
      <c r="G1617" s="7"/>
      <c r="H1617" s="7"/>
    </row>
    <row r="1618" customFormat="false" ht="15" hidden="false" customHeight="true" outlineLevel="0" collapsed="false">
      <c r="A1618" s="15"/>
      <c r="B1618" s="7"/>
      <c r="C1618" s="16" t="str">
        <f aca="false">IF(B1618="","",IFERROR(INDEX(Products!$B$2:$B$501,MATCH(B1618,Products!$A$2:$A$501,0)),"CODE NOT FOUND"))</f>
        <v/>
      </c>
      <c r="D1618" s="7"/>
      <c r="E1618" s="13"/>
      <c r="F1618" s="17" t="str">
        <f aca="false">IF(OR(D1618="",E1618=""),"",D1618*E1618)</f>
        <v/>
      </c>
      <c r="G1618" s="7"/>
      <c r="H1618" s="7"/>
    </row>
    <row r="1619" customFormat="false" ht="15" hidden="false" customHeight="true" outlineLevel="0" collapsed="false">
      <c r="A1619" s="15"/>
      <c r="B1619" s="7"/>
      <c r="C1619" s="16" t="str">
        <f aca="false">IF(B1619="","",IFERROR(INDEX(Products!$B$2:$B$501,MATCH(B1619,Products!$A$2:$A$501,0)),"CODE NOT FOUND"))</f>
        <v/>
      </c>
      <c r="D1619" s="7"/>
      <c r="E1619" s="13"/>
      <c r="F1619" s="17" t="str">
        <f aca="false">IF(OR(D1619="",E1619=""),"",D1619*E1619)</f>
        <v/>
      </c>
      <c r="G1619" s="7"/>
      <c r="H1619" s="7"/>
    </row>
    <row r="1620" customFormat="false" ht="15" hidden="false" customHeight="true" outlineLevel="0" collapsed="false">
      <c r="A1620" s="15"/>
      <c r="B1620" s="7"/>
      <c r="C1620" s="16" t="str">
        <f aca="false">IF(B1620="","",IFERROR(INDEX(Products!$B$2:$B$501,MATCH(B1620,Products!$A$2:$A$501,0)),"CODE NOT FOUND"))</f>
        <v/>
      </c>
      <c r="D1620" s="7"/>
      <c r="E1620" s="13"/>
      <c r="F1620" s="17" t="str">
        <f aca="false">IF(OR(D1620="",E1620=""),"",D1620*E1620)</f>
        <v/>
      </c>
      <c r="G1620" s="7"/>
      <c r="H1620" s="7"/>
    </row>
    <row r="1621" customFormat="false" ht="15" hidden="false" customHeight="true" outlineLevel="0" collapsed="false">
      <c r="A1621" s="15"/>
      <c r="B1621" s="7"/>
      <c r="C1621" s="16" t="str">
        <f aca="false">IF(B1621="","",IFERROR(INDEX(Products!$B$2:$B$501,MATCH(B1621,Products!$A$2:$A$501,0)),"CODE NOT FOUND"))</f>
        <v/>
      </c>
      <c r="D1621" s="7"/>
      <c r="E1621" s="13"/>
      <c r="F1621" s="17" t="str">
        <f aca="false">IF(OR(D1621="",E1621=""),"",D1621*E1621)</f>
        <v/>
      </c>
      <c r="G1621" s="7"/>
      <c r="H1621" s="7"/>
    </row>
    <row r="1622" customFormat="false" ht="15" hidden="false" customHeight="true" outlineLevel="0" collapsed="false">
      <c r="A1622" s="15"/>
      <c r="B1622" s="7"/>
      <c r="C1622" s="16" t="str">
        <f aca="false">IF(B1622="","",IFERROR(INDEX(Products!$B$2:$B$501,MATCH(B1622,Products!$A$2:$A$501,0)),"CODE NOT FOUND"))</f>
        <v/>
      </c>
      <c r="D1622" s="7"/>
      <c r="E1622" s="13"/>
      <c r="F1622" s="17" t="str">
        <f aca="false">IF(OR(D1622="",E1622=""),"",D1622*E1622)</f>
        <v/>
      </c>
      <c r="G1622" s="7"/>
      <c r="H1622" s="7"/>
    </row>
    <row r="1623" customFormat="false" ht="15" hidden="false" customHeight="true" outlineLevel="0" collapsed="false">
      <c r="A1623" s="15"/>
      <c r="B1623" s="7"/>
      <c r="C1623" s="16" t="str">
        <f aca="false">IF(B1623="","",IFERROR(INDEX(Products!$B$2:$B$501,MATCH(B1623,Products!$A$2:$A$501,0)),"CODE NOT FOUND"))</f>
        <v/>
      </c>
      <c r="D1623" s="7"/>
      <c r="E1623" s="13"/>
      <c r="F1623" s="17" t="str">
        <f aca="false">IF(OR(D1623="",E1623=""),"",D1623*E1623)</f>
        <v/>
      </c>
      <c r="G1623" s="7"/>
      <c r="H1623" s="7"/>
    </row>
    <row r="1624" customFormat="false" ht="15" hidden="false" customHeight="true" outlineLevel="0" collapsed="false">
      <c r="A1624" s="15"/>
      <c r="B1624" s="7"/>
      <c r="C1624" s="16" t="str">
        <f aca="false">IF(B1624="","",IFERROR(INDEX(Products!$B$2:$B$501,MATCH(B1624,Products!$A$2:$A$501,0)),"CODE NOT FOUND"))</f>
        <v/>
      </c>
      <c r="D1624" s="7"/>
      <c r="E1624" s="13"/>
      <c r="F1624" s="17" t="str">
        <f aca="false">IF(OR(D1624="",E1624=""),"",D1624*E1624)</f>
        <v/>
      </c>
      <c r="G1624" s="7"/>
      <c r="H1624" s="7"/>
    </row>
    <row r="1625" customFormat="false" ht="15" hidden="false" customHeight="true" outlineLevel="0" collapsed="false">
      <c r="A1625" s="15"/>
      <c r="B1625" s="7"/>
      <c r="C1625" s="16" t="str">
        <f aca="false">IF(B1625="","",IFERROR(INDEX(Products!$B$2:$B$501,MATCH(B1625,Products!$A$2:$A$501,0)),"CODE NOT FOUND"))</f>
        <v/>
      </c>
      <c r="D1625" s="7"/>
      <c r="E1625" s="13"/>
      <c r="F1625" s="17" t="str">
        <f aca="false">IF(OR(D1625="",E1625=""),"",D1625*E1625)</f>
        <v/>
      </c>
      <c r="G1625" s="7"/>
      <c r="H1625" s="7"/>
    </row>
    <row r="1626" customFormat="false" ht="15" hidden="false" customHeight="true" outlineLevel="0" collapsed="false">
      <c r="A1626" s="15"/>
      <c r="B1626" s="7"/>
      <c r="C1626" s="16" t="str">
        <f aca="false">IF(B1626="","",IFERROR(INDEX(Products!$B$2:$B$501,MATCH(B1626,Products!$A$2:$A$501,0)),"CODE NOT FOUND"))</f>
        <v/>
      </c>
      <c r="D1626" s="7"/>
      <c r="E1626" s="13"/>
      <c r="F1626" s="17" t="str">
        <f aca="false">IF(OR(D1626="",E1626=""),"",D1626*E1626)</f>
        <v/>
      </c>
      <c r="G1626" s="7"/>
      <c r="H1626" s="7"/>
    </row>
    <row r="1627" customFormat="false" ht="15" hidden="false" customHeight="true" outlineLevel="0" collapsed="false">
      <c r="A1627" s="15"/>
      <c r="B1627" s="7"/>
      <c r="C1627" s="16" t="str">
        <f aca="false">IF(B1627="","",IFERROR(INDEX(Products!$B$2:$B$501,MATCH(B1627,Products!$A$2:$A$501,0)),"CODE NOT FOUND"))</f>
        <v/>
      </c>
      <c r="D1627" s="7"/>
      <c r="E1627" s="13"/>
      <c r="F1627" s="17" t="str">
        <f aca="false">IF(OR(D1627="",E1627=""),"",D1627*E1627)</f>
        <v/>
      </c>
      <c r="G1627" s="7"/>
      <c r="H1627" s="7"/>
    </row>
    <row r="1628" customFormat="false" ht="15" hidden="false" customHeight="true" outlineLevel="0" collapsed="false">
      <c r="A1628" s="15"/>
      <c r="B1628" s="7"/>
      <c r="C1628" s="16" t="str">
        <f aca="false">IF(B1628="","",IFERROR(INDEX(Products!$B$2:$B$501,MATCH(B1628,Products!$A$2:$A$501,0)),"CODE NOT FOUND"))</f>
        <v/>
      </c>
      <c r="D1628" s="7"/>
      <c r="E1628" s="13"/>
      <c r="F1628" s="17" t="str">
        <f aca="false">IF(OR(D1628="",E1628=""),"",D1628*E1628)</f>
        <v/>
      </c>
      <c r="G1628" s="7"/>
      <c r="H1628" s="7"/>
    </row>
    <row r="1629" customFormat="false" ht="15" hidden="false" customHeight="true" outlineLevel="0" collapsed="false">
      <c r="A1629" s="15"/>
      <c r="B1629" s="7"/>
      <c r="C1629" s="16" t="str">
        <f aca="false">IF(B1629="","",IFERROR(INDEX(Products!$B$2:$B$501,MATCH(B1629,Products!$A$2:$A$501,0)),"CODE NOT FOUND"))</f>
        <v/>
      </c>
      <c r="D1629" s="7"/>
      <c r="E1629" s="13"/>
      <c r="F1629" s="17" t="str">
        <f aca="false">IF(OR(D1629="",E1629=""),"",D1629*E1629)</f>
        <v/>
      </c>
      <c r="G1629" s="7"/>
      <c r="H1629" s="7"/>
    </row>
    <row r="1630" customFormat="false" ht="15" hidden="false" customHeight="true" outlineLevel="0" collapsed="false">
      <c r="A1630" s="15"/>
      <c r="B1630" s="7"/>
      <c r="C1630" s="16" t="str">
        <f aca="false">IF(B1630="","",IFERROR(INDEX(Products!$B$2:$B$501,MATCH(B1630,Products!$A$2:$A$501,0)),"CODE NOT FOUND"))</f>
        <v/>
      </c>
      <c r="D1630" s="7"/>
      <c r="E1630" s="13"/>
      <c r="F1630" s="17" t="str">
        <f aca="false">IF(OR(D1630="",E1630=""),"",D1630*E1630)</f>
        <v/>
      </c>
      <c r="G1630" s="7"/>
      <c r="H1630" s="7"/>
    </row>
    <row r="1631" customFormat="false" ht="15" hidden="false" customHeight="true" outlineLevel="0" collapsed="false">
      <c r="A1631" s="15"/>
      <c r="B1631" s="7"/>
      <c r="C1631" s="16" t="str">
        <f aca="false">IF(B1631="","",IFERROR(INDEX(Products!$B$2:$B$501,MATCH(B1631,Products!$A$2:$A$501,0)),"CODE NOT FOUND"))</f>
        <v/>
      </c>
      <c r="D1631" s="7"/>
      <c r="E1631" s="13"/>
      <c r="F1631" s="17" t="str">
        <f aca="false">IF(OR(D1631="",E1631=""),"",D1631*E1631)</f>
        <v/>
      </c>
      <c r="G1631" s="7"/>
      <c r="H1631" s="7"/>
    </row>
    <row r="1632" customFormat="false" ht="15" hidden="false" customHeight="true" outlineLevel="0" collapsed="false">
      <c r="A1632" s="15"/>
      <c r="B1632" s="7"/>
      <c r="C1632" s="16" t="str">
        <f aca="false">IF(B1632="","",IFERROR(INDEX(Products!$B$2:$B$501,MATCH(B1632,Products!$A$2:$A$501,0)),"CODE NOT FOUND"))</f>
        <v/>
      </c>
      <c r="D1632" s="7"/>
      <c r="E1632" s="13"/>
      <c r="F1632" s="17" t="str">
        <f aca="false">IF(OR(D1632="",E1632=""),"",D1632*E1632)</f>
        <v/>
      </c>
      <c r="G1632" s="7"/>
      <c r="H1632" s="7"/>
    </row>
    <row r="1633" customFormat="false" ht="15" hidden="false" customHeight="true" outlineLevel="0" collapsed="false">
      <c r="A1633" s="15"/>
      <c r="B1633" s="7"/>
      <c r="C1633" s="16" t="str">
        <f aca="false">IF(B1633="","",IFERROR(INDEX(Products!$B$2:$B$501,MATCH(B1633,Products!$A$2:$A$501,0)),"CODE NOT FOUND"))</f>
        <v/>
      </c>
      <c r="D1633" s="7"/>
      <c r="E1633" s="13"/>
      <c r="F1633" s="17" t="str">
        <f aca="false">IF(OR(D1633="",E1633=""),"",D1633*E1633)</f>
        <v/>
      </c>
      <c r="G1633" s="7"/>
      <c r="H1633" s="7"/>
    </row>
    <row r="1634" customFormat="false" ht="15" hidden="false" customHeight="true" outlineLevel="0" collapsed="false">
      <c r="A1634" s="15"/>
      <c r="B1634" s="7"/>
      <c r="C1634" s="16" t="str">
        <f aca="false">IF(B1634="","",IFERROR(INDEX(Products!$B$2:$B$501,MATCH(B1634,Products!$A$2:$A$501,0)),"CODE NOT FOUND"))</f>
        <v/>
      </c>
      <c r="D1634" s="7"/>
      <c r="E1634" s="13"/>
      <c r="F1634" s="17" t="str">
        <f aca="false">IF(OR(D1634="",E1634=""),"",D1634*E1634)</f>
        <v/>
      </c>
      <c r="G1634" s="7"/>
      <c r="H1634" s="7"/>
    </row>
    <row r="1635" customFormat="false" ht="15" hidden="false" customHeight="true" outlineLevel="0" collapsed="false">
      <c r="A1635" s="15"/>
      <c r="B1635" s="7"/>
      <c r="C1635" s="16" t="str">
        <f aca="false">IF(B1635="","",IFERROR(INDEX(Products!$B$2:$B$501,MATCH(B1635,Products!$A$2:$A$501,0)),"CODE NOT FOUND"))</f>
        <v/>
      </c>
      <c r="D1635" s="7"/>
      <c r="E1635" s="13"/>
      <c r="F1635" s="17" t="str">
        <f aca="false">IF(OR(D1635="",E1635=""),"",D1635*E1635)</f>
        <v/>
      </c>
      <c r="G1635" s="7"/>
      <c r="H1635" s="7"/>
    </row>
    <row r="1636" customFormat="false" ht="15" hidden="false" customHeight="true" outlineLevel="0" collapsed="false">
      <c r="A1636" s="15"/>
      <c r="B1636" s="7"/>
      <c r="C1636" s="16" t="str">
        <f aca="false">IF(B1636="","",IFERROR(INDEX(Products!$B$2:$B$501,MATCH(B1636,Products!$A$2:$A$501,0)),"CODE NOT FOUND"))</f>
        <v/>
      </c>
      <c r="D1636" s="7"/>
      <c r="E1636" s="13"/>
      <c r="F1636" s="17" t="str">
        <f aca="false">IF(OR(D1636="",E1636=""),"",D1636*E1636)</f>
        <v/>
      </c>
      <c r="G1636" s="7"/>
      <c r="H1636" s="7"/>
    </row>
    <row r="1637" customFormat="false" ht="15" hidden="false" customHeight="true" outlineLevel="0" collapsed="false">
      <c r="A1637" s="15"/>
      <c r="B1637" s="7"/>
      <c r="C1637" s="16" t="str">
        <f aca="false">IF(B1637="","",IFERROR(INDEX(Products!$B$2:$B$501,MATCH(B1637,Products!$A$2:$A$501,0)),"CODE NOT FOUND"))</f>
        <v/>
      </c>
      <c r="D1637" s="7"/>
      <c r="E1637" s="13"/>
      <c r="F1637" s="17" t="str">
        <f aca="false">IF(OR(D1637="",E1637=""),"",D1637*E1637)</f>
        <v/>
      </c>
      <c r="G1637" s="7"/>
      <c r="H1637" s="7"/>
    </row>
    <row r="1638" customFormat="false" ht="15" hidden="false" customHeight="true" outlineLevel="0" collapsed="false">
      <c r="A1638" s="15"/>
      <c r="B1638" s="7"/>
      <c r="C1638" s="16" t="str">
        <f aca="false">IF(B1638="","",IFERROR(INDEX(Products!$B$2:$B$501,MATCH(B1638,Products!$A$2:$A$501,0)),"CODE NOT FOUND"))</f>
        <v/>
      </c>
      <c r="D1638" s="7"/>
      <c r="E1638" s="13"/>
      <c r="F1638" s="17" t="str">
        <f aca="false">IF(OR(D1638="",E1638=""),"",D1638*E1638)</f>
        <v/>
      </c>
      <c r="G1638" s="7"/>
      <c r="H1638" s="7"/>
    </row>
    <row r="1639" customFormat="false" ht="15" hidden="false" customHeight="true" outlineLevel="0" collapsed="false">
      <c r="A1639" s="15"/>
      <c r="B1639" s="7"/>
      <c r="C1639" s="16" t="str">
        <f aca="false">IF(B1639="","",IFERROR(INDEX(Products!$B$2:$B$501,MATCH(B1639,Products!$A$2:$A$501,0)),"CODE NOT FOUND"))</f>
        <v/>
      </c>
      <c r="D1639" s="7"/>
      <c r="E1639" s="13"/>
      <c r="F1639" s="17" t="str">
        <f aca="false">IF(OR(D1639="",E1639=""),"",D1639*E1639)</f>
        <v/>
      </c>
      <c r="G1639" s="7"/>
      <c r="H1639" s="7"/>
    </row>
    <row r="1640" customFormat="false" ht="15" hidden="false" customHeight="true" outlineLevel="0" collapsed="false">
      <c r="A1640" s="15"/>
      <c r="B1640" s="7"/>
      <c r="C1640" s="16" t="str">
        <f aca="false">IF(B1640="","",IFERROR(INDEX(Products!$B$2:$B$501,MATCH(B1640,Products!$A$2:$A$501,0)),"CODE NOT FOUND"))</f>
        <v/>
      </c>
      <c r="D1640" s="7"/>
      <c r="E1640" s="13"/>
      <c r="F1640" s="17" t="str">
        <f aca="false">IF(OR(D1640="",E1640=""),"",D1640*E1640)</f>
        <v/>
      </c>
      <c r="G1640" s="7"/>
      <c r="H1640" s="7"/>
    </row>
    <row r="1641" customFormat="false" ht="15" hidden="false" customHeight="true" outlineLevel="0" collapsed="false">
      <c r="A1641" s="15"/>
      <c r="B1641" s="7"/>
      <c r="C1641" s="16" t="str">
        <f aca="false">IF(B1641="","",IFERROR(INDEX(Products!$B$2:$B$501,MATCH(B1641,Products!$A$2:$A$501,0)),"CODE NOT FOUND"))</f>
        <v/>
      </c>
      <c r="D1641" s="7"/>
      <c r="E1641" s="13"/>
      <c r="F1641" s="17" t="str">
        <f aca="false">IF(OR(D1641="",E1641=""),"",D1641*E1641)</f>
        <v/>
      </c>
      <c r="G1641" s="7"/>
      <c r="H1641" s="7"/>
    </row>
    <row r="1642" customFormat="false" ht="15" hidden="false" customHeight="true" outlineLevel="0" collapsed="false">
      <c r="A1642" s="15"/>
      <c r="B1642" s="7"/>
      <c r="C1642" s="16" t="str">
        <f aca="false">IF(B1642="","",IFERROR(INDEX(Products!$B$2:$B$501,MATCH(B1642,Products!$A$2:$A$501,0)),"CODE NOT FOUND"))</f>
        <v/>
      </c>
      <c r="D1642" s="7"/>
      <c r="E1642" s="13"/>
      <c r="F1642" s="17" t="str">
        <f aca="false">IF(OR(D1642="",E1642=""),"",D1642*E1642)</f>
        <v/>
      </c>
      <c r="G1642" s="7"/>
      <c r="H1642" s="7"/>
    </row>
    <row r="1643" customFormat="false" ht="15" hidden="false" customHeight="true" outlineLevel="0" collapsed="false">
      <c r="A1643" s="15"/>
      <c r="B1643" s="7"/>
      <c r="C1643" s="16" t="str">
        <f aca="false">IF(B1643="","",IFERROR(INDEX(Products!$B$2:$B$501,MATCH(B1643,Products!$A$2:$A$501,0)),"CODE NOT FOUND"))</f>
        <v/>
      </c>
      <c r="D1643" s="7"/>
      <c r="E1643" s="13"/>
      <c r="F1643" s="17" t="str">
        <f aca="false">IF(OR(D1643="",E1643=""),"",D1643*E1643)</f>
        <v/>
      </c>
      <c r="G1643" s="7"/>
      <c r="H1643" s="7"/>
    </row>
    <row r="1644" customFormat="false" ht="15" hidden="false" customHeight="true" outlineLevel="0" collapsed="false">
      <c r="A1644" s="15"/>
      <c r="B1644" s="7"/>
      <c r="C1644" s="16" t="str">
        <f aca="false">IF(B1644="","",IFERROR(INDEX(Products!$B$2:$B$501,MATCH(B1644,Products!$A$2:$A$501,0)),"CODE NOT FOUND"))</f>
        <v/>
      </c>
      <c r="D1644" s="7"/>
      <c r="E1644" s="13"/>
      <c r="F1644" s="17" t="str">
        <f aca="false">IF(OR(D1644="",E1644=""),"",D1644*E1644)</f>
        <v/>
      </c>
      <c r="G1644" s="7"/>
      <c r="H1644" s="7"/>
    </row>
    <row r="1645" customFormat="false" ht="15" hidden="false" customHeight="true" outlineLevel="0" collapsed="false">
      <c r="A1645" s="15"/>
      <c r="B1645" s="7"/>
      <c r="C1645" s="16" t="str">
        <f aca="false">IF(B1645="","",IFERROR(INDEX(Products!$B$2:$B$501,MATCH(B1645,Products!$A$2:$A$501,0)),"CODE NOT FOUND"))</f>
        <v/>
      </c>
      <c r="D1645" s="7"/>
      <c r="E1645" s="13"/>
      <c r="F1645" s="17" t="str">
        <f aca="false">IF(OR(D1645="",E1645=""),"",D1645*E1645)</f>
        <v/>
      </c>
      <c r="G1645" s="7"/>
      <c r="H1645" s="7"/>
    </row>
    <row r="1646" customFormat="false" ht="15" hidden="false" customHeight="true" outlineLevel="0" collapsed="false">
      <c r="A1646" s="15"/>
      <c r="B1646" s="7"/>
      <c r="C1646" s="16" t="str">
        <f aca="false">IF(B1646="","",IFERROR(INDEX(Products!$B$2:$B$501,MATCH(B1646,Products!$A$2:$A$501,0)),"CODE NOT FOUND"))</f>
        <v/>
      </c>
      <c r="D1646" s="7"/>
      <c r="E1646" s="13"/>
      <c r="F1646" s="17" t="str">
        <f aca="false">IF(OR(D1646="",E1646=""),"",D1646*E1646)</f>
        <v/>
      </c>
      <c r="G1646" s="7"/>
      <c r="H1646" s="7"/>
    </row>
    <row r="1647" customFormat="false" ht="15" hidden="false" customHeight="true" outlineLevel="0" collapsed="false">
      <c r="A1647" s="15"/>
      <c r="B1647" s="7"/>
      <c r="C1647" s="16" t="str">
        <f aca="false">IF(B1647="","",IFERROR(INDEX(Products!$B$2:$B$501,MATCH(B1647,Products!$A$2:$A$501,0)),"CODE NOT FOUND"))</f>
        <v/>
      </c>
      <c r="D1647" s="7"/>
      <c r="E1647" s="13"/>
      <c r="F1647" s="17" t="str">
        <f aca="false">IF(OR(D1647="",E1647=""),"",D1647*E1647)</f>
        <v/>
      </c>
      <c r="G1647" s="7"/>
      <c r="H1647" s="7"/>
    </row>
    <row r="1648" customFormat="false" ht="15" hidden="false" customHeight="true" outlineLevel="0" collapsed="false">
      <c r="A1648" s="15"/>
      <c r="B1648" s="7"/>
      <c r="C1648" s="16" t="str">
        <f aca="false">IF(B1648="","",IFERROR(INDEX(Products!$B$2:$B$501,MATCH(B1648,Products!$A$2:$A$501,0)),"CODE NOT FOUND"))</f>
        <v/>
      </c>
      <c r="D1648" s="7"/>
      <c r="E1648" s="13"/>
      <c r="F1648" s="17" t="str">
        <f aca="false">IF(OR(D1648="",E1648=""),"",D1648*E1648)</f>
        <v/>
      </c>
      <c r="G1648" s="7"/>
      <c r="H1648" s="7"/>
    </row>
    <row r="1649" customFormat="false" ht="15" hidden="false" customHeight="true" outlineLevel="0" collapsed="false">
      <c r="A1649" s="15"/>
      <c r="B1649" s="7"/>
      <c r="C1649" s="16" t="str">
        <f aca="false">IF(B1649="","",IFERROR(INDEX(Products!$B$2:$B$501,MATCH(B1649,Products!$A$2:$A$501,0)),"CODE NOT FOUND"))</f>
        <v/>
      </c>
      <c r="D1649" s="7"/>
      <c r="E1649" s="13"/>
      <c r="F1649" s="17" t="str">
        <f aca="false">IF(OR(D1649="",E1649=""),"",D1649*E1649)</f>
        <v/>
      </c>
      <c r="G1649" s="7"/>
      <c r="H1649" s="7"/>
    </row>
    <row r="1650" customFormat="false" ht="15" hidden="false" customHeight="true" outlineLevel="0" collapsed="false">
      <c r="A1650" s="15"/>
      <c r="B1650" s="7"/>
      <c r="C1650" s="16" t="str">
        <f aca="false">IF(B1650="","",IFERROR(INDEX(Products!$B$2:$B$501,MATCH(B1650,Products!$A$2:$A$501,0)),"CODE NOT FOUND"))</f>
        <v/>
      </c>
      <c r="D1650" s="7"/>
      <c r="E1650" s="13"/>
      <c r="F1650" s="17" t="str">
        <f aca="false">IF(OR(D1650="",E1650=""),"",D1650*E1650)</f>
        <v/>
      </c>
      <c r="G1650" s="7"/>
      <c r="H1650" s="7"/>
    </row>
    <row r="1651" customFormat="false" ht="15" hidden="false" customHeight="true" outlineLevel="0" collapsed="false">
      <c r="A1651" s="15"/>
      <c r="B1651" s="7"/>
      <c r="C1651" s="16" t="str">
        <f aca="false">IF(B1651="","",IFERROR(INDEX(Products!$B$2:$B$501,MATCH(B1651,Products!$A$2:$A$501,0)),"CODE NOT FOUND"))</f>
        <v/>
      </c>
      <c r="D1651" s="7"/>
      <c r="E1651" s="13"/>
      <c r="F1651" s="17" t="str">
        <f aca="false">IF(OR(D1651="",E1651=""),"",D1651*E1651)</f>
        <v/>
      </c>
      <c r="G1651" s="7"/>
      <c r="H1651" s="7"/>
    </row>
    <row r="1652" customFormat="false" ht="15" hidden="false" customHeight="true" outlineLevel="0" collapsed="false">
      <c r="A1652" s="15"/>
      <c r="B1652" s="7"/>
      <c r="C1652" s="16" t="str">
        <f aca="false">IF(B1652="","",IFERROR(INDEX(Products!$B$2:$B$501,MATCH(B1652,Products!$A$2:$A$501,0)),"CODE NOT FOUND"))</f>
        <v/>
      </c>
      <c r="D1652" s="7"/>
      <c r="E1652" s="13"/>
      <c r="F1652" s="17" t="str">
        <f aca="false">IF(OR(D1652="",E1652=""),"",D1652*E1652)</f>
        <v/>
      </c>
      <c r="G1652" s="7"/>
      <c r="H1652" s="7"/>
    </row>
    <row r="1653" customFormat="false" ht="15" hidden="false" customHeight="true" outlineLevel="0" collapsed="false">
      <c r="A1653" s="15"/>
      <c r="B1653" s="7"/>
      <c r="C1653" s="16" t="str">
        <f aca="false">IF(B1653="","",IFERROR(INDEX(Products!$B$2:$B$501,MATCH(B1653,Products!$A$2:$A$501,0)),"CODE NOT FOUND"))</f>
        <v/>
      </c>
      <c r="D1653" s="7"/>
      <c r="E1653" s="13"/>
      <c r="F1653" s="17" t="str">
        <f aca="false">IF(OR(D1653="",E1653=""),"",D1653*E1653)</f>
        <v/>
      </c>
      <c r="G1653" s="7"/>
      <c r="H1653" s="7"/>
    </row>
    <row r="1654" customFormat="false" ht="15" hidden="false" customHeight="true" outlineLevel="0" collapsed="false">
      <c r="A1654" s="15"/>
      <c r="B1654" s="7"/>
      <c r="C1654" s="16" t="str">
        <f aca="false">IF(B1654="","",IFERROR(INDEX(Products!$B$2:$B$501,MATCH(B1654,Products!$A$2:$A$501,0)),"CODE NOT FOUND"))</f>
        <v/>
      </c>
      <c r="D1654" s="7"/>
      <c r="E1654" s="13"/>
      <c r="F1654" s="17" t="str">
        <f aca="false">IF(OR(D1654="",E1654=""),"",D1654*E1654)</f>
        <v/>
      </c>
      <c r="G1654" s="7"/>
      <c r="H1654" s="7"/>
    </row>
    <row r="1655" customFormat="false" ht="15" hidden="false" customHeight="true" outlineLevel="0" collapsed="false">
      <c r="A1655" s="15"/>
      <c r="B1655" s="7"/>
      <c r="C1655" s="16" t="str">
        <f aca="false">IF(B1655="","",IFERROR(INDEX(Products!$B$2:$B$501,MATCH(B1655,Products!$A$2:$A$501,0)),"CODE NOT FOUND"))</f>
        <v/>
      </c>
      <c r="D1655" s="7"/>
      <c r="E1655" s="13"/>
      <c r="F1655" s="17" t="str">
        <f aca="false">IF(OR(D1655="",E1655=""),"",D1655*E1655)</f>
        <v/>
      </c>
      <c r="G1655" s="7"/>
      <c r="H1655" s="7"/>
    </row>
    <row r="1656" customFormat="false" ht="15" hidden="false" customHeight="true" outlineLevel="0" collapsed="false">
      <c r="A1656" s="15"/>
      <c r="B1656" s="7"/>
      <c r="C1656" s="16" t="str">
        <f aca="false">IF(B1656="","",IFERROR(INDEX(Products!$B$2:$B$501,MATCH(B1656,Products!$A$2:$A$501,0)),"CODE NOT FOUND"))</f>
        <v/>
      </c>
      <c r="D1656" s="7"/>
      <c r="E1656" s="13"/>
      <c r="F1656" s="17" t="str">
        <f aca="false">IF(OR(D1656="",E1656=""),"",D1656*E1656)</f>
        <v/>
      </c>
      <c r="G1656" s="7"/>
      <c r="H1656" s="7"/>
    </row>
    <row r="1657" customFormat="false" ht="15" hidden="false" customHeight="true" outlineLevel="0" collapsed="false">
      <c r="A1657" s="15"/>
      <c r="B1657" s="7"/>
      <c r="C1657" s="16" t="str">
        <f aca="false">IF(B1657="","",IFERROR(INDEX(Products!$B$2:$B$501,MATCH(B1657,Products!$A$2:$A$501,0)),"CODE NOT FOUND"))</f>
        <v/>
      </c>
      <c r="D1657" s="7"/>
      <c r="E1657" s="13"/>
      <c r="F1657" s="17" t="str">
        <f aca="false">IF(OR(D1657="",E1657=""),"",D1657*E1657)</f>
        <v/>
      </c>
      <c r="G1657" s="7"/>
      <c r="H1657" s="7"/>
    </row>
    <row r="1658" customFormat="false" ht="15" hidden="false" customHeight="true" outlineLevel="0" collapsed="false">
      <c r="A1658" s="15"/>
      <c r="B1658" s="7"/>
      <c r="C1658" s="16" t="str">
        <f aca="false">IF(B1658="","",IFERROR(INDEX(Products!$B$2:$B$501,MATCH(B1658,Products!$A$2:$A$501,0)),"CODE NOT FOUND"))</f>
        <v/>
      </c>
      <c r="D1658" s="7"/>
      <c r="E1658" s="13"/>
      <c r="F1658" s="17" t="str">
        <f aca="false">IF(OR(D1658="",E1658=""),"",D1658*E1658)</f>
        <v/>
      </c>
      <c r="G1658" s="7"/>
      <c r="H1658" s="7"/>
    </row>
    <row r="1659" customFormat="false" ht="15" hidden="false" customHeight="true" outlineLevel="0" collapsed="false">
      <c r="A1659" s="15"/>
      <c r="B1659" s="7"/>
      <c r="C1659" s="16" t="str">
        <f aca="false">IF(B1659="","",IFERROR(INDEX(Products!$B$2:$B$501,MATCH(B1659,Products!$A$2:$A$501,0)),"CODE NOT FOUND"))</f>
        <v/>
      </c>
      <c r="D1659" s="7"/>
      <c r="E1659" s="13"/>
      <c r="F1659" s="17" t="str">
        <f aca="false">IF(OR(D1659="",E1659=""),"",D1659*E1659)</f>
        <v/>
      </c>
      <c r="G1659" s="7"/>
      <c r="H1659" s="7"/>
    </row>
    <row r="1660" customFormat="false" ht="15" hidden="false" customHeight="true" outlineLevel="0" collapsed="false">
      <c r="A1660" s="15"/>
      <c r="B1660" s="7"/>
      <c r="C1660" s="16" t="str">
        <f aca="false">IF(B1660="","",IFERROR(INDEX(Products!$B$2:$B$501,MATCH(B1660,Products!$A$2:$A$501,0)),"CODE NOT FOUND"))</f>
        <v/>
      </c>
      <c r="D1660" s="7"/>
      <c r="E1660" s="13"/>
      <c r="F1660" s="17" t="str">
        <f aca="false">IF(OR(D1660="",E1660=""),"",D1660*E1660)</f>
        <v/>
      </c>
      <c r="G1660" s="7"/>
      <c r="H1660" s="7"/>
    </row>
    <row r="1661" customFormat="false" ht="15" hidden="false" customHeight="true" outlineLevel="0" collapsed="false">
      <c r="A1661" s="15"/>
      <c r="B1661" s="7"/>
      <c r="C1661" s="16" t="str">
        <f aca="false">IF(B1661="","",IFERROR(INDEX(Products!$B$2:$B$501,MATCH(B1661,Products!$A$2:$A$501,0)),"CODE NOT FOUND"))</f>
        <v/>
      </c>
      <c r="D1661" s="7"/>
      <c r="E1661" s="13"/>
      <c r="F1661" s="17" t="str">
        <f aca="false">IF(OR(D1661="",E1661=""),"",D1661*E1661)</f>
        <v/>
      </c>
      <c r="G1661" s="7"/>
      <c r="H1661" s="7"/>
    </row>
    <row r="1662" customFormat="false" ht="15" hidden="false" customHeight="true" outlineLevel="0" collapsed="false">
      <c r="A1662" s="15"/>
      <c r="B1662" s="7"/>
      <c r="C1662" s="16" t="str">
        <f aca="false">IF(B1662="","",IFERROR(INDEX(Products!$B$2:$B$501,MATCH(B1662,Products!$A$2:$A$501,0)),"CODE NOT FOUND"))</f>
        <v/>
      </c>
      <c r="D1662" s="7"/>
      <c r="E1662" s="13"/>
      <c r="F1662" s="17" t="str">
        <f aca="false">IF(OR(D1662="",E1662=""),"",D1662*E1662)</f>
        <v/>
      </c>
      <c r="G1662" s="7"/>
      <c r="H1662" s="7"/>
    </row>
    <row r="1663" customFormat="false" ht="15" hidden="false" customHeight="true" outlineLevel="0" collapsed="false">
      <c r="A1663" s="15"/>
      <c r="B1663" s="7"/>
      <c r="C1663" s="16" t="str">
        <f aca="false">IF(B1663="","",IFERROR(INDEX(Products!$B$2:$B$501,MATCH(B1663,Products!$A$2:$A$501,0)),"CODE NOT FOUND"))</f>
        <v/>
      </c>
      <c r="D1663" s="7"/>
      <c r="E1663" s="13"/>
      <c r="F1663" s="17" t="str">
        <f aca="false">IF(OR(D1663="",E1663=""),"",D1663*E1663)</f>
        <v/>
      </c>
      <c r="G1663" s="7"/>
      <c r="H1663" s="7"/>
    </row>
    <row r="1664" customFormat="false" ht="15" hidden="false" customHeight="true" outlineLevel="0" collapsed="false">
      <c r="A1664" s="15"/>
      <c r="B1664" s="7"/>
      <c r="C1664" s="16" t="str">
        <f aca="false">IF(B1664="","",IFERROR(INDEX(Products!$B$2:$B$501,MATCH(B1664,Products!$A$2:$A$501,0)),"CODE NOT FOUND"))</f>
        <v/>
      </c>
      <c r="D1664" s="7"/>
      <c r="E1664" s="13"/>
      <c r="F1664" s="17" t="str">
        <f aca="false">IF(OR(D1664="",E1664=""),"",D1664*E1664)</f>
        <v/>
      </c>
      <c r="G1664" s="7"/>
      <c r="H1664" s="7"/>
    </row>
    <row r="1665" customFormat="false" ht="15" hidden="false" customHeight="true" outlineLevel="0" collapsed="false">
      <c r="A1665" s="15"/>
      <c r="B1665" s="7"/>
      <c r="C1665" s="16" t="str">
        <f aca="false">IF(B1665="","",IFERROR(INDEX(Products!$B$2:$B$501,MATCH(B1665,Products!$A$2:$A$501,0)),"CODE NOT FOUND"))</f>
        <v/>
      </c>
      <c r="D1665" s="7"/>
      <c r="E1665" s="13"/>
      <c r="F1665" s="17" t="str">
        <f aca="false">IF(OR(D1665="",E1665=""),"",D1665*E1665)</f>
        <v/>
      </c>
      <c r="G1665" s="7"/>
      <c r="H1665" s="7"/>
    </row>
    <row r="1666" customFormat="false" ht="15" hidden="false" customHeight="true" outlineLevel="0" collapsed="false">
      <c r="A1666" s="15"/>
      <c r="B1666" s="7"/>
      <c r="C1666" s="16" t="str">
        <f aca="false">IF(B1666="","",IFERROR(INDEX(Products!$B$2:$B$501,MATCH(B1666,Products!$A$2:$A$501,0)),"CODE NOT FOUND"))</f>
        <v/>
      </c>
      <c r="D1666" s="7"/>
      <c r="E1666" s="13"/>
      <c r="F1666" s="17" t="str">
        <f aca="false">IF(OR(D1666="",E1666=""),"",D1666*E1666)</f>
        <v/>
      </c>
      <c r="G1666" s="7"/>
      <c r="H1666" s="7"/>
    </row>
    <row r="1667" customFormat="false" ht="15" hidden="false" customHeight="true" outlineLevel="0" collapsed="false">
      <c r="A1667" s="15"/>
      <c r="B1667" s="7"/>
      <c r="C1667" s="16" t="str">
        <f aca="false">IF(B1667="","",IFERROR(INDEX(Products!$B$2:$B$501,MATCH(B1667,Products!$A$2:$A$501,0)),"CODE NOT FOUND"))</f>
        <v/>
      </c>
      <c r="D1667" s="7"/>
      <c r="E1667" s="13"/>
      <c r="F1667" s="17" t="str">
        <f aca="false">IF(OR(D1667="",E1667=""),"",D1667*E1667)</f>
        <v/>
      </c>
      <c r="G1667" s="7"/>
      <c r="H1667" s="7"/>
    </row>
    <row r="1668" customFormat="false" ht="15" hidden="false" customHeight="true" outlineLevel="0" collapsed="false">
      <c r="A1668" s="15"/>
      <c r="B1668" s="7"/>
      <c r="C1668" s="16" t="str">
        <f aca="false">IF(B1668="","",IFERROR(INDEX(Products!$B$2:$B$501,MATCH(B1668,Products!$A$2:$A$501,0)),"CODE NOT FOUND"))</f>
        <v/>
      </c>
      <c r="D1668" s="7"/>
      <c r="E1668" s="13"/>
      <c r="F1668" s="17" t="str">
        <f aca="false">IF(OR(D1668="",E1668=""),"",D1668*E1668)</f>
        <v/>
      </c>
      <c r="G1668" s="7"/>
      <c r="H1668" s="7"/>
    </row>
    <row r="1669" customFormat="false" ht="15" hidden="false" customHeight="true" outlineLevel="0" collapsed="false">
      <c r="A1669" s="15"/>
      <c r="B1669" s="7"/>
      <c r="C1669" s="16" t="str">
        <f aca="false">IF(B1669="","",IFERROR(INDEX(Products!$B$2:$B$501,MATCH(B1669,Products!$A$2:$A$501,0)),"CODE NOT FOUND"))</f>
        <v/>
      </c>
      <c r="D1669" s="7"/>
      <c r="E1669" s="13"/>
      <c r="F1669" s="17" t="str">
        <f aca="false">IF(OR(D1669="",E1669=""),"",D1669*E1669)</f>
        <v/>
      </c>
      <c r="G1669" s="7"/>
      <c r="H1669" s="7"/>
    </row>
    <row r="1670" customFormat="false" ht="15" hidden="false" customHeight="true" outlineLevel="0" collapsed="false">
      <c r="A1670" s="15"/>
      <c r="B1670" s="7"/>
      <c r="C1670" s="16" t="str">
        <f aca="false">IF(B1670="","",IFERROR(INDEX(Products!$B$2:$B$501,MATCH(B1670,Products!$A$2:$A$501,0)),"CODE NOT FOUND"))</f>
        <v/>
      </c>
      <c r="D1670" s="7"/>
      <c r="E1670" s="13"/>
      <c r="F1670" s="17" t="str">
        <f aca="false">IF(OR(D1670="",E1670=""),"",D1670*E1670)</f>
        <v/>
      </c>
      <c r="G1670" s="7"/>
      <c r="H1670" s="7"/>
    </row>
    <row r="1671" customFormat="false" ht="15" hidden="false" customHeight="true" outlineLevel="0" collapsed="false">
      <c r="A1671" s="15"/>
      <c r="B1671" s="7"/>
      <c r="C1671" s="16" t="str">
        <f aca="false">IF(B1671="","",IFERROR(INDEX(Products!$B$2:$B$501,MATCH(B1671,Products!$A$2:$A$501,0)),"CODE NOT FOUND"))</f>
        <v/>
      </c>
      <c r="D1671" s="7"/>
      <c r="E1671" s="13"/>
      <c r="F1671" s="17" t="str">
        <f aca="false">IF(OR(D1671="",E1671=""),"",D1671*E1671)</f>
        <v/>
      </c>
      <c r="G1671" s="7"/>
      <c r="H1671" s="7"/>
    </row>
    <row r="1672" customFormat="false" ht="15" hidden="false" customHeight="true" outlineLevel="0" collapsed="false">
      <c r="A1672" s="15"/>
      <c r="B1672" s="7"/>
      <c r="C1672" s="16" t="str">
        <f aca="false">IF(B1672="","",IFERROR(INDEX(Products!$B$2:$B$501,MATCH(B1672,Products!$A$2:$A$501,0)),"CODE NOT FOUND"))</f>
        <v/>
      </c>
      <c r="D1672" s="7"/>
      <c r="E1672" s="13"/>
      <c r="F1672" s="17" t="str">
        <f aca="false">IF(OR(D1672="",E1672=""),"",D1672*E1672)</f>
        <v/>
      </c>
      <c r="G1672" s="7"/>
      <c r="H1672" s="7"/>
    </row>
    <row r="1673" customFormat="false" ht="15" hidden="false" customHeight="true" outlineLevel="0" collapsed="false">
      <c r="A1673" s="15"/>
      <c r="B1673" s="7"/>
      <c r="C1673" s="16" t="str">
        <f aca="false">IF(B1673="","",IFERROR(INDEX(Products!$B$2:$B$501,MATCH(B1673,Products!$A$2:$A$501,0)),"CODE NOT FOUND"))</f>
        <v/>
      </c>
      <c r="D1673" s="7"/>
      <c r="E1673" s="13"/>
      <c r="F1673" s="17" t="str">
        <f aca="false">IF(OR(D1673="",E1673=""),"",D1673*E1673)</f>
        <v/>
      </c>
      <c r="G1673" s="7"/>
      <c r="H1673" s="7"/>
    </row>
    <row r="1674" customFormat="false" ht="15" hidden="false" customHeight="true" outlineLevel="0" collapsed="false">
      <c r="A1674" s="15"/>
      <c r="B1674" s="7"/>
      <c r="C1674" s="16" t="str">
        <f aca="false">IF(B1674="","",IFERROR(INDEX(Products!$B$2:$B$501,MATCH(B1674,Products!$A$2:$A$501,0)),"CODE NOT FOUND"))</f>
        <v/>
      </c>
      <c r="D1674" s="7"/>
      <c r="E1674" s="13"/>
      <c r="F1674" s="17" t="str">
        <f aca="false">IF(OR(D1674="",E1674=""),"",D1674*E1674)</f>
        <v/>
      </c>
      <c r="G1674" s="7"/>
      <c r="H1674" s="7"/>
    </row>
    <row r="1675" customFormat="false" ht="15" hidden="false" customHeight="true" outlineLevel="0" collapsed="false">
      <c r="A1675" s="15"/>
      <c r="B1675" s="7"/>
      <c r="C1675" s="16" t="str">
        <f aca="false">IF(B1675="","",IFERROR(INDEX(Products!$B$2:$B$501,MATCH(B1675,Products!$A$2:$A$501,0)),"CODE NOT FOUND"))</f>
        <v/>
      </c>
      <c r="D1675" s="7"/>
      <c r="E1675" s="13"/>
      <c r="F1675" s="17" t="str">
        <f aca="false">IF(OR(D1675="",E1675=""),"",D1675*E1675)</f>
        <v/>
      </c>
      <c r="G1675" s="7"/>
      <c r="H1675" s="7"/>
    </row>
    <row r="1676" customFormat="false" ht="15" hidden="false" customHeight="true" outlineLevel="0" collapsed="false">
      <c r="A1676" s="15"/>
      <c r="B1676" s="7"/>
      <c r="C1676" s="16" t="str">
        <f aca="false">IF(B1676="","",IFERROR(INDEX(Products!$B$2:$B$501,MATCH(B1676,Products!$A$2:$A$501,0)),"CODE NOT FOUND"))</f>
        <v/>
      </c>
      <c r="D1676" s="7"/>
      <c r="E1676" s="13"/>
      <c r="F1676" s="17" t="str">
        <f aca="false">IF(OR(D1676="",E1676=""),"",D1676*E1676)</f>
        <v/>
      </c>
      <c r="G1676" s="7"/>
      <c r="H1676" s="7"/>
    </row>
    <row r="1677" customFormat="false" ht="15" hidden="false" customHeight="true" outlineLevel="0" collapsed="false">
      <c r="A1677" s="15"/>
      <c r="B1677" s="7"/>
      <c r="C1677" s="16" t="str">
        <f aca="false">IF(B1677="","",IFERROR(INDEX(Products!$B$2:$B$501,MATCH(B1677,Products!$A$2:$A$501,0)),"CODE NOT FOUND"))</f>
        <v/>
      </c>
      <c r="D1677" s="7"/>
      <c r="E1677" s="13"/>
      <c r="F1677" s="17" t="str">
        <f aca="false">IF(OR(D1677="",E1677=""),"",D1677*E1677)</f>
        <v/>
      </c>
      <c r="G1677" s="7"/>
      <c r="H1677" s="7"/>
    </row>
    <row r="1678" customFormat="false" ht="15" hidden="false" customHeight="true" outlineLevel="0" collapsed="false">
      <c r="A1678" s="15"/>
      <c r="B1678" s="7"/>
      <c r="C1678" s="16" t="str">
        <f aca="false">IF(B1678="","",IFERROR(INDEX(Products!$B$2:$B$501,MATCH(B1678,Products!$A$2:$A$501,0)),"CODE NOT FOUND"))</f>
        <v/>
      </c>
      <c r="D1678" s="7"/>
      <c r="E1678" s="13"/>
      <c r="F1678" s="17" t="str">
        <f aca="false">IF(OR(D1678="",E1678=""),"",D1678*E1678)</f>
        <v/>
      </c>
      <c r="G1678" s="7"/>
      <c r="H1678" s="7"/>
    </row>
    <row r="1679" customFormat="false" ht="15" hidden="false" customHeight="true" outlineLevel="0" collapsed="false">
      <c r="A1679" s="15"/>
      <c r="B1679" s="7"/>
      <c r="C1679" s="16" t="str">
        <f aca="false">IF(B1679="","",IFERROR(INDEX(Products!$B$2:$B$501,MATCH(B1679,Products!$A$2:$A$501,0)),"CODE NOT FOUND"))</f>
        <v/>
      </c>
      <c r="D1679" s="7"/>
      <c r="E1679" s="13"/>
      <c r="F1679" s="17" t="str">
        <f aca="false">IF(OR(D1679="",E1679=""),"",D1679*E1679)</f>
        <v/>
      </c>
      <c r="G1679" s="7"/>
      <c r="H1679" s="7"/>
    </row>
    <row r="1680" customFormat="false" ht="15" hidden="false" customHeight="true" outlineLevel="0" collapsed="false">
      <c r="A1680" s="15"/>
      <c r="B1680" s="7"/>
      <c r="C1680" s="16" t="str">
        <f aca="false">IF(B1680="","",IFERROR(INDEX(Products!$B$2:$B$501,MATCH(B1680,Products!$A$2:$A$501,0)),"CODE NOT FOUND"))</f>
        <v/>
      </c>
      <c r="D1680" s="7"/>
      <c r="E1680" s="13"/>
      <c r="F1680" s="17" t="str">
        <f aca="false">IF(OR(D1680="",E1680=""),"",D1680*E1680)</f>
        <v/>
      </c>
      <c r="G1680" s="7"/>
      <c r="H1680" s="7"/>
    </row>
    <row r="1681" customFormat="false" ht="15" hidden="false" customHeight="true" outlineLevel="0" collapsed="false">
      <c r="A1681" s="15"/>
      <c r="B1681" s="7"/>
      <c r="C1681" s="16" t="str">
        <f aca="false">IF(B1681="","",IFERROR(INDEX(Products!$B$2:$B$501,MATCH(B1681,Products!$A$2:$A$501,0)),"CODE NOT FOUND"))</f>
        <v/>
      </c>
      <c r="D1681" s="7"/>
      <c r="E1681" s="13"/>
      <c r="F1681" s="17" t="str">
        <f aca="false">IF(OR(D1681="",E1681=""),"",D1681*E1681)</f>
        <v/>
      </c>
      <c r="G1681" s="7"/>
      <c r="H1681" s="7"/>
    </row>
    <row r="1682" customFormat="false" ht="15" hidden="false" customHeight="true" outlineLevel="0" collapsed="false">
      <c r="A1682" s="15"/>
      <c r="B1682" s="7"/>
      <c r="C1682" s="16" t="str">
        <f aca="false">IF(B1682="","",IFERROR(INDEX(Products!$B$2:$B$501,MATCH(B1682,Products!$A$2:$A$501,0)),"CODE NOT FOUND"))</f>
        <v/>
      </c>
      <c r="D1682" s="7"/>
      <c r="E1682" s="13"/>
      <c r="F1682" s="17" t="str">
        <f aca="false">IF(OR(D1682="",E1682=""),"",D1682*E1682)</f>
        <v/>
      </c>
      <c r="G1682" s="7"/>
      <c r="H1682" s="7"/>
    </row>
    <row r="1683" customFormat="false" ht="15" hidden="false" customHeight="true" outlineLevel="0" collapsed="false">
      <c r="A1683" s="15"/>
      <c r="B1683" s="7"/>
      <c r="C1683" s="16" t="str">
        <f aca="false">IF(B1683="","",IFERROR(INDEX(Products!$B$2:$B$501,MATCH(B1683,Products!$A$2:$A$501,0)),"CODE NOT FOUND"))</f>
        <v/>
      </c>
      <c r="D1683" s="7"/>
      <c r="E1683" s="13"/>
      <c r="F1683" s="17" t="str">
        <f aca="false">IF(OR(D1683="",E1683=""),"",D1683*E1683)</f>
        <v/>
      </c>
      <c r="G1683" s="7"/>
      <c r="H1683" s="7"/>
    </row>
    <row r="1684" customFormat="false" ht="15" hidden="false" customHeight="true" outlineLevel="0" collapsed="false">
      <c r="A1684" s="15"/>
      <c r="B1684" s="7"/>
      <c r="C1684" s="16" t="str">
        <f aca="false">IF(B1684="","",IFERROR(INDEX(Products!$B$2:$B$501,MATCH(B1684,Products!$A$2:$A$501,0)),"CODE NOT FOUND"))</f>
        <v/>
      </c>
      <c r="D1684" s="7"/>
      <c r="E1684" s="13"/>
      <c r="F1684" s="17" t="str">
        <f aca="false">IF(OR(D1684="",E1684=""),"",D1684*E1684)</f>
        <v/>
      </c>
      <c r="G1684" s="7"/>
      <c r="H1684" s="7"/>
    </row>
    <row r="1685" customFormat="false" ht="15" hidden="false" customHeight="true" outlineLevel="0" collapsed="false">
      <c r="A1685" s="15"/>
      <c r="B1685" s="7"/>
      <c r="C1685" s="16" t="str">
        <f aca="false">IF(B1685="","",IFERROR(INDEX(Products!$B$2:$B$501,MATCH(B1685,Products!$A$2:$A$501,0)),"CODE NOT FOUND"))</f>
        <v/>
      </c>
      <c r="D1685" s="7"/>
      <c r="E1685" s="13"/>
      <c r="F1685" s="17" t="str">
        <f aca="false">IF(OR(D1685="",E1685=""),"",D1685*E1685)</f>
        <v/>
      </c>
      <c r="G1685" s="7"/>
      <c r="H1685" s="7"/>
    </row>
    <row r="1686" customFormat="false" ht="15" hidden="false" customHeight="true" outlineLevel="0" collapsed="false">
      <c r="A1686" s="15"/>
      <c r="B1686" s="7"/>
      <c r="C1686" s="16" t="str">
        <f aca="false">IF(B1686="","",IFERROR(INDEX(Products!$B$2:$B$501,MATCH(B1686,Products!$A$2:$A$501,0)),"CODE NOT FOUND"))</f>
        <v/>
      </c>
      <c r="D1686" s="7"/>
      <c r="E1686" s="13"/>
      <c r="F1686" s="17" t="str">
        <f aca="false">IF(OR(D1686="",E1686=""),"",D1686*E1686)</f>
        <v/>
      </c>
      <c r="G1686" s="7"/>
      <c r="H1686" s="7"/>
    </row>
    <row r="1687" customFormat="false" ht="15" hidden="false" customHeight="true" outlineLevel="0" collapsed="false">
      <c r="A1687" s="15"/>
      <c r="B1687" s="7"/>
      <c r="C1687" s="16" t="str">
        <f aca="false">IF(B1687="","",IFERROR(INDEX(Products!$B$2:$B$501,MATCH(B1687,Products!$A$2:$A$501,0)),"CODE NOT FOUND"))</f>
        <v/>
      </c>
      <c r="D1687" s="7"/>
      <c r="E1687" s="13"/>
      <c r="F1687" s="17" t="str">
        <f aca="false">IF(OR(D1687="",E1687=""),"",D1687*E1687)</f>
        <v/>
      </c>
      <c r="G1687" s="7"/>
      <c r="H1687" s="7"/>
    </row>
    <row r="1688" customFormat="false" ht="15" hidden="false" customHeight="true" outlineLevel="0" collapsed="false">
      <c r="A1688" s="15"/>
      <c r="B1688" s="7"/>
      <c r="C1688" s="16" t="str">
        <f aca="false">IF(B1688="","",IFERROR(INDEX(Products!$B$2:$B$501,MATCH(B1688,Products!$A$2:$A$501,0)),"CODE NOT FOUND"))</f>
        <v/>
      </c>
      <c r="D1688" s="7"/>
      <c r="E1688" s="13"/>
      <c r="F1688" s="17" t="str">
        <f aca="false">IF(OR(D1688="",E1688=""),"",D1688*E1688)</f>
        <v/>
      </c>
      <c r="G1688" s="7"/>
      <c r="H1688" s="7"/>
    </row>
    <row r="1689" customFormat="false" ht="15" hidden="false" customHeight="true" outlineLevel="0" collapsed="false">
      <c r="A1689" s="15"/>
      <c r="B1689" s="7"/>
      <c r="C1689" s="16" t="str">
        <f aca="false">IF(B1689="","",IFERROR(INDEX(Products!$B$2:$B$501,MATCH(B1689,Products!$A$2:$A$501,0)),"CODE NOT FOUND"))</f>
        <v/>
      </c>
      <c r="D1689" s="7"/>
      <c r="E1689" s="13"/>
      <c r="F1689" s="17" t="str">
        <f aca="false">IF(OR(D1689="",E1689=""),"",D1689*E1689)</f>
        <v/>
      </c>
      <c r="G1689" s="7"/>
      <c r="H1689" s="7"/>
    </row>
    <row r="1690" customFormat="false" ht="15" hidden="false" customHeight="true" outlineLevel="0" collapsed="false">
      <c r="A1690" s="15"/>
      <c r="B1690" s="7"/>
      <c r="C1690" s="16" t="str">
        <f aca="false">IF(B1690="","",IFERROR(INDEX(Products!$B$2:$B$501,MATCH(B1690,Products!$A$2:$A$501,0)),"CODE NOT FOUND"))</f>
        <v/>
      </c>
      <c r="D1690" s="7"/>
      <c r="E1690" s="13"/>
      <c r="F1690" s="17" t="str">
        <f aca="false">IF(OR(D1690="",E1690=""),"",D1690*E1690)</f>
        <v/>
      </c>
      <c r="G1690" s="7"/>
      <c r="H1690" s="7"/>
    </row>
    <row r="1691" customFormat="false" ht="15" hidden="false" customHeight="true" outlineLevel="0" collapsed="false">
      <c r="A1691" s="15"/>
      <c r="B1691" s="7"/>
      <c r="C1691" s="16" t="str">
        <f aca="false">IF(B1691="","",IFERROR(INDEX(Products!$B$2:$B$501,MATCH(B1691,Products!$A$2:$A$501,0)),"CODE NOT FOUND"))</f>
        <v/>
      </c>
      <c r="D1691" s="7"/>
      <c r="E1691" s="13"/>
      <c r="F1691" s="17" t="str">
        <f aca="false">IF(OR(D1691="",E1691=""),"",D1691*E1691)</f>
        <v/>
      </c>
      <c r="G1691" s="7"/>
      <c r="H1691" s="7"/>
    </row>
    <row r="1692" customFormat="false" ht="15" hidden="false" customHeight="true" outlineLevel="0" collapsed="false">
      <c r="A1692" s="15"/>
      <c r="B1692" s="7"/>
      <c r="C1692" s="16" t="str">
        <f aca="false">IF(B1692="","",IFERROR(INDEX(Products!$B$2:$B$501,MATCH(B1692,Products!$A$2:$A$501,0)),"CODE NOT FOUND"))</f>
        <v/>
      </c>
      <c r="D1692" s="7"/>
      <c r="E1692" s="13"/>
      <c r="F1692" s="17" t="str">
        <f aca="false">IF(OR(D1692="",E1692=""),"",D1692*E1692)</f>
        <v/>
      </c>
      <c r="G1692" s="7"/>
      <c r="H1692" s="7"/>
    </row>
    <row r="1693" customFormat="false" ht="15" hidden="false" customHeight="true" outlineLevel="0" collapsed="false">
      <c r="A1693" s="15"/>
      <c r="B1693" s="7"/>
      <c r="C1693" s="16" t="str">
        <f aca="false">IF(B1693="","",IFERROR(INDEX(Products!$B$2:$B$501,MATCH(B1693,Products!$A$2:$A$501,0)),"CODE NOT FOUND"))</f>
        <v/>
      </c>
      <c r="D1693" s="7"/>
      <c r="E1693" s="13"/>
      <c r="F1693" s="17" t="str">
        <f aca="false">IF(OR(D1693="",E1693=""),"",D1693*E1693)</f>
        <v/>
      </c>
      <c r="G1693" s="7"/>
      <c r="H1693" s="7"/>
    </row>
    <row r="1694" customFormat="false" ht="15" hidden="false" customHeight="true" outlineLevel="0" collapsed="false">
      <c r="A1694" s="15"/>
      <c r="B1694" s="7"/>
      <c r="C1694" s="16" t="str">
        <f aca="false">IF(B1694="","",IFERROR(INDEX(Products!$B$2:$B$501,MATCH(B1694,Products!$A$2:$A$501,0)),"CODE NOT FOUND"))</f>
        <v/>
      </c>
      <c r="D1694" s="7"/>
      <c r="E1694" s="13"/>
      <c r="F1694" s="17" t="str">
        <f aca="false">IF(OR(D1694="",E1694=""),"",D1694*E1694)</f>
        <v/>
      </c>
      <c r="G1694" s="7"/>
      <c r="H1694" s="7"/>
    </row>
    <row r="1695" customFormat="false" ht="15" hidden="false" customHeight="true" outlineLevel="0" collapsed="false">
      <c r="A1695" s="15"/>
      <c r="B1695" s="7"/>
      <c r="C1695" s="16" t="str">
        <f aca="false">IF(B1695="","",IFERROR(INDEX(Products!$B$2:$B$501,MATCH(B1695,Products!$A$2:$A$501,0)),"CODE NOT FOUND"))</f>
        <v/>
      </c>
      <c r="D1695" s="7"/>
      <c r="E1695" s="13"/>
      <c r="F1695" s="17" t="str">
        <f aca="false">IF(OR(D1695="",E1695=""),"",D1695*E1695)</f>
        <v/>
      </c>
      <c r="G1695" s="7"/>
      <c r="H1695" s="7"/>
    </row>
    <row r="1696" customFormat="false" ht="15" hidden="false" customHeight="true" outlineLevel="0" collapsed="false">
      <c r="A1696" s="15"/>
      <c r="B1696" s="7"/>
      <c r="C1696" s="16" t="str">
        <f aca="false">IF(B1696="","",IFERROR(INDEX(Products!$B$2:$B$501,MATCH(B1696,Products!$A$2:$A$501,0)),"CODE NOT FOUND"))</f>
        <v/>
      </c>
      <c r="D1696" s="7"/>
      <c r="E1696" s="13"/>
      <c r="F1696" s="17" t="str">
        <f aca="false">IF(OR(D1696="",E1696=""),"",D1696*E1696)</f>
        <v/>
      </c>
      <c r="G1696" s="7"/>
      <c r="H1696" s="7"/>
    </row>
    <row r="1697" customFormat="false" ht="15" hidden="false" customHeight="true" outlineLevel="0" collapsed="false">
      <c r="A1697" s="15"/>
      <c r="B1697" s="7"/>
      <c r="C1697" s="16" t="str">
        <f aca="false">IF(B1697="","",IFERROR(INDEX(Products!$B$2:$B$501,MATCH(B1697,Products!$A$2:$A$501,0)),"CODE NOT FOUND"))</f>
        <v/>
      </c>
      <c r="D1697" s="7"/>
      <c r="E1697" s="13"/>
      <c r="F1697" s="17" t="str">
        <f aca="false">IF(OR(D1697="",E1697=""),"",D1697*E1697)</f>
        <v/>
      </c>
      <c r="G1697" s="7"/>
      <c r="H1697" s="7"/>
    </row>
    <row r="1698" customFormat="false" ht="15" hidden="false" customHeight="true" outlineLevel="0" collapsed="false">
      <c r="A1698" s="15"/>
      <c r="B1698" s="7"/>
      <c r="C1698" s="16" t="str">
        <f aca="false">IF(B1698="","",IFERROR(INDEX(Products!$B$2:$B$501,MATCH(B1698,Products!$A$2:$A$501,0)),"CODE NOT FOUND"))</f>
        <v/>
      </c>
      <c r="D1698" s="7"/>
      <c r="E1698" s="13"/>
      <c r="F1698" s="17" t="str">
        <f aca="false">IF(OR(D1698="",E1698=""),"",D1698*E1698)</f>
        <v/>
      </c>
      <c r="G1698" s="7"/>
      <c r="H1698" s="7"/>
    </row>
    <row r="1699" customFormat="false" ht="15" hidden="false" customHeight="true" outlineLevel="0" collapsed="false">
      <c r="A1699" s="15"/>
      <c r="B1699" s="7"/>
      <c r="C1699" s="16" t="str">
        <f aca="false">IF(B1699="","",IFERROR(INDEX(Products!$B$2:$B$501,MATCH(B1699,Products!$A$2:$A$501,0)),"CODE NOT FOUND"))</f>
        <v/>
      </c>
      <c r="D1699" s="7"/>
      <c r="E1699" s="13"/>
      <c r="F1699" s="17" t="str">
        <f aca="false">IF(OR(D1699="",E1699=""),"",D1699*E1699)</f>
        <v/>
      </c>
      <c r="G1699" s="7"/>
      <c r="H1699" s="7"/>
    </row>
    <row r="1700" customFormat="false" ht="15" hidden="false" customHeight="true" outlineLevel="0" collapsed="false">
      <c r="A1700" s="15"/>
      <c r="B1700" s="7"/>
      <c r="C1700" s="16" t="str">
        <f aca="false">IF(B1700="","",IFERROR(INDEX(Products!$B$2:$B$501,MATCH(B1700,Products!$A$2:$A$501,0)),"CODE NOT FOUND"))</f>
        <v/>
      </c>
      <c r="D1700" s="7"/>
      <c r="E1700" s="13"/>
      <c r="F1700" s="17" t="str">
        <f aca="false">IF(OR(D1700="",E1700=""),"",D1700*E1700)</f>
        <v/>
      </c>
      <c r="G1700" s="7"/>
      <c r="H1700" s="7"/>
    </row>
    <row r="1701" customFormat="false" ht="15" hidden="false" customHeight="true" outlineLevel="0" collapsed="false">
      <c r="A1701" s="15"/>
      <c r="B1701" s="7"/>
      <c r="C1701" s="16" t="str">
        <f aca="false">IF(B1701="","",IFERROR(INDEX(Products!$B$2:$B$501,MATCH(B1701,Products!$A$2:$A$501,0)),"CODE NOT FOUND"))</f>
        <v/>
      </c>
      <c r="D1701" s="7"/>
      <c r="E1701" s="13"/>
      <c r="F1701" s="17" t="str">
        <f aca="false">IF(OR(D1701="",E1701=""),"",D1701*E1701)</f>
        <v/>
      </c>
      <c r="G1701" s="7"/>
      <c r="H1701" s="7"/>
    </row>
    <row r="1702" customFormat="false" ht="15" hidden="false" customHeight="true" outlineLevel="0" collapsed="false">
      <c r="A1702" s="15"/>
      <c r="B1702" s="7"/>
      <c r="C1702" s="16" t="str">
        <f aca="false">IF(B1702="","",IFERROR(INDEX(Products!$B$2:$B$501,MATCH(B1702,Products!$A$2:$A$501,0)),"CODE NOT FOUND"))</f>
        <v/>
      </c>
      <c r="D1702" s="7"/>
      <c r="E1702" s="13"/>
      <c r="F1702" s="17" t="str">
        <f aca="false">IF(OR(D1702="",E1702=""),"",D1702*E1702)</f>
        <v/>
      </c>
      <c r="G1702" s="7"/>
      <c r="H1702" s="7"/>
    </row>
    <row r="1703" customFormat="false" ht="15" hidden="false" customHeight="true" outlineLevel="0" collapsed="false">
      <c r="A1703" s="15"/>
      <c r="B1703" s="7"/>
      <c r="C1703" s="16" t="str">
        <f aca="false">IF(B1703="","",IFERROR(INDEX(Products!$B$2:$B$501,MATCH(B1703,Products!$A$2:$A$501,0)),"CODE NOT FOUND"))</f>
        <v/>
      </c>
      <c r="D1703" s="7"/>
      <c r="E1703" s="13"/>
      <c r="F1703" s="17" t="str">
        <f aca="false">IF(OR(D1703="",E1703=""),"",D1703*E1703)</f>
        <v/>
      </c>
      <c r="G1703" s="7"/>
      <c r="H1703" s="7"/>
    </row>
    <row r="1704" customFormat="false" ht="15" hidden="false" customHeight="true" outlineLevel="0" collapsed="false">
      <c r="A1704" s="15"/>
      <c r="B1704" s="7"/>
      <c r="C1704" s="16" t="str">
        <f aca="false">IF(B1704="","",IFERROR(INDEX(Products!$B$2:$B$501,MATCH(B1704,Products!$A$2:$A$501,0)),"CODE NOT FOUND"))</f>
        <v/>
      </c>
      <c r="D1704" s="7"/>
      <c r="E1704" s="13"/>
      <c r="F1704" s="17" t="str">
        <f aca="false">IF(OR(D1704="",E1704=""),"",D1704*E1704)</f>
        <v/>
      </c>
      <c r="G1704" s="7"/>
      <c r="H1704" s="7"/>
    </row>
    <row r="1705" customFormat="false" ht="15" hidden="false" customHeight="true" outlineLevel="0" collapsed="false">
      <c r="A1705" s="15"/>
      <c r="B1705" s="7"/>
      <c r="C1705" s="16" t="str">
        <f aca="false">IF(B1705="","",IFERROR(INDEX(Products!$B$2:$B$501,MATCH(B1705,Products!$A$2:$A$501,0)),"CODE NOT FOUND"))</f>
        <v/>
      </c>
      <c r="D1705" s="7"/>
      <c r="E1705" s="13"/>
      <c r="F1705" s="17" t="str">
        <f aca="false">IF(OR(D1705="",E1705=""),"",D1705*E1705)</f>
        <v/>
      </c>
      <c r="G1705" s="7"/>
      <c r="H1705" s="7"/>
    </row>
    <row r="1706" customFormat="false" ht="15" hidden="false" customHeight="true" outlineLevel="0" collapsed="false">
      <c r="A1706" s="15"/>
      <c r="B1706" s="7"/>
      <c r="C1706" s="16" t="str">
        <f aca="false">IF(B1706="","",IFERROR(INDEX(Products!$B$2:$B$501,MATCH(B1706,Products!$A$2:$A$501,0)),"CODE NOT FOUND"))</f>
        <v/>
      </c>
      <c r="D1706" s="7"/>
      <c r="E1706" s="13"/>
      <c r="F1706" s="17" t="str">
        <f aca="false">IF(OR(D1706="",E1706=""),"",D1706*E1706)</f>
        <v/>
      </c>
      <c r="G1706" s="7"/>
      <c r="H1706" s="7"/>
    </row>
    <row r="1707" customFormat="false" ht="15" hidden="false" customHeight="true" outlineLevel="0" collapsed="false">
      <c r="A1707" s="15"/>
      <c r="B1707" s="7"/>
      <c r="C1707" s="16" t="str">
        <f aca="false">IF(B1707="","",IFERROR(INDEX(Products!$B$2:$B$501,MATCH(B1707,Products!$A$2:$A$501,0)),"CODE NOT FOUND"))</f>
        <v/>
      </c>
      <c r="D1707" s="7"/>
      <c r="E1707" s="13"/>
      <c r="F1707" s="17" t="str">
        <f aca="false">IF(OR(D1707="",E1707=""),"",D1707*E1707)</f>
        <v/>
      </c>
      <c r="G1707" s="7"/>
      <c r="H1707" s="7"/>
    </row>
    <row r="1708" customFormat="false" ht="15" hidden="false" customHeight="true" outlineLevel="0" collapsed="false">
      <c r="A1708" s="15"/>
      <c r="B1708" s="7"/>
      <c r="C1708" s="16" t="str">
        <f aca="false">IF(B1708="","",IFERROR(INDEX(Products!$B$2:$B$501,MATCH(B1708,Products!$A$2:$A$501,0)),"CODE NOT FOUND"))</f>
        <v/>
      </c>
      <c r="D1708" s="7"/>
      <c r="E1708" s="13"/>
      <c r="F1708" s="17" t="str">
        <f aca="false">IF(OR(D1708="",E1708=""),"",D1708*E1708)</f>
        <v/>
      </c>
      <c r="G1708" s="7"/>
      <c r="H1708" s="7"/>
    </row>
    <row r="1709" customFormat="false" ht="15" hidden="false" customHeight="true" outlineLevel="0" collapsed="false">
      <c r="A1709" s="15"/>
      <c r="B1709" s="7"/>
      <c r="C1709" s="16" t="str">
        <f aca="false">IF(B1709="","",IFERROR(INDEX(Products!$B$2:$B$501,MATCH(B1709,Products!$A$2:$A$501,0)),"CODE NOT FOUND"))</f>
        <v/>
      </c>
      <c r="D1709" s="7"/>
      <c r="E1709" s="13"/>
      <c r="F1709" s="17" t="str">
        <f aca="false">IF(OR(D1709="",E1709=""),"",D1709*E1709)</f>
        <v/>
      </c>
      <c r="G1709" s="7"/>
      <c r="H1709" s="7"/>
    </row>
    <row r="1710" customFormat="false" ht="15" hidden="false" customHeight="true" outlineLevel="0" collapsed="false">
      <c r="A1710" s="15"/>
      <c r="B1710" s="7"/>
      <c r="C1710" s="16" t="str">
        <f aca="false">IF(B1710="","",IFERROR(INDEX(Products!$B$2:$B$501,MATCH(B1710,Products!$A$2:$A$501,0)),"CODE NOT FOUND"))</f>
        <v/>
      </c>
      <c r="D1710" s="7"/>
      <c r="E1710" s="13"/>
      <c r="F1710" s="17" t="str">
        <f aca="false">IF(OR(D1710="",E1710=""),"",D1710*E1710)</f>
        <v/>
      </c>
      <c r="G1710" s="7"/>
      <c r="H1710" s="7"/>
    </row>
    <row r="1711" customFormat="false" ht="15" hidden="false" customHeight="true" outlineLevel="0" collapsed="false">
      <c r="A1711" s="15"/>
      <c r="B1711" s="7"/>
      <c r="C1711" s="16" t="str">
        <f aca="false">IF(B1711="","",IFERROR(INDEX(Products!$B$2:$B$501,MATCH(B1711,Products!$A$2:$A$501,0)),"CODE NOT FOUND"))</f>
        <v/>
      </c>
      <c r="D1711" s="7"/>
      <c r="E1711" s="13"/>
      <c r="F1711" s="17" t="str">
        <f aca="false">IF(OR(D1711="",E1711=""),"",D1711*E1711)</f>
        <v/>
      </c>
      <c r="G1711" s="7"/>
      <c r="H1711" s="7"/>
    </row>
    <row r="1712" customFormat="false" ht="15" hidden="false" customHeight="true" outlineLevel="0" collapsed="false">
      <c r="A1712" s="15"/>
      <c r="B1712" s="7"/>
      <c r="C1712" s="16" t="str">
        <f aca="false">IF(B1712="","",IFERROR(INDEX(Products!$B$2:$B$501,MATCH(B1712,Products!$A$2:$A$501,0)),"CODE NOT FOUND"))</f>
        <v/>
      </c>
      <c r="D1712" s="7"/>
      <c r="E1712" s="13"/>
      <c r="F1712" s="17" t="str">
        <f aca="false">IF(OR(D1712="",E1712=""),"",D1712*E1712)</f>
        <v/>
      </c>
      <c r="G1712" s="7"/>
      <c r="H1712" s="7"/>
    </row>
    <row r="1713" customFormat="false" ht="15" hidden="false" customHeight="true" outlineLevel="0" collapsed="false">
      <c r="A1713" s="15"/>
      <c r="B1713" s="7"/>
      <c r="C1713" s="16" t="str">
        <f aca="false">IF(B1713="","",IFERROR(INDEX(Products!$B$2:$B$501,MATCH(B1713,Products!$A$2:$A$501,0)),"CODE NOT FOUND"))</f>
        <v/>
      </c>
      <c r="D1713" s="7"/>
      <c r="E1713" s="13"/>
      <c r="F1713" s="17" t="str">
        <f aca="false">IF(OR(D1713="",E1713=""),"",D1713*E1713)</f>
        <v/>
      </c>
      <c r="G1713" s="7"/>
      <c r="H1713" s="7"/>
    </row>
    <row r="1714" customFormat="false" ht="15" hidden="false" customHeight="true" outlineLevel="0" collapsed="false">
      <c r="A1714" s="15"/>
      <c r="B1714" s="7"/>
      <c r="C1714" s="16" t="str">
        <f aca="false">IF(B1714="","",IFERROR(INDEX(Products!$B$2:$B$501,MATCH(B1714,Products!$A$2:$A$501,0)),"CODE NOT FOUND"))</f>
        <v/>
      </c>
      <c r="D1714" s="7"/>
      <c r="E1714" s="13"/>
      <c r="F1714" s="17" t="str">
        <f aca="false">IF(OR(D1714="",E1714=""),"",D1714*E1714)</f>
        <v/>
      </c>
      <c r="G1714" s="7"/>
      <c r="H1714" s="7"/>
    </row>
    <row r="1715" customFormat="false" ht="15" hidden="false" customHeight="true" outlineLevel="0" collapsed="false">
      <c r="A1715" s="15"/>
      <c r="B1715" s="7"/>
      <c r="C1715" s="16" t="str">
        <f aca="false">IF(B1715="","",IFERROR(INDEX(Products!$B$2:$B$501,MATCH(B1715,Products!$A$2:$A$501,0)),"CODE NOT FOUND"))</f>
        <v/>
      </c>
      <c r="D1715" s="7"/>
      <c r="E1715" s="13"/>
      <c r="F1715" s="17" t="str">
        <f aca="false">IF(OR(D1715="",E1715=""),"",D1715*E1715)</f>
        <v/>
      </c>
      <c r="G1715" s="7"/>
      <c r="H1715" s="7"/>
    </row>
    <row r="1716" customFormat="false" ht="15" hidden="false" customHeight="true" outlineLevel="0" collapsed="false">
      <c r="A1716" s="15"/>
      <c r="B1716" s="7"/>
      <c r="C1716" s="16" t="str">
        <f aca="false">IF(B1716="","",IFERROR(INDEX(Products!$B$2:$B$501,MATCH(B1716,Products!$A$2:$A$501,0)),"CODE NOT FOUND"))</f>
        <v/>
      </c>
      <c r="D1716" s="7"/>
      <c r="E1716" s="13"/>
      <c r="F1716" s="17" t="str">
        <f aca="false">IF(OR(D1716="",E1716=""),"",D1716*E1716)</f>
        <v/>
      </c>
      <c r="G1716" s="7"/>
      <c r="H1716" s="7"/>
    </row>
    <row r="1717" customFormat="false" ht="15" hidden="false" customHeight="true" outlineLevel="0" collapsed="false">
      <c r="A1717" s="15"/>
      <c r="B1717" s="7"/>
      <c r="C1717" s="16" t="str">
        <f aca="false">IF(B1717="","",IFERROR(INDEX(Products!$B$2:$B$501,MATCH(B1717,Products!$A$2:$A$501,0)),"CODE NOT FOUND"))</f>
        <v/>
      </c>
      <c r="D1717" s="7"/>
      <c r="E1717" s="13"/>
      <c r="F1717" s="17" t="str">
        <f aca="false">IF(OR(D1717="",E1717=""),"",D1717*E1717)</f>
        <v/>
      </c>
      <c r="G1717" s="7"/>
      <c r="H1717" s="7"/>
    </row>
    <row r="1718" customFormat="false" ht="15" hidden="false" customHeight="true" outlineLevel="0" collapsed="false">
      <c r="A1718" s="15"/>
      <c r="B1718" s="7"/>
      <c r="C1718" s="16" t="str">
        <f aca="false">IF(B1718="","",IFERROR(INDEX(Products!$B$2:$B$501,MATCH(B1718,Products!$A$2:$A$501,0)),"CODE NOT FOUND"))</f>
        <v/>
      </c>
      <c r="D1718" s="7"/>
      <c r="E1718" s="13"/>
      <c r="F1718" s="17" t="str">
        <f aca="false">IF(OR(D1718="",E1718=""),"",D1718*E1718)</f>
        <v/>
      </c>
      <c r="G1718" s="7"/>
      <c r="H1718" s="7"/>
    </row>
    <row r="1719" customFormat="false" ht="15" hidden="false" customHeight="true" outlineLevel="0" collapsed="false">
      <c r="A1719" s="15"/>
      <c r="B1719" s="7"/>
      <c r="C1719" s="16" t="str">
        <f aca="false">IF(B1719="","",IFERROR(INDEX(Products!$B$2:$B$501,MATCH(B1719,Products!$A$2:$A$501,0)),"CODE NOT FOUND"))</f>
        <v/>
      </c>
      <c r="D1719" s="7"/>
      <c r="E1719" s="13"/>
      <c r="F1719" s="17" t="str">
        <f aca="false">IF(OR(D1719="",E1719=""),"",D1719*E1719)</f>
        <v/>
      </c>
      <c r="G1719" s="7"/>
      <c r="H1719" s="7"/>
    </row>
    <row r="1720" customFormat="false" ht="15" hidden="false" customHeight="true" outlineLevel="0" collapsed="false">
      <c r="A1720" s="15"/>
      <c r="B1720" s="7"/>
      <c r="C1720" s="16" t="str">
        <f aca="false">IF(B1720="","",IFERROR(INDEX(Products!$B$2:$B$501,MATCH(B1720,Products!$A$2:$A$501,0)),"CODE NOT FOUND"))</f>
        <v/>
      </c>
      <c r="D1720" s="7"/>
      <c r="E1720" s="13"/>
      <c r="F1720" s="17" t="str">
        <f aca="false">IF(OR(D1720="",E1720=""),"",D1720*E1720)</f>
        <v/>
      </c>
      <c r="G1720" s="7"/>
      <c r="H1720" s="7"/>
    </row>
    <row r="1721" customFormat="false" ht="15" hidden="false" customHeight="true" outlineLevel="0" collapsed="false">
      <c r="A1721" s="15"/>
      <c r="B1721" s="7"/>
      <c r="C1721" s="16" t="str">
        <f aca="false">IF(B1721="","",IFERROR(INDEX(Products!$B$2:$B$501,MATCH(B1721,Products!$A$2:$A$501,0)),"CODE NOT FOUND"))</f>
        <v/>
      </c>
      <c r="D1721" s="7"/>
      <c r="E1721" s="13"/>
      <c r="F1721" s="17" t="str">
        <f aca="false">IF(OR(D1721="",E1721=""),"",D1721*E1721)</f>
        <v/>
      </c>
      <c r="G1721" s="7"/>
      <c r="H1721" s="7"/>
    </row>
    <row r="1722" customFormat="false" ht="15" hidden="false" customHeight="true" outlineLevel="0" collapsed="false">
      <c r="A1722" s="15"/>
      <c r="B1722" s="7"/>
      <c r="C1722" s="16" t="str">
        <f aca="false">IF(B1722="","",IFERROR(INDEX(Products!$B$2:$B$501,MATCH(B1722,Products!$A$2:$A$501,0)),"CODE NOT FOUND"))</f>
        <v/>
      </c>
      <c r="D1722" s="7"/>
      <c r="E1722" s="13"/>
      <c r="F1722" s="17" t="str">
        <f aca="false">IF(OR(D1722="",E1722=""),"",D1722*E1722)</f>
        <v/>
      </c>
      <c r="G1722" s="7"/>
      <c r="H1722" s="7"/>
    </row>
    <row r="1723" customFormat="false" ht="15" hidden="false" customHeight="true" outlineLevel="0" collapsed="false">
      <c r="A1723" s="15"/>
      <c r="B1723" s="7"/>
      <c r="C1723" s="16" t="str">
        <f aca="false">IF(B1723="","",IFERROR(INDEX(Products!$B$2:$B$501,MATCH(B1723,Products!$A$2:$A$501,0)),"CODE NOT FOUND"))</f>
        <v/>
      </c>
      <c r="D1723" s="7"/>
      <c r="E1723" s="13"/>
      <c r="F1723" s="17" t="str">
        <f aca="false">IF(OR(D1723="",E1723=""),"",D1723*E1723)</f>
        <v/>
      </c>
      <c r="G1723" s="7"/>
      <c r="H1723" s="7"/>
    </row>
    <row r="1724" customFormat="false" ht="15" hidden="false" customHeight="true" outlineLevel="0" collapsed="false">
      <c r="A1724" s="15"/>
      <c r="B1724" s="7"/>
      <c r="C1724" s="16" t="str">
        <f aca="false">IF(B1724="","",IFERROR(INDEX(Products!$B$2:$B$501,MATCH(B1724,Products!$A$2:$A$501,0)),"CODE NOT FOUND"))</f>
        <v/>
      </c>
      <c r="D1724" s="7"/>
      <c r="E1724" s="13"/>
      <c r="F1724" s="17" t="str">
        <f aca="false">IF(OR(D1724="",E1724=""),"",D1724*E1724)</f>
        <v/>
      </c>
      <c r="G1724" s="7"/>
      <c r="H1724" s="7"/>
    </row>
    <row r="1725" customFormat="false" ht="15" hidden="false" customHeight="true" outlineLevel="0" collapsed="false">
      <c r="A1725" s="15"/>
      <c r="B1725" s="7"/>
      <c r="C1725" s="16" t="str">
        <f aca="false">IF(B1725="","",IFERROR(INDEX(Products!$B$2:$B$501,MATCH(B1725,Products!$A$2:$A$501,0)),"CODE NOT FOUND"))</f>
        <v/>
      </c>
      <c r="D1725" s="7"/>
      <c r="E1725" s="13"/>
      <c r="F1725" s="17" t="str">
        <f aca="false">IF(OR(D1725="",E1725=""),"",D1725*E1725)</f>
        <v/>
      </c>
      <c r="G1725" s="7"/>
      <c r="H1725" s="7"/>
    </row>
    <row r="1726" customFormat="false" ht="15" hidden="false" customHeight="true" outlineLevel="0" collapsed="false">
      <c r="A1726" s="15"/>
      <c r="B1726" s="7"/>
      <c r="C1726" s="16" t="str">
        <f aca="false">IF(B1726="","",IFERROR(INDEX(Products!$B$2:$B$501,MATCH(B1726,Products!$A$2:$A$501,0)),"CODE NOT FOUND"))</f>
        <v/>
      </c>
      <c r="D1726" s="7"/>
      <c r="E1726" s="13"/>
      <c r="F1726" s="17" t="str">
        <f aca="false">IF(OR(D1726="",E1726=""),"",D1726*E1726)</f>
        <v/>
      </c>
      <c r="G1726" s="7"/>
      <c r="H1726" s="7"/>
    </row>
    <row r="1727" customFormat="false" ht="15" hidden="false" customHeight="true" outlineLevel="0" collapsed="false">
      <c r="A1727" s="15"/>
      <c r="B1727" s="7"/>
      <c r="C1727" s="16" t="str">
        <f aca="false">IF(B1727="","",IFERROR(INDEX(Products!$B$2:$B$501,MATCH(B1727,Products!$A$2:$A$501,0)),"CODE NOT FOUND"))</f>
        <v/>
      </c>
      <c r="D1727" s="7"/>
      <c r="E1727" s="13"/>
      <c r="F1727" s="17" t="str">
        <f aca="false">IF(OR(D1727="",E1727=""),"",D1727*E1727)</f>
        <v/>
      </c>
      <c r="G1727" s="7"/>
      <c r="H1727" s="7"/>
    </row>
    <row r="1728" customFormat="false" ht="15" hidden="false" customHeight="true" outlineLevel="0" collapsed="false">
      <c r="A1728" s="15"/>
      <c r="B1728" s="7"/>
      <c r="C1728" s="16" t="str">
        <f aca="false">IF(B1728="","",IFERROR(INDEX(Products!$B$2:$B$501,MATCH(B1728,Products!$A$2:$A$501,0)),"CODE NOT FOUND"))</f>
        <v/>
      </c>
      <c r="D1728" s="7"/>
      <c r="E1728" s="13"/>
      <c r="F1728" s="17" t="str">
        <f aca="false">IF(OR(D1728="",E1728=""),"",D1728*E1728)</f>
        <v/>
      </c>
      <c r="G1728" s="7"/>
      <c r="H1728" s="7"/>
    </row>
    <row r="1729" customFormat="false" ht="15" hidden="false" customHeight="true" outlineLevel="0" collapsed="false">
      <c r="A1729" s="15"/>
      <c r="B1729" s="7"/>
      <c r="C1729" s="16" t="str">
        <f aca="false">IF(B1729="","",IFERROR(INDEX(Products!$B$2:$B$501,MATCH(B1729,Products!$A$2:$A$501,0)),"CODE NOT FOUND"))</f>
        <v/>
      </c>
      <c r="D1729" s="7"/>
      <c r="E1729" s="13"/>
      <c r="F1729" s="17" t="str">
        <f aca="false">IF(OR(D1729="",E1729=""),"",D1729*E1729)</f>
        <v/>
      </c>
      <c r="G1729" s="7"/>
      <c r="H1729" s="7"/>
    </row>
    <row r="1730" customFormat="false" ht="15" hidden="false" customHeight="true" outlineLevel="0" collapsed="false">
      <c r="A1730" s="15"/>
      <c r="B1730" s="7"/>
      <c r="C1730" s="16" t="str">
        <f aca="false">IF(B1730="","",IFERROR(INDEX(Products!$B$2:$B$501,MATCH(B1730,Products!$A$2:$A$501,0)),"CODE NOT FOUND"))</f>
        <v/>
      </c>
      <c r="D1730" s="7"/>
      <c r="E1730" s="13"/>
      <c r="F1730" s="17" t="str">
        <f aca="false">IF(OR(D1730="",E1730=""),"",D1730*E1730)</f>
        <v/>
      </c>
      <c r="G1730" s="7"/>
      <c r="H1730" s="7"/>
    </row>
    <row r="1731" customFormat="false" ht="15" hidden="false" customHeight="true" outlineLevel="0" collapsed="false">
      <c r="A1731" s="15"/>
      <c r="B1731" s="7"/>
      <c r="C1731" s="16" t="str">
        <f aca="false">IF(B1731="","",IFERROR(INDEX(Products!$B$2:$B$501,MATCH(B1731,Products!$A$2:$A$501,0)),"CODE NOT FOUND"))</f>
        <v/>
      </c>
      <c r="D1731" s="7"/>
      <c r="E1731" s="13"/>
      <c r="F1731" s="17" t="str">
        <f aca="false">IF(OR(D1731="",E1731=""),"",D1731*E1731)</f>
        <v/>
      </c>
      <c r="G1731" s="7"/>
      <c r="H1731" s="7"/>
    </row>
    <row r="1732" customFormat="false" ht="15" hidden="false" customHeight="true" outlineLevel="0" collapsed="false">
      <c r="A1732" s="15"/>
      <c r="B1732" s="7"/>
      <c r="C1732" s="16" t="str">
        <f aca="false">IF(B1732="","",IFERROR(INDEX(Products!$B$2:$B$501,MATCH(B1732,Products!$A$2:$A$501,0)),"CODE NOT FOUND"))</f>
        <v/>
      </c>
      <c r="D1732" s="7"/>
      <c r="E1732" s="13"/>
      <c r="F1732" s="17" t="str">
        <f aca="false">IF(OR(D1732="",E1732=""),"",D1732*E1732)</f>
        <v/>
      </c>
      <c r="G1732" s="7"/>
      <c r="H1732" s="7"/>
    </row>
    <row r="1733" customFormat="false" ht="15" hidden="false" customHeight="true" outlineLevel="0" collapsed="false">
      <c r="A1733" s="15"/>
      <c r="B1733" s="7"/>
      <c r="C1733" s="16" t="str">
        <f aca="false">IF(B1733="","",IFERROR(INDEX(Products!$B$2:$B$501,MATCH(B1733,Products!$A$2:$A$501,0)),"CODE NOT FOUND"))</f>
        <v/>
      </c>
      <c r="D1733" s="7"/>
      <c r="E1733" s="13"/>
      <c r="F1733" s="17" t="str">
        <f aca="false">IF(OR(D1733="",E1733=""),"",D1733*E1733)</f>
        <v/>
      </c>
      <c r="G1733" s="7"/>
      <c r="H1733" s="7"/>
    </row>
    <row r="1734" customFormat="false" ht="15" hidden="false" customHeight="true" outlineLevel="0" collapsed="false">
      <c r="A1734" s="15"/>
      <c r="B1734" s="7"/>
      <c r="C1734" s="16" t="str">
        <f aca="false">IF(B1734="","",IFERROR(INDEX(Products!$B$2:$B$501,MATCH(B1734,Products!$A$2:$A$501,0)),"CODE NOT FOUND"))</f>
        <v/>
      </c>
      <c r="D1734" s="7"/>
      <c r="E1734" s="13"/>
      <c r="F1734" s="17" t="str">
        <f aca="false">IF(OR(D1734="",E1734=""),"",D1734*E1734)</f>
        <v/>
      </c>
      <c r="G1734" s="7"/>
      <c r="H1734" s="7"/>
    </row>
    <row r="1735" customFormat="false" ht="15" hidden="false" customHeight="true" outlineLevel="0" collapsed="false">
      <c r="A1735" s="15"/>
      <c r="B1735" s="7"/>
      <c r="C1735" s="16" t="str">
        <f aca="false">IF(B1735="","",IFERROR(INDEX(Products!$B$2:$B$501,MATCH(B1735,Products!$A$2:$A$501,0)),"CODE NOT FOUND"))</f>
        <v/>
      </c>
      <c r="D1735" s="7"/>
      <c r="E1735" s="13"/>
      <c r="F1735" s="17" t="str">
        <f aca="false">IF(OR(D1735="",E1735=""),"",D1735*E1735)</f>
        <v/>
      </c>
      <c r="G1735" s="7"/>
      <c r="H1735" s="7"/>
    </row>
    <row r="1736" customFormat="false" ht="15" hidden="false" customHeight="true" outlineLevel="0" collapsed="false">
      <c r="A1736" s="15"/>
      <c r="B1736" s="7"/>
      <c r="C1736" s="16" t="str">
        <f aca="false">IF(B1736="","",IFERROR(INDEX(Products!$B$2:$B$501,MATCH(B1736,Products!$A$2:$A$501,0)),"CODE NOT FOUND"))</f>
        <v/>
      </c>
      <c r="D1736" s="7"/>
      <c r="E1736" s="13"/>
      <c r="F1736" s="17" t="str">
        <f aca="false">IF(OR(D1736="",E1736=""),"",D1736*E1736)</f>
        <v/>
      </c>
      <c r="G1736" s="7"/>
      <c r="H1736" s="7"/>
    </row>
    <row r="1737" customFormat="false" ht="15" hidden="false" customHeight="true" outlineLevel="0" collapsed="false">
      <c r="A1737" s="15"/>
      <c r="B1737" s="7"/>
      <c r="C1737" s="16" t="str">
        <f aca="false">IF(B1737="","",IFERROR(INDEX(Products!$B$2:$B$501,MATCH(B1737,Products!$A$2:$A$501,0)),"CODE NOT FOUND"))</f>
        <v/>
      </c>
      <c r="D1737" s="7"/>
      <c r="E1737" s="13"/>
      <c r="F1737" s="17" t="str">
        <f aca="false">IF(OR(D1737="",E1737=""),"",D1737*E1737)</f>
        <v/>
      </c>
      <c r="G1737" s="7"/>
      <c r="H1737" s="7"/>
    </row>
    <row r="1738" customFormat="false" ht="15" hidden="false" customHeight="true" outlineLevel="0" collapsed="false">
      <c r="A1738" s="15"/>
      <c r="B1738" s="7"/>
      <c r="C1738" s="16" t="str">
        <f aca="false">IF(B1738="","",IFERROR(INDEX(Products!$B$2:$B$501,MATCH(B1738,Products!$A$2:$A$501,0)),"CODE NOT FOUND"))</f>
        <v/>
      </c>
      <c r="D1738" s="7"/>
      <c r="E1738" s="13"/>
      <c r="F1738" s="17" t="str">
        <f aca="false">IF(OR(D1738="",E1738=""),"",D1738*E1738)</f>
        <v/>
      </c>
      <c r="G1738" s="7"/>
      <c r="H1738" s="7"/>
    </row>
    <row r="1739" customFormat="false" ht="15" hidden="false" customHeight="true" outlineLevel="0" collapsed="false">
      <c r="A1739" s="15"/>
      <c r="B1739" s="7"/>
      <c r="C1739" s="16" t="str">
        <f aca="false">IF(B1739="","",IFERROR(INDEX(Products!$B$2:$B$501,MATCH(B1739,Products!$A$2:$A$501,0)),"CODE NOT FOUND"))</f>
        <v/>
      </c>
      <c r="D1739" s="7"/>
      <c r="E1739" s="13"/>
      <c r="F1739" s="17" t="str">
        <f aca="false">IF(OR(D1739="",E1739=""),"",D1739*E1739)</f>
        <v/>
      </c>
      <c r="G1739" s="7"/>
      <c r="H1739" s="7"/>
    </row>
    <row r="1740" customFormat="false" ht="15" hidden="false" customHeight="true" outlineLevel="0" collapsed="false">
      <c r="A1740" s="15"/>
      <c r="B1740" s="7"/>
      <c r="C1740" s="16" t="str">
        <f aca="false">IF(B1740="","",IFERROR(INDEX(Products!$B$2:$B$501,MATCH(B1740,Products!$A$2:$A$501,0)),"CODE NOT FOUND"))</f>
        <v/>
      </c>
      <c r="D1740" s="7"/>
      <c r="E1740" s="13"/>
      <c r="F1740" s="17" t="str">
        <f aca="false">IF(OR(D1740="",E1740=""),"",D1740*E1740)</f>
        <v/>
      </c>
      <c r="G1740" s="7"/>
      <c r="H1740" s="7"/>
    </row>
    <row r="1741" customFormat="false" ht="15" hidden="false" customHeight="true" outlineLevel="0" collapsed="false">
      <c r="A1741" s="15"/>
      <c r="B1741" s="7"/>
      <c r="C1741" s="16" t="str">
        <f aca="false">IF(B1741="","",IFERROR(INDEX(Products!$B$2:$B$501,MATCH(B1741,Products!$A$2:$A$501,0)),"CODE NOT FOUND"))</f>
        <v/>
      </c>
      <c r="D1741" s="7"/>
      <c r="E1741" s="13"/>
      <c r="F1741" s="17" t="str">
        <f aca="false">IF(OR(D1741="",E1741=""),"",D1741*E1741)</f>
        <v/>
      </c>
      <c r="G1741" s="7"/>
      <c r="H1741" s="7"/>
    </row>
    <row r="1742" customFormat="false" ht="15" hidden="false" customHeight="true" outlineLevel="0" collapsed="false">
      <c r="A1742" s="15"/>
      <c r="B1742" s="7"/>
      <c r="C1742" s="16" t="str">
        <f aca="false">IF(B1742="","",IFERROR(INDEX(Products!$B$2:$B$501,MATCH(B1742,Products!$A$2:$A$501,0)),"CODE NOT FOUND"))</f>
        <v/>
      </c>
      <c r="D1742" s="7"/>
      <c r="E1742" s="13"/>
      <c r="F1742" s="17" t="str">
        <f aca="false">IF(OR(D1742="",E1742=""),"",D1742*E1742)</f>
        <v/>
      </c>
      <c r="G1742" s="7"/>
      <c r="H1742" s="7"/>
    </row>
    <row r="1743" customFormat="false" ht="15" hidden="false" customHeight="true" outlineLevel="0" collapsed="false">
      <c r="A1743" s="15"/>
      <c r="B1743" s="7"/>
      <c r="C1743" s="16" t="str">
        <f aca="false">IF(B1743="","",IFERROR(INDEX(Products!$B$2:$B$501,MATCH(B1743,Products!$A$2:$A$501,0)),"CODE NOT FOUND"))</f>
        <v/>
      </c>
      <c r="D1743" s="7"/>
      <c r="E1743" s="13"/>
      <c r="F1743" s="17" t="str">
        <f aca="false">IF(OR(D1743="",E1743=""),"",D1743*E1743)</f>
        <v/>
      </c>
      <c r="G1743" s="7"/>
      <c r="H1743" s="7"/>
    </row>
    <row r="1744" customFormat="false" ht="15" hidden="false" customHeight="true" outlineLevel="0" collapsed="false">
      <c r="A1744" s="15"/>
      <c r="B1744" s="7"/>
      <c r="C1744" s="16" t="str">
        <f aca="false">IF(B1744="","",IFERROR(INDEX(Products!$B$2:$B$501,MATCH(B1744,Products!$A$2:$A$501,0)),"CODE NOT FOUND"))</f>
        <v/>
      </c>
      <c r="D1744" s="7"/>
      <c r="E1744" s="13"/>
      <c r="F1744" s="17" t="str">
        <f aca="false">IF(OR(D1744="",E1744=""),"",D1744*E1744)</f>
        <v/>
      </c>
      <c r="G1744" s="7"/>
      <c r="H1744" s="7"/>
    </row>
    <row r="1745" customFormat="false" ht="15" hidden="false" customHeight="true" outlineLevel="0" collapsed="false">
      <c r="A1745" s="15"/>
      <c r="B1745" s="7"/>
      <c r="C1745" s="16" t="str">
        <f aca="false">IF(B1745="","",IFERROR(INDEX(Products!$B$2:$B$501,MATCH(B1745,Products!$A$2:$A$501,0)),"CODE NOT FOUND"))</f>
        <v/>
      </c>
      <c r="D1745" s="7"/>
      <c r="E1745" s="13"/>
      <c r="F1745" s="17" t="str">
        <f aca="false">IF(OR(D1745="",E1745=""),"",D1745*E1745)</f>
        <v/>
      </c>
      <c r="G1745" s="7"/>
      <c r="H1745" s="7"/>
    </row>
    <row r="1746" customFormat="false" ht="15" hidden="false" customHeight="true" outlineLevel="0" collapsed="false">
      <c r="A1746" s="15"/>
      <c r="B1746" s="7"/>
      <c r="C1746" s="16" t="str">
        <f aca="false">IF(B1746="","",IFERROR(INDEX(Products!$B$2:$B$501,MATCH(B1746,Products!$A$2:$A$501,0)),"CODE NOT FOUND"))</f>
        <v/>
      </c>
      <c r="D1746" s="7"/>
      <c r="E1746" s="13"/>
      <c r="F1746" s="17" t="str">
        <f aca="false">IF(OR(D1746="",E1746=""),"",D1746*E1746)</f>
        <v/>
      </c>
      <c r="G1746" s="7"/>
      <c r="H1746" s="7"/>
    </row>
    <row r="1747" customFormat="false" ht="15" hidden="false" customHeight="true" outlineLevel="0" collapsed="false">
      <c r="A1747" s="15"/>
      <c r="B1747" s="7"/>
      <c r="C1747" s="16" t="str">
        <f aca="false">IF(B1747="","",IFERROR(INDEX(Products!$B$2:$B$501,MATCH(B1747,Products!$A$2:$A$501,0)),"CODE NOT FOUND"))</f>
        <v/>
      </c>
      <c r="D1747" s="7"/>
      <c r="E1747" s="13"/>
      <c r="F1747" s="17" t="str">
        <f aca="false">IF(OR(D1747="",E1747=""),"",D1747*E1747)</f>
        <v/>
      </c>
      <c r="G1747" s="7"/>
      <c r="H1747" s="7"/>
    </row>
    <row r="1748" customFormat="false" ht="15" hidden="false" customHeight="true" outlineLevel="0" collapsed="false">
      <c r="A1748" s="15"/>
      <c r="B1748" s="7"/>
      <c r="C1748" s="16" t="str">
        <f aca="false">IF(B1748="","",IFERROR(INDEX(Products!$B$2:$B$501,MATCH(B1748,Products!$A$2:$A$501,0)),"CODE NOT FOUND"))</f>
        <v/>
      </c>
      <c r="D1748" s="7"/>
      <c r="E1748" s="13"/>
      <c r="F1748" s="17" t="str">
        <f aca="false">IF(OR(D1748="",E1748=""),"",D1748*E1748)</f>
        <v/>
      </c>
      <c r="G1748" s="7"/>
      <c r="H1748" s="7"/>
    </row>
    <row r="1749" customFormat="false" ht="15" hidden="false" customHeight="true" outlineLevel="0" collapsed="false">
      <c r="A1749" s="15"/>
      <c r="B1749" s="7"/>
      <c r="C1749" s="16" t="str">
        <f aca="false">IF(B1749="","",IFERROR(INDEX(Products!$B$2:$B$501,MATCH(B1749,Products!$A$2:$A$501,0)),"CODE NOT FOUND"))</f>
        <v/>
      </c>
      <c r="D1749" s="7"/>
      <c r="E1749" s="13"/>
      <c r="F1749" s="17" t="str">
        <f aca="false">IF(OR(D1749="",E1749=""),"",D1749*E1749)</f>
        <v/>
      </c>
      <c r="G1749" s="7"/>
      <c r="H1749" s="7"/>
    </row>
    <row r="1750" customFormat="false" ht="15" hidden="false" customHeight="true" outlineLevel="0" collapsed="false">
      <c r="A1750" s="15"/>
      <c r="B1750" s="7"/>
      <c r="C1750" s="16" t="str">
        <f aca="false">IF(B1750="","",IFERROR(INDEX(Products!$B$2:$B$501,MATCH(B1750,Products!$A$2:$A$501,0)),"CODE NOT FOUND"))</f>
        <v/>
      </c>
      <c r="D1750" s="7"/>
      <c r="E1750" s="13"/>
      <c r="F1750" s="17" t="str">
        <f aca="false">IF(OR(D1750="",E1750=""),"",D1750*E1750)</f>
        <v/>
      </c>
      <c r="G1750" s="7"/>
      <c r="H1750" s="7"/>
    </row>
    <row r="1751" customFormat="false" ht="15" hidden="false" customHeight="true" outlineLevel="0" collapsed="false">
      <c r="A1751" s="15"/>
      <c r="B1751" s="7"/>
      <c r="C1751" s="16" t="str">
        <f aca="false">IF(B1751="","",IFERROR(INDEX(Products!$B$2:$B$501,MATCH(B1751,Products!$A$2:$A$501,0)),"CODE NOT FOUND"))</f>
        <v/>
      </c>
      <c r="D1751" s="7"/>
      <c r="E1751" s="13"/>
      <c r="F1751" s="17" t="str">
        <f aca="false">IF(OR(D1751="",E1751=""),"",D1751*E1751)</f>
        <v/>
      </c>
      <c r="G1751" s="7"/>
      <c r="H1751" s="7"/>
    </row>
    <row r="1752" customFormat="false" ht="15" hidden="false" customHeight="true" outlineLevel="0" collapsed="false">
      <c r="A1752" s="15"/>
      <c r="B1752" s="7"/>
      <c r="C1752" s="16" t="str">
        <f aca="false">IF(B1752="","",IFERROR(INDEX(Products!$B$2:$B$501,MATCH(B1752,Products!$A$2:$A$501,0)),"CODE NOT FOUND"))</f>
        <v/>
      </c>
      <c r="D1752" s="7"/>
      <c r="E1752" s="13"/>
      <c r="F1752" s="17" t="str">
        <f aca="false">IF(OR(D1752="",E1752=""),"",D1752*E1752)</f>
        <v/>
      </c>
      <c r="G1752" s="7"/>
      <c r="H1752" s="7"/>
    </row>
    <row r="1753" customFormat="false" ht="15" hidden="false" customHeight="true" outlineLevel="0" collapsed="false">
      <c r="A1753" s="15"/>
      <c r="B1753" s="7"/>
      <c r="C1753" s="16" t="str">
        <f aca="false">IF(B1753="","",IFERROR(INDEX(Products!$B$2:$B$501,MATCH(B1753,Products!$A$2:$A$501,0)),"CODE NOT FOUND"))</f>
        <v/>
      </c>
      <c r="D1753" s="7"/>
      <c r="E1753" s="13"/>
      <c r="F1753" s="17" t="str">
        <f aca="false">IF(OR(D1753="",E1753=""),"",D1753*E1753)</f>
        <v/>
      </c>
      <c r="G1753" s="7"/>
      <c r="H1753" s="7"/>
    </row>
    <row r="1754" customFormat="false" ht="15" hidden="false" customHeight="true" outlineLevel="0" collapsed="false">
      <c r="A1754" s="15"/>
      <c r="B1754" s="7"/>
      <c r="C1754" s="16" t="str">
        <f aca="false">IF(B1754="","",IFERROR(INDEX(Products!$B$2:$B$501,MATCH(B1754,Products!$A$2:$A$501,0)),"CODE NOT FOUND"))</f>
        <v/>
      </c>
      <c r="D1754" s="7"/>
      <c r="E1754" s="13"/>
      <c r="F1754" s="17" t="str">
        <f aca="false">IF(OR(D1754="",E1754=""),"",D1754*E1754)</f>
        <v/>
      </c>
      <c r="G1754" s="7"/>
      <c r="H1754" s="7"/>
    </row>
    <row r="1755" customFormat="false" ht="15" hidden="false" customHeight="true" outlineLevel="0" collapsed="false">
      <c r="A1755" s="15"/>
      <c r="B1755" s="7"/>
      <c r="C1755" s="16" t="str">
        <f aca="false">IF(B1755="","",IFERROR(INDEX(Products!$B$2:$B$501,MATCH(B1755,Products!$A$2:$A$501,0)),"CODE NOT FOUND"))</f>
        <v/>
      </c>
      <c r="D1755" s="7"/>
      <c r="E1755" s="13"/>
      <c r="F1755" s="17" t="str">
        <f aca="false">IF(OR(D1755="",E1755=""),"",D1755*E1755)</f>
        <v/>
      </c>
      <c r="G1755" s="7"/>
      <c r="H1755" s="7"/>
    </row>
    <row r="1756" customFormat="false" ht="15" hidden="false" customHeight="true" outlineLevel="0" collapsed="false">
      <c r="A1756" s="15"/>
      <c r="B1756" s="7"/>
      <c r="C1756" s="16" t="str">
        <f aca="false">IF(B1756="","",IFERROR(INDEX(Products!$B$2:$B$501,MATCH(B1756,Products!$A$2:$A$501,0)),"CODE NOT FOUND"))</f>
        <v/>
      </c>
      <c r="D1756" s="7"/>
      <c r="E1756" s="13"/>
      <c r="F1756" s="17" t="str">
        <f aca="false">IF(OR(D1756="",E1756=""),"",D1756*E1756)</f>
        <v/>
      </c>
      <c r="G1756" s="7"/>
      <c r="H1756" s="7"/>
    </row>
    <row r="1757" customFormat="false" ht="15" hidden="false" customHeight="true" outlineLevel="0" collapsed="false">
      <c r="A1757" s="15"/>
      <c r="B1757" s="7"/>
      <c r="C1757" s="16" t="str">
        <f aca="false">IF(B1757="","",IFERROR(INDEX(Products!$B$2:$B$501,MATCH(B1757,Products!$A$2:$A$501,0)),"CODE NOT FOUND"))</f>
        <v/>
      </c>
      <c r="D1757" s="7"/>
      <c r="E1757" s="13"/>
      <c r="F1757" s="17" t="str">
        <f aca="false">IF(OR(D1757="",E1757=""),"",D1757*E1757)</f>
        <v/>
      </c>
      <c r="G1757" s="7"/>
      <c r="H1757" s="7"/>
    </row>
    <row r="1758" customFormat="false" ht="15" hidden="false" customHeight="true" outlineLevel="0" collapsed="false">
      <c r="A1758" s="15"/>
      <c r="B1758" s="7"/>
      <c r="C1758" s="16" t="str">
        <f aca="false">IF(B1758="","",IFERROR(INDEX(Products!$B$2:$B$501,MATCH(B1758,Products!$A$2:$A$501,0)),"CODE NOT FOUND"))</f>
        <v/>
      </c>
      <c r="D1758" s="7"/>
      <c r="E1758" s="13"/>
      <c r="F1758" s="17" t="str">
        <f aca="false">IF(OR(D1758="",E1758=""),"",D1758*E1758)</f>
        <v/>
      </c>
      <c r="G1758" s="7"/>
      <c r="H1758" s="7"/>
    </row>
    <row r="1759" customFormat="false" ht="15" hidden="false" customHeight="true" outlineLevel="0" collapsed="false">
      <c r="A1759" s="15"/>
      <c r="B1759" s="7"/>
      <c r="C1759" s="16" t="str">
        <f aca="false">IF(B1759="","",IFERROR(INDEX(Products!$B$2:$B$501,MATCH(B1759,Products!$A$2:$A$501,0)),"CODE NOT FOUND"))</f>
        <v/>
      </c>
      <c r="D1759" s="7"/>
      <c r="E1759" s="13"/>
      <c r="F1759" s="17" t="str">
        <f aca="false">IF(OR(D1759="",E1759=""),"",D1759*E1759)</f>
        <v/>
      </c>
      <c r="G1759" s="7"/>
      <c r="H1759" s="7"/>
    </row>
    <row r="1760" customFormat="false" ht="15" hidden="false" customHeight="true" outlineLevel="0" collapsed="false">
      <c r="A1760" s="15"/>
      <c r="B1760" s="7"/>
      <c r="C1760" s="16" t="str">
        <f aca="false">IF(B1760="","",IFERROR(INDEX(Products!$B$2:$B$501,MATCH(B1760,Products!$A$2:$A$501,0)),"CODE NOT FOUND"))</f>
        <v/>
      </c>
      <c r="D1760" s="7"/>
      <c r="E1760" s="13"/>
      <c r="F1760" s="17" t="str">
        <f aca="false">IF(OR(D1760="",E1760=""),"",D1760*E1760)</f>
        <v/>
      </c>
      <c r="G1760" s="7"/>
      <c r="H1760" s="7"/>
    </row>
    <row r="1761" customFormat="false" ht="15" hidden="false" customHeight="true" outlineLevel="0" collapsed="false">
      <c r="A1761" s="15"/>
      <c r="B1761" s="7"/>
      <c r="C1761" s="16" t="str">
        <f aca="false">IF(B1761="","",IFERROR(INDEX(Products!$B$2:$B$501,MATCH(B1761,Products!$A$2:$A$501,0)),"CODE NOT FOUND"))</f>
        <v/>
      </c>
      <c r="D1761" s="7"/>
      <c r="E1761" s="13"/>
      <c r="F1761" s="17" t="str">
        <f aca="false">IF(OR(D1761="",E1761=""),"",D1761*E1761)</f>
        <v/>
      </c>
      <c r="G1761" s="7"/>
      <c r="H1761" s="7"/>
    </row>
    <row r="1762" customFormat="false" ht="15" hidden="false" customHeight="true" outlineLevel="0" collapsed="false">
      <c r="A1762" s="15"/>
      <c r="B1762" s="7"/>
      <c r="C1762" s="16" t="str">
        <f aca="false">IF(B1762="","",IFERROR(INDEX(Products!$B$2:$B$501,MATCH(B1762,Products!$A$2:$A$501,0)),"CODE NOT FOUND"))</f>
        <v/>
      </c>
      <c r="D1762" s="7"/>
      <c r="E1762" s="13"/>
      <c r="F1762" s="17" t="str">
        <f aca="false">IF(OR(D1762="",E1762=""),"",D1762*E1762)</f>
        <v/>
      </c>
      <c r="G1762" s="7"/>
      <c r="H1762" s="7"/>
    </row>
    <row r="1763" customFormat="false" ht="15" hidden="false" customHeight="true" outlineLevel="0" collapsed="false">
      <c r="A1763" s="15"/>
      <c r="B1763" s="7"/>
      <c r="C1763" s="16" t="str">
        <f aca="false">IF(B1763="","",IFERROR(INDEX(Products!$B$2:$B$501,MATCH(B1763,Products!$A$2:$A$501,0)),"CODE NOT FOUND"))</f>
        <v/>
      </c>
      <c r="D1763" s="7"/>
      <c r="E1763" s="13"/>
      <c r="F1763" s="17" t="str">
        <f aca="false">IF(OR(D1763="",E1763=""),"",D1763*E1763)</f>
        <v/>
      </c>
      <c r="G1763" s="7"/>
      <c r="H1763" s="7"/>
    </row>
    <row r="1764" customFormat="false" ht="15" hidden="false" customHeight="true" outlineLevel="0" collapsed="false">
      <c r="A1764" s="15"/>
      <c r="B1764" s="7"/>
      <c r="C1764" s="16" t="str">
        <f aca="false">IF(B1764="","",IFERROR(INDEX(Products!$B$2:$B$501,MATCH(B1764,Products!$A$2:$A$501,0)),"CODE NOT FOUND"))</f>
        <v/>
      </c>
      <c r="D1764" s="7"/>
      <c r="E1764" s="13"/>
      <c r="F1764" s="17" t="str">
        <f aca="false">IF(OR(D1764="",E1764=""),"",D1764*E1764)</f>
        <v/>
      </c>
      <c r="G1764" s="7"/>
      <c r="H1764" s="7"/>
    </row>
    <row r="1765" customFormat="false" ht="15" hidden="false" customHeight="true" outlineLevel="0" collapsed="false">
      <c r="A1765" s="15"/>
      <c r="B1765" s="7"/>
      <c r="C1765" s="16" t="str">
        <f aca="false">IF(B1765="","",IFERROR(INDEX(Products!$B$2:$B$501,MATCH(B1765,Products!$A$2:$A$501,0)),"CODE NOT FOUND"))</f>
        <v/>
      </c>
      <c r="D1765" s="7"/>
      <c r="E1765" s="13"/>
      <c r="F1765" s="17" t="str">
        <f aca="false">IF(OR(D1765="",E1765=""),"",D1765*E1765)</f>
        <v/>
      </c>
      <c r="G1765" s="7"/>
      <c r="H1765" s="7"/>
    </row>
    <row r="1766" customFormat="false" ht="15" hidden="false" customHeight="true" outlineLevel="0" collapsed="false">
      <c r="A1766" s="15"/>
      <c r="B1766" s="7"/>
      <c r="C1766" s="16" t="str">
        <f aca="false">IF(B1766="","",IFERROR(INDEX(Products!$B$2:$B$501,MATCH(B1766,Products!$A$2:$A$501,0)),"CODE NOT FOUND"))</f>
        <v/>
      </c>
      <c r="D1766" s="7"/>
      <c r="E1766" s="13"/>
      <c r="F1766" s="17" t="str">
        <f aca="false">IF(OR(D1766="",E1766=""),"",D1766*E1766)</f>
        <v/>
      </c>
      <c r="G1766" s="7"/>
      <c r="H1766" s="7"/>
    </row>
    <row r="1767" customFormat="false" ht="15" hidden="false" customHeight="true" outlineLevel="0" collapsed="false">
      <c r="A1767" s="15"/>
      <c r="B1767" s="7"/>
      <c r="C1767" s="16" t="str">
        <f aca="false">IF(B1767="","",IFERROR(INDEX(Products!$B$2:$B$501,MATCH(B1767,Products!$A$2:$A$501,0)),"CODE NOT FOUND"))</f>
        <v/>
      </c>
      <c r="D1767" s="7"/>
      <c r="E1767" s="13"/>
      <c r="F1767" s="17" t="str">
        <f aca="false">IF(OR(D1767="",E1767=""),"",D1767*E1767)</f>
        <v/>
      </c>
      <c r="G1767" s="7"/>
      <c r="H1767" s="7"/>
    </row>
    <row r="1768" customFormat="false" ht="15" hidden="false" customHeight="true" outlineLevel="0" collapsed="false">
      <c r="A1768" s="15"/>
      <c r="B1768" s="7"/>
      <c r="C1768" s="16" t="str">
        <f aca="false">IF(B1768="","",IFERROR(INDEX(Products!$B$2:$B$501,MATCH(B1768,Products!$A$2:$A$501,0)),"CODE NOT FOUND"))</f>
        <v/>
      </c>
      <c r="D1768" s="7"/>
      <c r="E1768" s="13"/>
      <c r="F1768" s="17" t="str">
        <f aca="false">IF(OR(D1768="",E1768=""),"",D1768*E1768)</f>
        <v/>
      </c>
      <c r="G1768" s="7"/>
      <c r="H1768" s="7"/>
    </row>
    <row r="1769" customFormat="false" ht="15" hidden="false" customHeight="true" outlineLevel="0" collapsed="false">
      <c r="A1769" s="15"/>
      <c r="B1769" s="7"/>
      <c r="C1769" s="16" t="str">
        <f aca="false">IF(B1769="","",IFERROR(INDEX(Products!$B$2:$B$501,MATCH(B1769,Products!$A$2:$A$501,0)),"CODE NOT FOUND"))</f>
        <v/>
      </c>
      <c r="D1769" s="7"/>
      <c r="E1769" s="13"/>
      <c r="F1769" s="17" t="str">
        <f aca="false">IF(OR(D1769="",E1769=""),"",D1769*E1769)</f>
        <v/>
      </c>
      <c r="G1769" s="7"/>
      <c r="H1769" s="7"/>
    </row>
    <row r="1770" customFormat="false" ht="15" hidden="false" customHeight="true" outlineLevel="0" collapsed="false">
      <c r="A1770" s="15"/>
      <c r="B1770" s="7"/>
      <c r="C1770" s="16" t="str">
        <f aca="false">IF(B1770="","",IFERROR(INDEX(Products!$B$2:$B$501,MATCH(B1770,Products!$A$2:$A$501,0)),"CODE NOT FOUND"))</f>
        <v/>
      </c>
      <c r="D1770" s="7"/>
      <c r="E1770" s="13"/>
      <c r="F1770" s="17" t="str">
        <f aca="false">IF(OR(D1770="",E1770=""),"",D1770*E1770)</f>
        <v/>
      </c>
      <c r="G1770" s="7"/>
      <c r="H1770" s="7"/>
    </row>
    <row r="1771" customFormat="false" ht="15" hidden="false" customHeight="true" outlineLevel="0" collapsed="false">
      <c r="A1771" s="15"/>
      <c r="B1771" s="7"/>
      <c r="C1771" s="16" t="str">
        <f aca="false">IF(B1771="","",IFERROR(INDEX(Products!$B$2:$B$501,MATCH(B1771,Products!$A$2:$A$501,0)),"CODE NOT FOUND"))</f>
        <v/>
      </c>
      <c r="D1771" s="7"/>
      <c r="E1771" s="13"/>
      <c r="F1771" s="17" t="str">
        <f aca="false">IF(OR(D1771="",E1771=""),"",D1771*E1771)</f>
        <v/>
      </c>
      <c r="G1771" s="7"/>
      <c r="H1771" s="7"/>
    </row>
    <row r="1772" customFormat="false" ht="15" hidden="false" customHeight="true" outlineLevel="0" collapsed="false">
      <c r="A1772" s="15"/>
      <c r="B1772" s="7"/>
      <c r="C1772" s="16" t="str">
        <f aca="false">IF(B1772="","",IFERROR(INDEX(Products!$B$2:$B$501,MATCH(B1772,Products!$A$2:$A$501,0)),"CODE NOT FOUND"))</f>
        <v/>
      </c>
      <c r="D1772" s="7"/>
      <c r="E1772" s="13"/>
      <c r="F1772" s="17" t="str">
        <f aca="false">IF(OR(D1772="",E1772=""),"",D1772*E1772)</f>
        <v/>
      </c>
      <c r="G1772" s="7"/>
      <c r="H1772" s="7"/>
    </row>
    <row r="1773" customFormat="false" ht="15" hidden="false" customHeight="true" outlineLevel="0" collapsed="false">
      <c r="A1773" s="15"/>
      <c r="B1773" s="7"/>
      <c r="C1773" s="16" t="str">
        <f aca="false">IF(B1773="","",IFERROR(INDEX(Products!$B$2:$B$501,MATCH(B1773,Products!$A$2:$A$501,0)),"CODE NOT FOUND"))</f>
        <v/>
      </c>
      <c r="D1773" s="7"/>
      <c r="E1773" s="13"/>
      <c r="F1773" s="17" t="str">
        <f aca="false">IF(OR(D1773="",E1773=""),"",D1773*E1773)</f>
        <v/>
      </c>
      <c r="G1773" s="7"/>
      <c r="H1773" s="7"/>
    </row>
    <row r="1774" customFormat="false" ht="15" hidden="false" customHeight="true" outlineLevel="0" collapsed="false">
      <c r="A1774" s="15"/>
      <c r="B1774" s="7"/>
      <c r="C1774" s="16" t="str">
        <f aca="false">IF(B1774="","",IFERROR(INDEX(Products!$B$2:$B$501,MATCH(B1774,Products!$A$2:$A$501,0)),"CODE NOT FOUND"))</f>
        <v/>
      </c>
      <c r="D1774" s="7"/>
      <c r="E1774" s="13"/>
      <c r="F1774" s="17" t="str">
        <f aca="false">IF(OR(D1774="",E1774=""),"",D1774*E1774)</f>
        <v/>
      </c>
      <c r="G1774" s="7"/>
      <c r="H1774" s="7"/>
    </row>
    <row r="1775" customFormat="false" ht="15" hidden="false" customHeight="true" outlineLevel="0" collapsed="false">
      <c r="A1775" s="15"/>
      <c r="B1775" s="7"/>
      <c r="C1775" s="16" t="str">
        <f aca="false">IF(B1775="","",IFERROR(INDEX(Products!$B$2:$B$501,MATCH(B1775,Products!$A$2:$A$501,0)),"CODE NOT FOUND"))</f>
        <v/>
      </c>
      <c r="D1775" s="7"/>
      <c r="E1775" s="13"/>
      <c r="F1775" s="17" t="str">
        <f aca="false">IF(OR(D1775="",E1775=""),"",D1775*E1775)</f>
        <v/>
      </c>
      <c r="G1775" s="7"/>
      <c r="H1775" s="7"/>
    </row>
    <row r="1776" customFormat="false" ht="15" hidden="false" customHeight="true" outlineLevel="0" collapsed="false">
      <c r="A1776" s="15"/>
      <c r="B1776" s="7"/>
      <c r="C1776" s="16" t="str">
        <f aca="false">IF(B1776="","",IFERROR(INDEX(Products!$B$2:$B$501,MATCH(B1776,Products!$A$2:$A$501,0)),"CODE NOT FOUND"))</f>
        <v/>
      </c>
      <c r="D1776" s="7"/>
      <c r="E1776" s="13"/>
      <c r="F1776" s="17" t="str">
        <f aca="false">IF(OR(D1776="",E1776=""),"",D1776*E1776)</f>
        <v/>
      </c>
      <c r="G1776" s="7"/>
      <c r="H1776" s="7"/>
    </row>
    <row r="1777" customFormat="false" ht="15" hidden="false" customHeight="true" outlineLevel="0" collapsed="false">
      <c r="A1777" s="15"/>
      <c r="B1777" s="7"/>
      <c r="C1777" s="16" t="str">
        <f aca="false">IF(B1777="","",IFERROR(INDEX(Products!$B$2:$B$501,MATCH(B1777,Products!$A$2:$A$501,0)),"CODE NOT FOUND"))</f>
        <v/>
      </c>
      <c r="D1777" s="7"/>
      <c r="E1777" s="13"/>
      <c r="F1777" s="17" t="str">
        <f aca="false">IF(OR(D1777="",E1777=""),"",D1777*E1777)</f>
        <v/>
      </c>
      <c r="G1777" s="7"/>
      <c r="H1777" s="7"/>
    </row>
    <row r="1778" customFormat="false" ht="15" hidden="false" customHeight="true" outlineLevel="0" collapsed="false">
      <c r="A1778" s="15"/>
      <c r="B1778" s="7"/>
      <c r="C1778" s="16" t="str">
        <f aca="false">IF(B1778="","",IFERROR(INDEX(Products!$B$2:$B$501,MATCH(B1778,Products!$A$2:$A$501,0)),"CODE NOT FOUND"))</f>
        <v/>
      </c>
      <c r="D1778" s="7"/>
      <c r="E1778" s="13"/>
      <c r="F1778" s="17" t="str">
        <f aca="false">IF(OR(D1778="",E1778=""),"",D1778*E1778)</f>
        <v/>
      </c>
      <c r="G1778" s="7"/>
      <c r="H1778" s="7"/>
    </row>
    <row r="1779" customFormat="false" ht="15" hidden="false" customHeight="true" outlineLevel="0" collapsed="false">
      <c r="A1779" s="15"/>
      <c r="B1779" s="7"/>
      <c r="C1779" s="16" t="str">
        <f aca="false">IF(B1779="","",IFERROR(INDEX(Products!$B$2:$B$501,MATCH(B1779,Products!$A$2:$A$501,0)),"CODE NOT FOUND"))</f>
        <v/>
      </c>
      <c r="D1779" s="7"/>
      <c r="E1779" s="13"/>
      <c r="F1779" s="17" t="str">
        <f aca="false">IF(OR(D1779="",E1779=""),"",D1779*E1779)</f>
        <v/>
      </c>
      <c r="G1779" s="7"/>
      <c r="H1779" s="7"/>
    </row>
    <row r="1780" customFormat="false" ht="15" hidden="false" customHeight="true" outlineLevel="0" collapsed="false">
      <c r="A1780" s="15"/>
      <c r="B1780" s="7"/>
      <c r="C1780" s="16" t="str">
        <f aca="false">IF(B1780="","",IFERROR(INDEX(Products!$B$2:$B$501,MATCH(B1780,Products!$A$2:$A$501,0)),"CODE NOT FOUND"))</f>
        <v/>
      </c>
      <c r="D1780" s="7"/>
      <c r="E1780" s="13"/>
      <c r="F1780" s="17" t="str">
        <f aca="false">IF(OR(D1780="",E1780=""),"",D1780*E1780)</f>
        <v/>
      </c>
      <c r="G1780" s="7"/>
      <c r="H1780" s="7"/>
    </row>
    <row r="1781" customFormat="false" ht="15" hidden="false" customHeight="true" outlineLevel="0" collapsed="false">
      <c r="A1781" s="15"/>
      <c r="B1781" s="7"/>
      <c r="C1781" s="16" t="str">
        <f aca="false">IF(B1781="","",IFERROR(INDEX(Products!$B$2:$B$501,MATCH(B1781,Products!$A$2:$A$501,0)),"CODE NOT FOUND"))</f>
        <v/>
      </c>
      <c r="D1781" s="7"/>
      <c r="E1781" s="13"/>
      <c r="F1781" s="17" t="str">
        <f aca="false">IF(OR(D1781="",E1781=""),"",D1781*E1781)</f>
        <v/>
      </c>
      <c r="G1781" s="7"/>
      <c r="H1781" s="7"/>
    </row>
    <row r="1782" customFormat="false" ht="15" hidden="false" customHeight="true" outlineLevel="0" collapsed="false">
      <c r="A1782" s="15"/>
      <c r="B1782" s="7"/>
      <c r="C1782" s="16" t="str">
        <f aca="false">IF(B1782="","",IFERROR(INDEX(Products!$B$2:$B$501,MATCH(B1782,Products!$A$2:$A$501,0)),"CODE NOT FOUND"))</f>
        <v/>
      </c>
      <c r="D1782" s="7"/>
      <c r="E1782" s="13"/>
      <c r="F1782" s="17" t="str">
        <f aca="false">IF(OR(D1782="",E1782=""),"",D1782*E1782)</f>
        <v/>
      </c>
      <c r="G1782" s="7"/>
      <c r="H1782" s="7"/>
    </row>
    <row r="1783" customFormat="false" ht="15" hidden="false" customHeight="true" outlineLevel="0" collapsed="false">
      <c r="A1783" s="15"/>
      <c r="B1783" s="7"/>
      <c r="C1783" s="16" t="str">
        <f aca="false">IF(B1783="","",IFERROR(INDEX(Products!$B$2:$B$501,MATCH(B1783,Products!$A$2:$A$501,0)),"CODE NOT FOUND"))</f>
        <v/>
      </c>
      <c r="D1783" s="7"/>
      <c r="E1783" s="13"/>
      <c r="F1783" s="17" t="str">
        <f aca="false">IF(OR(D1783="",E1783=""),"",D1783*E1783)</f>
        <v/>
      </c>
      <c r="G1783" s="7"/>
      <c r="H1783" s="7"/>
    </row>
    <row r="1784" customFormat="false" ht="15" hidden="false" customHeight="true" outlineLevel="0" collapsed="false">
      <c r="A1784" s="15"/>
      <c r="B1784" s="7"/>
      <c r="C1784" s="16" t="str">
        <f aca="false">IF(B1784="","",IFERROR(INDEX(Products!$B$2:$B$501,MATCH(B1784,Products!$A$2:$A$501,0)),"CODE NOT FOUND"))</f>
        <v/>
      </c>
      <c r="D1784" s="7"/>
      <c r="E1784" s="13"/>
      <c r="F1784" s="17" t="str">
        <f aca="false">IF(OR(D1784="",E1784=""),"",D1784*E1784)</f>
        <v/>
      </c>
      <c r="G1784" s="7"/>
      <c r="H1784" s="7"/>
    </row>
    <row r="1785" customFormat="false" ht="15" hidden="false" customHeight="true" outlineLevel="0" collapsed="false">
      <c r="A1785" s="15"/>
      <c r="B1785" s="7"/>
      <c r="C1785" s="16" t="str">
        <f aca="false">IF(B1785="","",IFERROR(INDEX(Products!$B$2:$B$501,MATCH(B1785,Products!$A$2:$A$501,0)),"CODE NOT FOUND"))</f>
        <v/>
      </c>
      <c r="D1785" s="7"/>
      <c r="E1785" s="13"/>
      <c r="F1785" s="17" t="str">
        <f aca="false">IF(OR(D1785="",E1785=""),"",D1785*E1785)</f>
        <v/>
      </c>
      <c r="G1785" s="7"/>
      <c r="H1785" s="7"/>
    </row>
    <row r="1786" customFormat="false" ht="15" hidden="false" customHeight="true" outlineLevel="0" collapsed="false">
      <c r="A1786" s="15"/>
      <c r="B1786" s="7"/>
      <c r="C1786" s="16" t="str">
        <f aca="false">IF(B1786="","",IFERROR(INDEX(Products!$B$2:$B$501,MATCH(B1786,Products!$A$2:$A$501,0)),"CODE NOT FOUND"))</f>
        <v/>
      </c>
      <c r="D1786" s="7"/>
      <c r="E1786" s="13"/>
      <c r="F1786" s="17" t="str">
        <f aca="false">IF(OR(D1786="",E1786=""),"",D1786*E1786)</f>
        <v/>
      </c>
      <c r="G1786" s="7"/>
      <c r="H1786" s="7"/>
    </row>
    <row r="1787" customFormat="false" ht="15" hidden="false" customHeight="true" outlineLevel="0" collapsed="false">
      <c r="A1787" s="15"/>
      <c r="B1787" s="7"/>
      <c r="C1787" s="16" t="str">
        <f aca="false">IF(B1787="","",IFERROR(INDEX(Products!$B$2:$B$501,MATCH(B1787,Products!$A$2:$A$501,0)),"CODE NOT FOUND"))</f>
        <v/>
      </c>
      <c r="D1787" s="7"/>
      <c r="E1787" s="13"/>
      <c r="F1787" s="17" t="str">
        <f aca="false">IF(OR(D1787="",E1787=""),"",D1787*E1787)</f>
        <v/>
      </c>
      <c r="G1787" s="7"/>
      <c r="H1787" s="7"/>
    </row>
    <row r="1788" customFormat="false" ht="15" hidden="false" customHeight="true" outlineLevel="0" collapsed="false">
      <c r="A1788" s="15"/>
      <c r="B1788" s="7"/>
      <c r="C1788" s="16" t="str">
        <f aca="false">IF(B1788="","",IFERROR(INDEX(Products!$B$2:$B$501,MATCH(B1788,Products!$A$2:$A$501,0)),"CODE NOT FOUND"))</f>
        <v/>
      </c>
      <c r="D1788" s="7"/>
      <c r="E1788" s="13"/>
      <c r="F1788" s="17" t="str">
        <f aca="false">IF(OR(D1788="",E1788=""),"",D1788*E1788)</f>
        <v/>
      </c>
      <c r="G1788" s="7"/>
      <c r="H1788" s="7"/>
    </row>
    <row r="1789" customFormat="false" ht="15" hidden="false" customHeight="true" outlineLevel="0" collapsed="false">
      <c r="A1789" s="15"/>
      <c r="B1789" s="7"/>
      <c r="C1789" s="16" t="str">
        <f aca="false">IF(B1789="","",IFERROR(INDEX(Products!$B$2:$B$501,MATCH(B1789,Products!$A$2:$A$501,0)),"CODE NOT FOUND"))</f>
        <v/>
      </c>
      <c r="D1789" s="7"/>
      <c r="E1789" s="13"/>
      <c r="F1789" s="17" t="str">
        <f aca="false">IF(OR(D1789="",E1789=""),"",D1789*E1789)</f>
        <v/>
      </c>
      <c r="G1789" s="7"/>
      <c r="H1789" s="7"/>
    </row>
    <row r="1790" customFormat="false" ht="15" hidden="false" customHeight="true" outlineLevel="0" collapsed="false">
      <c r="A1790" s="15"/>
      <c r="B1790" s="7"/>
      <c r="C1790" s="16" t="str">
        <f aca="false">IF(B1790="","",IFERROR(INDEX(Products!$B$2:$B$501,MATCH(B1790,Products!$A$2:$A$501,0)),"CODE NOT FOUND"))</f>
        <v/>
      </c>
      <c r="D1790" s="7"/>
      <c r="E1790" s="13"/>
      <c r="F1790" s="17" t="str">
        <f aca="false">IF(OR(D1790="",E1790=""),"",D1790*E1790)</f>
        <v/>
      </c>
      <c r="G1790" s="7"/>
      <c r="H1790" s="7"/>
    </row>
    <row r="1791" customFormat="false" ht="15" hidden="false" customHeight="true" outlineLevel="0" collapsed="false">
      <c r="A1791" s="15"/>
      <c r="B1791" s="7"/>
      <c r="C1791" s="16" t="str">
        <f aca="false">IF(B1791="","",IFERROR(INDEX(Products!$B$2:$B$501,MATCH(B1791,Products!$A$2:$A$501,0)),"CODE NOT FOUND"))</f>
        <v/>
      </c>
      <c r="D1791" s="7"/>
      <c r="E1791" s="13"/>
      <c r="F1791" s="17" t="str">
        <f aca="false">IF(OR(D1791="",E1791=""),"",D1791*E1791)</f>
        <v/>
      </c>
      <c r="G1791" s="7"/>
      <c r="H1791" s="7"/>
    </row>
    <row r="1792" customFormat="false" ht="15" hidden="false" customHeight="true" outlineLevel="0" collapsed="false">
      <c r="A1792" s="15"/>
      <c r="B1792" s="7"/>
      <c r="C1792" s="16" t="str">
        <f aca="false">IF(B1792="","",IFERROR(INDEX(Products!$B$2:$B$501,MATCH(B1792,Products!$A$2:$A$501,0)),"CODE NOT FOUND"))</f>
        <v/>
      </c>
      <c r="D1792" s="7"/>
      <c r="E1792" s="13"/>
      <c r="F1792" s="17" t="str">
        <f aca="false">IF(OR(D1792="",E1792=""),"",D1792*E1792)</f>
        <v/>
      </c>
      <c r="G1792" s="7"/>
      <c r="H1792" s="7"/>
    </row>
    <row r="1793" customFormat="false" ht="15" hidden="false" customHeight="true" outlineLevel="0" collapsed="false">
      <c r="A1793" s="15"/>
      <c r="B1793" s="7"/>
      <c r="C1793" s="16" t="str">
        <f aca="false">IF(B1793="","",IFERROR(INDEX(Products!$B$2:$B$501,MATCH(B1793,Products!$A$2:$A$501,0)),"CODE NOT FOUND"))</f>
        <v/>
      </c>
      <c r="D1793" s="7"/>
      <c r="E1793" s="13"/>
      <c r="F1793" s="17" t="str">
        <f aca="false">IF(OR(D1793="",E1793=""),"",D1793*E1793)</f>
        <v/>
      </c>
      <c r="G1793" s="7"/>
      <c r="H1793" s="7"/>
    </row>
    <row r="1794" customFormat="false" ht="15" hidden="false" customHeight="true" outlineLevel="0" collapsed="false">
      <c r="A1794" s="15"/>
      <c r="B1794" s="7"/>
      <c r="C1794" s="16" t="str">
        <f aca="false">IF(B1794="","",IFERROR(INDEX(Products!$B$2:$B$501,MATCH(B1794,Products!$A$2:$A$501,0)),"CODE NOT FOUND"))</f>
        <v/>
      </c>
      <c r="D1794" s="7"/>
      <c r="E1794" s="13"/>
      <c r="F1794" s="17" t="str">
        <f aca="false">IF(OR(D1794="",E1794=""),"",D1794*E1794)</f>
        <v/>
      </c>
      <c r="G1794" s="7"/>
      <c r="H1794" s="7"/>
    </row>
    <row r="1795" customFormat="false" ht="15" hidden="false" customHeight="true" outlineLevel="0" collapsed="false">
      <c r="A1795" s="15"/>
      <c r="B1795" s="7"/>
      <c r="C1795" s="16" t="str">
        <f aca="false">IF(B1795="","",IFERROR(INDEX(Products!$B$2:$B$501,MATCH(B1795,Products!$A$2:$A$501,0)),"CODE NOT FOUND"))</f>
        <v/>
      </c>
      <c r="D1795" s="7"/>
      <c r="E1795" s="13"/>
      <c r="F1795" s="17" t="str">
        <f aca="false">IF(OR(D1795="",E1795=""),"",D1795*E1795)</f>
        <v/>
      </c>
      <c r="G1795" s="7"/>
      <c r="H1795" s="7"/>
    </row>
    <row r="1796" customFormat="false" ht="15" hidden="false" customHeight="true" outlineLevel="0" collapsed="false">
      <c r="A1796" s="15"/>
      <c r="B1796" s="7"/>
      <c r="C1796" s="16" t="str">
        <f aca="false">IF(B1796="","",IFERROR(INDEX(Products!$B$2:$B$501,MATCH(B1796,Products!$A$2:$A$501,0)),"CODE NOT FOUND"))</f>
        <v/>
      </c>
      <c r="D1796" s="7"/>
      <c r="E1796" s="13"/>
      <c r="F1796" s="17" t="str">
        <f aca="false">IF(OR(D1796="",E1796=""),"",D1796*E1796)</f>
        <v/>
      </c>
      <c r="G1796" s="7"/>
      <c r="H1796" s="7"/>
    </row>
    <row r="1797" customFormat="false" ht="15" hidden="false" customHeight="true" outlineLevel="0" collapsed="false">
      <c r="A1797" s="15"/>
      <c r="B1797" s="7"/>
      <c r="C1797" s="16" t="str">
        <f aca="false">IF(B1797="","",IFERROR(INDEX(Products!$B$2:$B$501,MATCH(B1797,Products!$A$2:$A$501,0)),"CODE NOT FOUND"))</f>
        <v/>
      </c>
      <c r="D1797" s="7"/>
      <c r="E1797" s="13"/>
      <c r="F1797" s="17" t="str">
        <f aca="false">IF(OR(D1797="",E1797=""),"",D1797*E1797)</f>
        <v/>
      </c>
      <c r="G1797" s="7"/>
      <c r="H1797" s="7"/>
    </row>
    <row r="1798" customFormat="false" ht="15" hidden="false" customHeight="true" outlineLevel="0" collapsed="false">
      <c r="A1798" s="15"/>
      <c r="B1798" s="7"/>
      <c r="C1798" s="16" t="str">
        <f aca="false">IF(B1798="","",IFERROR(INDEX(Products!$B$2:$B$501,MATCH(B1798,Products!$A$2:$A$501,0)),"CODE NOT FOUND"))</f>
        <v/>
      </c>
      <c r="D1798" s="7"/>
      <c r="E1798" s="13"/>
      <c r="F1798" s="17" t="str">
        <f aca="false">IF(OR(D1798="",E1798=""),"",D1798*E1798)</f>
        <v/>
      </c>
      <c r="G1798" s="7"/>
      <c r="H1798" s="7"/>
    </row>
    <row r="1799" customFormat="false" ht="15" hidden="false" customHeight="true" outlineLevel="0" collapsed="false">
      <c r="A1799" s="15"/>
      <c r="B1799" s="7"/>
      <c r="C1799" s="16" t="str">
        <f aca="false">IF(B1799="","",IFERROR(INDEX(Products!$B$2:$B$501,MATCH(B1799,Products!$A$2:$A$501,0)),"CODE NOT FOUND"))</f>
        <v/>
      </c>
      <c r="D1799" s="7"/>
      <c r="E1799" s="13"/>
      <c r="F1799" s="17" t="str">
        <f aca="false">IF(OR(D1799="",E1799=""),"",D1799*E1799)</f>
        <v/>
      </c>
      <c r="G1799" s="7"/>
      <c r="H1799" s="7"/>
    </row>
    <row r="1800" customFormat="false" ht="15" hidden="false" customHeight="true" outlineLevel="0" collapsed="false">
      <c r="A1800" s="15"/>
      <c r="B1800" s="7"/>
      <c r="C1800" s="16" t="str">
        <f aca="false">IF(B1800="","",IFERROR(INDEX(Products!$B$2:$B$501,MATCH(B1800,Products!$A$2:$A$501,0)),"CODE NOT FOUND"))</f>
        <v/>
      </c>
      <c r="D1800" s="7"/>
      <c r="E1800" s="13"/>
      <c r="F1800" s="17" t="str">
        <f aca="false">IF(OR(D1800="",E1800=""),"",D1800*E1800)</f>
        <v/>
      </c>
      <c r="G1800" s="7"/>
      <c r="H1800" s="7"/>
    </row>
    <row r="1801" customFormat="false" ht="15" hidden="false" customHeight="true" outlineLevel="0" collapsed="false">
      <c r="A1801" s="15"/>
      <c r="B1801" s="7"/>
      <c r="C1801" s="16" t="str">
        <f aca="false">IF(B1801="","",IFERROR(INDEX(Products!$B$2:$B$501,MATCH(B1801,Products!$A$2:$A$501,0)),"CODE NOT FOUND"))</f>
        <v/>
      </c>
      <c r="D1801" s="7"/>
      <c r="E1801" s="13"/>
      <c r="F1801" s="17" t="str">
        <f aca="false">IF(OR(D1801="",E1801=""),"",D1801*E1801)</f>
        <v/>
      </c>
      <c r="G1801" s="7"/>
      <c r="H1801" s="7"/>
    </row>
    <row r="1802" customFormat="false" ht="15" hidden="false" customHeight="true" outlineLevel="0" collapsed="false">
      <c r="A1802" s="15"/>
      <c r="B1802" s="7"/>
      <c r="C1802" s="16" t="str">
        <f aca="false">IF(B1802="","",IFERROR(INDEX(Products!$B$2:$B$501,MATCH(B1802,Products!$A$2:$A$501,0)),"CODE NOT FOUND"))</f>
        <v/>
      </c>
      <c r="D1802" s="7"/>
      <c r="E1802" s="13"/>
      <c r="F1802" s="17" t="str">
        <f aca="false">IF(OR(D1802="",E1802=""),"",D1802*E1802)</f>
        <v/>
      </c>
      <c r="G1802" s="7"/>
      <c r="H1802" s="7"/>
    </row>
    <row r="1803" customFormat="false" ht="15" hidden="false" customHeight="true" outlineLevel="0" collapsed="false">
      <c r="A1803" s="15"/>
      <c r="B1803" s="7"/>
      <c r="C1803" s="16" t="str">
        <f aca="false">IF(B1803="","",IFERROR(INDEX(Products!$B$2:$B$501,MATCH(B1803,Products!$A$2:$A$501,0)),"CODE NOT FOUND"))</f>
        <v/>
      </c>
      <c r="D1803" s="7"/>
      <c r="E1803" s="13"/>
      <c r="F1803" s="17" t="str">
        <f aca="false">IF(OR(D1803="",E1803=""),"",D1803*E1803)</f>
        <v/>
      </c>
      <c r="G1803" s="7"/>
      <c r="H1803" s="7"/>
    </row>
    <row r="1804" customFormat="false" ht="15" hidden="false" customHeight="true" outlineLevel="0" collapsed="false">
      <c r="A1804" s="15"/>
      <c r="B1804" s="7"/>
      <c r="C1804" s="16" t="str">
        <f aca="false">IF(B1804="","",IFERROR(INDEX(Products!$B$2:$B$501,MATCH(B1804,Products!$A$2:$A$501,0)),"CODE NOT FOUND"))</f>
        <v/>
      </c>
      <c r="D1804" s="7"/>
      <c r="E1804" s="13"/>
      <c r="F1804" s="17" t="str">
        <f aca="false">IF(OR(D1804="",E1804=""),"",D1804*E1804)</f>
        <v/>
      </c>
      <c r="G1804" s="7"/>
      <c r="H1804" s="7"/>
    </row>
    <row r="1805" customFormat="false" ht="15" hidden="false" customHeight="true" outlineLevel="0" collapsed="false">
      <c r="A1805" s="15"/>
      <c r="B1805" s="7"/>
      <c r="C1805" s="16" t="str">
        <f aca="false">IF(B1805="","",IFERROR(INDEX(Products!$B$2:$B$501,MATCH(B1805,Products!$A$2:$A$501,0)),"CODE NOT FOUND"))</f>
        <v/>
      </c>
      <c r="D1805" s="7"/>
      <c r="E1805" s="13"/>
      <c r="F1805" s="17" t="str">
        <f aca="false">IF(OR(D1805="",E1805=""),"",D1805*E1805)</f>
        <v/>
      </c>
      <c r="G1805" s="7"/>
      <c r="H1805" s="7"/>
    </row>
    <row r="1806" customFormat="false" ht="15" hidden="false" customHeight="true" outlineLevel="0" collapsed="false">
      <c r="A1806" s="15"/>
      <c r="B1806" s="7"/>
      <c r="C1806" s="16" t="str">
        <f aca="false">IF(B1806="","",IFERROR(INDEX(Products!$B$2:$B$501,MATCH(B1806,Products!$A$2:$A$501,0)),"CODE NOT FOUND"))</f>
        <v/>
      </c>
      <c r="D1806" s="7"/>
      <c r="E1806" s="13"/>
      <c r="F1806" s="17" t="str">
        <f aca="false">IF(OR(D1806="",E1806=""),"",D1806*E1806)</f>
        <v/>
      </c>
      <c r="G1806" s="7"/>
      <c r="H1806" s="7"/>
    </row>
    <row r="1807" customFormat="false" ht="15" hidden="false" customHeight="true" outlineLevel="0" collapsed="false">
      <c r="A1807" s="15"/>
      <c r="B1807" s="7"/>
      <c r="C1807" s="16" t="str">
        <f aca="false">IF(B1807="","",IFERROR(INDEX(Products!$B$2:$B$501,MATCH(B1807,Products!$A$2:$A$501,0)),"CODE NOT FOUND"))</f>
        <v/>
      </c>
      <c r="D1807" s="7"/>
      <c r="E1807" s="13"/>
      <c r="F1807" s="17" t="str">
        <f aca="false">IF(OR(D1807="",E1807=""),"",D1807*E1807)</f>
        <v/>
      </c>
      <c r="G1807" s="7"/>
      <c r="H1807" s="7"/>
    </row>
    <row r="1808" customFormat="false" ht="15" hidden="false" customHeight="true" outlineLevel="0" collapsed="false">
      <c r="A1808" s="15"/>
      <c r="B1808" s="7"/>
      <c r="C1808" s="16" t="str">
        <f aca="false">IF(B1808="","",IFERROR(INDEX(Products!$B$2:$B$501,MATCH(B1808,Products!$A$2:$A$501,0)),"CODE NOT FOUND"))</f>
        <v/>
      </c>
      <c r="D1808" s="7"/>
      <c r="E1808" s="13"/>
      <c r="F1808" s="17" t="str">
        <f aca="false">IF(OR(D1808="",E1808=""),"",D1808*E1808)</f>
        <v/>
      </c>
      <c r="G1808" s="7"/>
      <c r="H1808" s="7"/>
    </row>
    <row r="1809" customFormat="false" ht="15" hidden="false" customHeight="true" outlineLevel="0" collapsed="false">
      <c r="A1809" s="15"/>
      <c r="B1809" s="7"/>
      <c r="C1809" s="16" t="str">
        <f aca="false">IF(B1809="","",IFERROR(INDEX(Products!$B$2:$B$501,MATCH(B1809,Products!$A$2:$A$501,0)),"CODE NOT FOUND"))</f>
        <v/>
      </c>
      <c r="D1809" s="7"/>
      <c r="E1809" s="13"/>
      <c r="F1809" s="17" t="str">
        <f aca="false">IF(OR(D1809="",E1809=""),"",D1809*E1809)</f>
        <v/>
      </c>
      <c r="G1809" s="7"/>
      <c r="H1809" s="7"/>
    </row>
    <row r="1810" customFormat="false" ht="15" hidden="false" customHeight="true" outlineLevel="0" collapsed="false">
      <c r="A1810" s="15"/>
      <c r="B1810" s="7"/>
      <c r="C1810" s="16" t="str">
        <f aca="false">IF(B1810="","",IFERROR(INDEX(Products!$B$2:$B$501,MATCH(B1810,Products!$A$2:$A$501,0)),"CODE NOT FOUND"))</f>
        <v/>
      </c>
      <c r="D1810" s="7"/>
      <c r="E1810" s="13"/>
      <c r="F1810" s="17" t="str">
        <f aca="false">IF(OR(D1810="",E1810=""),"",D1810*E1810)</f>
        <v/>
      </c>
      <c r="G1810" s="7"/>
      <c r="H1810" s="7"/>
    </row>
    <row r="1811" customFormat="false" ht="15" hidden="false" customHeight="true" outlineLevel="0" collapsed="false">
      <c r="A1811" s="15"/>
      <c r="B1811" s="7"/>
      <c r="C1811" s="16" t="str">
        <f aca="false">IF(B1811="","",IFERROR(INDEX(Products!$B$2:$B$501,MATCH(B1811,Products!$A$2:$A$501,0)),"CODE NOT FOUND"))</f>
        <v/>
      </c>
      <c r="D1811" s="7"/>
      <c r="E1811" s="13"/>
      <c r="F1811" s="17" t="str">
        <f aca="false">IF(OR(D1811="",E1811=""),"",D1811*E1811)</f>
        <v/>
      </c>
      <c r="G1811" s="7"/>
      <c r="H1811" s="7"/>
    </row>
    <row r="1812" customFormat="false" ht="15" hidden="false" customHeight="true" outlineLevel="0" collapsed="false">
      <c r="A1812" s="15"/>
      <c r="B1812" s="7"/>
      <c r="C1812" s="16" t="str">
        <f aca="false">IF(B1812="","",IFERROR(INDEX(Products!$B$2:$B$501,MATCH(B1812,Products!$A$2:$A$501,0)),"CODE NOT FOUND"))</f>
        <v/>
      </c>
      <c r="D1812" s="7"/>
      <c r="E1812" s="13"/>
      <c r="F1812" s="17" t="str">
        <f aca="false">IF(OR(D1812="",E1812=""),"",D1812*E1812)</f>
        <v/>
      </c>
      <c r="G1812" s="7"/>
      <c r="H1812" s="7"/>
    </row>
    <row r="1813" customFormat="false" ht="15" hidden="false" customHeight="true" outlineLevel="0" collapsed="false">
      <c r="A1813" s="15"/>
      <c r="B1813" s="7"/>
      <c r="C1813" s="16" t="str">
        <f aca="false">IF(B1813="","",IFERROR(INDEX(Products!$B$2:$B$501,MATCH(B1813,Products!$A$2:$A$501,0)),"CODE NOT FOUND"))</f>
        <v/>
      </c>
      <c r="D1813" s="7"/>
      <c r="E1813" s="13"/>
      <c r="F1813" s="17" t="str">
        <f aca="false">IF(OR(D1813="",E1813=""),"",D1813*E1813)</f>
        <v/>
      </c>
      <c r="G1813" s="7"/>
      <c r="H1813" s="7"/>
    </row>
    <row r="1814" customFormat="false" ht="15" hidden="false" customHeight="true" outlineLevel="0" collapsed="false">
      <c r="A1814" s="15"/>
      <c r="B1814" s="7"/>
      <c r="C1814" s="16" t="str">
        <f aca="false">IF(B1814="","",IFERROR(INDEX(Products!$B$2:$B$501,MATCH(B1814,Products!$A$2:$A$501,0)),"CODE NOT FOUND"))</f>
        <v/>
      </c>
      <c r="D1814" s="7"/>
      <c r="E1814" s="13"/>
      <c r="F1814" s="17" t="str">
        <f aca="false">IF(OR(D1814="",E1814=""),"",D1814*E1814)</f>
        <v/>
      </c>
      <c r="G1814" s="7"/>
      <c r="H1814" s="7"/>
    </row>
    <row r="1815" customFormat="false" ht="15" hidden="false" customHeight="true" outlineLevel="0" collapsed="false">
      <c r="A1815" s="15"/>
      <c r="B1815" s="7"/>
      <c r="C1815" s="16" t="str">
        <f aca="false">IF(B1815="","",IFERROR(INDEX(Products!$B$2:$B$501,MATCH(B1815,Products!$A$2:$A$501,0)),"CODE NOT FOUND"))</f>
        <v/>
      </c>
      <c r="D1815" s="7"/>
      <c r="E1815" s="13"/>
      <c r="F1815" s="17" t="str">
        <f aca="false">IF(OR(D1815="",E1815=""),"",D1815*E1815)</f>
        <v/>
      </c>
      <c r="G1815" s="7"/>
      <c r="H1815" s="7"/>
    </row>
    <row r="1816" customFormat="false" ht="15" hidden="false" customHeight="true" outlineLevel="0" collapsed="false">
      <c r="A1816" s="15"/>
      <c r="B1816" s="7"/>
      <c r="C1816" s="16" t="str">
        <f aca="false">IF(B1816="","",IFERROR(INDEX(Products!$B$2:$B$501,MATCH(B1816,Products!$A$2:$A$501,0)),"CODE NOT FOUND"))</f>
        <v/>
      </c>
      <c r="D1816" s="7"/>
      <c r="E1816" s="13"/>
      <c r="F1816" s="17" t="str">
        <f aca="false">IF(OR(D1816="",E1816=""),"",D1816*E1816)</f>
        <v/>
      </c>
      <c r="G1816" s="7"/>
      <c r="H1816" s="7"/>
    </row>
    <row r="1817" customFormat="false" ht="15" hidden="false" customHeight="true" outlineLevel="0" collapsed="false">
      <c r="A1817" s="15"/>
      <c r="B1817" s="7"/>
      <c r="C1817" s="16" t="str">
        <f aca="false">IF(B1817="","",IFERROR(INDEX(Products!$B$2:$B$501,MATCH(B1817,Products!$A$2:$A$501,0)),"CODE NOT FOUND"))</f>
        <v/>
      </c>
      <c r="D1817" s="7"/>
      <c r="E1817" s="13"/>
      <c r="F1817" s="17" t="str">
        <f aca="false">IF(OR(D1817="",E1817=""),"",D1817*E1817)</f>
        <v/>
      </c>
      <c r="G1817" s="7"/>
      <c r="H1817" s="7"/>
    </row>
    <row r="1818" customFormat="false" ht="15" hidden="false" customHeight="true" outlineLevel="0" collapsed="false">
      <c r="A1818" s="15"/>
      <c r="B1818" s="7"/>
      <c r="C1818" s="16" t="str">
        <f aca="false">IF(B1818="","",IFERROR(INDEX(Products!$B$2:$B$501,MATCH(B1818,Products!$A$2:$A$501,0)),"CODE NOT FOUND"))</f>
        <v/>
      </c>
      <c r="D1818" s="7"/>
      <c r="E1818" s="13"/>
      <c r="F1818" s="17" t="str">
        <f aca="false">IF(OR(D1818="",E1818=""),"",D1818*E1818)</f>
        <v/>
      </c>
      <c r="G1818" s="7"/>
      <c r="H1818" s="7"/>
    </row>
    <row r="1819" customFormat="false" ht="15" hidden="false" customHeight="true" outlineLevel="0" collapsed="false">
      <c r="A1819" s="15"/>
      <c r="B1819" s="7"/>
      <c r="C1819" s="16" t="str">
        <f aca="false">IF(B1819="","",IFERROR(INDEX(Products!$B$2:$B$501,MATCH(B1819,Products!$A$2:$A$501,0)),"CODE NOT FOUND"))</f>
        <v/>
      </c>
      <c r="D1819" s="7"/>
      <c r="E1819" s="13"/>
      <c r="F1819" s="17" t="str">
        <f aca="false">IF(OR(D1819="",E1819=""),"",D1819*E1819)</f>
        <v/>
      </c>
      <c r="G1819" s="7"/>
      <c r="H1819" s="7"/>
    </row>
    <row r="1820" customFormat="false" ht="15" hidden="false" customHeight="true" outlineLevel="0" collapsed="false">
      <c r="A1820" s="15"/>
      <c r="B1820" s="7"/>
      <c r="C1820" s="16" t="str">
        <f aca="false">IF(B1820="","",IFERROR(INDEX(Products!$B$2:$B$501,MATCH(B1820,Products!$A$2:$A$501,0)),"CODE NOT FOUND"))</f>
        <v/>
      </c>
      <c r="D1820" s="7"/>
      <c r="E1820" s="13"/>
      <c r="F1820" s="17" t="str">
        <f aca="false">IF(OR(D1820="",E1820=""),"",D1820*E1820)</f>
        <v/>
      </c>
      <c r="G1820" s="7"/>
      <c r="H1820" s="7"/>
    </row>
    <row r="1821" customFormat="false" ht="15" hidden="false" customHeight="true" outlineLevel="0" collapsed="false">
      <c r="A1821" s="15"/>
      <c r="B1821" s="7"/>
      <c r="C1821" s="16" t="str">
        <f aca="false">IF(B1821="","",IFERROR(INDEX(Products!$B$2:$B$501,MATCH(B1821,Products!$A$2:$A$501,0)),"CODE NOT FOUND"))</f>
        <v/>
      </c>
      <c r="D1821" s="7"/>
      <c r="E1821" s="13"/>
      <c r="F1821" s="17" t="str">
        <f aca="false">IF(OR(D1821="",E1821=""),"",D1821*E1821)</f>
        <v/>
      </c>
      <c r="G1821" s="7"/>
      <c r="H1821" s="7"/>
    </row>
    <row r="1822" customFormat="false" ht="15" hidden="false" customHeight="true" outlineLevel="0" collapsed="false">
      <c r="A1822" s="15"/>
      <c r="B1822" s="7"/>
      <c r="C1822" s="16" t="str">
        <f aca="false">IF(B1822="","",IFERROR(INDEX(Products!$B$2:$B$501,MATCH(B1822,Products!$A$2:$A$501,0)),"CODE NOT FOUND"))</f>
        <v/>
      </c>
      <c r="D1822" s="7"/>
      <c r="E1822" s="13"/>
      <c r="F1822" s="17" t="str">
        <f aca="false">IF(OR(D1822="",E1822=""),"",D1822*E1822)</f>
        <v/>
      </c>
      <c r="G1822" s="7"/>
      <c r="H1822" s="7"/>
    </row>
    <row r="1823" customFormat="false" ht="15" hidden="false" customHeight="true" outlineLevel="0" collapsed="false">
      <c r="A1823" s="15"/>
      <c r="B1823" s="7"/>
      <c r="C1823" s="16" t="str">
        <f aca="false">IF(B1823="","",IFERROR(INDEX(Products!$B$2:$B$501,MATCH(B1823,Products!$A$2:$A$501,0)),"CODE NOT FOUND"))</f>
        <v/>
      </c>
      <c r="D1823" s="7"/>
      <c r="E1823" s="13"/>
      <c r="F1823" s="17" t="str">
        <f aca="false">IF(OR(D1823="",E1823=""),"",D1823*E1823)</f>
        <v/>
      </c>
      <c r="G1823" s="7"/>
      <c r="H1823" s="7"/>
    </row>
    <row r="1824" customFormat="false" ht="15" hidden="false" customHeight="true" outlineLevel="0" collapsed="false">
      <c r="A1824" s="15"/>
      <c r="B1824" s="7"/>
      <c r="C1824" s="16" t="str">
        <f aca="false">IF(B1824="","",IFERROR(INDEX(Products!$B$2:$B$501,MATCH(B1824,Products!$A$2:$A$501,0)),"CODE NOT FOUND"))</f>
        <v/>
      </c>
      <c r="D1824" s="7"/>
      <c r="E1824" s="13"/>
      <c r="F1824" s="17" t="str">
        <f aca="false">IF(OR(D1824="",E1824=""),"",D1824*E1824)</f>
        <v/>
      </c>
      <c r="G1824" s="7"/>
      <c r="H1824" s="7"/>
    </row>
    <row r="1825" customFormat="false" ht="15" hidden="false" customHeight="true" outlineLevel="0" collapsed="false">
      <c r="A1825" s="15"/>
      <c r="B1825" s="7"/>
      <c r="C1825" s="16" t="str">
        <f aca="false">IF(B1825="","",IFERROR(INDEX(Products!$B$2:$B$501,MATCH(B1825,Products!$A$2:$A$501,0)),"CODE NOT FOUND"))</f>
        <v/>
      </c>
      <c r="D1825" s="7"/>
      <c r="E1825" s="13"/>
      <c r="F1825" s="17" t="str">
        <f aca="false">IF(OR(D1825="",E1825=""),"",D1825*E1825)</f>
        <v/>
      </c>
      <c r="G1825" s="7"/>
      <c r="H1825" s="7"/>
    </row>
    <row r="1826" customFormat="false" ht="15" hidden="false" customHeight="true" outlineLevel="0" collapsed="false">
      <c r="A1826" s="15"/>
      <c r="B1826" s="7"/>
      <c r="C1826" s="16" t="str">
        <f aca="false">IF(B1826="","",IFERROR(INDEX(Products!$B$2:$B$501,MATCH(B1826,Products!$A$2:$A$501,0)),"CODE NOT FOUND"))</f>
        <v/>
      </c>
      <c r="D1826" s="7"/>
      <c r="E1826" s="13"/>
      <c r="F1826" s="17" t="str">
        <f aca="false">IF(OR(D1826="",E1826=""),"",D1826*E1826)</f>
        <v/>
      </c>
      <c r="G1826" s="7"/>
      <c r="H1826" s="7"/>
    </row>
    <row r="1827" customFormat="false" ht="15" hidden="false" customHeight="true" outlineLevel="0" collapsed="false">
      <c r="A1827" s="15"/>
      <c r="B1827" s="7"/>
      <c r="C1827" s="16" t="str">
        <f aca="false">IF(B1827="","",IFERROR(INDEX(Products!$B$2:$B$501,MATCH(B1827,Products!$A$2:$A$501,0)),"CODE NOT FOUND"))</f>
        <v/>
      </c>
      <c r="D1827" s="7"/>
      <c r="E1827" s="13"/>
      <c r="F1827" s="17" t="str">
        <f aca="false">IF(OR(D1827="",E1827=""),"",D1827*E1827)</f>
        <v/>
      </c>
      <c r="G1827" s="7"/>
      <c r="H1827" s="7"/>
    </row>
    <row r="1828" customFormat="false" ht="15" hidden="false" customHeight="true" outlineLevel="0" collapsed="false">
      <c r="A1828" s="15"/>
      <c r="B1828" s="7"/>
      <c r="C1828" s="16" t="str">
        <f aca="false">IF(B1828="","",IFERROR(INDEX(Products!$B$2:$B$501,MATCH(B1828,Products!$A$2:$A$501,0)),"CODE NOT FOUND"))</f>
        <v/>
      </c>
      <c r="D1828" s="7"/>
      <c r="E1828" s="13"/>
      <c r="F1828" s="17" t="str">
        <f aca="false">IF(OR(D1828="",E1828=""),"",D1828*E1828)</f>
        <v/>
      </c>
      <c r="G1828" s="7"/>
      <c r="H1828" s="7"/>
    </row>
    <row r="1829" customFormat="false" ht="15" hidden="false" customHeight="true" outlineLevel="0" collapsed="false">
      <c r="A1829" s="15"/>
      <c r="B1829" s="7"/>
      <c r="C1829" s="16" t="str">
        <f aca="false">IF(B1829="","",IFERROR(INDEX(Products!$B$2:$B$501,MATCH(B1829,Products!$A$2:$A$501,0)),"CODE NOT FOUND"))</f>
        <v/>
      </c>
      <c r="D1829" s="7"/>
      <c r="E1829" s="13"/>
      <c r="F1829" s="17" t="str">
        <f aca="false">IF(OR(D1829="",E1829=""),"",D1829*E1829)</f>
        <v/>
      </c>
      <c r="G1829" s="7"/>
      <c r="H1829" s="7"/>
    </row>
    <row r="1830" customFormat="false" ht="15" hidden="false" customHeight="true" outlineLevel="0" collapsed="false">
      <c r="A1830" s="15"/>
      <c r="B1830" s="7"/>
      <c r="C1830" s="16" t="str">
        <f aca="false">IF(B1830="","",IFERROR(INDEX(Products!$B$2:$B$501,MATCH(B1830,Products!$A$2:$A$501,0)),"CODE NOT FOUND"))</f>
        <v/>
      </c>
      <c r="D1830" s="7"/>
      <c r="E1830" s="13"/>
      <c r="F1830" s="17" t="str">
        <f aca="false">IF(OR(D1830="",E1830=""),"",D1830*E1830)</f>
        <v/>
      </c>
      <c r="G1830" s="7"/>
      <c r="H1830" s="7"/>
    </row>
    <row r="1831" customFormat="false" ht="15" hidden="false" customHeight="true" outlineLevel="0" collapsed="false">
      <c r="A1831" s="15"/>
      <c r="B1831" s="7"/>
      <c r="C1831" s="16" t="str">
        <f aca="false">IF(B1831="","",IFERROR(INDEX(Products!$B$2:$B$501,MATCH(B1831,Products!$A$2:$A$501,0)),"CODE NOT FOUND"))</f>
        <v/>
      </c>
      <c r="D1831" s="7"/>
      <c r="E1831" s="13"/>
      <c r="F1831" s="17" t="str">
        <f aca="false">IF(OR(D1831="",E1831=""),"",D1831*E1831)</f>
        <v/>
      </c>
      <c r="G1831" s="7"/>
      <c r="H1831" s="7"/>
    </row>
    <row r="1832" customFormat="false" ht="15" hidden="false" customHeight="true" outlineLevel="0" collapsed="false">
      <c r="A1832" s="15"/>
      <c r="B1832" s="7"/>
      <c r="C1832" s="16" t="str">
        <f aca="false">IF(B1832="","",IFERROR(INDEX(Products!$B$2:$B$501,MATCH(B1832,Products!$A$2:$A$501,0)),"CODE NOT FOUND"))</f>
        <v/>
      </c>
      <c r="D1832" s="7"/>
      <c r="E1832" s="13"/>
      <c r="F1832" s="17" t="str">
        <f aca="false">IF(OR(D1832="",E1832=""),"",D1832*E1832)</f>
        <v/>
      </c>
      <c r="G1832" s="7"/>
      <c r="H1832" s="7"/>
    </row>
    <row r="1833" customFormat="false" ht="15" hidden="false" customHeight="true" outlineLevel="0" collapsed="false">
      <c r="A1833" s="15"/>
      <c r="B1833" s="7"/>
      <c r="C1833" s="16" t="str">
        <f aca="false">IF(B1833="","",IFERROR(INDEX(Products!$B$2:$B$501,MATCH(B1833,Products!$A$2:$A$501,0)),"CODE NOT FOUND"))</f>
        <v/>
      </c>
      <c r="D1833" s="7"/>
      <c r="E1833" s="13"/>
      <c r="F1833" s="17" t="str">
        <f aca="false">IF(OR(D1833="",E1833=""),"",D1833*E1833)</f>
        <v/>
      </c>
      <c r="G1833" s="7"/>
      <c r="H1833" s="7"/>
    </row>
    <row r="1834" customFormat="false" ht="15" hidden="false" customHeight="true" outlineLevel="0" collapsed="false">
      <c r="A1834" s="15"/>
      <c r="B1834" s="7"/>
      <c r="C1834" s="16" t="str">
        <f aca="false">IF(B1834="","",IFERROR(INDEX(Products!$B$2:$B$501,MATCH(B1834,Products!$A$2:$A$501,0)),"CODE NOT FOUND"))</f>
        <v/>
      </c>
      <c r="D1834" s="7"/>
      <c r="E1834" s="13"/>
      <c r="F1834" s="17" t="str">
        <f aca="false">IF(OR(D1834="",E1834=""),"",D1834*E1834)</f>
        <v/>
      </c>
      <c r="G1834" s="7"/>
      <c r="H1834" s="7"/>
    </row>
    <row r="1835" customFormat="false" ht="15" hidden="false" customHeight="true" outlineLevel="0" collapsed="false">
      <c r="A1835" s="15"/>
      <c r="B1835" s="7"/>
      <c r="C1835" s="16" t="str">
        <f aca="false">IF(B1835="","",IFERROR(INDEX(Products!$B$2:$B$501,MATCH(B1835,Products!$A$2:$A$501,0)),"CODE NOT FOUND"))</f>
        <v/>
      </c>
      <c r="D1835" s="7"/>
      <c r="E1835" s="13"/>
      <c r="F1835" s="17" t="str">
        <f aca="false">IF(OR(D1835="",E1835=""),"",D1835*E1835)</f>
        <v/>
      </c>
      <c r="G1835" s="7"/>
      <c r="H1835" s="7"/>
    </row>
    <row r="1836" customFormat="false" ht="15" hidden="false" customHeight="true" outlineLevel="0" collapsed="false">
      <c r="A1836" s="15"/>
      <c r="B1836" s="7"/>
      <c r="C1836" s="16" t="str">
        <f aca="false">IF(B1836="","",IFERROR(INDEX(Products!$B$2:$B$501,MATCH(B1836,Products!$A$2:$A$501,0)),"CODE NOT FOUND"))</f>
        <v/>
      </c>
      <c r="D1836" s="7"/>
      <c r="E1836" s="13"/>
      <c r="F1836" s="17" t="str">
        <f aca="false">IF(OR(D1836="",E1836=""),"",D1836*E1836)</f>
        <v/>
      </c>
      <c r="G1836" s="7"/>
      <c r="H1836" s="7"/>
    </row>
    <row r="1837" customFormat="false" ht="15" hidden="false" customHeight="true" outlineLevel="0" collapsed="false">
      <c r="A1837" s="15"/>
      <c r="B1837" s="7"/>
      <c r="C1837" s="16" t="str">
        <f aca="false">IF(B1837="","",IFERROR(INDEX(Products!$B$2:$B$501,MATCH(B1837,Products!$A$2:$A$501,0)),"CODE NOT FOUND"))</f>
        <v/>
      </c>
      <c r="D1837" s="7"/>
      <c r="E1837" s="13"/>
      <c r="F1837" s="17" t="str">
        <f aca="false">IF(OR(D1837="",E1837=""),"",D1837*E1837)</f>
        <v/>
      </c>
      <c r="G1837" s="7"/>
      <c r="H1837" s="7"/>
    </row>
    <row r="1838" customFormat="false" ht="15" hidden="false" customHeight="true" outlineLevel="0" collapsed="false">
      <c r="A1838" s="15"/>
      <c r="B1838" s="7"/>
      <c r="C1838" s="16" t="str">
        <f aca="false">IF(B1838="","",IFERROR(INDEX(Products!$B$2:$B$501,MATCH(B1838,Products!$A$2:$A$501,0)),"CODE NOT FOUND"))</f>
        <v/>
      </c>
      <c r="D1838" s="7"/>
      <c r="E1838" s="13"/>
      <c r="F1838" s="17" t="str">
        <f aca="false">IF(OR(D1838="",E1838=""),"",D1838*E1838)</f>
        <v/>
      </c>
      <c r="G1838" s="7"/>
      <c r="H1838" s="7"/>
    </row>
    <row r="1839" customFormat="false" ht="15" hidden="false" customHeight="true" outlineLevel="0" collapsed="false">
      <c r="A1839" s="15"/>
      <c r="B1839" s="7"/>
      <c r="C1839" s="16" t="str">
        <f aca="false">IF(B1839="","",IFERROR(INDEX(Products!$B$2:$B$501,MATCH(B1839,Products!$A$2:$A$501,0)),"CODE NOT FOUND"))</f>
        <v/>
      </c>
      <c r="D1839" s="7"/>
      <c r="E1839" s="13"/>
      <c r="F1839" s="17" t="str">
        <f aca="false">IF(OR(D1839="",E1839=""),"",D1839*E1839)</f>
        <v/>
      </c>
      <c r="G1839" s="7"/>
      <c r="H1839" s="7"/>
    </row>
    <row r="1840" customFormat="false" ht="15" hidden="false" customHeight="true" outlineLevel="0" collapsed="false">
      <c r="A1840" s="15"/>
      <c r="B1840" s="7"/>
      <c r="C1840" s="16" t="str">
        <f aca="false">IF(B1840="","",IFERROR(INDEX(Products!$B$2:$B$501,MATCH(B1840,Products!$A$2:$A$501,0)),"CODE NOT FOUND"))</f>
        <v/>
      </c>
      <c r="D1840" s="7"/>
      <c r="E1840" s="13"/>
      <c r="F1840" s="17" t="str">
        <f aca="false">IF(OR(D1840="",E1840=""),"",D1840*E1840)</f>
        <v/>
      </c>
      <c r="G1840" s="7"/>
      <c r="H1840" s="7"/>
    </row>
    <row r="1841" customFormat="false" ht="15" hidden="false" customHeight="true" outlineLevel="0" collapsed="false">
      <c r="A1841" s="15"/>
      <c r="B1841" s="7"/>
      <c r="C1841" s="16" t="str">
        <f aca="false">IF(B1841="","",IFERROR(INDEX(Products!$B$2:$B$501,MATCH(B1841,Products!$A$2:$A$501,0)),"CODE NOT FOUND"))</f>
        <v/>
      </c>
      <c r="D1841" s="7"/>
      <c r="E1841" s="13"/>
      <c r="F1841" s="17" t="str">
        <f aca="false">IF(OR(D1841="",E1841=""),"",D1841*E1841)</f>
        <v/>
      </c>
      <c r="G1841" s="7"/>
      <c r="H1841" s="7"/>
    </row>
    <row r="1842" customFormat="false" ht="15" hidden="false" customHeight="true" outlineLevel="0" collapsed="false">
      <c r="A1842" s="15"/>
      <c r="B1842" s="7"/>
      <c r="C1842" s="16" t="str">
        <f aca="false">IF(B1842="","",IFERROR(INDEX(Products!$B$2:$B$501,MATCH(B1842,Products!$A$2:$A$501,0)),"CODE NOT FOUND"))</f>
        <v/>
      </c>
      <c r="D1842" s="7"/>
      <c r="E1842" s="13"/>
      <c r="F1842" s="17" t="str">
        <f aca="false">IF(OR(D1842="",E1842=""),"",D1842*E1842)</f>
        <v/>
      </c>
      <c r="G1842" s="7"/>
      <c r="H1842" s="7"/>
    </row>
    <row r="1843" customFormat="false" ht="15" hidden="false" customHeight="true" outlineLevel="0" collapsed="false">
      <c r="A1843" s="15"/>
      <c r="B1843" s="7"/>
      <c r="C1843" s="16" t="str">
        <f aca="false">IF(B1843="","",IFERROR(INDEX(Products!$B$2:$B$501,MATCH(B1843,Products!$A$2:$A$501,0)),"CODE NOT FOUND"))</f>
        <v/>
      </c>
      <c r="D1843" s="7"/>
      <c r="E1843" s="13"/>
      <c r="F1843" s="17" t="str">
        <f aca="false">IF(OR(D1843="",E1843=""),"",D1843*E1843)</f>
        <v/>
      </c>
      <c r="G1843" s="7"/>
      <c r="H1843" s="7"/>
    </row>
    <row r="1844" customFormat="false" ht="15" hidden="false" customHeight="true" outlineLevel="0" collapsed="false">
      <c r="A1844" s="15"/>
      <c r="B1844" s="7"/>
      <c r="C1844" s="16" t="str">
        <f aca="false">IF(B1844="","",IFERROR(INDEX(Products!$B$2:$B$501,MATCH(B1844,Products!$A$2:$A$501,0)),"CODE NOT FOUND"))</f>
        <v/>
      </c>
      <c r="D1844" s="7"/>
      <c r="E1844" s="13"/>
      <c r="F1844" s="17" t="str">
        <f aca="false">IF(OR(D1844="",E1844=""),"",D1844*E1844)</f>
        <v/>
      </c>
      <c r="G1844" s="7"/>
      <c r="H1844" s="7"/>
    </row>
    <row r="1845" customFormat="false" ht="15" hidden="false" customHeight="true" outlineLevel="0" collapsed="false">
      <c r="A1845" s="15"/>
      <c r="B1845" s="7"/>
      <c r="C1845" s="16" t="str">
        <f aca="false">IF(B1845="","",IFERROR(INDEX(Products!$B$2:$B$501,MATCH(B1845,Products!$A$2:$A$501,0)),"CODE NOT FOUND"))</f>
        <v/>
      </c>
      <c r="D1845" s="7"/>
      <c r="E1845" s="13"/>
      <c r="F1845" s="17" t="str">
        <f aca="false">IF(OR(D1845="",E1845=""),"",D1845*E1845)</f>
        <v/>
      </c>
      <c r="G1845" s="7"/>
      <c r="H1845" s="7"/>
    </row>
    <row r="1846" customFormat="false" ht="15" hidden="false" customHeight="true" outlineLevel="0" collapsed="false">
      <c r="A1846" s="15"/>
      <c r="B1846" s="7"/>
      <c r="C1846" s="16" t="str">
        <f aca="false">IF(B1846="","",IFERROR(INDEX(Products!$B$2:$B$501,MATCH(B1846,Products!$A$2:$A$501,0)),"CODE NOT FOUND"))</f>
        <v/>
      </c>
      <c r="D1846" s="7"/>
      <c r="E1846" s="13"/>
      <c r="F1846" s="17" t="str">
        <f aca="false">IF(OR(D1846="",E1846=""),"",D1846*E1846)</f>
        <v/>
      </c>
      <c r="G1846" s="7"/>
      <c r="H1846" s="7"/>
    </row>
    <row r="1847" customFormat="false" ht="15" hidden="false" customHeight="true" outlineLevel="0" collapsed="false">
      <c r="A1847" s="15"/>
      <c r="B1847" s="7"/>
      <c r="C1847" s="16" t="str">
        <f aca="false">IF(B1847="","",IFERROR(INDEX(Products!$B$2:$B$501,MATCH(B1847,Products!$A$2:$A$501,0)),"CODE NOT FOUND"))</f>
        <v/>
      </c>
      <c r="D1847" s="7"/>
      <c r="E1847" s="13"/>
      <c r="F1847" s="17" t="str">
        <f aca="false">IF(OR(D1847="",E1847=""),"",D1847*E1847)</f>
        <v/>
      </c>
      <c r="G1847" s="7"/>
      <c r="H1847" s="7"/>
    </row>
    <row r="1848" customFormat="false" ht="15" hidden="false" customHeight="true" outlineLevel="0" collapsed="false">
      <c r="A1848" s="15"/>
      <c r="B1848" s="7"/>
      <c r="C1848" s="16" t="str">
        <f aca="false">IF(B1848="","",IFERROR(INDEX(Products!$B$2:$B$501,MATCH(B1848,Products!$A$2:$A$501,0)),"CODE NOT FOUND"))</f>
        <v/>
      </c>
      <c r="D1848" s="7"/>
      <c r="E1848" s="13"/>
      <c r="F1848" s="17" t="str">
        <f aca="false">IF(OR(D1848="",E1848=""),"",D1848*E1848)</f>
        <v/>
      </c>
      <c r="G1848" s="7"/>
      <c r="H1848" s="7"/>
    </row>
    <row r="1849" customFormat="false" ht="15" hidden="false" customHeight="true" outlineLevel="0" collapsed="false">
      <c r="A1849" s="15"/>
      <c r="B1849" s="7"/>
      <c r="C1849" s="16" t="str">
        <f aca="false">IF(B1849="","",IFERROR(INDEX(Products!$B$2:$B$501,MATCH(B1849,Products!$A$2:$A$501,0)),"CODE NOT FOUND"))</f>
        <v/>
      </c>
      <c r="D1849" s="7"/>
      <c r="E1849" s="13"/>
      <c r="F1849" s="17" t="str">
        <f aca="false">IF(OR(D1849="",E1849=""),"",D1849*E1849)</f>
        <v/>
      </c>
      <c r="G1849" s="7"/>
      <c r="H1849" s="7"/>
    </row>
    <row r="1850" customFormat="false" ht="15" hidden="false" customHeight="true" outlineLevel="0" collapsed="false">
      <c r="A1850" s="15"/>
      <c r="B1850" s="7"/>
      <c r="C1850" s="16" t="str">
        <f aca="false">IF(B1850="","",IFERROR(INDEX(Products!$B$2:$B$501,MATCH(B1850,Products!$A$2:$A$501,0)),"CODE NOT FOUND"))</f>
        <v/>
      </c>
      <c r="D1850" s="7"/>
      <c r="E1850" s="13"/>
      <c r="F1850" s="17" t="str">
        <f aca="false">IF(OR(D1850="",E1850=""),"",D1850*E1850)</f>
        <v/>
      </c>
      <c r="G1850" s="7"/>
      <c r="H1850" s="7"/>
    </row>
    <row r="1851" customFormat="false" ht="15" hidden="false" customHeight="true" outlineLevel="0" collapsed="false">
      <c r="A1851" s="15"/>
      <c r="B1851" s="7"/>
      <c r="C1851" s="16" t="str">
        <f aca="false">IF(B1851="","",IFERROR(INDEX(Products!$B$2:$B$501,MATCH(B1851,Products!$A$2:$A$501,0)),"CODE NOT FOUND"))</f>
        <v/>
      </c>
      <c r="D1851" s="7"/>
      <c r="E1851" s="13"/>
      <c r="F1851" s="17" t="str">
        <f aca="false">IF(OR(D1851="",E1851=""),"",D1851*E1851)</f>
        <v/>
      </c>
      <c r="G1851" s="7"/>
      <c r="H1851" s="7"/>
    </row>
    <row r="1852" customFormat="false" ht="15" hidden="false" customHeight="true" outlineLevel="0" collapsed="false">
      <c r="A1852" s="15"/>
      <c r="B1852" s="7"/>
      <c r="C1852" s="16" t="str">
        <f aca="false">IF(B1852="","",IFERROR(INDEX(Products!$B$2:$B$501,MATCH(B1852,Products!$A$2:$A$501,0)),"CODE NOT FOUND"))</f>
        <v/>
      </c>
      <c r="D1852" s="7"/>
      <c r="E1852" s="13"/>
      <c r="F1852" s="17" t="str">
        <f aca="false">IF(OR(D1852="",E1852=""),"",D1852*E1852)</f>
        <v/>
      </c>
      <c r="G1852" s="7"/>
      <c r="H1852" s="7"/>
    </row>
    <row r="1853" customFormat="false" ht="15" hidden="false" customHeight="true" outlineLevel="0" collapsed="false">
      <c r="A1853" s="15"/>
      <c r="B1853" s="7"/>
      <c r="C1853" s="16" t="str">
        <f aca="false">IF(B1853="","",IFERROR(INDEX(Products!$B$2:$B$501,MATCH(B1853,Products!$A$2:$A$501,0)),"CODE NOT FOUND"))</f>
        <v/>
      </c>
      <c r="D1853" s="7"/>
      <c r="E1853" s="13"/>
      <c r="F1853" s="17" t="str">
        <f aca="false">IF(OR(D1853="",E1853=""),"",D1853*E1853)</f>
        <v/>
      </c>
      <c r="G1853" s="7"/>
      <c r="H1853" s="7"/>
    </row>
    <row r="1854" customFormat="false" ht="15" hidden="false" customHeight="true" outlineLevel="0" collapsed="false">
      <c r="A1854" s="15"/>
      <c r="B1854" s="7"/>
      <c r="C1854" s="16" t="str">
        <f aca="false">IF(B1854="","",IFERROR(INDEX(Products!$B$2:$B$501,MATCH(B1854,Products!$A$2:$A$501,0)),"CODE NOT FOUND"))</f>
        <v/>
      </c>
      <c r="D1854" s="7"/>
      <c r="E1854" s="13"/>
      <c r="F1854" s="17" t="str">
        <f aca="false">IF(OR(D1854="",E1854=""),"",D1854*E1854)</f>
        <v/>
      </c>
      <c r="G1854" s="7"/>
      <c r="H1854" s="7"/>
    </row>
    <row r="1855" customFormat="false" ht="15" hidden="false" customHeight="true" outlineLevel="0" collapsed="false">
      <c r="A1855" s="15"/>
      <c r="B1855" s="7"/>
      <c r="C1855" s="16" t="str">
        <f aca="false">IF(B1855="","",IFERROR(INDEX(Products!$B$2:$B$501,MATCH(B1855,Products!$A$2:$A$501,0)),"CODE NOT FOUND"))</f>
        <v/>
      </c>
      <c r="D1855" s="7"/>
      <c r="E1855" s="13"/>
      <c r="F1855" s="17" t="str">
        <f aca="false">IF(OR(D1855="",E1855=""),"",D1855*E1855)</f>
        <v/>
      </c>
      <c r="G1855" s="7"/>
      <c r="H1855" s="7"/>
    </row>
    <row r="1856" customFormat="false" ht="15" hidden="false" customHeight="true" outlineLevel="0" collapsed="false">
      <c r="A1856" s="15"/>
      <c r="B1856" s="7"/>
      <c r="C1856" s="16" t="str">
        <f aca="false">IF(B1856="","",IFERROR(INDEX(Products!$B$2:$B$501,MATCH(B1856,Products!$A$2:$A$501,0)),"CODE NOT FOUND"))</f>
        <v/>
      </c>
      <c r="D1856" s="7"/>
      <c r="E1856" s="13"/>
      <c r="F1856" s="17" t="str">
        <f aca="false">IF(OR(D1856="",E1856=""),"",D1856*E1856)</f>
        <v/>
      </c>
      <c r="G1856" s="7"/>
      <c r="H1856" s="7"/>
    </row>
    <row r="1857" customFormat="false" ht="15" hidden="false" customHeight="true" outlineLevel="0" collapsed="false">
      <c r="A1857" s="15"/>
      <c r="B1857" s="7"/>
      <c r="C1857" s="16" t="str">
        <f aca="false">IF(B1857="","",IFERROR(INDEX(Products!$B$2:$B$501,MATCH(B1857,Products!$A$2:$A$501,0)),"CODE NOT FOUND"))</f>
        <v/>
      </c>
      <c r="D1857" s="7"/>
      <c r="E1857" s="13"/>
      <c r="F1857" s="17" t="str">
        <f aca="false">IF(OR(D1857="",E1857=""),"",D1857*E1857)</f>
        <v/>
      </c>
      <c r="G1857" s="7"/>
      <c r="H1857" s="7"/>
    </row>
    <row r="1858" customFormat="false" ht="15" hidden="false" customHeight="true" outlineLevel="0" collapsed="false">
      <c r="A1858" s="15"/>
      <c r="B1858" s="7"/>
      <c r="C1858" s="16" t="str">
        <f aca="false">IF(B1858="","",IFERROR(INDEX(Products!$B$2:$B$501,MATCH(B1858,Products!$A$2:$A$501,0)),"CODE NOT FOUND"))</f>
        <v/>
      </c>
      <c r="D1858" s="7"/>
      <c r="E1858" s="13"/>
      <c r="F1858" s="17" t="str">
        <f aca="false">IF(OR(D1858="",E1858=""),"",D1858*E1858)</f>
        <v/>
      </c>
      <c r="G1858" s="7"/>
      <c r="H1858" s="7"/>
    </row>
    <row r="1859" customFormat="false" ht="15" hidden="false" customHeight="true" outlineLevel="0" collapsed="false">
      <c r="A1859" s="15"/>
      <c r="B1859" s="7"/>
      <c r="C1859" s="16" t="str">
        <f aca="false">IF(B1859="","",IFERROR(INDEX(Products!$B$2:$B$501,MATCH(B1859,Products!$A$2:$A$501,0)),"CODE NOT FOUND"))</f>
        <v/>
      </c>
      <c r="D1859" s="7"/>
      <c r="E1859" s="13"/>
      <c r="F1859" s="17" t="str">
        <f aca="false">IF(OR(D1859="",E1859=""),"",D1859*E1859)</f>
        <v/>
      </c>
      <c r="G1859" s="7"/>
      <c r="H1859" s="7"/>
    </row>
    <row r="1860" customFormat="false" ht="15" hidden="false" customHeight="true" outlineLevel="0" collapsed="false">
      <c r="A1860" s="15"/>
      <c r="B1860" s="7"/>
      <c r="C1860" s="16" t="str">
        <f aca="false">IF(B1860="","",IFERROR(INDEX(Products!$B$2:$B$501,MATCH(B1860,Products!$A$2:$A$501,0)),"CODE NOT FOUND"))</f>
        <v/>
      </c>
      <c r="D1860" s="7"/>
      <c r="E1860" s="13"/>
      <c r="F1860" s="17" t="str">
        <f aca="false">IF(OR(D1860="",E1860=""),"",D1860*E1860)</f>
        <v/>
      </c>
      <c r="G1860" s="7"/>
      <c r="H1860" s="7"/>
    </row>
    <row r="1861" customFormat="false" ht="15" hidden="false" customHeight="true" outlineLevel="0" collapsed="false">
      <c r="A1861" s="15"/>
      <c r="B1861" s="7"/>
      <c r="C1861" s="16" t="str">
        <f aca="false">IF(B1861="","",IFERROR(INDEX(Products!$B$2:$B$501,MATCH(B1861,Products!$A$2:$A$501,0)),"CODE NOT FOUND"))</f>
        <v/>
      </c>
      <c r="D1861" s="7"/>
      <c r="E1861" s="13"/>
      <c r="F1861" s="17" t="str">
        <f aca="false">IF(OR(D1861="",E1861=""),"",D1861*E1861)</f>
        <v/>
      </c>
      <c r="G1861" s="7"/>
      <c r="H1861" s="7"/>
    </row>
    <row r="1862" customFormat="false" ht="15" hidden="false" customHeight="true" outlineLevel="0" collapsed="false">
      <c r="A1862" s="15"/>
      <c r="B1862" s="7"/>
      <c r="C1862" s="16" t="str">
        <f aca="false">IF(B1862="","",IFERROR(INDEX(Products!$B$2:$B$501,MATCH(B1862,Products!$A$2:$A$501,0)),"CODE NOT FOUND"))</f>
        <v/>
      </c>
      <c r="D1862" s="7"/>
      <c r="E1862" s="13"/>
      <c r="F1862" s="17" t="str">
        <f aca="false">IF(OR(D1862="",E1862=""),"",D1862*E1862)</f>
        <v/>
      </c>
      <c r="G1862" s="7"/>
      <c r="H1862" s="7"/>
    </row>
    <row r="1863" customFormat="false" ht="15" hidden="false" customHeight="true" outlineLevel="0" collapsed="false">
      <c r="A1863" s="15"/>
      <c r="B1863" s="7"/>
      <c r="C1863" s="16" t="str">
        <f aca="false">IF(B1863="","",IFERROR(INDEX(Products!$B$2:$B$501,MATCH(B1863,Products!$A$2:$A$501,0)),"CODE NOT FOUND"))</f>
        <v/>
      </c>
      <c r="D1863" s="7"/>
      <c r="E1863" s="13"/>
      <c r="F1863" s="17" t="str">
        <f aca="false">IF(OR(D1863="",E1863=""),"",D1863*E1863)</f>
        <v/>
      </c>
      <c r="G1863" s="7"/>
      <c r="H1863" s="7"/>
    </row>
    <row r="1864" customFormat="false" ht="15" hidden="false" customHeight="true" outlineLevel="0" collapsed="false">
      <c r="A1864" s="15"/>
      <c r="B1864" s="7"/>
      <c r="C1864" s="16" t="str">
        <f aca="false">IF(B1864="","",IFERROR(INDEX(Products!$B$2:$B$501,MATCH(B1864,Products!$A$2:$A$501,0)),"CODE NOT FOUND"))</f>
        <v/>
      </c>
      <c r="D1864" s="7"/>
      <c r="E1864" s="13"/>
      <c r="F1864" s="17" t="str">
        <f aca="false">IF(OR(D1864="",E1864=""),"",D1864*E1864)</f>
        <v/>
      </c>
      <c r="G1864" s="7"/>
      <c r="H1864" s="7"/>
    </row>
    <row r="1865" customFormat="false" ht="15" hidden="false" customHeight="true" outlineLevel="0" collapsed="false">
      <c r="A1865" s="15"/>
      <c r="B1865" s="7"/>
      <c r="C1865" s="16" t="str">
        <f aca="false">IF(B1865="","",IFERROR(INDEX(Products!$B$2:$B$501,MATCH(B1865,Products!$A$2:$A$501,0)),"CODE NOT FOUND"))</f>
        <v/>
      </c>
      <c r="D1865" s="7"/>
      <c r="E1865" s="13"/>
      <c r="F1865" s="17" t="str">
        <f aca="false">IF(OR(D1865="",E1865=""),"",D1865*E1865)</f>
        <v/>
      </c>
      <c r="G1865" s="7"/>
      <c r="H1865" s="7"/>
    </row>
    <row r="1866" customFormat="false" ht="15" hidden="false" customHeight="true" outlineLevel="0" collapsed="false">
      <c r="A1866" s="15"/>
      <c r="B1866" s="7"/>
      <c r="C1866" s="16" t="str">
        <f aca="false">IF(B1866="","",IFERROR(INDEX(Products!$B$2:$B$501,MATCH(B1866,Products!$A$2:$A$501,0)),"CODE NOT FOUND"))</f>
        <v/>
      </c>
      <c r="D1866" s="7"/>
      <c r="E1866" s="13"/>
      <c r="F1866" s="17" t="str">
        <f aca="false">IF(OR(D1866="",E1866=""),"",D1866*E1866)</f>
        <v/>
      </c>
      <c r="G1866" s="7"/>
      <c r="H1866" s="7"/>
    </row>
    <row r="1867" customFormat="false" ht="15" hidden="false" customHeight="true" outlineLevel="0" collapsed="false">
      <c r="A1867" s="15"/>
      <c r="B1867" s="7"/>
      <c r="C1867" s="16" t="str">
        <f aca="false">IF(B1867="","",IFERROR(INDEX(Products!$B$2:$B$501,MATCH(B1867,Products!$A$2:$A$501,0)),"CODE NOT FOUND"))</f>
        <v/>
      </c>
      <c r="D1867" s="7"/>
      <c r="E1867" s="13"/>
      <c r="F1867" s="17" t="str">
        <f aca="false">IF(OR(D1867="",E1867=""),"",D1867*E1867)</f>
        <v/>
      </c>
      <c r="G1867" s="7"/>
      <c r="H1867" s="7"/>
    </row>
    <row r="1868" customFormat="false" ht="15" hidden="false" customHeight="true" outlineLevel="0" collapsed="false">
      <c r="A1868" s="15"/>
      <c r="B1868" s="7"/>
      <c r="C1868" s="16" t="str">
        <f aca="false">IF(B1868="","",IFERROR(INDEX(Products!$B$2:$B$501,MATCH(B1868,Products!$A$2:$A$501,0)),"CODE NOT FOUND"))</f>
        <v/>
      </c>
      <c r="D1868" s="7"/>
      <c r="E1868" s="13"/>
      <c r="F1868" s="17" t="str">
        <f aca="false">IF(OR(D1868="",E1868=""),"",D1868*E1868)</f>
        <v/>
      </c>
      <c r="G1868" s="7"/>
      <c r="H1868" s="7"/>
    </row>
    <row r="1869" customFormat="false" ht="15" hidden="false" customHeight="true" outlineLevel="0" collapsed="false">
      <c r="A1869" s="15"/>
      <c r="B1869" s="7"/>
      <c r="C1869" s="16" t="str">
        <f aca="false">IF(B1869="","",IFERROR(INDEX(Products!$B$2:$B$501,MATCH(B1869,Products!$A$2:$A$501,0)),"CODE NOT FOUND"))</f>
        <v/>
      </c>
      <c r="D1869" s="7"/>
      <c r="E1869" s="13"/>
      <c r="F1869" s="17" t="str">
        <f aca="false">IF(OR(D1869="",E1869=""),"",D1869*E1869)</f>
        <v/>
      </c>
      <c r="G1869" s="7"/>
      <c r="H1869" s="7"/>
    </row>
    <row r="1870" customFormat="false" ht="15" hidden="false" customHeight="true" outlineLevel="0" collapsed="false">
      <c r="A1870" s="15"/>
      <c r="B1870" s="7"/>
      <c r="C1870" s="16" t="str">
        <f aca="false">IF(B1870="","",IFERROR(INDEX(Products!$B$2:$B$501,MATCH(B1870,Products!$A$2:$A$501,0)),"CODE NOT FOUND"))</f>
        <v/>
      </c>
      <c r="D1870" s="7"/>
      <c r="E1870" s="13"/>
      <c r="F1870" s="17" t="str">
        <f aca="false">IF(OR(D1870="",E1870=""),"",D1870*E1870)</f>
        <v/>
      </c>
      <c r="G1870" s="7"/>
      <c r="H1870" s="7"/>
    </row>
    <row r="1871" customFormat="false" ht="15" hidden="false" customHeight="true" outlineLevel="0" collapsed="false">
      <c r="A1871" s="15"/>
      <c r="B1871" s="7"/>
      <c r="C1871" s="16" t="str">
        <f aca="false">IF(B1871="","",IFERROR(INDEX(Products!$B$2:$B$501,MATCH(B1871,Products!$A$2:$A$501,0)),"CODE NOT FOUND"))</f>
        <v/>
      </c>
      <c r="D1871" s="7"/>
      <c r="E1871" s="13"/>
      <c r="F1871" s="17" t="str">
        <f aca="false">IF(OR(D1871="",E1871=""),"",D1871*E1871)</f>
        <v/>
      </c>
      <c r="G1871" s="7"/>
      <c r="H1871" s="7"/>
    </row>
    <row r="1872" customFormat="false" ht="15" hidden="false" customHeight="true" outlineLevel="0" collapsed="false">
      <c r="A1872" s="15"/>
      <c r="B1872" s="7"/>
      <c r="C1872" s="16" t="str">
        <f aca="false">IF(B1872="","",IFERROR(INDEX(Products!$B$2:$B$501,MATCH(B1872,Products!$A$2:$A$501,0)),"CODE NOT FOUND"))</f>
        <v/>
      </c>
      <c r="D1872" s="7"/>
      <c r="E1872" s="13"/>
      <c r="F1872" s="17" t="str">
        <f aca="false">IF(OR(D1872="",E1872=""),"",D1872*E1872)</f>
        <v/>
      </c>
      <c r="G1872" s="7"/>
      <c r="H1872" s="7"/>
    </row>
    <row r="1873" customFormat="false" ht="15" hidden="false" customHeight="true" outlineLevel="0" collapsed="false">
      <c r="A1873" s="15"/>
      <c r="B1873" s="7"/>
      <c r="C1873" s="16" t="str">
        <f aca="false">IF(B1873="","",IFERROR(INDEX(Products!$B$2:$B$501,MATCH(B1873,Products!$A$2:$A$501,0)),"CODE NOT FOUND"))</f>
        <v/>
      </c>
      <c r="D1873" s="7"/>
      <c r="E1873" s="13"/>
      <c r="F1873" s="17" t="str">
        <f aca="false">IF(OR(D1873="",E1873=""),"",D1873*E1873)</f>
        <v/>
      </c>
      <c r="G1873" s="7"/>
      <c r="H1873" s="7"/>
    </row>
    <row r="1874" customFormat="false" ht="15" hidden="false" customHeight="true" outlineLevel="0" collapsed="false">
      <c r="A1874" s="15"/>
      <c r="B1874" s="7"/>
      <c r="C1874" s="16" t="str">
        <f aca="false">IF(B1874="","",IFERROR(INDEX(Products!$B$2:$B$501,MATCH(B1874,Products!$A$2:$A$501,0)),"CODE NOT FOUND"))</f>
        <v/>
      </c>
      <c r="D1874" s="7"/>
      <c r="E1874" s="13"/>
      <c r="F1874" s="17" t="str">
        <f aca="false">IF(OR(D1874="",E1874=""),"",D1874*E1874)</f>
        <v/>
      </c>
      <c r="G1874" s="7"/>
      <c r="H1874" s="7"/>
    </row>
    <row r="1875" customFormat="false" ht="15" hidden="false" customHeight="true" outlineLevel="0" collapsed="false">
      <c r="A1875" s="15"/>
      <c r="B1875" s="7"/>
      <c r="C1875" s="16" t="str">
        <f aca="false">IF(B1875="","",IFERROR(INDEX(Products!$B$2:$B$501,MATCH(B1875,Products!$A$2:$A$501,0)),"CODE NOT FOUND"))</f>
        <v/>
      </c>
      <c r="D1875" s="7"/>
      <c r="E1875" s="13"/>
      <c r="F1875" s="17" t="str">
        <f aca="false">IF(OR(D1875="",E1875=""),"",D1875*E1875)</f>
        <v/>
      </c>
      <c r="G1875" s="7"/>
      <c r="H1875" s="7"/>
    </row>
    <row r="1876" customFormat="false" ht="15" hidden="false" customHeight="true" outlineLevel="0" collapsed="false">
      <c r="A1876" s="15"/>
      <c r="B1876" s="7"/>
      <c r="C1876" s="16" t="str">
        <f aca="false">IF(B1876="","",IFERROR(INDEX(Products!$B$2:$B$501,MATCH(B1876,Products!$A$2:$A$501,0)),"CODE NOT FOUND"))</f>
        <v/>
      </c>
      <c r="D1876" s="7"/>
      <c r="E1876" s="13"/>
      <c r="F1876" s="17" t="str">
        <f aca="false">IF(OR(D1876="",E1876=""),"",D1876*E1876)</f>
        <v/>
      </c>
      <c r="G1876" s="7"/>
      <c r="H1876" s="7"/>
    </row>
    <row r="1877" customFormat="false" ht="15" hidden="false" customHeight="true" outlineLevel="0" collapsed="false">
      <c r="A1877" s="15"/>
      <c r="B1877" s="7"/>
      <c r="C1877" s="16" t="str">
        <f aca="false">IF(B1877="","",IFERROR(INDEX(Products!$B$2:$B$501,MATCH(B1877,Products!$A$2:$A$501,0)),"CODE NOT FOUND"))</f>
        <v/>
      </c>
      <c r="D1877" s="7"/>
      <c r="E1877" s="13"/>
      <c r="F1877" s="17" t="str">
        <f aca="false">IF(OR(D1877="",E1877=""),"",D1877*E1877)</f>
        <v/>
      </c>
      <c r="G1877" s="7"/>
      <c r="H1877" s="7"/>
    </row>
    <row r="1878" customFormat="false" ht="15" hidden="false" customHeight="true" outlineLevel="0" collapsed="false">
      <c r="A1878" s="15"/>
      <c r="B1878" s="7"/>
      <c r="C1878" s="16" t="str">
        <f aca="false">IF(B1878="","",IFERROR(INDEX(Products!$B$2:$B$501,MATCH(B1878,Products!$A$2:$A$501,0)),"CODE NOT FOUND"))</f>
        <v/>
      </c>
      <c r="D1878" s="7"/>
      <c r="E1878" s="13"/>
      <c r="F1878" s="17" t="str">
        <f aca="false">IF(OR(D1878="",E1878=""),"",D1878*E1878)</f>
        <v/>
      </c>
      <c r="G1878" s="7"/>
      <c r="H1878" s="7"/>
    </row>
    <row r="1879" customFormat="false" ht="15" hidden="false" customHeight="true" outlineLevel="0" collapsed="false">
      <c r="A1879" s="15"/>
      <c r="B1879" s="7"/>
      <c r="C1879" s="16" t="str">
        <f aca="false">IF(B1879="","",IFERROR(INDEX(Products!$B$2:$B$501,MATCH(B1879,Products!$A$2:$A$501,0)),"CODE NOT FOUND"))</f>
        <v/>
      </c>
      <c r="D1879" s="7"/>
      <c r="E1879" s="13"/>
      <c r="F1879" s="17" t="str">
        <f aca="false">IF(OR(D1879="",E1879=""),"",D1879*E1879)</f>
        <v/>
      </c>
      <c r="G1879" s="7"/>
      <c r="H1879" s="7"/>
    </row>
    <row r="1880" customFormat="false" ht="15" hidden="false" customHeight="true" outlineLevel="0" collapsed="false">
      <c r="A1880" s="15"/>
      <c r="B1880" s="7"/>
      <c r="C1880" s="16" t="str">
        <f aca="false">IF(B1880="","",IFERROR(INDEX(Products!$B$2:$B$501,MATCH(B1880,Products!$A$2:$A$501,0)),"CODE NOT FOUND"))</f>
        <v/>
      </c>
      <c r="D1880" s="7"/>
      <c r="E1880" s="13"/>
      <c r="F1880" s="17" t="str">
        <f aca="false">IF(OR(D1880="",E1880=""),"",D1880*E1880)</f>
        <v/>
      </c>
      <c r="G1880" s="7"/>
      <c r="H1880" s="7"/>
    </row>
    <row r="1881" customFormat="false" ht="15" hidden="false" customHeight="true" outlineLevel="0" collapsed="false">
      <c r="A1881" s="15"/>
      <c r="B1881" s="7"/>
      <c r="C1881" s="16" t="str">
        <f aca="false">IF(B1881="","",IFERROR(INDEX(Products!$B$2:$B$501,MATCH(B1881,Products!$A$2:$A$501,0)),"CODE NOT FOUND"))</f>
        <v/>
      </c>
      <c r="D1881" s="7"/>
      <c r="E1881" s="13"/>
      <c r="F1881" s="17" t="str">
        <f aca="false">IF(OR(D1881="",E1881=""),"",D1881*E1881)</f>
        <v/>
      </c>
      <c r="G1881" s="7"/>
      <c r="H1881" s="7"/>
    </row>
    <row r="1882" customFormat="false" ht="15" hidden="false" customHeight="true" outlineLevel="0" collapsed="false">
      <c r="A1882" s="15"/>
      <c r="B1882" s="7"/>
      <c r="C1882" s="16" t="str">
        <f aca="false">IF(B1882="","",IFERROR(INDEX(Products!$B$2:$B$501,MATCH(B1882,Products!$A$2:$A$501,0)),"CODE NOT FOUND"))</f>
        <v/>
      </c>
      <c r="D1882" s="7"/>
      <c r="E1882" s="13"/>
      <c r="F1882" s="17" t="str">
        <f aca="false">IF(OR(D1882="",E1882=""),"",D1882*E1882)</f>
        <v/>
      </c>
      <c r="G1882" s="7"/>
      <c r="H1882" s="7"/>
    </row>
    <row r="1883" customFormat="false" ht="15" hidden="false" customHeight="true" outlineLevel="0" collapsed="false">
      <c r="A1883" s="15"/>
      <c r="B1883" s="7"/>
      <c r="C1883" s="16" t="str">
        <f aca="false">IF(B1883="","",IFERROR(INDEX(Products!$B$2:$B$501,MATCH(B1883,Products!$A$2:$A$501,0)),"CODE NOT FOUND"))</f>
        <v/>
      </c>
      <c r="D1883" s="7"/>
      <c r="E1883" s="13"/>
      <c r="F1883" s="17" t="str">
        <f aca="false">IF(OR(D1883="",E1883=""),"",D1883*E1883)</f>
        <v/>
      </c>
      <c r="G1883" s="7"/>
      <c r="H1883" s="7"/>
    </row>
    <row r="1884" customFormat="false" ht="15" hidden="false" customHeight="true" outlineLevel="0" collapsed="false">
      <c r="A1884" s="15"/>
      <c r="B1884" s="7"/>
      <c r="C1884" s="16" t="str">
        <f aca="false">IF(B1884="","",IFERROR(INDEX(Products!$B$2:$B$501,MATCH(B1884,Products!$A$2:$A$501,0)),"CODE NOT FOUND"))</f>
        <v/>
      </c>
      <c r="D1884" s="7"/>
      <c r="E1884" s="13"/>
      <c r="F1884" s="17" t="str">
        <f aca="false">IF(OR(D1884="",E1884=""),"",D1884*E1884)</f>
        <v/>
      </c>
      <c r="G1884" s="7"/>
      <c r="H1884" s="7"/>
    </row>
    <row r="1885" customFormat="false" ht="15" hidden="false" customHeight="true" outlineLevel="0" collapsed="false">
      <c r="A1885" s="15"/>
      <c r="B1885" s="7"/>
      <c r="C1885" s="16" t="str">
        <f aca="false">IF(B1885="","",IFERROR(INDEX(Products!$B$2:$B$501,MATCH(B1885,Products!$A$2:$A$501,0)),"CODE NOT FOUND"))</f>
        <v/>
      </c>
      <c r="D1885" s="7"/>
      <c r="E1885" s="13"/>
      <c r="F1885" s="17" t="str">
        <f aca="false">IF(OR(D1885="",E1885=""),"",D1885*E1885)</f>
        <v/>
      </c>
      <c r="G1885" s="7"/>
      <c r="H1885" s="7"/>
    </row>
    <row r="1886" customFormat="false" ht="15" hidden="false" customHeight="true" outlineLevel="0" collapsed="false">
      <c r="A1886" s="15"/>
      <c r="B1886" s="7"/>
      <c r="C1886" s="16" t="str">
        <f aca="false">IF(B1886="","",IFERROR(INDEX(Products!$B$2:$B$501,MATCH(B1886,Products!$A$2:$A$501,0)),"CODE NOT FOUND"))</f>
        <v/>
      </c>
      <c r="D1886" s="7"/>
      <c r="E1886" s="13"/>
      <c r="F1886" s="17" t="str">
        <f aca="false">IF(OR(D1886="",E1886=""),"",D1886*E1886)</f>
        <v/>
      </c>
      <c r="G1886" s="7"/>
      <c r="H1886" s="7"/>
    </row>
    <row r="1887" customFormat="false" ht="15" hidden="false" customHeight="true" outlineLevel="0" collapsed="false">
      <c r="A1887" s="15"/>
      <c r="B1887" s="7"/>
      <c r="C1887" s="16" t="str">
        <f aca="false">IF(B1887="","",IFERROR(INDEX(Products!$B$2:$B$501,MATCH(B1887,Products!$A$2:$A$501,0)),"CODE NOT FOUND"))</f>
        <v/>
      </c>
      <c r="D1887" s="7"/>
      <c r="E1887" s="13"/>
      <c r="F1887" s="17" t="str">
        <f aca="false">IF(OR(D1887="",E1887=""),"",D1887*E1887)</f>
        <v/>
      </c>
      <c r="G1887" s="7"/>
      <c r="H1887" s="7"/>
    </row>
    <row r="1888" customFormat="false" ht="15" hidden="false" customHeight="true" outlineLevel="0" collapsed="false">
      <c r="A1888" s="15"/>
      <c r="B1888" s="7"/>
      <c r="C1888" s="16" t="str">
        <f aca="false">IF(B1888="","",IFERROR(INDEX(Products!$B$2:$B$501,MATCH(B1888,Products!$A$2:$A$501,0)),"CODE NOT FOUND"))</f>
        <v/>
      </c>
      <c r="D1888" s="7"/>
      <c r="E1888" s="13"/>
      <c r="F1888" s="17" t="str">
        <f aca="false">IF(OR(D1888="",E1888=""),"",D1888*E1888)</f>
        <v/>
      </c>
      <c r="G1888" s="7"/>
      <c r="H1888" s="7"/>
    </row>
    <row r="1889" customFormat="false" ht="15" hidden="false" customHeight="true" outlineLevel="0" collapsed="false">
      <c r="A1889" s="15"/>
      <c r="B1889" s="7"/>
      <c r="C1889" s="16" t="str">
        <f aca="false">IF(B1889="","",IFERROR(INDEX(Products!$B$2:$B$501,MATCH(B1889,Products!$A$2:$A$501,0)),"CODE NOT FOUND"))</f>
        <v/>
      </c>
      <c r="D1889" s="7"/>
      <c r="E1889" s="13"/>
      <c r="F1889" s="17" t="str">
        <f aca="false">IF(OR(D1889="",E1889=""),"",D1889*E1889)</f>
        <v/>
      </c>
      <c r="G1889" s="7"/>
      <c r="H1889" s="7"/>
    </row>
    <row r="1890" customFormat="false" ht="15" hidden="false" customHeight="true" outlineLevel="0" collapsed="false">
      <c r="A1890" s="15"/>
      <c r="B1890" s="7"/>
      <c r="C1890" s="16" t="str">
        <f aca="false">IF(B1890="","",IFERROR(INDEX(Products!$B$2:$B$501,MATCH(B1890,Products!$A$2:$A$501,0)),"CODE NOT FOUND"))</f>
        <v/>
      </c>
      <c r="D1890" s="7"/>
      <c r="E1890" s="13"/>
      <c r="F1890" s="17" t="str">
        <f aca="false">IF(OR(D1890="",E1890=""),"",D1890*E1890)</f>
        <v/>
      </c>
      <c r="G1890" s="7"/>
      <c r="H1890" s="7"/>
    </row>
    <row r="1891" customFormat="false" ht="15" hidden="false" customHeight="true" outlineLevel="0" collapsed="false">
      <c r="A1891" s="15"/>
      <c r="B1891" s="7"/>
      <c r="C1891" s="16" t="str">
        <f aca="false">IF(B1891="","",IFERROR(INDEX(Products!$B$2:$B$501,MATCH(B1891,Products!$A$2:$A$501,0)),"CODE NOT FOUND"))</f>
        <v/>
      </c>
      <c r="D1891" s="7"/>
      <c r="E1891" s="13"/>
      <c r="F1891" s="17" t="str">
        <f aca="false">IF(OR(D1891="",E1891=""),"",D1891*E1891)</f>
        <v/>
      </c>
      <c r="G1891" s="7"/>
      <c r="H1891" s="7"/>
    </row>
    <row r="1892" customFormat="false" ht="15" hidden="false" customHeight="true" outlineLevel="0" collapsed="false">
      <c r="A1892" s="15"/>
      <c r="B1892" s="7"/>
      <c r="C1892" s="16" t="str">
        <f aca="false">IF(B1892="","",IFERROR(INDEX(Products!$B$2:$B$501,MATCH(B1892,Products!$A$2:$A$501,0)),"CODE NOT FOUND"))</f>
        <v/>
      </c>
      <c r="D1892" s="7"/>
      <c r="E1892" s="13"/>
      <c r="F1892" s="17" t="str">
        <f aca="false">IF(OR(D1892="",E1892=""),"",D1892*E1892)</f>
        <v/>
      </c>
      <c r="G1892" s="7"/>
      <c r="H1892" s="7"/>
    </row>
    <row r="1893" customFormat="false" ht="15" hidden="false" customHeight="true" outlineLevel="0" collapsed="false">
      <c r="A1893" s="15"/>
      <c r="B1893" s="7"/>
      <c r="C1893" s="16" t="str">
        <f aca="false">IF(B1893="","",IFERROR(INDEX(Products!$B$2:$B$501,MATCH(B1893,Products!$A$2:$A$501,0)),"CODE NOT FOUND"))</f>
        <v/>
      </c>
      <c r="D1893" s="7"/>
      <c r="E1893" s="13"/>
      <c r="F1893" s="17" t="str">
        <f aca="false">IF(OR(D1893="",E1893=""),"",D1893*E1893)</f>
        <v/>
      </c>
      <c r="G1893" s="7"/>
      <c r="H1893" s="7"/>
    </row>
    <row r="1894" customFormat="false" ht="15" hidden="false" customHeight="true" outlineLevel="0" collapsed="false">
      <c r="A1894" s="15"/>
      <c r="B1894" s="7"/>
      <c r="C1894" s="16" t="str">
        <f aca="false">IF(B1894="","",IFERROR(INDEX(Products!$B$2:$B$501,MATCH(B1894,Products!$A$2:$A$501,0)),"CODE NOT FOUND"))</f>
        <v/>
      </c>
      <c r="D1894" s="7"/>
      <c r="E1894" s="13"/>
      <c r="F1894" s="17" t="str">
        <f aca="false">IF(OR(D1894="",E1894=""),"",D1894*E1894)</f>
        <v/>
      </c>
      <c r="G1894" s="7"/>
      <c r="H1894" s="7"/>
    </row>
    <row r="1895" customFormat="false" ht="15" hidden="false" customHeight="true" outlineLevel="0" collapsed="false">
      <c r="A1895" s="15"/>
      <c r="B1895" s="7"/>
      <c r="C1895" s="16" t="str">
        <f aca="false">IF(B1895="","",IFERROR(INDEX(Products!$B$2:$B$501,MATCH(B1895,Products!$A$2:$A$501,0)),"CODE NOT FOUND"))</f>
        <v/>
      </c>
      <c r="D1895" s="7"/>
      <c r="E1895" s="13"/>
      <c r="F1895" s="17" t="str">
        <f aca="false">IF(OR(D1895="",E1895=""),"",D1895*E1895)</f>
        <v/>
      </c>
      <c r="G1895" s="7"/>
      <c r="H1895" s="7"/>
    </row>
    <row r="1896" customFormat="false" ht="15" hidden="false" customHeight="true" outlineLevel="0" collapsed="false">
      <c r="A1896" s="15"/>
      <c r="B1896" s="7"/>
      <c r="C1896" s="16" t="str">
        <f aca="false">IF(B1896="","",IFERROR(INDEX(Products!$B$2:$B$501,MATCH(B1896,Products!$A$2:$A$501,0)),"CODE NOT FOUND"))</f>
        <v/>
      </c>
      <c r="D1896" s="7"/>
      <c r="E1896" s="13"/>
      <c r="F1896" s="17" t="str">
        <f aca="false">IF(OR(D1896="",E1896=""),"",D1896*E1896)</f>
        <v/>
      </c>
      <c r="G1896" s="7"/>
      <c r="H1896" s="7"/>
    </row>
    <row r="1897" customFormat="false" ht="15" hidden="false" customHeight="true" outlineLevel="0" collapsed="false">
      <c r="A1897" s="15"/>
      <c r="B1897" s="7"/>
      <c r="C1897" s="16" t="str">
        <f aca="false">IF(B1897="","",IFERROR(INDEX(Products!$B$2:$B$501,MATCH(B1897,Products!$A$2:$A$501,0)),"CODE NOT FOUND"))</f>
        <v/>
      </c>
      <c r="D1897" s="7"/>
      <c r="E1897" s="13"/>
      <c r="F1897" s="17" t="str">
        <f aca="false">IF(OR(D1897="",E1897=""),"",D1897*E1897)</f>
        <v/>
      </c>
      <c r="G1897" s="7"/>
      <c r="H1897" s="7"/>
    </row>
    <row r="1898" customFormat="false" ht="15" hidden="false" customHeight="true" outlineLevel="0" collapsed="false">
      <c r="A1898" s="15"/>
      <c r="B1898" s="7"/>
      <c r="C1898" s="16" t="str">
        <f aca="false">IF(B1898="","",IFERROR(INDEX(Products!$B$2:$B$501,MATCH(B1898,Products!$A$2:$A$501,0)),"CODE NOT FOUND"))</f>
        <v/>
      </c>
      <c r="D1898" s="7"/>
      <c r="E1898" s="13"/>
      <c r="F1898" s="17" t="str">
        <f aca="false">IF(OR(D1898="",E1898=""),"",D1898*E1898)</f>
        <v/>
      </c>
      <c r="G1898" s="7"/>
      <c r="H1898" s="7"/>
    </row>
    <row r="1899" customFormat="false" ht="15" hidden="false" customHeight="true" outlineLevel="0" collapsed="false">
      <c r="A1899" s="15"/>
      <c r="B1899" s="7"/>
      <c r="C1899" s="16" t="str">
        <f aca="false">IF(B1899="","",IFERROR(INDEX(Products!$B$2:$B$501,MATCH(B1899,Products!$A$2:$A$501,0)),"CODE NOT FOUND"))</f>
        <v/>
      </c>
      <c r="D1899" s="7"/>
      <c r="E1899" s="13"/>
      <c r="F1899" s="17" t="str">
        <f aca="false">IF(OR(D1899="",E1899=""),"",D1899*E1899)</f>
        <v/>
      </c>
      <c r="G1899" s="7"/>
      <c r="H1899" s="7"/>
    </row>
    <row r="1900" customFormat="false" ht="15" hidden="false" customHeight="true" outlineLevel="0" collapsed="false">
      <c r="A1900" s="15"/>
      <c r="B1900" s="7"/>
      <c r="C1900" s="16" t="str">
        <f aca="false">IF(B1900="","",IFERROR(INDEX(Products!$B$2:$B$501,MATCH(B1900,Products!$A$2:$A$501,0)),"CODE NOT FOUND"))</f>
        <v/>
      </c>
      <c r="D1900" s="7"/>
      <c r="E1900" s="13"/>
      <c r="F1900" s="17" t="str">
        <f aca="false">IF(OR(D1900="",E1900=""),"",D1900*E1900)</f>
        <v/>
      </c>
      <c r="G1900" s="7"/>
      <c r="H1900" s="7"/>
    </row>
    <row r="1901" customFormat="false" ht="15" hidden="false" customHeight="true" outlineLevel="0" collapsed="false">
      <c r="A1901" s="15"/>
      <c r="B1901" s="7"/>
      <c r="C1901" s="16" t="str">
        <f aca="false">IF(B1901="","",IFERROR(INDEX(Products!$B$2:$B$501,MATCH(B1901,Products!$A$2:$A$501,0)),"CODE NOT FOUND"))</f>
        <v/>
      </c>
      <c r="D1901" s="7"/>
      <c r="E1901" s="13"/>
      <c r="F1901" s="17" t="str">
        <f aca="false">IF(OR(D1901="",E1901=""),"",D1901*E1901)</f>
        <v/>
      </c>
      <c r="G1901" s="7"/>
      <c r="H1901" s="7"/>
    </row>
    <row r="1902" customFormat="false" ht="15" hidden="false" customHeight="true" outlineLevel="0" collapsed="false">
      <c r="A1902" s="15"/>
      <c r="B1902" s="7"/>
      <c r="C1902" s="16" t="str">
        <f aca="false">IF(B1902="","",IFERROR(INDEX(Products!$B$2:$B$501,MATCH(B1902,Products!$A$2:$A$501,0)),"CODE NOT FOUND"))</f>
        <v/>
      </c>
      <c r="D1902" s="7"/>
      <c r="E1902" s="13"/>
      <c r="F1902" s="17" t="str">
        <f aca="false">IF(OR(D1902="",E1902=""),"",D1902*E1902)</f>
        <v/>
      </c>
      <c r="G1902" s="7"/>
      <c r="H1902" s="7"/>
    </row>
    <row r="1903" customFormat="false" ht="15" hidden="false" customHeight="true" outlineLevel="0" collapsed="false">
      <c r="A1903" s="15"/>
      <c r="B1903" s="7"/>
      <c r="C1903" s="16" t="str">
        <f aca="false">IF(B1903="","",IFERROR(INDEX(Products!$B$2:$B$501,MATCH(B1903,Products!$A$2:$A$501,0)),"CODE NOT FOUND"))</f>
        <v/>
      </c>
      <c r="D1903" s="7"/>
      <c r="E1903" s="13"/>
      <c r="F1903" s="17" t="str">
        <f aca="false">IF(OR(D1903="",E1903=""),"",D1903*E1903)</f>
        <v/>
      </c>
      <c r="G1903" s="7"/>
      <c r="H1903" s="7"/>
    </row>
    <row r="1904" customFormat="false" ht="15" hidden="false" customHeight="true" outlineLevel="0" collapsed="false">
      <c r="A1904" s="15"/>
      <c r="B1904" s="7"/>
      <c r="C1904" s="16" t="str">
        <f aca="false">IF(B1904="","",IFERROR(INDEX(Products!$B$2:$B$501,MATCH(B1904,Products!$A$2:$A$501,0)),"CODE NOT FOUND"))</f>
        <v/>
      </c>
      <c r="D1904" s="7"/>
      <c r="E1904" s="13"/>
      <c r="F1904" s="17" t="str">
        <f aca="false">IF(OR(D1904="",E1904=""),"",D1904*E1904)</f>
        <v/>
      </c>
      <c r="G1904" s="7"/>
      <c r="H1904" s="7"/>
    </row>
    <row r="1905" customFormat="false" ht="15" hidden="false" customHeight="true" outlineLevel="0" collapsed="false">
      <c r="A1905" s="15"/>
      <c r="B1905" s="7"/>
      <c r="C1905" s="16" t="str">
        <f aca="false">IF(B1905="","",IFERROR(INDEX(Products!$B$2:$B$501,MATCH(B1905,Products!$A$2:$A$501,0)),"CODE NOT FOUND"))</f>
        <v/>
      </c>
      <c r="D1905" s="7"/>
      <c r="E1905" s="13"/>
      <c r="F1905" s="17" t="str">
        <f aca="false">IF(OR(D1905="",E1905=""),"",D1905*E1905)</f>
        <v/>
      </c>
      <c r="G1905" s="7"/>
      <c r="H1905" s="7"/>
    </row>
    <row r="1906" customFormat="false" ht="15" hidden="false" customHeight="true" outlineLevel="0" collapsed="false">
      <c r="A1906" s="15"/>
      <c r="B1906" s="7"/>
      <c r="C1906" s="16" t="str">
        <f aca="false">IF(B1906="","",IFERROR(INDEX(Products!$B$2:$B$501,MATCH(B1906,Products!$A$2:$A$501,0)),"CODE NOT FOUND"))</f>
        <v/>
      </c>
      <c r="D1906" s="7"/>
      <c r="E1906" s="13"/>
      <c r="F1906" s="17" t="str">
        <f aca="false">IF(OR(D1906="",E1906=""),"",D1906*E1906)</f>
        <v/>
      </c>
      <c r="G1906" s="7"/>
      <c r="H1906" s="7"/>
    </row>
    <row r="1907" customFormat="false" ht="15" hidden="false" customHeight="true" outlineLevel="0" collapsed="false">
      <c r="A1907" s="15"/>
      <c r="B1907" s="7"/>
      <c r="C1907" s="16" t="str">
        <f aca="false">IF(B1907="","",IFERROR(INDEX(Products!$B$2:$B$501,MATCH(B1907,Products!$A$2:$A$501,0)),"CODE NOT FOUND"))</f>
        <v/>
      </c>
      <c r="D1907" s="7"/>
      <c r="E1907" s="13"/>
      <c r="F1907" s="17" t="str">
        <f aca="false">IF(OR(D1907="",E1907=""),"",D1907*E1907)</f>
        <v/>
      </c>
      <c r="G1907" s="7"/>
      <c r="H1907" s="7"/>
    </row>
    <row r="1908" customFormat="false" ht="15" hidden="false" customHeight="true" outlineLevel="0" collapsed="false">
      <c r="A1908" s="15"/>
      <c r="B1908" s="7"/>
      <c r="C1908" s="16" t="str">
        <f aca="false">IF(B1908="","",IFERROR(INDEX(Products!$B$2:$B$501,MATCH(B1908,Products!$A$2:$A$501,0)),"CODE NOT FOUND"))</f>
        <v/>
      </c>
      <c r="D1908" s="7"/>
      <c r="E1908" s="13"/>
      <c r="F1908" s="17" t="str">
        <f aca="false">IF(OR(D1908="",E1908=""),"",D1908*E1908)</f>
        <v/>
      </c>
      <c r="G1908" s="7"/>
      <c r="H1908" s="7"/>
    </row>
    <row r="1909" customFormat="false" ht="15" hidden="false" customHeight="true" outlineLevel="0" collapsed="false">
      <c r="A1909" s="15"/>
      <c r="B1909" s="7"/>
      <c r="C1909" s="16" t="str">
        <f aca="false">IF(B1909="","",IFERROR(INDEX(Products!$B$2:$B$501,MATCH(B1909,Products!$A$2:$A$501,0)),"CODE NOT FOUND"))</f>
        <v/>
      </c>
      <c r="D1909" s="7"/>
      <c r="E1909" s="13"/>
      <c r="F1909" s="17" t="str">
        <f aca="false">IF(OR(D1909="",E1909=""),"",D1909*E1909)</f>
        <v/>
      </c>
      <c r="G1909" s="7"/>
      <c r="H1909" s="7"/>
    </row>
    <row r="1910" customFormat="false" ht="15" hidden="false" customHeight="true" outlineLevel="0" collapsed="false">
      <c r="A1910" s="15"/>
      <c r="B1910" s="7"/>
      <c r="C1910" s="16" t="str">
        <f aca="false">IF(B1910="","",IFERROR(INDEX(Products!$B$2:$B$501,MATCH(B1910,Products!$A$2:$A$501,0)),"CODE NOT FOUND"))</f>
        <v/>
      </c>
      <c r="D1910" s="7"/>
      <c r="E1910" s="13"/>
      <c r="F1910" s="17" t="str">
        <f aca="false">IF(OR(D1910="",E1910=""),"",D1910*E1910)</f>
        <v/>
      </c>
      <c r="G1910" s="7"/>
      <c r="H1910" s="7"/>
    </row>
    <row r="1911" customFormat="false" ht="15" hidden="false" customHeight="true" outlineLevel="0" collapsed="false">
      <c r="A1911" s="15"/>
      <c r="B1911" s="7"/>
      <c r="C1911" s="16" t="str">
        <f aca="false">IF(B1911="","",IFERROR(INDEX(Products!$B$2:$B$501,MATCH(B1911,Products!$A$2:$A$501,0)),"CODE NOT FOUND"))</f>
        <v/>
      </c>
      <c r="D1911" s="7"/>
      <c r="E1911" s="13"/>
      <c r="F1911" s="17" t="str">
        <f aca="false">IF(OR(D1911="",E1911=""),"",D1911*E1911)</f>
        <v/>
      </c>
      <c r="G1911" s="7"/>
      <c r="H1911" s="7"/>
    </row>
    <row r="1912" customFormat="false" ht="15" hidden="false" customHeight="true" outlineLevel="0" collapsed="false">
      <c r="A1912" s="15"/>
      <c r="B1912" s="7"/>
      <c r="C1912" s="16" t="str">
        <f aca="false">IF(B1912="","",IFERROR(INDEX(Products!$B$2:$B$501,MATCH(B1912,Products!$A$2:$A$501,0)),"CODE NOT FOUND"))</f>
        <v/>
      </c>
      <c r="D1912" s="7"/>
      <c r="E1912" s="13"/>
      <c r="F1912" s="17" t="str">
        <f aca="false">IF(OR(D1912="",E1912=""),"",D1912*E1912)</f>
        <v/>
      </c>
      <c r="G1912" s="7"/>
      <c r="H1912" s="7"/>
    </row>
    <row r="1913" customFormat="false" ht="15" hidden="false" customHeight="true" outlineLevel="0" collapsed="false">
      <c r="A1913" s="15"/>
      <c r="B1913" s="7"/>
      <c r="C1913" s="16" t="str">
        <f aca="false">IF(B1913="","",IFERROR(INDEX(Products!$B$2:$B$501,MATCH(B1913,Products!$A$2:$A$501,0)),"CODE NOT FOUND"))</f>
        <v/>
      </c>
      <c r="D1913" s="7"/>
      <c r="E1913" s="13"/>
      <c r="F1913" s="17" t="str">
        <f aca="false">IF(OR(D1913="",E1913=""),"",D1913*E1913)</f>
        <v/>
      </c>
      <c r="G1913" s="7"/>
      <c r="H1913" s="7"/>
    </row>
    <row r="1914" customFormat="false" ht="15" hidden="false" customHeight="true" outlineLevel="0" collapsed="false">
      <c r="A1914" s="15"/>
      <c r="B1914" s="7"/>
      <c r="C1914" s="16" t="str">
        <f aca="false">IF(B1914="","",IFERROR(INDEX(Products!$B$2:$B$501,MATCH(B1914,Products!$A$2:$A$501,0)),"CODE NOT FOUND"))</f>
        <v/>
      </c>
      <c r="D1914" s="7"/>
      <c r="E1914" s="13"/>
      <c r="F1914" s="17" t="str">
        <f aca="false">IF(OR(D1914="",E1914=""),"",D1914*E1914)</f>
        <v/>
      </c>
      <c r="G1914" s="7"/>
      <c r="H1914" s="7"/>
    </row>
    <row r="1915" customFormat="false" ht="15" hidden="false" customHeight="true" outlineLevel="0" collapsed="false">
      <c r="A1915" s="15"/>
      <c r="B1915" s="7"/>
      <c r="C1915" s="16" t="str">
        <f aca="false">IF(B1915="","",IFERROR(INDEX(Products!$B$2:$B$501,MATCH(B1915,Products!$A$2:$A$501,0)),"CODE NOT FOUND"))</f>
        <v/>
      </c>
      <c r="D1915" s="7"/>
      <c r="E1915" s="13"/>
      <c r="F1915" s="17" t="str">
        <f aca="false">IF(OR(D1915="",E1915=""),"",D1915*E1915)</f>
        <v/>
      </c>
      <c r="G1915" s="7"/>
      <c r="H1915" s="7"/>
    </row>
    <row r="1916" customFormat="false" ht="15" hidden="false" customHeight="true" outlineLevel="0" collapsed="false">
      <c r="A1916" s="15"/>
      <c r="B1916" s="7"/>
      <c r="C1916" s="16" t="str">
        <f aca="false">IF(B1916="","",IFERROR(INDEX(Products!$B$2:$B$501,MATCH(B1916,Products!$A$2:$A$501,0)),"CODE NOT FOUND"))</f>
        <v/>
      </c>
      <c r="D1916" s="7"/>
      <c r="E1916" s="13"/>
      <c r="F1916" s="17" t="str">
        <f aca="false">IF(OR(D1916="",E1916=""),"",D1916*E1916)</f>
        <v/>
      </c>
      <c r="G1916" s="7"/>
      <c r="H1916" s="7"/>
    </row>
    <row r="1917" customFormat="false" ht="15" hidden="false" customHeight="true" outlineLevel="0" collapsed="false">
      <c r="A1917" s="15"/>
      <c r="B1917" s="7"/>
      <c r="C1917" s="16" t="str">
        <f aca="false">IF(B1917="","",IFERROR(INDEX(Products!$B$2:$B$501,MATCH(B1917,Products!$A$2:$A$501,0)),"CODE NOT FOUND"))</f>
        <v/>
      </c>
      <c r="D1917" s="7"/>
      <c r="E1917" s="13"/>
      <c r="F1917" s="17" t="str">
        <f aca="false">IF(OR(D1917="",E1917=""),"",D1917*E1917)</f>
        <v/>
      </c>
      <c r="G1917" s="7"/>
      <c r="H1917" s="7"/>
    </row>
    <row r="1918" customFormat="false" ht="15" hidden="false" customHeight="true" outlineLevel="0" collapsed="false">
      <c r="A1918" s="15"/>
      <c r="B1918" s="7"/>
      <c r="C1918" s="16" t="str">
        <f aca="false">IF(B1918="","",IFERROR(INDEX(Products!$B$2:$B$501,MATCH(B1918,Products!$A$2:$A$501,0)),"CODE NOT FOUND"))</f>
        <v/>
      </c>
      <c r="D1918" s="7"/>
      <c r="E1918" s="13"/>
      <c r="F1918" s="17" t="str">
        <f aca="false">IF(OR(D1918="",E1918=""),"",D1918*E1918)</f>
        <v/>
      </c>
      <c r="G1918" s="7"/>
      <c r="H1918" s="7"/>
    </row>
    <row r="1919" customFormat="false" ht="15" hidden="false" customHeight="true" outlineLevel="0" collapsed="false">
      <c r="A1919" s="15"/>
      <c r="B1919" s="7"/>
      <c r="C1919" s="16" t="str">
        <f aca="false">IF(B1919="","",IFERROR(INDEX(Products!$B$2:$B$501,MATCH(B1919,Products!$A$2:$A$501,0)),"CODE NOT FOUND"))</f>
        <v/>
      </c>
      <c r="D1919" s="7"/>
      <c r="E1919" s="13"/>
      <c r="F1919" s="17" t="str">
        <f aca="false">IF(OR(D1919="",E1919=""),"",D1919*E1919)</f>
        <v/>
      </c>
      <c r="G1919" s="7"/>
      <c r="H1919" s="7"/>
    </row>
    <row r="1920" customFormat="false" ht="15" hidden="false" customHeight="true" outlineLevel="0" collapsed="false">
      <c r="A1920" s="15"/>
      <c r="B1920" s="7"/>
      <c r="C1920" s="16" t="str">
        <f aca="false">IF(B1920="","",IFERROR(INDEX(Products!$B$2:$B$501,MATCH(B1920,Products!$A$2:$A$501,0)),"CODE NOT FOUND"))</f>
        <v/>
      </c>
      <c r="D1920" s="7"/>
      <c r="E1920" s="13"/>
      <c r="F1920" s="17" t="str">
        <f aca="false">IF(OR(D1920="",E1920=""),"",D1920*E1920)</f>
        <v/>
      </c>
      <c r="G1920" s="7"/>
      <c r="H1920" s="7"/>
    </row>
    <row r="1921" customFormat="false" ht="15" hidden="false" customHeight="true" outlineLevel="0" collapsed="false">
      <c r="A1921" s="15"/>
      <c r="B1921" s="7"/>
      <c r="C1921" s="16" t="str">
        <f aca="false">IF(B1921="","",IFERROR(INDEX(Products!$B$2:$B$501,MATCH(B1921,Products!$A$2:$A$501,0)),"CODE NOT FOUND"))</f>
        <v/>
      </c>
      <c r="D1921" s="7"/>
      <c r="E1921" s="13"/>
      <c r="F1921" s="17" t="str">
        <f aca="false">IF(OR(D1921="",E1921=""),"",D1921*E1921)</f>
        <v/>
      </c>
      <c r="G1921" s="7"/>
      <c r="H1921" s="7"/>
    </row>
    <row r="1922" customFormat="false" ht="15" hidden="false" customHeight="true" outlineLevel="0" collapsed="false">
      <c r="A1922" s="15"/>
      <c r="B1922" s="7"/>
      <c r="C1922" s="16" t="str">
        <f aca="false">IF(B1922="","",IFERROR(INDEX(Products!$B$2:$B$501,MATCH(B1922,Products!$A$2:$A$501,0)),"CODE NOT FOUND"))</f>
        <v/>
      </c>
      <c r="D1922" s="7"/>
      <c r="E1922" s="13"/>
      <c r="F1922" s="17" t="str">
        <f aca="false">IF(OR(D1922="",E1922=""),"",D1922*E1922)</f>
        <v/>
      </c>
      <c r="G1922" s="7"/>
      <c r="H1922" s="7"/>
    </row>
    <row r="1923" customFormat="false" ht="15" hidden="false" customHeight="true" outlineLevel="0" collapsed="false">
      <c r="A1923" s="15"/>
      <c r="B1923" s="7"/>
      <c r="C1923" s="16" t="str">
        <f aca="false">IF(B1923="","",IFERROR(INDEX(Products!$B$2:$B$501,MATCH(B1923,Products!$A$2:$A$501,0)),"CODE NOT FOUND"))</f>
        <v/>
      </c>
      <c r="D1923" s="7"/>
      <c r="E1923" s="13"/>
      <c r="F1923" s="17" t="str">
        <f aca="false">IF(OR(D1923="",E1923=""),"",D1923*E1923)</f>
        <v/>
      </c>
      <c r="G1923" s="7"/>
      <c r="H1923" s="7"/>
    </row>
    <row r="1924" customFormat="false" ht="15" hidden="false" customHeight="true" outlineLevel="0" collapsed="false">
      <c r="A1924" s="15"/>
      <c r="B1924" s="7"/>
      <c r="C1924" s="16" t="str">
        <f aca="false">IF(B1924="","",IFERROR(INDEX(Products!$B$2:$B$501,MATCH(B1924,Products!$A$2:$A$501,0)),"CODE NOT FOUND"))</f>
        <v/>
      </c>
      <c r="D1924" s="7"/>
      <c r="E1924" s="13"/>
      <c r="F1924" s="17" t="str">
        <f aca="false">IF(OR(D1924="",E1924=""),"",D1924*E1924)</f>
        <v/>
      </c>
      <c r="G1924" s="7"/>
      <c r="H1924" s="7"/>
    </row>
    <row r="1925" customFormat="false" ht="15" hidden="false" customHeight="true" outlineLevel="0" collapsed="false">
      <c r="A1925" s="15"/>
      <c r="B1925" s="7"/>
      <c r="C1925" s="16" t="str">
        <f aca="false">IF(B1925="","",IFERROR(INDEX(Products!$B$2:$B$501,MATCH(B1925,Products!$A$2:$A$501,0)),"CODE NOT FOUND"))</f>
        <v/>
      </c>
      <c r="D1925" s="7"/>
      <c r="E1925" s="13"/>
      <c r="F1925" s="17" t="str">
        <f aca="false">IF(OR(D1925="",E1925=""),"",D1925*E1925)</f>
        <v/>
      </c>
      <c r="G1925" s="7"/>
      <c r="H1925" s="7"/>
    </row>
    <row r="1926" customFormat="false" ht="15" hidden="false" customHeight="true" outlineLevel="0" collapsed="false">
      <c r="A1926" s="15"/>
      <c r="B1926" s="7"/>
      <c r="C1926" s="16" t="str">
        <f aca="false">IF(B1926="","",IFERROR(INDEX(Products!$B$2:$B$501,MATCH(B1926,Products!$A$2:$A$501,0)),"CODE NOT FOUND"))</f>
        <v/>
      </c>
      <c r="D1926" s="7"/>
      <c r="E1926" s="13"/>
      <c r="F1926" s="17" t="str">
        <f aca="false">IF(OR(D1926="",E1926=""),"",D1926*E1926)</f>
        <v/>
      </c>
      <c r="G1926" s="7"/>
      <c r="H1926" s="7"/>
    </row>
    <row r="1927" customFormat="false" ht="15" hidden="false" customHeight="true" outlineLevel="0" collapsed="false">
      <c r="A1927" s="15"/>
      <c r="B1927" s="7"/>
      <c r="C1927" s="16" t="str">
        <f aca="false">IF(B1927="","",IFERROR(INDEX(Products!$B$2:$B$501,MATCH(B1927,Products!$A$2:$A$501,0)),"CODE NOT FOUND"))</f>
        <v/>
      </c>
      <c r="D1927" s="7"/>
      <c r="E1927" s="13"/>
      <c r="F1927" s="17" t="str">
        <f aca="false">IF(OR(D1927="",E1927=""),"",D1927*E1927)</f>
        <v/>
      </c>
      <c r="G1927" s="7"/>
      <c r="H1927" s="7"/>
    </row>
    <row r="1928" customFormat="false" ht="15" hidden="false" customHeight="true" outlineLevel="0" collapsed="false">
      <c r="A1928" s="15"/>
      <c r="B1928" s="7"/>
      <c r="C1928" s="16" t="str">
        <f aca="false">IF(B1928="","",IFERROR(INDEX(Products!$B$2:$B$501,MATCH(B1928,Products!$A$2:$A$501,0)),"CODE NOT FOUND"))</f>
        <v/>
      </c>
      <c r="D1928" s="7"/>
      <c r="E1928" s="13"/>
      <c r="F1928" s="17" t="str">
        <f aca="false">IF(OR(D1928="",E1928=""),"",D1928*E1928)</f>
        <v/>
      </c>
      <c r="G1928" s="7"/>
      <c r="H1928" s="7"/>
    </row>
    <row r="1929" customFormat="false" ht="15" hidden="false" customHeight="true" outlineLevel="0" collapsed="false">
      <c r="A1929" s="15"/>
      <c r="B1929" s="7"/>
      <c r="C1929" s="16" t="str">
        <f aca="false">IF(B1929="","",IFERROR(INDEX(Products!$B$2:$B$501,MATCH(B1929,Products!$A$2:$A$501,0)),"CODE NOT FOUND"))</f>
        <v/>
      </c>
      <c r="D1929" s="7"/>
      <c r="E1929" s="13"/>
      <c r="F1929" s="17" t="str">
        <f aca="false">IF(OR(D1929="",E1929=""),"",D1929*E1929)</f>
        <v/>
      </c>
      <c r="G1929" s="7"/>
      <c r="H1929" s="7"/>
    </row>
    <row r="1930" customFormat="false" ht="15" hidden="false" customHeight="true" outlineLevel="0" collapsed="false">
      <c r="A1930" s="15"/>
      <c r="B1930" s="7"/>
      <c r="C1930" s="16" t="str">
        <f aca="false">IF(B1930="","",IFERROR(INDEX(Products!$B$2:$B$501,MATCH(B1930,Products!$A$2:$A$501,0)),"CODE NOT FOUND"))</f>
        <v/>
      </c>
      <c r="D1930" s="7"/>
      <c r="E1930" s="13"/>
      <c r="F1930" s="17" t="str">
        <f aca="false">IF(OR(D1930="",E1930=""),"",D1930*E1930)</f>
        <v/>
      </c>
      <c r="G1930" s="7"/>
      <c r="H1930" s="7"/>
    </row>
    <row r="1931" customFormat="false" ht="15" hidden="false" customHeight="true" outlineLevel="0" collapsed="false">
      <c r="A1931" s="15"/>
      <c r="B1931" s="7"/>
      <c r="C1931" s="16" t="str">
        <f aca="false">IF(B1931="","",IFERROR(INDEX(Products!$B$2:$B$501,MATCH(B1931,Products!$A$2:$A$501,0)),"CODE NOT FOUND"))</f>
        <v/>
      </c>
      <c r="D1931" s="7"/>
      <c r="E1931" s="13"/>
      <c r="F1931" s="17" t="str">
        <f aca="false">IF(OR(D1931="",E1931=""),"",D1931*E1931)</f>
        <v/>
      </c>
      <c r="G1931" s="7"/>
      <c r="H1931" s="7"/>
    </row>
    <row r="1932" customFormat="false" ht="15" hidden="false" customHeight="true" outlineLevel="0" collapsed="false">
      <c r="A1932" s="15"/>
      <c r="B1932" s="7"/>
      <c r="C1932" s="16" t="str">
        <f aca="false">IF(B1932="","",IFERROR(INDEX(Products!$B$2:$B$501,MATCH(B1932,Products!$A$2:$A$501,0)),"CODE NOT FOUND"))</f>
        <v/>
      </c>
      <c r="D1932" s="7"/>
      <c r="E1932" s="13"/>
      <c r="F1932" s="17" t="str">
        <f aca="false">IF(OR(D1932="",E1932=""),"",D1932*E1932)</f>
        <v/>
      </c>
      <c r="G1932" s="7"/>
      <c r="H1932" s="7"/>
    </row>
    <row r="1933" customFormat="false" ht="15" hidden="false" customHeight="true" outlineLevel="0" collapsed="false">
      <c r="A1933" s="15"/>
      <c r="B1933" s="7"/>
      <c r="C1933" s="16" t="str">
        <f aca="false">IF(B1933="","",IFERROR(INDEX(Products!$B$2:$B$501,MATCH(B1933,Products!$A$2:$A$501,0)),"CODE NOT FOUND"))</f>
        <v/>
      </c>
      <c r="D1933" s="7"/>
      <c r="E1933" s="13"/>
      <c r="F1933" s="17" t="str">
        <f aca="false">IF(OR(D1933="",E1933=""),"",D1933*E1933)</f>
        <v/>
      </c>
      <c r="G1933" s="7"/>
      <c r="H1933" s="7"/>
    </row>
    <row r="1934" customFormat="false" ht="15" hidden="false" customHeight="true" outlineLevel="0" collapsed="false">
      <c r="A1934" s="15"/>
      <c r="B1934" s="7"/>
      <c r="C1934" s="16" t="str">
        <f aca="false">IF(B1934="","",IFERROR(INDEX(Products!$B$2:$B$501,MATCH(B1934,Products!$A$2:$A$501,0)),"CODE NOT FOUND"))</f>
        <v/>
      </c>
      <c r="D1934" s="7"/>
      <c r="E1934" s="13"/>
      <c r="F1934" s="17" t="str">
        <f aca="false">IF(OR(D1934="",E1934=""),"",D1934*E1934)</f>
        <v/>
      </c>
      <c r="G1934" s="7"/>
      <c r="H1934" s="7"/>
    </row>
    <row r="1935" customFormat="false" ht="15" hidden="false" customHeight="true" outlineLevel="0" collapsed="false">
      <c r="A1935" s="15"/>
      <c r="B1935" s="7"/>
      <c r="C1935" s="16" t="str">
        <f aca="false">IF(B1935="","",IFERROR(INDEX(Products!$B$2:$B$501,MATCH(B1935,Products!$A$2:$A$501,0)),"CODE NOT FOUND"))</f>
        <v/>
      </c>
      <c r="D1935" s="7"/>
      <c r="E1935" s="13"/>
      <c r="F1935" s="17" t="str">
        <f aca="false">IF(OR(D1935="",E1935=""),"",D1935*E1935)</f>
        <v/>
      </c>
      <c r="G1935" s="7"/>
      <c r="H1935" s="7"/>
    </row>
    <row r="1936" customFormat="false" ht="15" hidden="false" customHeight="true" outlineLevel="0" collapsed="false">
      <c r="A1936" s="15"/>
      <c r="B1936" s="7"/>
      <c r="C1936" s="16" t="str">
        <f aca="false">IF(B1936="","",IFERROR(INDEX(Products!$B$2:$B$501,MATCH(B1936,Products!$A$2:$A$501,0)),"CODE NOT FOUND"))</f>
        <v/>
      </c>
      <c r="D1936" s="7"/>
      <c r="E1936" s="13"/>
      <c r="F1936" s="17" t="str">
        <f aca="false">IF(OR(D1936="",E1936=""),"",D1936*E1936)</f>
        <v/>
      </c>
      <c r="G1936" s="7"/>
      <c r="H1936" s="7"/>
    </row>
    <row r="1937" customFormat="false" ht="15" hidden="false" customHeight="true" outlineLevel="0" collapsed="false">
      <c r="A1937" s="15"/>
      <c r="B1937" s="7"/>
      <c r="C1937" s="16" t="str">
        <f aca="false">IF(B1937="","",IFERROR(INDEX(Products!$B$2:$B$501,MATCH(B1937,Products!$A$2:$A$501,0)),"CODE NOT FOUND"))</f>
        <v/>
      </c>
      <c r="D1937" s="7"/>
      <c r="E1937" s="13"/>
      <c r="F1937" s="17" t="str">
        <f aca="false">IF(OR(D1937="",E1937=""),"",D1937*E1937)</f>
        <v/>
      </c>
      <c r="G1937" s="7"/>
      <c r="H1937" s="7"/>
    </row>
    <row r="1938" customFormat="false" ht="15" hidden="false" customHeight="true" outlineLevel="0" collapsed="false">
      <c r="A1938" s="15"/>
      <c r="B1938" s="7"/>
      <c r="C1938" s="16" t="str">
        <f aca="false">IF(B1938="","",IFERROR(INDEX(Products!$B$2:$B$501,MATCH(B1938,Products!$A$2:$A$501,0)),"CODE NOT FOUND"))</f>
        <v/>
      </c>
      <c r="D1938" s="7"/>
      <c r="E1938" s="13"/>
      <c r="F1938" s="17" t="str">
        <f aca="false">IF(OR(D1938="",E1938=""),"",D1938*E1938)</f>
        <v/>
      </c>
      <c r="G1938" s="7"/>
      <c r="H1938" s="7"/>
    </row>
    <row r="1939" customFormat="false" ht="15" hidden="false" customHeight="true" outlineLevel="0" collapsed="false">
      <c r="A1939" s="15"/>
      <c r="B1939" s="7"/>
      <c r="C1939" s="16" t="str">
        <f aca="false">IF(B1939="","",IFERROR(INDEX(Products!$B$2:$B$501,MATCH(B1939,Products!$A$2:$A$501,0)),"CODE NOT FOUND"))</f>
        <v/>
      </c>
      <c r="D1939" s="7"/>
      <c r="E1939" s="13"/>
      <c r="F1939" s="17" t="str">
        <f aca="false">IF(OR(D1939="",E1939=""),"",D1939*E1939)</f>
        <v/>
      </c>
      <c r="G1939" s="7"/>
      <c r="H1939" s="7"/>
    </row>
    <row r="1940" customFormat="false" ht="15" hidden="false" customHeight="true" outlineLevel="0" collapsed="false">
      <c r="A1940" s="15"/>
      <c r="B1940" s="7"/>
      <c r="C1940" s="16" t="str">
        <f aca="false">IF(B1940="","",IFERROR(INDEX(Products!$B$2:$B$501,MATCH(B1940,Products!$A$2:$A$501,0)),"CODE NOT FOUND"))</f>
        <v/>
      </c>
      <c r="D1940" s="7"/>
      <c r="E1940" s="13"/>
      <c r="F1940" s="17" t="str">
        <f aca="false">IF(OR(D1940="",E1940=""),"",D1940*E1940)</f>
        <v/>
      </c>
      <c r="G1940" s="7"/>
      <c r="H1940" s="7"/>
    </row>
    <row r="1941" customFormat="false" ht="15" hidden="false" customHeight="true" outlineLevel="0" collapsed="false">
      <c r="A1941" s="15"/>
      <c r="B1941" s="7"/>
      <c r="C1941" s="16" t="str">
        <f aca="false">IF(B1941="","",IFERROR(INDEX(Products!$B$2:$B$501,MATCH(B1941,Products!$A$2:$A$501,0)),"CODE NOT FOUND"))</f>
        <v/>
      </c>
      <c r="D1941" s="7"/>
      <c r="E1941" s="13"/>
      <c r="F1941" s="17" t="str">
        <f aca="false">IF(OR(D1941="",E1941=""),"",D1941*E1941)</f>
        <v/>
      </c>
      <c r="G1941" s="7"/>
      <c r="H1941" s="7"/>
    </row>
    <row r="1942" customFormat="false" ht="15" hidden="false" customHeight="true" outlineLevel="0" collapsed="false">
      <c r="A1942" s="15"/>
      <c r="B1942" s="7"/>
      <c r="C1942" s="16" t="str">
        <f aca="false">IF(B1942="","",IFERROR(INDEX(Products!$B$2:$B$501,MATCH(B1942,Products!$A$2:$A$501,0)),"CODE NOT FOUND"))</f>
        <v/>
      </c>
      <c r="D1942" s="7"/>
      <c r="E1942" s="13"/>
      <c r="F1942" s="17" t="str">
        <f aca="false">IF(OR(D1942="",E1942=""),"",D1942*E1942)</f>
        <v/>
      </c>
      <c r="G1942" s="7"/>
      <c r="H1942" s="7"/>
    </row>
    <row r="1943" customFormat="false" ht="15" hidden="false" customHeight="true" outlineLevel="0" collapsed="false">
      <c r="A1943" s="15"/>
      <c r="B1943" s="7"/>
      <c r="C1943" s="16" t="str">
        <f aca="false">IF(B1943="","",IFERROR(INDEX(Products!$B$2:$B$501,MATCH(B1943,Products!$A$2:$A$501,0)),"CODE NOT FOUND"))</f>
        <v/>
      </c>
      <c r="D1943" s="7"/>
      <c r="E1943" s="13"/>
      <c r="F1943" s="17" t="str">
        <f aca="false">IF(OR(D1943="",E1943=""),"",D1943*E1943)</f>
        <v/>
      </c>
      <c r="G1943" s="7"/>
      <c r="H1943" s="7"/>
    </row>
    <row r="1944" customFormat="false" ht="15" hidden="false" customHeight="true" outlineLevel="0" collapsed="false">
      <c r="A1944" s="15"/>
      <c r="B1944" s="7"/>
      <c r="C1944" s="16" t="str">
        <f aca="false">IF(B1944="","",IFERROR(INDEX(Products!$B$2:$B$501,MATCH(B1944,Products!$A$2:$A$501,0)),"CODE NOT FOUND"))</f>
        <v/>
      </c>
      <c r="D1944" s="7"/>
      <c r="E1944" s="13"/>
      <c r="F1944" s="17" t="str">
        <f aca="false">IF(OR(D1944="",E1944=""),"",D1944*E1944)</f>
        <v/>
      </c>
      <c r="G1944" s="7"/>
      <c r="H1944" s="7"/>
    </row>
    <row r="1945" customFormat="false" ht="15" hidden="false" customHeight="true" outlineLevel="0" collapsed="false">
      <c r="A1945" s="15"/>
      <c r="B1945" s="7"/>
      <c r="C1945" s="16" t="str">
        <f aca="false">IF(B1945="","",IFERROR(INDEX(Products!$B$2:$B$501,MATCH(B1945,Products!$A$2:$A$501,0)),"CODE NOT FOUND"))</f>
        <v/>
      </c>
      <c r="D1945" s="7"/>
      <c r="E1945" s="13"/>
      <c r="F1945" s="17" t="str">
        <f aca="false">IF(OR(D1945="",E1945=""),"",D1945*E1945)</f>
        <v/>
      </c>
      <c r="G1945" s="7"/>
      <c r="H1945" s="7"/>
    </row>
    <row r="1946" customFormat="false" ht="15" hidden="false" customHeight="true" outlineLevel="0" collapsed="false">
      <c r="A1946" s="15"/>
      <c r="B1946" s="7"/>
      <c r="C1946" s="16" t="str">
        <f aca="false">IF(B1946="","",IFERROR(INDEX(Products!$B$2:$B$501,MATCH(B1946,Products!$A$2:$A$501,0)),"CODE NOT FOUND"))</f>
        <v/>
      </c>
      <c r="D1946" s="7"/>
      <c r="E1946" s="13"/>
      <c r="F1946" s="17" t="str">
        <f aca="false">IF(OR(D1946="",E1946=""),"",D1946*E1946)</f>
        <v/>
      </c>
      <c r="G1946" s="7"/>
      <c r="H1946" s="7"/>
    </row>
    <row r="1947" customFormat="false" ht="15" hidden="false" customHeight="true" outlineLevel="0" collapsed="false">
      <c r="A1947" s="15"/>
      <c r="B1947" s="7"/>
      <c r="C1947" s="16" t="str">
        <f aca="false">IF(B1947="","",IFERROR(INDEX(Products!$B$2:$B$501,MATCH(B1947,Products!$A$2:$A$501,0)),"CODE NOT FOUND"))</f>
        <v/>
      </c>
      <c r="D1947" s="7"/>
      <c r="E1947" s="13"/>
      <c r="F1947" s="17" t="str">
        <f aca="false">IF(OR(D1947="",E1947=""),"",D1947*E1947)</f>
        <v/>
      </c>
      <c r="G1947" s="7"/>
      <c r="H1947" s="7"/>
    </row>
    <row r="1948" customFormat="false" ht="15" hidden="false" customHeight="true" outlineLevel="0" collapsed="false">
      <c r="A1948" s="15"/>
      <c r="B1948" s="7"/>
      <c r="C1948" s="16" t="str">
        <f aca="false">IF(B1948="","",IFERROR(INDEX(Products!$B$2:$B$501,MATCH(B1948,Products!$A$2:$A$501,0)),"CODE NOT FOUND"))</f>
        <v/>
      </c>
      <c r="D1948" s="7"/>
      <c r="E1948" s="13"/>
      <c r="F1948" s="17" t="str">
        <f aca="false">IF(OR(D1948="",E1948=""),"",D1948*E1948)</f>
        <v/>
      </c>
      <c r="G1948" s="7"/>
      <c r="H1948" s="7"/>
    </row>
    <row r="1949" customFormat="false" ht="15" hidden="false" customHeight="true" outlineLevel="0" collapsed="false">
      <c r="A1949" s="15"/>
      <c r="B1949" s="7"/>
      <c r="C1949" s="16" t="str">
        <f aca="false">IF(B1949="","",IFERROR(INDEX(Products!$B$2:$B$501,MATCH(B1949,Products!$A$2:$A$501,0)),"CODE NOT FOUND"))</f>
        <v/>
      </c>
      <c r="D1949" s="7"/>
      <c r="E1949" s="13"/>
      <c r="F1949" s="17" t="str">
        <f aca="false">IF(OR(D1949="",E1949=""),"",D1949*E1949)</f>
        <v/>
      </c>
      <c r="G1949" s="7"/>
      <c r="H1949" s="7"/>
    </row>
    <row r="1950" customFormat="false" ht="15" hidden="false" customHeight="true" outlineLevel="0" collapsed="false">
      <c r="A1950" s="15"/>
      <c r="B1950" s="7"/>
      <c r="C1950" s="16" t="str">
        <f aca="false">IF(B1950="","",IFERROR(INDEX(Products!$B$2:$B$501,MATCH(B1950,Products!$A$2:$A$501,0)),"CODE NOT FOUND"))</f>
        <v/>
      </c>
      <c r="D1950" s="7"/>
      <c r="E1950" s="13"/>
      <c r="F1950" s="17" t="str">
        <f aca="false">IF(OR(D1950="",E1950=""),"",D1950*E1950)</f>
        <v/>
      </c>
      <c r="G1950" s="7"/>
      <c r="H1950" s="7"/>
    </row>
    <row r="1951" customFormat="false" ht="15" hidden="false" customHeight="true" outlineLevel="0" collapsed="false">
      <c r="A1951" s="15"/>
      <c r="B1951" s="7"/>
      <c r="C1951" s="16" t="str">
        <f aca="false">IF(B1951="","",IFERROR(INDEX(Products!$B$2:$B$501,MATCH(B1951,Products!$A$2:$A$501,0)),"CODE NOT FOUND"))</f>
        <v/>
      </c>
      <c r="D1951" s="7"/>
      <c r="E1951" s="13"/>
      <c r="F1951" s="17" t="str">
        <f aca="false">IF(OR(D1951="",E1951=""),"",D1951*E1951)</f>
        <v/>
      </c>
      <c r="G1951" s="7"/>
      <c r="H1951" s="7"/>
    </row>
    <row r="1952" customFormat="false" ht="15" hidden="false" customHeight="true" outlineLevel="0" collapsed="false">
      <c r="A1952" s="15"/>
      <c r="B1952" s="7"/>
      <c r="C1952" s="16" t="str">
        <f aca="false">IF(B1952="","",IFERROR(INDEX(Products!$B$2:$B$501,MATCH(B1952,Products!$A$2:$A$501,0)),"CODE NOT FOUND"))</f>
        <v/>
      </c>
      <c r="D1952" s="7"/>
      <c r="E1952" s="13"/>
      <c r="F1952" s="17" t="str">
        <f aca="false">IF(OR(D1952="",E1952=""),"",D1952*E1952)</f>
        <v/>
      </c>
      <c r="G1952" s="7"/>
      <c r="H1952" s="7"/>
    </row>
    <row r="1953" customFormat="false" ht="15" hidden="false" customHeight="true" outlineLevel="0" collapsed="false">
      <c r="A1953" s="15"/>
      <c r="B1953" s="7"/>
      <c r="C1953" s="16" t="str">
        <f aca="false">IF(B1953="","",IFERROR(INDEX(Products!$B$2:$B$501,MATCH(B1953,Products!$A$2:$A$501,0)),"CODE NOT FOUND"))</f>
        <v/>
      </c>
      <c r="D1953" s="7"/>
      <c r="E1953" s="13"/>
      <c r="F1953" s="17" t="str">
        <f aca="false">IF(OR(D1953="",E1953=""),"",D1953*E1953)</f>
        <v/>
      </c>
      <c r="G1953" s="7"/>
      <c r="H1953" s="7"/>
    </row>
    <row r="1954" customFormat="false" ht="15" hidden="false" customHeight="true" outlineLevel="0" collapsed="false">
      <c r="A1954" s="15"/>
      <c r="B1954" s="7"/>
      <c r="C1954" s="16" t="str">
        <f aca="false">IF(B1954="","",IFERROR(INDEX(Products!$B$2:$B$501,MATCH(B1954,Products!$A$2:$A$501,0)),"CODE NOT FOUND"))</f>
        <v/>
      </c>
      <c r="D1954" s="7"/>
      <c r="E1954" s="13"/>
      <c r="F1954" s="17" t="str">
        <f aca="false">IF(OR(D1954="",E1954=""),"",D1954*E1954)</f>
        <v/>
      </c>
      <c r="G1954" s="7"/>
      <c r="H1954" s="7"/>
    </row>
    <row r="1955" customFormat="false" ht="15" hidden="false" customHeight="true" outlineLevel="0" collapsed="false">
      <c r="A1955" s="15"/>
      <c r="B1955" s="7"/>
      <c r="C1955" s="16" t="str">
        <f aca="false">IF(B1955="","",IFERROR(INDEX(Products!$B$2:$B$501,MATCH(B1955,Products!$A$2:$A$501,0)),"CODE NOT FOUND"))</f>
        <v/>
      </c>
      <c r="D1955" s="7"/>
      <c r="E1955" s="13"/>
      <c r="F1955" s="17" t="str">
        <f aca="false">IF(OR(D1955="",E1955=""),"",D1955*E1955)</f>
        <v/>
      </c>
      <c r="G1955" s="7"/>
      <c r="H1955" s="7"/>
    </row>
    <row r="1956" customFormat="false" ht="15" hidden="false" customHeight="true" outlineLevel="0" collapsed="false">
      <c r="A1956" s="15"/>
      <c r="B1956" s="7"/>
      <c r="C1956" s="16" t="str">
        <f aca="false">IF(B1956="","",IFERROR(INDEX(Products!$B$2:$B$501,MATCH(B1956,Products!$A$2:$A$501,0)),"CODE NOT FOUND"))</f>
        <v/>
      </c>
      <c r="D1956" s="7"/>
      <c r="E1956" s="13"/>
      <c r="F1956" s="17" t="str">
        <f aca="false">IF(OR(D1956="",E1956=""),"",D1956*E1956)</f>
        <v/>
      </c>
      <c r="G1956" s="7"/>
      <c r="H1956" s="7"/>
    </row>
    <row r="1957" customFormat="false" ht="15" hidden="false" customHeight="true" outlineLevel="0" collapsed="false">
      <c r="A1957" s="15"/>
      <c r="B1957" s="7"/>
      <c r="C1957" s="16" t="str">
        <f aca="false">IF(B1957="","",IFERROR(INDEX(Products!$B$2:$B$501,MATCH(B1957,Products!$A$2:$A$501,0)),"CODE NOT FOUND"))</f>
        <v/>
      </c>
      <c r="D1957" s="7"/>
      <c r="E1957" s="13"/>
      <c r="F1957" s="17" t="str">
        <f aca="false">IF(OR(D1957="",E1957=""),"",D1957*E1957)</f>
        <v/>
      </c>
      <c r="G1957" s="7"/>
      <c r="H1957" s="7"/>
    </row>
    <row r="1958" customFormat="false" ht="15" hidden="false" customHeight="true" outlineLevel="0" collapsed="false">
      <c r="A1958" s="15"/>
      <c r="B1958" s="7"/>
      <c r="C1958" s="16" t="str">
        <f aca="false">IF(B1958="","",IFERROR(INDEX(Products!$B$2:$B$501,MATCH(B1958,Products!$A$2:$A$501,0)),"CODE NOT FOUND"))</f>
        <v/>
      </c>
      <c r="D1958" s="7"/>
      <c r="E1958" s="13"/>
      <c r="F1958" s="17" t="str">
        <f aca="false">IF(OR(D1958="",E1958=""),"",D1958*E1958)</f>
        <v/>
      </c>
      <c r="G1958" s="7"/>
      <c r="H1958" s="7"/>
    </row>
    <row r="1959" customFormat="false" ht="15" hidden="false" customHeight="true" outlineLevel="0" collapsed="false">
      <c r="A1959" s="15"/>
      <c r="B1959" s="7"/>
      <c r="C1959" s="16" t="str">
        <f aca="false">IF(B1959="","",IFERROR(INDEX(Products!$B$2:$B$501,MATCH(B1959,Products!$A$2:$A$501,0)),"CODE NOT FOUND"))</f>
        <v/>
      </c>
      <c r="D1959" s="7"/>
      <c r="E1959" s="13"/>
      <c r="F1959" s="17" t="str">
        <f aca="false">IF(OR(D1959="",E1959=""),"",D1959*E1959)</f>
        <v/>
      </c>
      <c r="G1959" s="7"/>
      <c r="H1959" s="7"/>
    </row>
    <row r="1960" customFormat="false" ht="15" hidden="false" customHeight="true" outlineLevel="0" collapsed="false">
      <c r="A1960" s="15"/>
      <c r="B1960" s="7"/>
      <c r="C1960" s="16" t="str">
        <f aca="false">IF(B1960="","",IFERROR(INDEX(Products!$B$2:$B$501,MATCH(B1960,Products!$A$2:$A$501,0)),"CODE NOT FOUND"))</f>
        <v/>
      </c>
      <c r="D1960" s="7"/>
      <c r="E1960" s="13"/>
      <c r="F1960" s="17" t="str">
        <f aca="false">IF(OR(D1960="",E1960=""),"",D1960*E1960)</f>
        <v/>
      </c>
      <c r="G1960" s="7"/>
      <c r="H1960" s="7"/>
    </row>
    <row r="1961" customFormat="false" ht="15" hidden="false" customHeight="true" outlineLevel="0" collapsed="false">
      <c r="A1961" s="15"/>
      <c r="B1961" s="7"/>
      <c r="C1961" s="16" t="str">
        <f aca="false">IF(B1961="","",IFERROR(INDEX(Products!$B$2:$B$501,MATCH(B1961,Products!$A$2:$A$501,0)),"CODE NOT FOUND"))</f>
        <v/>
      </c>
      <c r="D1961" s="7"/>
      <c r="E1961" s="13"/>
      <c r="F1961" s="17" t="str">
        <f aca="false">IF(OR(D1961="",E1961=""),"",D1961*E1961)</f>
        <v/>
      </c>
      <c r="G1961" s="7"/>
      <c r="H1961" s="7"/>
    </row>
    <row r="1962" customFormat="false" ht="15" hidden="false" customHeight="true" outlineLevel="0" collapsed="false">
      <c r="A1962" s="15"/>
      <c r="B1962" s="7"/>
      <c r="C1962" s="16" t="str">
        <f aca="false">IF(B1962="","",IFERROR(INDEX(Products!$B$2:$B$501,MATCH(B1962,Products!$A$2:$A$501,0)),"CODE NOT FOUND"))</f>
        <v/>
      </c>
      <c r="D1962" s="7"/>
      <c r="E1962" s="13"/>
      <c r="F1962" s="17" t="str">
        <f aca="false">IF(OR(D1962="",E1962=""),"",D1962*E1962)</f>
        <v/>
      </c>
      <c r="G1962" s="7"/>
      <c r="H1962" s="7"/>
    </row>
    <row r="1963" customFormat="false" ht="15" hidden="false" customHeight="true" outlineLevel="0" collapsed="false">
      <c r="A1963" s="15"/>
      <c r="B1963" s="7"/>
      <c r="C1963" s="16" t="str">
        <f aca="false">IF(B1963="","",IFERROR(INDEX(Products!$B$2:$B$501,MATCH(B1963,Products!$A$2:$A$501,0)),"CODE NOT FOUND"))</f>
        <v/>
      </c>
      <c r="D1963" s="7"/>
      <c r="E1963" s="13"/>
      <c r="F1963" s="17" t="str">
        <f aca="false">IF(OR(D1963="",E1963=""),"",D1963*E1963)</f>
        <v/>
      </c>
      <c r="G1963" s="7"/>
      <c r="H1963" s="7"/>
    </row>
    <row r="1964" customFormat="false" ht="15" hidden="false" customHeight="true" outlineLevel="0" collapsed="false">
      <c r="A1964" s="15"/>
      <c r="B1964" s="7"/>
      <c r="C1964" s="16" t="str">
        <f aca="false">IF(B1964="","",IFERROR(INDEX(Products!$B$2:$B$501,MATCH(B1964,Products!$A$2:$A$501,0)),"CODE NOT FOUND"))</f>
        <v/>
      </c>
      <c r="D1964" s="7"/>
      <c r="E1964" s="13"/>
      <c r="F1964" s="17" t="str">
        <f aca="false">IF(OR(D1964="",E1964=""),"",D1964*E1964)</f>
        <v/>
      </c>
      <c r="G1964" s="7"/>
      <c r="H1964" s="7"/>
    </row>
    <row r="1965" customFormat="false" ht="15" hidden="false" customHeight="true" outlineLevel="0" collapsed="false">
      <c r="A1965" s="15"/>
      <c r="B1965" s="7"/>
      <c r="C1965" s="16" t="str">
        <f aca="false">IF(B1965="","",IFERROR(INDEX(Products!$B$2:$B$501,MATCH(B1965,Products!$A$2:$A$501,0)),"CODE NOT FOUND"))</f>
        <v/>
      </c>
      <c r="D1965" s="7"/>
      <c r="E1965" s="13"/>
      <c r="F1965" s="17" t="str">
        <f aca="false">IF(OR(D1965="",E1965=""),"",D1965*E1965)</f>
        <v/>
      </c>
      <c r="G1965" s="7"/>
      <c r="H1965" s="7"/>
    </row>
    <row r="1966" customFormat="false" ht="15" hidden="false" customHeight="true" outlineLevel="0" collapsed="false">
      <c r="A1966" s="15"/>
      <c r="B1966" s="7"/>
      <c r="C1966" s="16" t="str">
        <f aca="false">IF(B1966="","",IFERROR(INDEX(Products!$B$2:$B$501,MATCH(B1966,Products!$A$2:$A$501,0)),"CODE NOT FOUND"))</f>
        <v/>
      </c>
      <c r="D1966" s="7"/>
      <c r="E1966" s="13"/>
      <c r="F1966" s="17" t="str">
        <f aca="false">IF(OR(D1966="",E1966=""),"",D1966*E1966)</f>
        <v/>
      </c>
      <c r="G1966" s="7"/>
      <c r="H1966" s="7"/>
    </row>
    <row r="1967" customFormat="false" ht="15" hidden="false" customHeight="true" outlineLevel="0" collapsed="false">
      <c r="A1967" s="15"/>
      <c r="B1967" s="7"/>
      <c r="C1967" s="16" t="str">
        <f aca="false">IF(B1967="","",IFERROR(INDEX(Products!$B$2:$B$501,MATCH(B1967,Products!$A$2:$A$501,0)),"CODE NOT FOUND"))</f>
        <v/>
      </c>
      <c r="D1967" s="7"/>
      <c r="E1967" s="13"/>
      <c r="F1967" s="17" t="str">
        <f aca="false">IF(OR(D1967="",E1967=""),"",D1967*E1967)</f>
        <v/>
      </c>
      <c r="G1967" s="7"/>
      <c r="H1967" s="7"/>
    </row>
    <row r="1968" customFormat="false" ht="15" hidden="false" customHeight="true" outlineLevel="0" collapsed="false">
      <c r="A1968" s="15"/>
      <c r="B1968" s="7"/>
      <c r="C1968" s="16" t="str">
        <f aca="false">IF(B1968="","",IFERROR(INDEX(Products!$B$2:$B$501,MATCH(B1968,Products!$A$2:$A$501,0)),"CODE NOT FOUND"))</f>
        <v/>
      </c>
      <c r="D1968" s="7"/>
      <c r="E1968" s="13"/>
      <c r="F1968" s="17" t="str">
        <f aca="false">IF(OR(D1968="",E1968=""),"",D1968*E1968)</f>
        <v/>
      </c>
      <c r="G1968" s="7"/>
      <c r="H1968" s="7"/>
    </row>
    <row r="1969" customFormat="false" ht="15" hidden="false" customHeight="true" outlineLevel="0" collapsed="false">
      <c r="A1969" s="15"/>
      <c r="B1969" s="7"/>
      <c r="C1969" s="16" t="str">
        <f aca="false">IF(B1969="","",IFERROR(INDEX(Products!$B$2:$B$501,MATCH(B1969,Products!$A$2:$A$501,0)),"CODE NOT FOUND"))</f>
        <v/>
      </c>
      <c r="D1969" s="7"/>
      <c r="E1969" s="13"/>
      <c r="F1969" s="17" t="str">
        <f aca="false">IF(OR(D1969="",E1969=""),"",D1969*E1969)</f>
        <v/>
      </c>
      <c r="G1969" s="7"/>
      <c r="H1969" s="7"/>
    </row>
    <row r="1970" customFormat="false" ht="15" hidden="false" customHeight="true" outlineLevel="0" collapsed="false">
      <c r="A1970" s="15"/>
      <c r="B1970" s="7"/>
      <c r="C1970" s="16" t="str">
        <f aca="false">IF(B1970="","",IFERROR(INDEX(Products!$B$2:$B$501,MATCH(B1970,Products!$A$2:$A$501,0)),"CODE NOT FOUND"))</f>
        <v/>
      </c>
      <c r="D1970" s="7"/>
      <c r="E1970" s="13"/>
      <c r="F1970" s="17" t="str">
        <f aca="false">IF(OR(D1970="",E1970=""),"",D1970*E1970)</f>
        <v/>
      </c>
      <c r="G1970" s="7"/>
      <c r="H1970" s="7"/>
    </row>
    <row r="1971" customFormat="false" ht="15" hidden="false" customHeight="true" outlineLevel="0" collapsed="false">
      <c r="A1971" s="15"/>
      <c r="B1971" s="7"/>
      <c r="C1971" s="16" t="str">
        <f aca="false">IF(B1971="","",IFERROR(INDEX(Products!$B$2:$B$501,MATCH(B1971,Products!$A$2:$A$501,0)),"CODE NOT FOUND"))</f>
        <v/>
      </c>
      <c r="D1971" s="7"/>
      <c r="E1971" s="13"/>
      <c r="F1971" s="17" t="str">
        <f aca="false">IF(OR(D1971="",E1971=""),"",D1971*E1971)</f>
        <v/>
      </c>
      <c r="G1971" s="7"/>
      <c r="H1971" s="7"/>
    </row>
    <row r="1972" customFormat="false" ht="15" hidden="false" customHeight="true" outlineLevel="0" collapsed="false">
      <c r="A1972" s="15"/>
      <c r="B1972" s="7"/>
      <c r="C1972" s="16" t="str">
        <f aca="false">IF(B1972="","",IFERROR(INDEX(Products!$B$2:$B$501,MATCH(B1972,Products!$A$2:$A$501,0)),"CODE NOT FOUND"))</f>
        <v/>
      </c>
      <c r="D1972" s="7"/>
      <c r="E1972" s="13"/>
      <c r="F1972" s="17" t="str">
        <f aca="false">IF(OR(D1972="",E1972=""),"",D1972*E1972)</f>
        <v/>
      </c>
      <c r="G1972" s="7"/>
      <c r="H1972" s="7"/>
    </row>
    <row r="1973" customFormat="false" ht="15" hidden="false" customHeight="true" outlineLevel="0" collapsed="false">
      <c r="A1973" s="15"/>
      <c r="B1973" s="7"/>
      <c r="C1973" s="16" t="str">
        <f aca="false">IF(B1973="","",IFERROR(INDEX(Products!$B$2:$B$501,MATCH(B1973,Products!$A$2:$A$501,0)),"CODE NOT FOUND"))</f>
        <v/>
      </c>
      <c r="D1973" s="7"/>
      <c r="E1973" s="13"/>
      <c r="F1973" s="17" t="str">
        <f aca="false">IF(OR(D1973="",E1973=""),"",D1973*E1973)</f>
        <v/>
      </c>
      <c r="G1973" s="7"/>
      <c r="H1973" s="7"/>
    </row>
    <row r="1974" customFormat="false" ht="15" hidden="false" customHeight="true" outlineLevel="0" collapsed="false">
      <c r="A1974" s="15"/>
      <c r="B1974" s="7"/>
      <c r="C1974" s="16" t="str">
        <f aca="false">IF(B1974="","",IFERROR(INDEX(Products!$B$2:$B$501,MATCH(B1974,Products!$A$2:$A$501,0)),"CODE NOT FOUND"))</f>
        <v/>
      </c>
      <c r="D1974" s="7"/>
      <c r="E1974" s="13"/>
      <c r="F1974" s="17" t="str">
        <f aca="false">IF(OR(D1974="",E1974=""),"",D1974*E1974)</f>
        <v/>
      </c>
      <c r="G1974" s="7"/>
      <c r="H1974" s="7"/>
    </row>
    <row r="1975" customFormat="false" ht="15" hidden="false" customHeight="true" outlineLevel="0" collapsed="false">
      <c r="A1975" s="15"/>
      <c r="B1975" s="7"/>
      <c r="C1975" s="16" t="str">
        <f aca="false">IF(B1975="","",IFERROR(INDEX(Products!$B$2:$B$501,MATCH(B1975,Products!$A$2:$A$501,0)),"CODE NOT FOUND"))</f>
        <v/>
      </c>
      <c r="D1975" s="7"/>
      <c r="E1975" s="13"/>
      <c r="F1975" s="17" t="str">
        <f aca="false">IF(OR(D1975="",E1975=""),"",D1975*E1975)</f>
        <v/>
      </c>
      <c r="G1975" s="7"/>
      <c r="H1975" s="7"/>
    </row>
    <row r="1976" customFormat="false" ht="15" hidden="false" customHeight="true" outlineLevel="0" collapsed="false">
      <c r="A1976" s="15"/>
      <c r="B1976" s="7"/>
      <c r="C1976" s="16" t="str">
        <f aca="false">IF(B1976="","",IFERROR(INDEX(Products!$B$2:$B$501,MATCH(B1976,Products!$A$2:$A$501,0)),"CODE NOT FOUND"))</f>
        <v/>
      </c>
      <c r="D1976" s="7"/>
      <c r="E1976" s="13"/>
      <c r="F1976" s="17" t="str">
        <f aca="false">IF(OR(D1976="",E1976=""),"",D1976*E1976)</f>
        <v/>
      </c>
      <c r="G1976" s="7"/>
      <c r="H1976" s="7"/>
    </row>
    <row r="1977" customFormat="false" ht="15" hidden="false" customHeight="true" outlineLevel="0" collapsed="false">
      <c r="A1977" s="15"/>
      <c r="B1977" s="7"/>
      <c r="C1977" s="16" t="str">
        <f aca="false">IF(B1977="","",IFERROR(INDEX(Products!$B$2:$B$501,MATCH(B1977,Products!$A$2:$A$501,0)),"CODE NOT FOUND"))</f>
        <v/>
      </c>
      <c r="D1977" s="7"/>
      <c r="E1977" s="13"/>
      <c r="F1977" s="17" t="str">
        <f aca="false">IF(OR(D1977="",E1977=""),"",D1977*E1977)</f>
        <v/>
      </c>
      <c r="G1977" s="7"/>
      <c r="H1977" s="7"/>
    </row>
    <row r="1978" customFormat="false" ht="15" hidden="false" customHeight="true" outlineLevel="0" collapsed="false">
      <c r="A1978" s="15"/>
      <c r="B1978" s="7"/>
      <c r="C1978" s="16" t="str">
        <f aca="false">IF(B1978="","",IFERROR(INDEX(Products!$B$2:$B$501,MATCH(B1978,Products!$A$2:$A$501,0)),"CODE NOT FOUND"))</f>
        <v/>
      </c>
      <c r="D1978" s="7"/>
      <c r="E1978" s="13"/>
      <c r="F1978" s="17" t="str">
        <f aca="false">IF(OR(D1978="",E1978=""),"",D1978*E1978)</f>
        <v/>
      </c>
      <c r="G1978" s="7"/>
      <c r="H1978" s="7"/>
    </row>
    <row r="1979" customFormat="false" ht="15" hidden="false" customHeight="true" outlineLevel="0" collapsed="false">
      <c r="A1979" s="15"/>
      <c r="B1979" s="7"/>
      <c r="C1979" s="16" t="str">
        <f aca="false">IF(B1979="","",IFERROR(INDEX(Products!$B$2:$B$501,MATCH(B1979,Products!$A$2:$A$501,0)),"CODE NOT FOUND"))</f>
        <v/>
      </c>
      <c r="D1979" s="7"/>
      <c r="E1979" s="13"/>
      <c r="F1979" s="17" t="str">
        <f aca="false">IF(OR(D1979="",E1979=""),"",D1979*E1979)</f>
        <v/>
      </c>
      <c r="G1979" s="7"/>
      <c r="H1979" s="7"/>
    </row>
    <row r="1980" customFormat="false" ht="15" hidden="false" customHeight="true" outlineLevel="0" collapsed="false">
      <c r="A1980" s="15"/>
      <c r="B1980" s="7"/>
      <c r="C1980" s="16" t="str">
        <f aca="false">IF(B1980="","",IFERROR(INDEX(Products!$B$2:$B$501,MATCH(B1980,Products!$A$2:$A$501,0)),"CODE NOT FOUND"))</f>
        <v/>
      </c>
      <c r="D1980" s="7"/>
      <c r="E1980" s="13"/>
      <c r="F1980" s="17" t="str">
        <f aca="false">IF(OR(D1980="",E1980=""),"",D1980*E1980)</f>
        <v/>
      </c>
      <c r="G1980" s="7"/>
      <c r="H1980" s="7"/>
    </row>
    <row r="1981" customFormat="false" ht="15" hidden="false" customHeight="true" outlineLevel="0" collapsed="false">
      <c r="A1981" s="15"/>
      <c r="B1981" s="7"/>
      <c r="C1981" s="16" t="str">
        <f aca="false">IF(B1981="","",IFERROR(INDEX(Products!$B$2:$B$501,MATCH(B1981,Products!$A$2:$A$501,0)),"CODE NOT FOUND"))</f>
        <v/>
      </c>
      <c r="D1981" s="7"/>
      <c r="E1981" s="13"/>
      <c r="F1981" s="17" t="str">
        <f aca="false">IF(OR(D1981="",E1981=""),"",D1981*E1981)</f>
        <v/>
      </c>
      <c r="G1981" s="7"/>
      <c r="H1981" s="7"/>
    </row>
    <row r="1982" customFormat="false" ht="15" hidden="false" customHeight="true" outlineLevel="0" collapsed="false">
      <c r="A1982" s="15"/>
      <c r="B1982" s="7"/>
      <c r="C1982" s="16" t="str">
        <f aca="false">IF(B1982="","",IFERROR(INDEX(Products!$B$2:$B$501,MATCH(B1982,Products!$A$2:$A$501,0)),"CODE NOT FOUND"))</f>
        <v/>
      </c>
      <c r="D1982" s="7"/>
      <c r="E1982" s="13"/>
      <c r="F1982" s="17" t="str">
        <f aca="false">IF(OR(D1982="",E1982=""),"",D1982*E1982)</f>
        <v/>
      </c>
      <c r="G1982" s="7"/>
      <c r="H1982" s="7"/>
    </row>
    <row r="1983" customFormat="false" ht="15" hidden="false" customHeight="true" outlineLevel="0" collapsed="false">
      <c r="A1983" s="15"/>
      <c r="B1983" s="7"/>
      <c r="C1983" s="16" t="str">
        <f aca="false">IF(B1983="","",IFERROR(INDEX(Products!$B$2:$B$501,MATCH(B1983,Products!$A$2:$A$501,0)),"CODE NOT FOUND"))</f>
        <v/>
      </c>
      <c r="D1983" s="7"/>
      <c r="E1983" s="13"/>
      <c r="F1983" s="17" t="str">
        <f aca="false">IF(OR(D1983="",E1983=""),"",D1983*E1983)</f>
        <v/>
      </c>
      <c r="G1983" s="7"/>
      <c r="H1983" s="7"/>
    </row>
    <row r="1984" customFormat="false" ht="15" hidden="false" customHeight="true" outlineLevel="0" collapsed="false">
      <c r="A1984" s="15"/>
      <c r="B1984" s="7"/>
      <c r="C1984" s="16" t="str">
        <f aca="false">IF(B1984="","",IFERROR(INDEX(Products!$B$2:$B$501,MATCH(B1984,Products!$A$2:$A$501,0)),"CODE NOT FOUND"))</f>
        <v/>
      </c>
      <c r="D1984" s="7"/>
      <c r="E1984" s="13"/>
      <c r="F1984" s="17" t="str">
        <f aca="false">IF(OR(D1984="",E1984=""),"",D1984*E1984)</f>
        <v/>
      </c>
      <c r="G1984" s="7"/>
      <c r="H1984" s="7"/>
    </row>
    <row r="1985" customFormat="false" ht="15" hidden="false" customHeight="true" outlineLevel="0" collapsed="false">
      <c r="A1985" s="15"/>
      <c r="B1985" s="7"/>
      <c r="C1985" s="16" t="str">
        <f aca="false">IF(B1985="","",IFERROR(INDEX(Products!$B$2:$B$501,MATCH(B1985,Products!$A$2:$A$501,0)),"CODE NOT FOUND"))</f>
        <v/>
      </c>
      <c r="D1985" s="7"/>
      <c r="E1985" s="13"/>
      <c r="F1985" s="17" t="str">
        <f aca="false">IF(OR(D1985="",E1985=""),"",D1985*E1985)</f>
        <v/>
      </c>
      <c r="G1985" s="7"/>
      <c r="H1985" s="7"/>
    </row>
    <row r="1986" customFormat="false" ht="15" hidden="false" customHeight="true" outlineLevel="0" collapsed="false">
      <c r="A1986" s="15"/>
      <c r="B1986" s="7"/>
      <c r="C1986" s="16" t="str">
        <f aca="false">IF(B1986="","",IFERROR(INDEX(Products!$B$2:$B$501,MATCH(B1986,Products!$A$2:$A$501,0)),"CODE NOT FOUND"))</f>
        <v/>
      </c>
      <c r="D1986" s="7"/>
      <c r="E1986" s="13"/>
      <c r="F1986" s="17" t="str">
        <f aca="false">IF(OR(D1986="",E1986=""),"",D1986*E1986)</f>
        <v/>
      </c>
      <c r="G1986" s="7"/>
      <c r="H1986" s="7"/>
    </row>
    <row r="1987" customFormat="false" ht="15" hidden="false" customHeight="true" outlineLevel="0" collapsed="false">
      <c r="A1987" s="15"/>
      <c r="B1987" s="7"/>
      <c r="C1987" s="16" t="str">
        <f aca="false">IF(B1987="","",IFERROR(INDEX(Products!$B$2:$B$501,MATCH(B1987,Products!$A$2:$A$501,0)),"CODE NOT FOUND"))</f>
        <v/>
      </c>
      <c r="D1987" s="7"/>
      <c r="E1987" s="13"/>
      <c r="F1987" s="17" t="str">
        <f aca="false">IF(OR(D1987="",E1987=""),"",D1987*E1987)</f>
        <v/>
      </c>
      <c r="G1987" s="7"/>
      <c r="H1987" s="7"/>
    </row>
    <row r="1988" customFormat="false" ht="15" hidden="false" customHeight="true" outlineLevel="0" collapsed="false">
      <c r="A1988" s="15"/>
      <c r="B1988" s="7"/>
      <c r="C1988" s="16" t="str">
        <f aca="false">IF(B1988="","",IFERROR(INDEX(Products!$B$2:$B$501,MATCH(B1988,Products!$A$2:$A$501,0)),"CODE NOT FOUND"))</f>
        <v/>
      </c>
      <c r="D1988" s="7"/>
      <c r="E1988" s="13"/>
      <c r="F1988" s="17" t="str">
        <f aca="false">IF(OR(D1988="",E1988=""),"",D1988*E1988)</f>
        <v/>
      </c>
      <c r="G1988" s="7"/>
      <c r="H1988" s="7"/>
    </row>
    <row r="1989" customFormat="false" ht="15" hidden="false" customHeight="true" outlineLevel="0" collapsed="false">
      <c r="A1989" s="15"/>
      <c r="B1989" s="7"/>
      <c r="C1989" s="16" t="str">
        <f aca="false">IF(B1989="","",IFERROR(INDEX(Products!$B$2:$B$501,MATCH(B1989,Products!$A$2:$A$501,0)),"CODE NOT FOUND"))</f>
        <v/>
      </c>
      <c r="D1989" s="7"/>
      <c r="E1989" s="13"/>
      <c r="F1989" s="17" t="str">
        <f aca="false">IF(OR(D1989="",E1989=""),"",D1989*E1989)</f>
        <v/>
      </c>
      <c r="G1989" s="7"/>
      <c r="H1989" s="7"/>
    </row>
    <row r="1990" customFormat="false" ht="15" hidden="false" customHeight="true" outlineLevel="0" collapsed="false">
      <c r="A1990" s="15"/>
      <c r="B1990" s="7"/>
      <c r="C1990" s="16" t="str">
        <f aca="false">IF(B1990="","",IFERROR(INDEX(Products!$B$2:$B$501,MATCH(B1990,Products!$A$2:$A$501,0)),"CODE NOT FOUND"))</f>
        <v/>
      </c>
      <c r="D1990" s="7"/>
      <c r="E1990" s="13"/>
      <c r="F1990" s="17" t="str">
        <f aca="false">IF(OR(D1990="",E1990=""),"",D1990*E1990)</f>
        <v/>
      </c>
      <c r="G1990" s="7"/>
      <c r="H1990" s="7"/>
    </row>
    <row r="1991" customFormat="false" ht="15" hidden="false" customHeight="true" outlineLevel="0" collapsed="false">
      <c r="A1991" s="15"/>
      <c r="B1991" s="7"/>
      <c r="C1991" s="16" t="str">
        <f aca="false">IF(B1991="","",IFERROR(INDEX(Products!$B$2:$B$501,MATCH(B1991,Products!$A$2:$A$501,0)),"CODE NOT FOUND"))</f>
        <v/>
      </c>
      <c r="D1991" s="7"/>
      <c r="E1991" s="13"/>
      <c r="F1991" s="17" t="str">
        <f aca="false">IF(OR(D1991="",E1991=""),"",D1991*E1991)</f>
        <v/>
      </c>
      <c r="G1991" s="7"/>
      <c r="H1991" s="7"/>
    </row>
    <row r="1992" customFormat="false" ht="15" hidden="false" customHeight="true" outlineLevel="0" collapsed="false">
      <c r="A1992" s="15"/>
      <c r="B1992" s="7"/>
      <c r="C1992" s="16" t="str">
        <f aca="false">IF(B1992="","",IFERROR(INDEX(Products!$B$2:$B$501,MATCH(B1992,Products!$A$2:$A$501,0)),"CODE NOT FOUND"))</f>
        <v/>
      </c>
      <c r="D1992" s="7"/>
      <c r="E1992" s="13"/>
      <c r="F1992" s="17" t="str">
        <f aca="false">IF(OR(D1992="",E1992=""),"",D1992*E1992)</f>
        <v/>
      </c>
      <c r="G1992" s="7"/>
      <c r="H1992" s="7"/>
    </row>
    <row r="1993" customFormat="false" ht="15" hidden="false" customHeight="true" outlineLevel="0" collapsed="false">
      <c r="A1993" s="15"/>
      <c r="B1993" s="7"/>
      <c r="C1993" s="16" t="str">
        <f aca="false">IF(B1993="","",IFERROR(INDEX(Products!$B$2:$B$501,MATCH(B1993,Products!$A$2:$A$501,0)),"CODE NOT FOUND"))</f>
        <v/>
      </c>
      <c r="D1993" s="7"/>
      <c r="E1993" s="13"/>
      <c r="F1993" s="17" t="str">
        <f aca="false">IF(OR(D1993="",E1993=""),"",D1993*E1993)</f>
        <v/>
      </c>
      <c r="G1993" s="7"/>
      <c r="H1993" s="7"/>
    </row>
    <row r="1994" customFormat="false" ht="15" hidden="false" customHeight="true" outlineLevel="0" collapsed="false">
      <c r="A1994" s="15"/>
      <c r="B1994" s="7"/>
      <c r="C1994" s="16" t="str">
        <f aca="false">IF(B1994="","",IFERROR(INDEX(Products!$B$2:$B$501,MATCH(B1994,Products!$A$2:$A$501,0)),"CODE NOT FOUND"))</f>
        <v/>
      </c>
      <c r="D1994" s="7"/>
      <c r="E1994" s="13"/>
      <c r="F1994" s="17" t="str">
        <f aca="false">IF(OR(D1994="",E1994=""),"",D1994*E1994)</f>
        <v/>
      </c>
      <c r="G1994" s="7"/>
      <c r="H1994" s="7"/>
    </row>
    <row r="1995" customFormat="false" ht="15" hidden="false" customHeight="true" outlineLevel="0" collapsed="false">
      <c r="A1995" s="15"/>
      <c r="B1995" s="7"/>
      <c r="C1995" s="16" t="str">
        <f aca="false">IF(B1995="","",IFERROR(INDEX(Products!$B$2:$B$501,MATCH(B1995,Products!$A$2:$A$501,0)),"CODE NOT FOUND"))</f>
        <v/>
      </c>
      <c r="D1995" s="7"/>
      <c r="E1995" s="13"/>
      <c r="F1995" s="17" t="str">
        <f aca="false">IF(OR(D1995="",E1995=""),"",D1995*E1995)</f>
        <v/>
      </c>
      <c r="G1995" s="7"/>
      <c r="H1995" s="7"/>
    </row>
    <row r="1996" customFormat="false" ht="15" hidden="false" customHeight="true" outlineLevel="0" collapsed="false">
      <c r="A1996" s="15"/>
      <c r="B1996" s="7"/>
      <c r="C1996" s="16" t="str">
        <f aca="false">IF(B1996="","",IFERROR(INDEX(Products!$B$2:$B$501,MATCH(B1996,Products!$A$2:$A$501,0)),"CODE NOT FOUND"))</f>
        <v/>
      </c>
      <c r="D1996" s="7"/>
      <c r="E1996" s="13"/>
      <c r="F1996" s="17" t="str">
        <f aca="false">IF(OR(D1996="",E1996=""),"",D1996*E1996)</f>
        <v/>
      </c>
      <c r="G1996" s="7"/>
      <c r="H1996" s="7"/>
    </row>
    <row r="1997" customFormat="false" ht="15" hidden="false" customHeight="true" outlineLevel="0" collapsed="false">
      <c r="A1997" s="15"/>
      <c r="B1997" s="7"/>
      <c r="C1997" s="16" t="str">
        <f aca="false">IF(B1997="","",IFERROR(INDEX(Products!$B$2:$B$501,MATCH(B1997,Products!$A$2:$A$501,0)),"CODE NOT FOUND"))</f>
        <v/>
      </c>
      <c r="D1997" s="7"/>
      <c r="E1997" s="13"/>
      <c r="F1997" s="17" t="str">
        <f aca="false">IF(OR(D1997="",E1997=""),"",D1997*E1997)</f>
        <v/>
      </c>
      <c r="G1997" s="7"/>
      <c r="H1997" s="7"/>
    </row>
    <row r="1998" customFormat="false" ht="15" hidden="false" customHeight="true" outlineLevel="0" collapsed="false">
      <c r="A1998" s="15"/>
      <c r="B1998" s="7"/>
      <c r="C1998" s="16" t="str">
        <f aca="false">IF(B1998="","",IFERROR(INDEX(Products!$B$2:$B$501,MATCH(B1998,Products!$A$2:$A$501,0)),"CODE NOT FOUND"))</f>
        <v/>
      </c>
      <c r="D1998" s="7"/>
      <c r="E1998" s="13"/>
      <c r="F1998" s="17" t="str">
        <f aca="false">IF(OR(D1998="",E1998=""),"",D1998*E1998)</f>
        <v/>
      </c>
      <c r="G1998" s="7"/>
      <c r="H1998" s="7"/>
    </row>
    <row r="1999" customFormat="false" ht="15" hidden="false" customHeight="true" outlineLevel="0" collapsed="false">
      <c r="A1999" s="15"/>
      <c r="B1999" s="7"/>
      <c r="C1999" s="16" t="str">
        <f aca="false">IF(B1999="","",IFERROR(INDEX(Products!$B$2:$B$501,MATCH(B1999,Products!$A$2:$A$501,0)),"CODE NOT FOUND"))</f>
        <v/>
      </c>
      <c r="D1999" s="7"/>
      <c r="E1999" s="13"/>
      <c r="F1999" s="17" t="str">
        <f aca="false">IF(OR(D1999="",E1999=""),"",D1999*E1999)</f>
        <v/>
      </c>
      <c r="G1999" s="7"/>
      <c r="H1999" s="7"/>
    </row>
    <row r="2000" customFormat="false" ht="15" hidden="false" customHeight="true" outlineLevel="0" collapsed="false">
      <c r="A2000" s="15"/>
      <c r="B2000" s="7"/>
      <c r="C2000" s="16" t="str">
        <f aca="false">IF(B2000="","",IFERROR(INDEX(Products!$B$2:$B$501,MATCH(B2000,Products!$A$2:$A$501,0)),"CODE NOT FOUND"))</f>
        <v/>
      </c>
      <c r="D2000" s="7"/>
      <c r="E2000" s="13"/>
      <c r="F2000" s="17" t="str">
        <f aca="false">IF(OR(D2000="",E2000=""),"",D2000*E2000)</f>
        <v/>
      </c>
      <c r="G2000" s="7"/>
      <c r="H2000" s="7"/>
    </row>
    <row r="2001" customFormat="false" ht="15" hidden="false" customHeight="true" outlineLevel="0" collapsed="false">
      <c r="A2001" s="15"/>
      <c r="B2001" s="7"/>
      <c r="C2001" s="16" t="str">
        <f aca="false">IF(B2001="","",IFERROR(INDEX(Products!$B$2:$B$501,MATCH(B2001,Products!$A$2:$A$501,0)),"CODE NOT FOUND"))</f>
        <v/>
      </c>
      <c r="D2001" s="7"/>
      <c r="E2001" s="13"/>
      <c r="F2001" s="17" t="str">
        <f aca="false">IF(OR(D2001="",E2001=""),"",D2001*E2001)</f>
        <v/>
      </c>
      <c r="G2001" s="7"/>
      <c r="H2001" s="7"/>
    </row>
  </sheetData>
  <dataValidations count="1">
    <dataValidation allowBlank="true" errorStyle="stop" operator="between" showDropDown="false" showErrorMessage="false" showInputMessage="false" sqref="B2:B2001" type="list">
      <formula1>Products!$A$2:$A$501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1"/>
    <col collapsed="false" customWidth="true" hidden="false" outlineLevel="0" max="9" min="7" style="1" width="13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2" min="12" style="1" width="50"/>
    <col collapsed="false" customWidth="true" hidden="false" outlineLevel="0" max="13" min="13" style="1" width="24"/>
  </cols>
  <sheetData>
    <row r="1" customFormat="false" ht="31.5" hidden="false" customHeight="true" outlineLevel="0" collapsed="false">
      <c r="A1" s="11" t="s">
        <v>186</v>
      </c>
      <c r="B1" s="11" t="s">
        <v>124</v>
      </c>
      <c r="C1" s="11" t="s">
        <v>187</v>
      </c>
      <c r="D1" s="11" t="s">
        <v>25</v>
      </c>
      <c r="E1" s="12" t="s">
        <v>188</v>
      </c>
      <c r="F1" s="11" t="s">
        <v>189</v>
      </c>
      <c r="G1" s="12" t="s">
        <v>190</v>
      </c>
      <c r="H1" s="11" t="s">
        <v>191</v>
      </c>
      <c r="I1" s="12" t="s">
        <v>192</v>
      </c>
      <c r="J1" s="12" t="s">
        <v>193</v>
      </c>
      <c r="K1" s="11" t="s">
        <v>194</v>
      </c>
      <c r="L1" s="11" t="s">
        <v>195</v>
      </c>
      <c r="M1" s="11" t="s">
        <v>196</v>
      </c>
    </row>
    <row r="2" customFormat="false" ht="15" hidden="false" customHeight="true" outlineLevel="0" collapsed="false">
      <c r="A2" s="7" t="s">
        <v>197</v>
      </c>
      <c r="B2" s="15" t="n">
        <v>46237</v>
      </c>
      <c r="C2" s="7" t="s">
        <v>198</v>
      </c>
      <c r="D2" s="7" t="s">
        <v>199</v>
      </c>
      <c r="E2" s="17"/>
      <c r="F2" s="13" t="n">
        <v>0</v>
      </c>
      <c r="G2" s="17"/>
      <c r="H2" s="13" t="n">
        <v>940</v>
      </c>
      <c r="I2" s="17"/>
      <c r="J2" s="17"/>
      <c r="K2" s="7" t="s">
        <v>21</v>
      </c>
      <c r="L2" s="7" t="s">
        <v>200</v>
      </c>
      <c r="M2" s="7"/>
    </row>
    <row r="3" customFormat="false" ht="15" hidden="false" customHeight="true" outlineLevel="0" collapsed="false">
      <c r="A3" s="7" t="s">
        <v>201</v>
      </c>
      <c r="B3" s="15" t="n">
        <v>46237</v>
      </c>
      <c r="C3" s="7" t="s">
        <v>202</v>
      </c>
      <c r="D3" s="7" t="s">
        <v>203</v>
      </c>
      <c r="E3" s="17"/>
      <c r="F3" s="13" t="n">
        <v>0</v>
      </c>
      <c r="G3" s="17"/>
      <c r="H3" s="13" t="n">
        <v>2220</v>
      </c>
      <c r="I3" s="17"/>
      <c r="J3" s="17"/>
      <c r="K3" s="7" t="s">
        <v>13</v>
      </c>
      <c r="L3" s="7" t="s">
        <v>204</v>
      </c>
      <c r="M3" s="7"/>
    </row>
    <row r="4" customFormat="false" ht="15" hidden="false" customHeight="true" outlineLevel="0" collapsed="false">
      <c r="A4" s="7" t="s">
        <v>205</v>
      </c>
      <c r="B4" s="15" t="n">
        <v>46237</v>
      </c>
      <c r="C4" s="7" t="s">
        <v>206</v>
      </c>
      <c r="D4" s="7" t="s">
        <v>207</v>
      </c>
      <c r="E4" s="17"/>
      <c r="F4" s="13" t="n">
        <v>30</v>
      </c>
      <c r="G4" s="17"/>
      <c r="H4" s="13" t="n">
        <v>990</v>
      </c>
      <c r="I4" s="17"/>
      <c r="J4" s="17"/>
      <c r="K4" s="7" t="s">
        <v>13</v>
      </c>
      <c r="L4" s="7" t="s">
        <v>208</v>
      </c>
      <c r="M4" s="7"/>
    </row>
    <row r="5" customFormat="false" ht="15" hidden="false" customHeight="true" outlineLevel="0" collapsed="false">
      <c r="A5" s="7" t="s">
        <v>209</v>
      </c>
      <c r="B5" s="15" t="n">
        <v>46237</v>
      </c>
      <c r="C5" s="7" t="s">
        <v>210</v>
      </c>
      <c r="D5" s="7" t="s">
        <v>211</v>
      </c>
      <c r="E5" s="17"/>
      <c r="F5" s="13" t="n">
        <v>0</v>
      </c>
      <c r="G5" s="17"/>
      <c r="H5" s="13" t="n">
        <v>990</v>
      </c>
      <c r="I5" s="17"/>
      <c r="J5" s="17"/>
      <c r="K5" s="7" t="s">
        <v>13</v>
      </c>
      <c r="L5" s="7" t="s">
        <v>208</v>
      </c>
      <c r="M5" s="7"/>
    </row>
    <row r="6" customFormat="false" ht="15" hidden="false" customHeight="true" outlineLevel="0" collapsed="false">
      <c r="A6" s="7" t="s">
        <v>212</v>
      </c>
      <c r="B6" s="15" t="n">
        <v>46237</v>
      </c>
      <c r="C6" s="7" t="s">
        <v>213</v>
      </c>
      <c r="D6" s="7" t="s">
        <v>214</v>
      </c>
      <c r="E6" s="17" t="n">
        <f aca="false">IF(A6="","",SUMIFS(Sales_Items!$H$2:$H$3001,Sales_Items!$A$2:$A$3001,A6))</f>
        <v>340</v>
      </c>
      <c r="F6" s="13" t="n">
        <v>10</v>
      </c>
      <c r="G6" s="17" t="n">
        <f aca="false">IF(A6="","",E6-N(F6))</f>
        <v>330</v>
      </c>
      <c r="H6" s="13" t="n">
        <v>330</v>
      </c>
      <c r="I6" s="17" t="n">
        <f aca="false">IF(A6="","",SUMIFS(Due_Payments!$C$2:$C$1001,Due_Payments!$B$2:$B$1001,A6))</f>
        <v>0</v>
      </c>
      <c r="J6" s="17" t="n">
        <f aca="false">IF(A6="","",G6-N(H6)-I6)</f>
        <v>0</v>
      </c>
      <c r="K6" s="7" t="s">
        <v>13</v>
      </c>
      <c r="L6" s="7" t="s">
        <v>215</v>
      </c>
      <c r="M6" s="7"/>
    </row>
    <row r="7" customFormat="false" ht="15" hidden="false" customHeight="true" outlineLevel="0" collapsed="false">
      <c r="A7" s="7" t="s">
        <v>216</v>
      </c>
      <c r="B7" s="15" t="n">
        <v>46237</v>
      </c>
      <c r="C7" s="7" t="s">
        <v>217</v>
      </c>
      <c r="D7" s="7" t="s">
        <v>218</v>
      </c>
      <c r="E7" s="17" t="n">
        <f aca="false">IF(A7="","",SUMIFS(Sales_Items!$H$2:$H$3001,Sales_Items!$A$2:$A$3001,A7))</f>
        <v>680</v>
      </c>
      <c r="F7" s="13" t="n">
        <v>50</v>
      </c>
      <c r="G7" s="17" t="n">
        <f aca="false">IF(A7="","",E7-N(F7))</f>
        <v>630</v>
      </c>
      <c r="H7" s="13" t="n">
        <v>630</v>
      </c>
      <c r="I7" s="17" t="n">
        <f aca="false">IF(A7="","",SUMIFS(Due_Payments!$C$2:$C$1001,Due_Payments!$B$2:$B$1001,A7))</f>
        <v>0</v>
      </c>
      <c r="J7" s="17" t="n">
        <f aca="false">IF(A7="","",G7-N(H7)-I7)</f>
        <v>0</v>
      </c>
      <c r="K7" s="7" t="s">
        <v>21</v>
      </c>
      <c r="L7" s="7" t="s">
        <v>219</v>
      </c>
      <c r="M7" s="7"/>
    </row>
    <row r="8" customFormat="false" ht="15" hidden="false" customHeight="true" outlineLevel="0" collapsed="false">
      <c r="A8" s="7" t="s">
        <v>220</v>
      </c>
      <c r="B8" s="15" t="n">
        <v>46237</v>
      </c>
      <c r="C8" s="7" t="s">
        <v>221</v>
      </c>
      <c r="D8" s="7" t="s">
        <v>222</v>
      </c>
      <c r="E8" s="17" t="n">
        <f aca="false">IF(A8="","",SUMIFS(Sales_Items!$H$2:$H$3001,Sales_Items!$A$2:$A$3001,A8))</f>
        <v>380</v>
      </c>
      <c r="F8" s="13" t="n">
        <v>0</v>
      </c>
      <c r="G8" s="17" t="n">
        <f aca="false">IF(A8="","",E8-N(F8))</f>
        <v>380</v>
      </c>
      <c r="H8" s="13" t="n">
        <v>0</v>
      </c>
      <c r="I8" s="17" t="n">
        <f aca="false">IF(A8="","",SUMIFS(Due_Payments!$C$2:$C$1001,Due_Payments!$B$2:$B$1001,A8))</f>
        <v>190</v>
      </c>
      <c r="J8" s="17" t="n">
        <f aca="false">IF(A8="","",G8-N(H8)-I8)</f>
        <v>190</v>
      </c>
      <c r="K8" s="7" t="s">
        <v>21</v>
      </c>
      <c r="L8" s="7" t="s">
        <v>223</v>
      </c>
      <c r="M8" s="7"/>
    </row>
    <row r="9" customFormat="false" ht="15" hidden="false" customHeight="true" outlineLevel="0" collapsed="false">
      <c r="A9" s="7" t="s">
        <v>224</v>
      </c>
      <c r="B9" s="15" t="n">
        <v>46237</v>
      </c>
      <c r="C9" s="7" t="s">
        <v>225</v>
      </c>
      <c r="D9" s="7" t="s">
        <v>226</v>
      </c>
      <c r="E9" s="17" t="n">
        <f aca="false">IF(A9="","",SUMIFS(Sales_Items!$H$2:$H$3001,Sales_Items!$A$2:$A$3001,A9))</f>
        <v>2350</v>
      </c>
      <c r="F9" s="13" t="n">
        <v>0</v>
      </c>
      <c r="G9" s="17" t="n">
        <f aca="false">IF(A9="","",E9-N(F9))</f>
        <v>2350</v>
      </c>
      <c r="H9" s="13" t="n">
        <v>2350</v>
      </c>
      <c r="I9" s="17" t="n">
        <f aca="false">IF(A9="","",SUMIFS(Due_Payments!$C$2:$C$1001,Due_Payments!$B$2:$B$1001,A9))</f>
        <v>0</v>
      </c>
      <c r="J9" s="17" t="n">
        <f aca="false">IF(A9="","",G9-N(H9)-I9)</f>
        <v>0</v>
      </c>
      <c r="K9" s="7" t="s">
        <v>13</v>
      </c>
      <c r="L9" s="7" t="s">
        <v>227</v>
      </c>
      <c r="M9" s="7"/>
    </row>
    <row r="10" customFormat="false" ht="15" hidden="false" customHeight="true" outlineLevel="0" collapsed="false">
      <c r="A10" s="7" t="s">
        <v>228</v>
      </c>
      <c r="B10" s="15" t="n">
        <v>46237</v>
      </c>
      <c r="C10" s="7" t="s">
        <v>229</v>
      </c>
      <c r="D10" s="7" t="s">
        <v>230</v>
      </c>
      <c r="E10" s="17" t="n">
        <f aca="false">IF(A10="","",SUMIFS(Sales_Items!$H$2:$H$3001,Sales_Items!$A$2:$A$3001,A10))</f>
        <v>870</v>
      </c>
      <c r="F10" s="13" t="n">
        <v>0</v>
      </c>
      <c r="G10" s="17" t="n">
        <f aca="false">IF(A10="","",E10-N(F10))</f>
        <v>870</v>
      </c>
      <c r="H10" s="13" t="n">
        <v>870</v>
      </c>
      <c r="I10" s="17" t="n">
        <f aca="false">IF(A10="","",SUMIFS(Due_Payments!$C$2:$C$1001,Due_Payments!$B$2:$B$1001,A10))</f>
        <v>0</v>
      </c>
      <c r="J10" s="17" t="n">
        <f aca="false">IF(A10="","",G10-N(H10)-I10)</f>
        <v>0</v>
      </c>
      <c r="K10" s="7" t="s">
        <v>37</v>
      </c>
      <c r="L10" s="7" t="s">
        <v>231</v>
      </c>
      <c r="M10" s="7"/>
    </row>
    <row r="11" customFormat="false" ht="15" hidden="false" customHeight="true" outlineLevel="0" collapsed="false">
      <c r="A11" s="7" t="s">
        <v>232</v>
      </c>
      <c r="B11" s="15" t="n">
        <v>46237</v>
      </c>
      <c r="C11" s="7" t="s">
        <v>225</v>
      </c>
      <c r="D11" s="7" t="s">
        <v>226</v>
      </c>
      <c r="E11" s="17" t="n">
        <f aca="false">IF(A11="","",SUMIFS(Sales_Items!$H$2:$H$3001,Sales_Items!$A$2:$A$3001,A11))</f>
        <v>810</v>
      </c>
      <c r="F11" s="13" t="n">
        <v>0</v>
      </c>
      <c r="G11" s="17" t="n">
        <f aca="false">IF(A11="","",E11-N(F11))</f>
        <v>810</v>
      </c>
      <c r="H11" s="13" t="n">
        <v>0</v>
      </c>
      <c r="I11" s="17" t="n">
        <f aca="false">IF(A11="","",SUMIFS(Due_Payments!$C$2:$C$1001,Due_Payments!$B$2:$B$1001,A11))</f>
        <v>400</v>
      </c>
      <c r="J11" s="17" t="n">
        <f aca="false">IF(A11="","",G11-N(H11)-I11)</f>
        <v>410</v>
      </c>
      <c r="K11" s="7" t="s">
        <v>13</v>
      </c>
      <c r="L11" s="7" t="s">
        <v>233</v>
      </c>
      <c r="M11" s="7"/>
    </row>
    <row r="12" customFormat="false" ht="15" hidden="false" customHeight="true" outlineLevel="0" collapsed="false">
      <c r="A12" s="7" t="s">
        <v>234</v>
      </c>
      <c r="B12" s="15" t="n">
        <v>46237</v>
      </c>
      <c r="C12" s="7" t="s">
        <v>213</v>
      </c>
      <c r="D12" s="7" t="s">
        <v>214</v>
      </c>
      <c r="E12" s="17" t="n">
        <f aca="false">IF(A12="","",SUMIFS(Sales_Items!$H$2:$H$3001,Sales_Items!$A$2:$A$3001,A12))</f>
        <v>280</v>
      </c>
      <c r="F12" s="13" t="n">
        <v>0</v>
      </c>
      <c r="G12" s="17" t="n">
        <f aca="false">IF(A12="","",E12-N(F12))</f>
        <v>280</v>
      </c>
      <c r="H12" s="13" t="n">
        <v>280</v>
      </c>
      <c r="I12" s="17" t="n">
        <f aca="false">IF(A12="","",SUMIFS(Due_Payments!$C$2:$C$1001,Due_Payments!$B$2:$B$1001,A12))</f>
        <v>0</v>
      </c>
      <c r="J12" s="17" t="n">
        <f aca="false">IF(A12="","",G12-N(H12)-I12)</f>
        <v>0</v>
      </c>
      <c r="K12" s="7" t="s">
        <v>21</v>
      </c>
      <c r="L12" s="7" t="s">
        <v>235</v>
      </c>
      <c r="M12" s="7"/>
    </row>
    <row r="13" customFormat="false" ht="15" hidden="false" customHeight="true" outlineLevel="0" collapsed="false">
      <c r="A13" s="7" t="s">
        <v>236</v>
      </c>
      <c r="B13" s="15" t="n">
        <v>46237</v>
      </c>
      <c r="C13" s="7" t="s">
        <v>202</v>
      </c>
      <c r="D13" s="7" t="s">
        <v>203</v>
      </c>
      <c r="E13" s="17" t="n">
        <f aca="false">IF(A13="","",SUMIFS(Sales_Items!$H$2:$H$3001,Sales_Items!$A$2:$A$3001,A13))</f>
        <v>340</v>
      </c>
      <c r="F13" s="13" t="n">
        <v>0</v>
      </c>
      <c r="G13" s="17" t="n">
        <f aca="false">IF(A13="","",E13-N(F13))</f>
        <v>340</v>
      </c>
      <c r="H13" s="13" t="n">
        <v>340</v>
      </c>
      <c r="I13" s="17" t="n">
        <f aca="false">IF(A13="","",SUMIFS(Due_Payments!$C$2:$C$1001,Due_Payments!$B$2:$B$1001,A13))</f>
        <v>0</v>
      </c>
      <c r="J13" s="17" t="n">
        <f aca="false">IF(A13="","",G13-N(H13)-I13)</f>
        <v>0</v>
      </c>
      <c r="K13" s="7" t="s">
        <v>21</v>
      </c>
      <c r="L13" s="7" t="s">
        <v>237</v>
      </c>
      <c r="M13" s="7"/>
    </row>
    <row r="14" customFormat="false" ht="15" hidden="false" customHeight="true" outlineLevel="0" collapsed="false">
      <c r="A14" s="7" t="s">
        <v>238</v>
      </c>
      <c r="B14" s="15" t="n">
        <v>46238</v>
      </c>
      <c r="C14" s="7" t="s">
        <v>198</v>
      </c>
      <c r="D14" s="7" t="s">
        <v>199</v>
      </c>
      <c r="E14" s="17" t="n">
        <f aca="false">IF(A14="","",SUMIFS(Sales_Items!$H$2:$H$3001,Sales_Items!$A$2:$A$3001,A14))</f>
        <v>680</v>
      </c>
      <c r="F14" s="13" t="n">
        <v>0</v>
      </c>
      <c r="G14" s="17" t="n">
        <f aca="false">IF(A14="","",E14-N(F14))</f>
        <v>680</v>
      </c>
      <c r="H14" s="13" t="n">
        <v>0</v>
      </c>
      <c r="I14" s="17" t="n">
        <f aca="false">IF(A14="","",SUMIFS(Due_Payments!$C$2:$C$1001,Due_Payments!$B$2:$B$1001,A14))</f>
        <v>680</v>
      </c>
      <c r="J14" s="17" t="n">
        <f aca="false">IF(A14="","",G14-N(H14)-I14)</f>
        <v>0</v>
      </c>
      <c r="K14" s="7" t="s">
        <v>13</v>
      </c>
      <c r="L14" s="7" t="s">
        <v>239</v>
      </c>
      <c r="M14" s="7"/>
    </row>
    <row r="15" customFormat="false" ht="15" hidden="false" customHeight="true" outlineLevel="0" collapsed="false">
      <c r="A15" s="7" t="s">
        <v>240</v>
      </c>
      <c r="B15" s="15" t="n">
        <v>46238</v>
      </c>
      <c r="C15" s="7" t="s">
        <v>241</v>
      </c>
      <c r="D15" s="7" t="s">
        <v>242</v>
      </c>
      <c r="E15" s="17" t="n">
        <f aca="false">IF(A15="","",SUMIFS(Sales_Items!$H$2:$H$3001,Sales_Items!$A$2:$A$3001,A15))</f>
        <v>840</v>
      </c>
      <c r="F15" s="13" t="n">
        <v>0</v>
      </c>
      <c r="G15" s="17" t="n">
        <f aca="false">IF(A15="","",E15-N(F15))</f>
        <v>840</v>
      </c>
      <c r="H15" s="13" t="n">
        <v>840</v>
      </c>
      <c r="I15" s="17" t="n">
        <f aca="false">IF(A15="","",SUMIFS(Due_Payments!$C$2:$C$1001,Due_Payments!$B$2:$B$1001,A15))</f>
        <v>0</v>
      </c>
      <c r="J15" s="17" t="n">
        <f aca="false">IF(A15="","",G15-N(H15)-I15)</f>
        <v>0</v>
      </c>
      <c r="K15" s="7" t="s">
        <v>13</v>
      </c>
      <c r="L15" s="7" t="s">
        <v>243</v>
      </c>
      <c r="M15" s="7"/>
    </row>
    <row r="16" customFormat="false" ht="15" hidden="false" customHeight="true" outlineLevel="0" collapsed="false">
      <c r="A16" s="7" t="s">
        <v>244</v>
      </c>
      <c r="B16" s="15" t="n">
        <v>46238</v>
      </c>
      <c r="C16" s="7" t="s">
        <v>206</v>
      </c>
      <c r="D16" s="7" t="s">
        <v>207</v>
      </c>
      <c r="E16" s="17" t="n">
        <f aca="false">IF(A16="","",SUMIFS(Sales_Items!$H$2:$H$3001,Sales_Items!$A$2:$A$3001,A16))</f>
        <v>1190</v>
      </c>
      <c r="F16" s="13" t="n">
        <v>0</v>
      </c>
      <c r="G16" s="17" t="n">
        <f aca="false">IF(A16="","",E16-N(F16))</f>
        <v>1190</v>
      </c>
      <c r="H16" s="13" t="n">
        <v>1190</v>
      </c>
      <c r="I16" s="17" t="n">
        <f aca="false">IF(A16="","",SUMIFS(Due_Payments!$C$2:$C$1001,Due_Payments!$B$2:$B$1001,A16))</f>
        <v>0</v>
      </c>
      <c r="J16" s="17" t="n">
        <f aca="false">IF(A16="","",G16-N(H16)-I16)</f>
        <v>0</v>
      </c>
      <c r="K16" s="7" t="s">
        <v>13</v>
      </c>
      <c r="L16" s="7" t="s">
        <v>245</v>
      </c>
      <c r="M16" s="7"/>
    </row>
    <row r="17" customFormat="false" ht="15" hidden="false" customHeight="true" outlineLevel="0" collapsed="false">
      <c r="A17" s="7" t="s">
        <v>246</v>
      </c>
      <c r="B17" s="15" t="n">
        <v>46238</v>
      </c>
      <c r="C17" s="7" t="s">
        <v>217</v>
      </c>
      <c r="D17" s="7" t="s">
        <v>218</v>
      </c>
      <c r="E17" s="17" t="n">
        <f aca="false">IF(A17="","",SUMIFS(Sales_Items!$H$2:$H$3001,Sales_Items!$A$2:$A$3001,A17))</f>
        <v>1520</v>
      </c>
      <c r="F17" s="13" t="n">
        <v>0</v>
      </c>
      <c r="G17" s="17" t="n">
        <f aca="false">IF(A17="","",E17-N(F17))</f>
        <v>1520</v>
      </c>
      <c r="H17" s="13" t="n">
        <v>1520</v>
      </c>
      <c r="I17" s="17" t="n">
        <f aca="false">IF(A17="","",SUMIFS(Due_Payments!$C$2:$C$1001,Due_Payments!$B$2:$B$1001,A17))</f>
        <v>0</v>
      </c>
      <c r="J17" s="17" t="n">
        <f aca="false">IF(A17="","",G17-N(H17)-I17)</f>
        <v>0</v>
      </c>
      <c r="K17" s="7" t="s">
        <v>29</v>
      </c>
      <c r="L17" s="7" t="s">
        <v>247</v>
      </c>
      <c r="M17" s="7"/>
    </row>
    <row r="18" customFormat="false" ht="15" hidden="false" customHeight="true" outlineLevel="0" collapsed="false">
      <c r="A18" s="7" t="s">
        <v>248</v>
      </c>
      <c r="B18" s="15" t="n">
        <v>46238</v>
      </c>
      <c r="C18" s="7" t="s">
        <v>249</v>
      </c>
      <c r="D18" s="7" t="s">
        <v>250</v>
      </c>
      <c r="E18" s="17" t="n">
        <f aca="false">IF(A18="","",SUMIFS(Sales_Items!$H$2:$H$3001,Sales_Items!$A$2:$A$3001,A18))</f>
        <v>990</v>
      </c>
      <c r="F18" s="13" t="n">
        <v>0</v>
      </c>
      <c r="G18" s="17" t="n">
        <f aca="false">IF(A18="","",E18-N(F18))</f>
        <v>990</v>
      </c>
      <c r="H18" s="13" t="n">
        <v>990</v>
      </c>
      <c r="I18" s="17" t="n">
        <f aca="false">IF(A18="","",SUMIFS(Due_Payments!$C$2:$C$1001,Due_Payments!$B$2:$B$1001,A18))</f>
        <v>0</v>
      </c>
      <c r="J18" s="17" t="n">
        <f aca="false">IF(A18="","",G18-N(H18)-I18)</f>
        <v>0</v>
      </c>
      <c r="K18" s="7" t="s">
        <v>13</v>
      </c>
      <c r="L18" s="7" t="s">
        <v>208</v>
      </c>
      <c r="M18" s="7"/>
    </row>
    <row r="19" customFormat="false" ht="15" hidden="false" customHeight="true" outlineLevel="0" collapsed="false">
      <c r="A19" s="7" t="s">
        <v>251</v>
      </c>
      <c r="B19" s="15" t="n">
        <v>46238</v>
      </c>
      <c r="C19" s="7" t="s">
        <v>198</v>
      </c>
      <c r="D19" s="7" t="s">
        <v>199</v>
      </c>
      <c r="E19" s="17" t="n">
        <f aca="false">IF(A19="","",SUMIFS(Sales_Items!$H$2:$H$3001,Sales_Items!$A$2:$A$3001,A19))</f>
        <v>470</v>
      </c>
      <c r="F19" s="13" t="n">
        <v>100</v>
      </c>
      <c r="G19" s="17" t="n">
        <f aca="false">IF(A19="","",E19-N(F19))</f>
        <v>370</v>
      </c>
      <c r="H19" s="13" t="n">
        <v>370</v>
      </c>
      <c r="I19" s="17" t="n">
        <f aca="false">IF(A19="","",SUMIFS(Due_Payments!$C$2:$C$1001,Due_Payments!$B$2:$B$1001,A19))</f>
        <v>0</v>
      </c>
      <c r="J19" s="17" t="n">
        <f aca="false">IF(A19="","",G19-N(H19)-I19)</f>
        <v>0</v>
      </c>
      <c r="K19" s="7" t="s">
        <v>13</v>
      </c>
      <c r="L19" s="7" t="s">
        <v>252</v>
      </c>
      <c r="M19" s="7"/>
    </row>
    <row r="20" customFormat="false" ht="15" hidden="false" customHeight="true" outlineLevel="0" collapsed="false">
      <c r="A20" s="7" t="s">
        <v>253</v>
      </c>
      <c r="B20" s="15" t="n">
        <v>46238</v>
      </c>
      <c r="C20" s="7" t="s">
        <v>229</v>
      </c>
      <c r="D20" s="7" t="s">
        <v>230</v>
      </c>
      <c r="E20" s="17" t="n">
        <f aca="false">IF(A20="","",SUMIFS(Sales_Items!$H$2:$H$3001,Sales_Items!$A$2:$A$3001,A20))</f>
        <v>480</v>
      </c>
      <c r="F20" s="13" t="n">
        <v>0</v>
      </c>
      <c r="G20" s="17" t="n">
        <f aca="false">IF(A20="","",E20-N(F20))</f>
        <v>480</v>
      </c>
      <c r="H20" s="13" t="n">
        <v>480</v>
      </c>
      <c r="I20" s="17" t="n">
        <f aca="false">IF(A20="","",SUMIFS(Due_Payments!$C$2:$C$1001,Due_Payments!$B$2:$B$1001,A20))</f>
        <v>0</v>
      </c>
      <c r="J20" s="17" t="n">
        <f aca="false">IF(A20="","",G20-N(H20)-I20)</f>
        <v>0</v>
      </c>
      <c r="K20" s="7" t="s">
        <v>13</v>
      </c>
      <c r="L20" s="7" t="s">
        <v>254</v>
      </c>
      <c r="M20" s="7"/>
    </row>
    <row r="21" customFormat="false" ht="15" hidden="false" customHeight="true" outlineLevel="0" collapsed="false">
      <c r="A21" s="7" t="s">
        <v>255</v>
      </c>
      <c r="B21" s="15" t="n">
        <v>46239</v>
      </c>
      <c r="C21" s="7" t="s">
        <v>256</v>
      </c>
      <c r="D21" s="7" t="s">
        <v>257</v>
      </c>
      <c r="E21" s="17" t="n">
        <f aca="false">IF(A21="","",SUMIFS(Sales_Items!$H$2:$H$3001,Sales_Items!$A$2:$A$3001,A21))</f>
        <v>380</v>
      </c>
      <c r="F21" s="13" t="n">
        <v>0</v>
      </c>
      <c r="G21" s="17" t="n">
        <f aca="false">IF(A21="","",E21-N(F21))</f>
        <v>380</v>
      </c>
      <c r="H21" s="13" t="n">
        <v>380</v>
      </c>
      <c r="I21" s="17" t="n">
        <f aca="false">IF(A21="","",SUMIFS(Due_Payments!$C$2:$C$1001,Due_Payments!$B$2:$B$1001,A21))</f>
        <v>0</v>
      </c>
      <c r="J21" s="17" t="n">
        <f aca="false">IF(A21="","",G21-N(H21)-I21)</f>
        <v>0</v>
      </c>
      <c r="K21" s="7" t="s">
        <v>21</v>
      </c>
      <c r="L21" s="7" t="s">
        <v>223</v>
      </c>
      <c r="M21" s="7"/>
    </row>
    <row r="22" customFormat="false" ht="15" hidden="false" customHeight="true" outlineLevel="0" collapsed="false">
      <c r="A22" s="7" t="s">
        <v>258</v>
      </c>
      <c r="B22" s="15" t="n">
        <v>46239</v>
      </c>
      <c r="C22" s="7" t="s">
        <v>259</v>
      </c>
      <c r="D22" s="7" t="s">
        <v>260</v>
      </c>
      <c r="E22" s="17" t="n">
        <f aca="false">IF(A22="","",SUMIFS(Sales_Items!$H$2:$H$3001,Sales_Items!$A$2:$A$3001,A22))</f>
        <v>240</v>
      </c>
      <c r="F22" s="13" t="n">
        <v>0</v>
      </c>
      <c r="G22" s="17" t="n">
        <f aca="false">IF(A22="","",E22-N(F22))</f>
        <v>240</v>
      </c>
      <c r="H22" s="13" t="n">
        <v>150</v>
      </c>
      <c r="I22" s="17" t="n">
        <f aca="false">IF(A22="","",SUMIFS(Due_Payments!$C$2:$C$1001,Due_Payments!$B$2:$B$1001,A22))</f>
        <v>90</v>
      </c>
      <c r="J22" s="17" t="n">
        <f aca="false">IF(A22="","",G22-N(H22)-I22)</f>
        <v>0</v>
      </c>
      <c r="K22" s="7" t="s">
        <v>37</v>
      </c>
      <c r="L22" s="7" t="s">
        <v>261</v>
      </c>
      <c r="M22" s="7"/>
    </row>
    <row r="23" customFormat="false" ht="15" hidden="false" customHeight="true" outlineLevel="0" collapsed="false">
      <c r="A23" s="7" t="s">
        <v>262</v>
      </c>
      <c r="B23" s="15" t="n">
        <v>46239</v>
      </c>
      <c r="C23" s="7" t="s">
        <v>263</v>
      </c>
      <c r="D23" s="7" t="s">
        <v>264</v>
      </c>
      <c r="E23" s="17" t="n">
        <f aca="false">IF(A23="","",SUMIFS(Sales_Items!$H$2:$H$3001,Sales_Items!$A$2:$A$3001,A23))</f>
        <v>260</v>
      </c>
      <c r="F23" s="13" t="n">
        <v>0</v>
      </c>
      <c r="G23" s="17" t="n">
        <f aca="false">IF(A23="","",E23-N(F23))</f>
        <v>260</v>
      </c>
      <c r="H23" s="13" t="n">
        <v>260</v>
      </c>
      <c r="I23" s="17" t="n">
        <f aca="false">IF(A23="","",SUMIFS(Due_Payments!$C$2:$C$1001,Due_Payments!$B$2:$B$1001,A23))</f>
        <v>0</v>
      </c>
      <c r="J23" s="17" t="n">
        <f aca="false">IF(A23="","",G23-N(H23)-I23)</f>
        <v>0</v>
      </c>
      <c r="K23" s="7" t="s">
        <v>13</v>
      </c>
      <c r="L23" s="7" t="s">
        <v>265</v>
      </c>
      <c r="M23" s="7"/>
    </row>
    <row r="24" customFormat="false" ht="15" hidden="false" customHeight="true" outlineLevel="0" collapsed="false">
      <c r="A24" s="7" t="s">
        <v>266</v>
      </c>
      <c r="B24" s="15" t="n">
        <v>46239</v>
      </c>
      <c r="C24" s="7" t="s">
        <v>217</v>
      </c>
      <c r="D24" s="7" t="s">
        <v>218</v>
      </c>
      <c r="E24" s="17" t="n">
        <f aca="false">IF(A24="","",SUMIFS(Sales_Items!$H$2:$H$3001,Sales_Items!$A$2:$A$3001,A24))</f>
        <v>1680</v>
      </c>
      <c r="F24" s="13" t="n">
        <v>0</v>
      </c>
      <c r="G24" s="17" t="n">
        <f aca="false">IF(A24="","",E24-N(F24))</f>
        <v>1680</v>
      </c>
      <c r="H24" s="13" t="n">
        <v>880</v>
      </c>
      <c r="I24" s="17" t="n">
        <f aca="false">IF(A24="","",SUMIFS(Due_Payments!$C$2:$C$1001,Due_Payments!$B$2:$B$1001,A24))</f>
        <v>0</v>
      </c>
      <c r="J24" s="17" t="n">
        <f aca="false">IF(A24="","",G24-N(H24)-I24)</f>
        <v>800</v>
      </c>
      <c r="K24" s="7" t="s">
        <v>21</v>
      </c>
      <c r="L24" s="7" t="s">
        <v>267</v>
      </c>
      <c r="M24" s="7"/>
    </row>
    <row r="25" customFormat="false" ht="15" hidden="false" customHeight="true" outlineLevel="0" collapsed="false">
      <c r="A25" s="7" t="s">
        <v>268</v>
      </c>
      <c r="B25" s="15" t="n">
        <v>46239</v>
      </c>
      <c r="C25" s="7" t="s">
        <v>259</v>
      </c>
      <c r="D25" s="7" t="s">
        <v>260</v>
      </c>
      <c r="E25" s="17" t="n">
        <f aca="false">IF(A25="","",SUMIFS(Sales_Items!$H$2:$H$3001,Sales_Items!$A$2:$A$3001,A25))</f>
        <v>480</v>
      </c>
      <c r="F25" s="13" t="n">
        <v>0</v>
      </c>
      <c r="G25" s="17" t="n">
        <f aca="false">IF(A25="","",E25-N(F25))</f>
        <v>480</v>
      </c>
      <c r="H25" s="13" t="n">
        <v>480</v>
      </c>
      <c r="I25" s="17" t="n">
        <f aca="false">IF(A25="","",SUMIFS(Due_Payments!$C$2:$C$1001,Due_Payments!$B$2:$B$1001,A25))</f>
        <v>0</v>
      </c>
      <c r="J25" s="17" t="n">
        <f aca="false">IF(A25="","",G25-N(H25)-I25)</f>
        <v>0</v>
      </c>
      <c r="K25" s="7" t="s">
        <v>21</v>
      </c>
      <c r="L25" s="7" t="s">
        <v>254</v>
      </c>
      <c r="M25" s="7"/>
    </row>
    <row r="26" customFormat="false" ht="15" hidden="false" customHeight="true" outlineLevel="0" collapsed="false">
      <c r="A26" s="7" t="s">
        <v>269</v>
      </c>
      <c r="B26" s="15" t="n">
        <v>46239</v>
      </c>
      <c r="C26" s="7" t="s">
        <v>256</v>
      </c>
      <c r="D26" s="7" t="s">
        <v>257</v>
      </c>
      <c r="E26" s="17" t="n">
        <f aca="false">IF(A26="","",SUMIFS(Sales_Items!$H$2:$H$3001,Sales_Items!$A$2:$A$3001,A26))</f>
        <v>480</v>
      </c>
      <c r="F26" s="13" t="n">
        <v>0</v>
      </c>
      <c r="G26" s="17" t="n">
        <f aca="false">IF(A26="","",E26-N(F26))</f>
        <v>480</v>
      </c>
      <c r="H26" s="13" t="n">
        <v>480</v>
      </c>
      <c r="I26" s="17" t="n">
        <f aca="false">IF(A26="","",SUMIFS(Due_Payments!$C$2:$C$1001,Due_Payments!$B$2:$B$1001,A26))</f>
        <v>0</v>
      </c>
      <c r="J26" s="17" t="n">
        <f aca="false">IF(A26="","",G26-N(H26)-I26)</f>
        <v>0</v>
      </c>
      <c r="K26" s="7" t="s">
        <v>13</v>
      </c>
      <c r="L26" s="7" t="s">
        <v>254</v>
      </c>
      <c r="M26" s="7"/>
    </row>
    <row r="27" customFormat="false" ht="15" hidden="false" customHeight="true" outlineLevel="0" collapsed="false">
      <c r="A27" s="7" t="s">
        <v>270</v>
      </c>
      <c r="B27" s="15" t="n">
        <v>46239</v>
      </c>
      <c r="C27" s="7" t="s">
        <v>263</v>
      </c>
      <c r="D27" s="7" t="s">
        <v>264</v>
      </c>
      <c r="E27" s="17" t="n">
        <f aca="false">IF(A27="","",SUMIFS(Sales_Items!$H$2:$H$3001,Sales_Items!$A$2:$A$3001,A27))</f>
        <v>5800</v>
      </c>
      <c r="F27" s="13" t="n">
        <v>170</v>
      </c>
      <c r="G27" s="17" t="n">
        <f aca="false">IF(A27="","",E27-N(F27))</f>
        <v>5630</v>
      </c>
      <c r="H27" s="13" t="n">
        <v>5630</v>
      </c>
      <c r="I27" s="17" t="n">
        <f aca="false">IF(A27="","",SUMIFS(Due_Payments!$C$2:$C$1001,Due_Payments!$B$2:$B$1001,A27))</f>
        <v>0</v>
      </c>
      <c r="J27" s="17" t="n">
        <f aca="false">IF(A27="","",G27-N(H27)-I27)</f>
        <v>0</v>
      </c>
      <c r="K27" s="7" t="s">
        <v>13</v>
      </c>
      <c r="L27" s="7" t="s">
        <v>271</v>
      </c>
      <c r="M27" s="7"/>
    </row>
    <row r="28" customFormat="false" ht="15" hidden="false" customHeight="true" outlineLevel="0" collapsed="false">
      <c r="A28" s="7" t="s">
        <v>272</v>
      </c>
      <c r="B28" s="15" t="n">
        <v>46239</v>
      </c>
      <c r="C28" s="7" t="s">
        <v>256</v>
      </c>
      <c r="D28" s="7" t="s">
        <v>257</v>
      </c>
      <c r="E28" s="17" t="n">
        <f aca="false">IF(A28="","",SUMIFS(Sales_Items!$H$2:$H$3001,Sales_Items!$A$2:$A$3001,A28))</f>
        <v>2820</v>
      </c>
      <c r="F28" s="13" t="n">
        <v>100</v>
      </c>
      <c r="G28" s="17" t="n">
        <f aca="false">IF(A28="","",E28-N(F28))</f>
        <v>2720</v>
      </c>
      <c r="H28" s="13" t="n">
        <v>0</v>
      </c>
      <c r="I28" s="17" t="n">
        <f aca="false">IF(A28="","",SUMIFS(Due_Payments!$C$2:$C$1001,Due_Payments!$B$2:$B$1001,A28))</f>
        <v>2720</v>
      </c>
      <c r="J28" s="17" t="n">
        <f aca="false">IF(A28="","",G28-N(H28)-I28)</f>
        <v>0</v>
      </c>
      <c r="K28" s="7" t="s">
        <v>13</v>
      </c>
      <c r="L28" s="7" t="s">
        <v>273</v>
      </c>
      <c r="M28" s="7"/>
    </row>
    <row r="29" customFormat="false" ht="15" hidden="false" customHeight="true" outlineLevel="0" collapsed="false">
      <c r="A29" s="7" t="s">
        <v>274</v>
      </c>
      <c r="B29" s="15" t="n">
        <v>46240</v>
      </c>
      <c r="C29" s="7" t="s">
        <v>275</v>
      </c>
      <c r="D29" s="7" t="s">
        <v>276</v>
      </c>
      <c r="E29" s="17" t="n">
        <f aca="false">IF(A29="","",SUMIFS(Sales_Items!$H$2:$H$3001,Sales_Items!$A$2:$A$3001,A29))</f>
        <v>860</v>
      </c>
      <c r="F29" s="13" t="n">
        <v>0</v>
      </c>
      <c r="G29" s="17" t="n">
        <f aca="false">IF(A29="","",E29-N(F29))</f>
        <v>860</v>
      </c>
      <c r="H29" s="13" t="n">
        <v>430</v>
      </c>
      <c r="I29" s="17" t="n">
        <f aca="false">IF(A29="","",SUMIFS(Due_Payments!$C$2:$C$1001,Due_Payments!$B$2:$B$1001,A29))</f>
        <v>220</v>
      </c>
      <c r="J29" s="17" t="n">
        <f aca="false">IF(A29="","",G29-N(H29)-I29)</f>
        <v>210</v>
      </c>
      <c r="K29" s="7" t="s">
        <v>21</v>
      </c>
      <c r="L29" s="7" t="s">
        <v>277</v>
      </c>
      <c r="M29" s="7"/>
    </row>
    <row r="30" customFormat="false" ht="15" hidden="false" customHeight="true" outlineLevel="0" collapsed="false">
      <c r="A30" s="7" t="s">
        <v>278</v>
      </c>
      <c r="B30" s="15" t="n">
        <v>46240</v>
      </c>
      <c r="C30" s="7" t="s">
        <v>210</v>
      </c>
      <c r="D30" s="7" t="s">
        <v>211</v>
      </c>
      <c r="E30" s="17" t="n">
        <f aca="false">IF(A30="","",SUMIFS(Sales_Items!$H$2:$H$3001,Sales_Items!$A$2:$A$3001,A30))</f>
        <v>540</v>
      </c>
      <c r="F30" s="13" t="n">
        <v>0</v>
      </c>
      <c r="G30" s="17" t="n">
        <f aca="false">IF(A30="","",E30-N(F30))</f>
        <v>540</v>
      </c>
      <c r="H30" s="13" t="n">
        <v>540</v>
      </c>
      <c r="I30" s="17" t="n">
        <f aca="false">IF(A30="","",SUMIFS(Due_Payments!$C$2:$C$1001,Due_Payments!$B$2:$B$1001,A30))</f>
        <v>0</v>
      </c>
      <c r="J30" s="17" t="n">
        <f aca="false">IF(A30="","",G30-N(H30)-I30)</f>
        <v>0</v>
      </c>
      <c r="K30" s="7" t="s">
        <v>13</v>
      </c>
      <c r="L30" s="7" t="s">
        <v>279</v>
      </c>
      <c r="M30" s="7"/>
    </row>
    <row r="31" customFormat="false" ht="15" hidden="false" customHeight="true" outlineLevel="0" collapsed="false">
      <c r="A31" s="7" t="s">
        <v>280</v>
      </c>
      <c r="B31" s="15" t="n">
        <v>46240</v>
      </c>
      <c r="C31" s="7" t="s">
        <v>241</v>
      </c>
      <c r="D31" s="7" t="s">
        <v>242</v>
      </c>
      <c r="E31" s="17" t="n">
        <f aca="false">IF(A31="","",SUMIFS(Sales_Items!$H$2:$H$3001,Sales_Items!$A$2:$A$3001,A31))</f>
        <v>780</v>
      </c>
      <c r="F31" s="13" t="n">
        <v>100</v>
      </c>
      <c r="G31" s="17" t="n">
        <f aca="false">IF(A31="","",E31-N(F31))</f>
        <v>680</v>
      </c>
      <c r="H31" s="13" t="n">
        <v>680</v>
      </c>
      <c r="I31" s="17" t="n">
        <f aca="false">IF(A31="","",SUMIFS(Due_Payments!$C$2:$C$1001,Due_Payments!$B$2:$B$1001,A31))</f>
        <v>0</v>
      </c>
      <c r="J31" s="17" t="n">
        <f aca="false">IF(A31="","",G31-N(H31)-I31)</f>
        <v>0</v>
      </c>
      <c r="K31" s="7" t="s">
        <v>37</v>
      </c>
      <c r="L31" s="7" t="s">
        <v>239</v>
      </c>
      <c r="M31" s="7"/>
    </row>
    <row r="32" customFormat="false" ht="15" hidden="false" customHeight="true" outlineLevel="0" collapsed="false">
      <c r="A32" s="7" t="s">
        <v>281</v>
      </c>
      <c r="B32" s="15" t="n">
        <v>46240</v>
      </c>
      <c r="C32" s="7" t="s">
        <v>282</v>
      </c>
      <c r="D32" s="7" t="s">
        <v>283</v>
      </c>
      <c r="E32" s="17" t="n">
        <f aca="false">IF(A32="","",SUMIFS(Sales_Items!$H$2:$H$3001,Sales_Items!$A$2:$A$3001,A32))</f>
        <v>680</v>
      </c>
      <c r="F32" s="13" t="n">
        <v>0</v>
      </c>
      <c r="G32" s="17" t="n">
        <f aca="false">IF(A32="","",E32-N(F32))</f>
        <v>680</v>
      </c>
      <c r="H32" s="13" t="n">
        <v>350</v>
      </c>
      <c r="I32" s="17" t="n">
        <f aca="false">IF(A32="","",SUMIFS(Due_Payments!$C$2:$C$1001,Due_Payments!$B$2:$B$1001,A32))</f>
        <v>0</v>
      </c>
      <c r="J32" s="17" t="n">
        <f aca="false">IF(A32="","",G32-N(H32)-I32)</f>
        <v>330</v>
      </c>
      <c r="K32" s="7" t="s">
        <v>13</v>
      </c>
      <c r="L32" s="7" t="s">
        <v>239</v>
      </c>
      <c r="M32" s="7"/>
    </row>
    <row r="33" customFormat="false" ht="15" hidden="false" customHeight="true" outlineLevel="0" collapsed="false">
      <c r="A33" s="7" t="s">
        <v>284</v>
      </c>
      <c r="B33" s="15" t="n">
        <v>46240</v>
      </c>
      <c r="C33" s="7" t="s">
        <v>285</v>
      </c>
      <c r="D33" s="7" t="s">
        <v>286</v>
      </c>
      <c r="E33" s="17" t="n">
        <f aca="false">IF(A33="","",SUMIFS(Sales_Items!$H$2:$H$3001,Sales_Items!$A$2:$A$3001,A33))</f>
        <v>880</v>
      </c>
      <c r="F33" s="13" t="n">
        <v>30</v>
      </c>
      <c r="G33" s="17" t="n">
        <f aca="false">IF(A33="","",E33-N(F33))</f>
        <v>850</v>
      </c>
      <c r="H33" s="13" t="n">
        <v>850</v>
      </c>
      <c r="I33" s="17" t="n">
        <f aca="false">IF(A33="","",SUMIFS(Due_Payments!$C$2:$C$1001,Due_Payments!$B$2:$B$1001,A33))</f>
        <v>0</v>
      </c>
      <c r="J33" s="17" t="n">
        <f aca="false">IF(A33="","",G33-N(H33)-I33)</f>
        <v>0</v>
      </c>
      <c r="K33" s="7" t="s">
        <v>21</v>
      </c>
      <c r="L33" s="7" t="s">
        <v>287</v>
      </c>
      <c r="M33" s="7"/>
    </row>
    <row r="34" customFormat="false" ht="15" hidden="false" customHeight="true" outlineLevel="0" collapsed="false">
      <c r="A34" s="7" t="s">
        <v>288</v>
      </c>
      <c r="B34" s="15" t="n">
        <v>46240</v>
      </c>
      <c r="C34" s="7" t="s">
        <v>221</v>
      </c>
      <c r="D34" s="7" t="s">
        <v>222</v>
      </c>
      <c r="E34" s="17" t="n">
        <f aca="false">IF(A34="","",SUMIFS(Sales_Items!$H$2:$H$3001,Sales_Items!$A$2:$A$3001,A34))</f>
        <v>1260</v>
      </c>
      <c r="F34" s="13" t="n">
        <v>0</v>
      </c>
      <c r="G34" s="17" t="n">
        <f aca="false">IF(A34="","",E34-N(F34))</f>
        <v>1260</v>
      </c>
      <c r="H34" s="13" t="n">
        <v>1260</v>
      </c>
      <c r="I34" s="17" t="n">
        <f aca="false">IF(A34="","",SUMIFS(Due_Payments!$C$2:$C$1001,Due_Payments!$B$2:$B$1001,A34))</f>
        <v>0</v>
      </c>
      <c r="J34" s="17" t="n">
        <f aca="false">IF(A34="","",G34-N(H34)-I34)</f>
        <v>0</v>
      </c>
      <c r="K34" s="7" t="s">
        <v>13</v>
      </c>
      <c r="L34" s="7" t="s">
        <v>289</v>
      </c>
      <c r="M34" s="7"/>
    </row>
    <row r="35" customFormat="false" ht="15" hidden="false" customHeight="true" outlineLevel="0" collapsed="false">
      <c r="A35" s="7" t="s">
        <v>290</v>
      </c>
      <c r="B35" s="15" t="n">
        <v>46240</v>
      </c>
      <c r="C35" s="7" t="s">
        <v>221</v>
      </c>
      <c r="D35" s="7" t="s">
        <v>222</v>
      </c>
      <c r="E35" s="17" t="n">
        <f aca="false">IF(A35="","",SUMIFS(Sales_Items!$H$2:$H$3001,Sales_Items!$A$2:$A$3001,A35))</f>
        <v>270</v>
      </c>
      <c r="F35" s="13" t="n">
        <v>100</v>
      </c>
      <c r="G35" s="17" t="n">
        <f aca="false">IF(A35="","",E35-N(F35))</f>
        <v>170</v>
      </c>
      <c r="H35" s="13" t="n">
        <v>170</v>
      </c>
      <c r="I35" s="17" t="n">
        <f aca="false">IF(A35="","",SUMIFS(Due_Payments!$C$2:$C$1001,Due_Payments!$B$2:$B$1001,A35))</f>
        <v>0</v>
      </c>
      <c r="J35" s="17" t="n">
        <f aca="false">IF(A35="","",G35-N(H35)-I35)</f>
        <v>0</v>
      </c>
      <c r="K35" s="7" t="s">
        <v>13</v>
      </c>
      <c r="L35" s="7" t="s">
        <v>291</v>
      </c>
      <c r="M35" s="7"/>
    </row>
    <row r="36" customFormat="false" ht="15" hidden="false" customHeight="true" outlineLevel="0" collapsed="false">
      <c r="A36" s="7" t="s">
        <v>292</v>
      </c>
      <c r="B36" s="15" t="n">
        <v>46240</v>
      </c>
      <c r="C36" s="7" t="s">
        <v>293</v>
      </c>
      <c r="D36" s="7" t="s">
        <v>294</v>
      </c>
      <c r="E36" s="17" t="n">
        <f aca="false">IF(A36="","",SUMIFS(Sales_Items!$H$2:$H$3001,Sales_Items!$A$2:$A$3001,A36))</f>
        <v>1140</v>
      </c>
      <c r="F36" s="13" t="n">
        <v>0</v>
      </c>
      <c r="G36" s="17" t="n">
        <f aca="false">IF(A36="","",E36-N(F36))</f>
        <v>1140</v>
      </c>
      <c r="H36" s="13" t="n">
        <v>1140</v>
      </c>
      <c r="I36" s="17" t="n">
        <f aca="false">IF(A36="","",SUMIFS(Due_Payments!$C$2:$C$1001,Due_Payments!$B$2:$B$1001,A36))</f>
        <v>0</v>
      </c>
      <c r="J36" s="17" t="n">
        <f aca="false">IF(A36="","",G36-N(H36)-I36)</f>
        <v>0</v>
      </c>
      <c r="K36" s="7" t="s">
        <v>13</v>
      </c>
      <c r="L36" s="7" t="s">
        <v>295</v>
      </c>
      <c r="M36" s="7"/>
    </row>
    <row r="37" customFormat="false" ht="15" hidden="false" customHeight="true" outlineLevel="0" collapsed="false">
      <c r="A37" s="7" t="s">
        <v>296</v>
      </c>
      <c r="B37" s="15" t="n">
        <v>46240</v>
      </c>
      <c r="C37" s="7" t="s">
        <v>249</v>
      </c>
      <c r="D37" s="7" t="s">
        <v>250</v>
      </c>
      <c r="E37" s="17" t="n">
        <f aca="false">IF(A37="","",SUMIFS(Sales_Items!$H$2:$H$3001,Sales_Items!$A$2:$A$3001,A37))</f>
        <v>1000</v>
      </c>
      <c r="F37" s="13" t="n">
        <v>50</v>
      </c>
      <c r="G37" s="17" t="n">
        <f aca="false">IF(A37="","",E37-N(F37))</f>
        <v>950</v>
      </c>
      <c r="H37" s="13" t="n">
        <v>950</v>
      </c>
      <c r="I37" s="17" t="n">
        <f aca="false">IF(A37="","",SUMIFS(Due_Payments!$C$2:$C$1001,Due_Payments!$B$2:$B$1001,A37))</f>
        <v>0</v>
      </c>
      <c r="J37" s="17" t="n">
        <f aca="false">IF(A37="","",G37-N(H37)-I37)</f>
        <v>0</v>
      </c>
      <c r="K37" s="7" t="s">
        <v>13</v>
      </c>
      <c r="L37" s="7" t="s">
        <v>297</v>
      </c>
      <c r="M37" s="7"/>
    </row>
    <row r="38" customFormat="false" ht="15" hidden="false" customHeight="true" outlineLevel="0" collapsed="false">
      <c r="A38" s="7" t="s">
        <v>298</v>
      </c>
      <c r="B38" s="15" t="n">
        <v>46240</v>
      </c>
      <c r="C38" s="7" t="s">
        <v>198</v>
      </c>
      <c r="D38" s="7" t="s">
        <v>199</v>
      </c>
      <c r="E38" s="17" t="n">
        <f aca="false">IF(A38="","",SUMIFS(Sales_Items!$H$2:$H$3001,Sales_Items!$A$2:$A$3001,A38))</f>
        <v>340</v>
      </c>
      <c r="F38" s="13" t="n">
        <v>0</v>
      </c>
      <c r="G38" s="17" t="n">
        <f aca="false">IF(A38="","",E38-N(F38))</f>
        <v>340</v>
      </c>
      <c r="H38" s="13" t="n">
        <v>340</v>
      </c>
      <c r="I38" s="17" t="n">
        <f aca="false">IF(A38="","",SUMIFS(Due_Payments!$C$2:$C$1001,Due_Payments!$B$2:$B$1001,A38))</f>
        <v>0</v>
      </c>
      <c r="J38" s="17" t="n">
        <f aca="false">IF(A38="","",G38-N(H38)-I38)</f>
        <v>0</v>
      </c>
      <c r="K38" s="7" t="s">
        <v>29</v>
      </c>
      <c r="L38" s="7" t="s">
        <v>237</v>
      </c>
      <c r="M38" s="7"/>
    </row>
    <row r="39" customFormat="false" ht="15" hidden="false" customHeight="true" outlineLevel="0" collapsed="false">
      <c r="A39" s="7" t="s">
        <v>299</v>
      </c>
      <c r="B39" s="15" t="n">
        <v>46240</v>
      </c>
      <c r="C39" s="7" t="s">
        <v>300</v>
      </c>
      <c r="D39" s="7" t="s">
        <v>301</v>
      </c>
      <c r="E39" s="17" t="n">
        <f aca="false">IF(A39="","",SUMIFS(Sales_Items!$H$2:$H$3001,Sales_Items!$A$2:$A$3001,A39))</f>
        <v>340</v>
      </c>
      <c r="F39" s="13" t="n">
        <v>100</v>
      </c>
      <c r="G39" s="17" t="n">
        <f aca="false">IF(A39="","",E39-N(F39))</f>
        <v>240</v>
      </c>
      <c r="H39" s="13" t="n">
        <v>100</v>
      </c>
      <c r="I39" s="17" t="n">
        <f aca="false">IF(A39="","",SUMIFS(Due_Payments!$C$2:$C$1001,Due_Payments!$B$2:$B$1001,A39))</f>
        <v>0</v>
      </c>
      <c r="J39" s="17" t="n">
        <f aca="false">IF(A39="","",G39-N(H39)-I39)</f>
        <v>140</v>
      </c>
      <c r="K39" s="7" t="s">
        <v>13</v>
      </c>
      <c r="L39" s="7" t="s">
        <v>261</v>
      </c>
      <c r="M39" s="7"/>
    </row>
    <row r="40" customFormat="false" ht="15" hidden="false" customHeight="true" outlineLevel="0" collapsed="false">
      <c r="A40" s="7" t="s">
        <v>302</v>
      </c>
      <c r="B40" s="15" t="n">
        <v>46242</v>
      </c>
      <c r="C40" s="7" t="s">
        <v>202</v>
      </c>
      <c r="D40" s="7" t="s">
        <v>203</v>
      </c>
      <c r="E40" s="17" t="n">
        <f aca="false">IF(A40="","",SUMIFS(Sales_Items!$H$2:$H$3001,Sales_Items!$A$2:$A$3001,A40))</f>
        <v>450</v>
      </c>
      <c r="F40" s="13" t="n">
        <v>0</v>
      </c>
      <c r="G40" s="17" t="n">
        <f aca="false">IF(A40="","",E40-N(F40))</f>
        <v>450</v>
      </c>
      <c r="H40" s="13" t="n">
        <v>450</v>
      </c>
      <c r="I40" s="17" t="n">
        <f aca="false">IF(A40="","",SUMIFS(Due_Payments!$C$2:$C$1001,Due_Payments!$B$2:$B$1001,A40))</f>
        <v>0</v>
      </c>
      <c r="J40" s="17" t="n">
        <f aca="false">IF(A40="","",G40-N(H40)-I40)</f>
        <v>0</v>
      </c>
      <c r="K40" s="7" t="s">
        <v>13</v>
      </c>
      <c r="L40" s="7" t="s">
        <v>303</v>
      </c>
      <c r="M40" s="7"/>
    </row>
    <row r="41" customFormat="false" ht="15" hidden="false" customHeight="true" outlineLevel="0" collapsed="false">
      <c r="A41" s="7" t="s">
        <v>304</v>
      </c>
      <c r="B41" s="15" t="n">
        <v>46242</v>
      </c>
      <c r="C41" s="7" t="s">
        <v>256</v>
      </c>
      <c r="D41" s="7" t="s">
        <v>257</v>
      </c>
      <c r="E41" s="17" t="n">
        <f aca="false">IF(A41="","",SUMIFS(Sales_Items!$H$2:$H$3001,Sales_Items!$A$2:$A$3001,A41))</f>
        <v>1980</v>
      </c>
      <c r="F41" s="13" t="n">
        <v>0</v>
      </c>
      <c r="G41" s="17" t="n">
        <f aca="false">IF(A41="","",E41-N(F41))</f>
        <v>1980</v>
      </c>
      <c r="H41" s="13" t="n">
        <v>1300</v>
      </c>
      <c r="I41" s="17" t="n">
        <f aca="false">IF(A41="","",SUMIFS(Due_Payments!$C$2:$C$1001,Due_Payments!$B$2:$B$1001,A41))</f>
        <v>680</v>
      </c>
      <c r="J41" s="17" t="n">
        <f aca="false">IF(A41="","",G41-N(H41)-I41)</f>
        <v>0</v>
      </c>
      <c r="K41" s="7" t="s">
        <v>13</v>
      </c>
      <c r="L41" s="7" t="s">
        <v>305</v>
      </c>
      <c r="M41" s="7"/>
    </row>
    <row r="42" customFormat="false" ht="15" hidden="false" customHeight="true" outlineLevel="0" collapsed="false">
      <c r="A42" s="7" t="s">
        <v>306</v>
      </c>
      <c r="B42" s="15" t="n">
        <v>46242</v>
      </c>
      <c r="C42" s="7" t="s">
        <v>307</v>
      </c>
      <c r="D42" s="7" t="s">
        <v>308</v>
      </c>
      <c r="E42" s="17" t="n">
        <f aca="false">IF(A42="","",SUMIFS(Sales_Items!$H$2:$H$3001,Sales_Items!$A$2:$A$3001,A42))</f>
        <v>780</v>
      </c>
      <c r="F42" s="13" t="n">
        <v>0</v>
      </c>
      <c r="G42" s="17" t="n">
        <f aca="false">IF(A42="","",E42-N(F42))</f>
        <v>780</v>
      </c>
      <c r="H42" s="13" t="n">
        <v>330</v>
      </c>
      <c r="I42" s="17" t="n">
        <f aca="false">IF(A42="","",SUMIFS(Due_Payments!$C$2:$C$1001,Due_Payments!$B$2:$B$1001,A42))</f>
        <v>220</v>
      </c>
      <c r="J42" s="17" t="n">
        <f aca="false">IF(A42="","",G42-N(H42)-I42)</f>
        <v>230</v>
      </c>
      <c r="K42" s="7" t="s">
        <v>21</v>
      </c>
      <c r="L42" s="7" t="s">
        <v>309</v>
      </c>
      <c r="M42" s="7"/>
    </row>
    <row r="43" customFormat="false" ht="15" hidden="false" customHeight="true" outlineLevel="0" collapsed="false">
      <c r="A43" s="7" t="s">
        <v>310</v>
      </c>
      <c r="B43" s="15" t="n">
        <v>46242</v>
      </c>
      <c r="C43" s="7" t="s">
        <v>241</v>
      </c>
      <c r="D43" s="7" t="s">
        <v>242</v>
      </c>
      <c r="E43" s="17" t="n">
        <f aca="false">IF(A43="","",SUMIFS(Sales_Items!$H$2:$H$3001,Sales_Items!$A$2:$A$3001,A43))</f>
        <v>1410</v>
      </c>
      <c r="F43" s="13" t="n">
        <v>40</v>
      </c>
      <c r="G43" s="17" t="n">
        <f aca="false">IF(A43="","",E43-N(F43))</f>
        <v>1370</v>
      </c>
      <c r="H43" s="13" t="n">
        <v>1370</v>
      </c>
      <c r="I43" s="17" t="n">
        <f aca="false">IF(A43="","",SUMIFS(Due_Payments!$C$2:$C$1001,Due_Payments!$B$2:$B$1001,A43))</f>
        <v>0</v>
      </c>
      <c r="J43" s="17" t="n">
        <f aca="false">IF(A43="","",G43-N(H43)-I43)</f>
        <v>0</v>
      </c>
      <c r="K43" s="7" t="s">
        <v>13</v>
      </c>
      <c r="L43" s="7" t="s">
        <v>311</v>
      </c>
      <c r="M43" s="7"/>
    </row>
    <row r="44" customFormat="false" ht="15" hidden="false" customHeight="true" outlineLevel="0" collapsed="false">
      <c r="A44" s="7" t="s">
        <v>312</v>
      </c>
      <c r="B44" s="15" t="n">
        <v>46242</v>
      </c>
      <c r="C44" s="7" t="s">
        <v>249</v>
      </c>
      <c r="D44" s="7" t="s">
        <v>250</v>
      </c>
      <c r="E44" s="17" t="n">
        <f aca="false">IF(A44="","",SUMIFS(Sales_Items!$H$2:$H$3001,Sales_Items!$A$2:$A$3001,A44))</f>
        <v>2030</v>
      </c>
      <c r="F44" s="13" t="n">
        <v>0</v>
      </c>
      <c r="G44" s="17" t="n">
        <f aca="false">IF(A44="","",E44-N(F44))</f>
        <v>2030</v>
      </c>
      <c r="H44" s="13" t="n">
        <v>2030</v>
      </c>
      <c r="I44" s="17" t="n">
        <f aca="false">IF(A44="","",SUMIFS(Due_Payments!$C$2:$C$1001,Due_Payments!$B$2:$B$1001,A44))</f>
        <v>0</v>
      </c>
      <c r="J44" s="17" t="n">
        <f aca="false">IF(A44="","",G44-N(H44)-I44)</f>
        <v>0</v>
      </c>
      <c r="K44" s="7" t="s">
        <v>13</v>
      </c>
      <c r="L44" s="7" t="s">
        <v>313</v>
      </c>
      <c r="M44" s="7"/>
    </row>
    <row r="45" customFormat="false" ht="15" hidden="false" customHeight="true" outlineLevel="0" collapsed="false">
      <c r="A45" s="7" t="s">
        <v>314</v>
      </c>
      <c r="B45" s="15" t="n">
        <v>46242</v>
      </c>
      <c r="C45" s="7" t="s">
        <v>263</v>
      </c>
      <c r="D45" s="7" t="s">
        <v>264</v>
      </c>
      <c r="E45" s="17" t="n">
        <f aca="false">IF(A45="","",SUMIFS(Sales_Items!$H$2:$H$3001,Sales_Items!$A$2:$A$3001,A45))</f>
        <v>3690</v>
      </c>
      <c r="F45" s="13" t="n">
        <v>0</v>
      </c>
      <c r="G45" s="17" t="n">
        <f aca="false">IF(A45="","",E45-N(F45))</f>
        <v>3690</v>
      </c>
      <c r="H45" s="13" t="n">
        <v>3690</v>
      </c>
      <c r="I45" s="17" t="n">
        <f aca="false">IF(A45="","",SUMIFS(Due_Payments!$C$2:$C$1001,Due_Payments!$B$2:$B$1001,A45))</f>
        <v>0</v>
      </c>
      <c r="J45" s="17" t="n">
        <f aca="false">IF(A45="","",G45-N(H45)-I45)</f>
        <v>0</v>
      </c>
      <c r="K45" s="7" t="s">
        <v>13</v>
      </c>
      <c r="L45" s="7" t="s">
        <v>315</v>
      </c>
      <c r="M45" s="7"/>
    </row>
    <row r="46" customFormat="false" ht="15" hidden="false" customHeight="true" outlineLevel="0" collapsed="false">
      <c r="A46" s="7" t="s">
        <v>316</v>
      </c>
      <c r="B46" s="15" t="n">
        <v>46242</v>
      </c>
      <c r="C46" s="7" t="s">
        <v>198</v>
      </c>
      <c r="D46" s="7" t="s">
        <v>199</v>
      </c>
      <c r="E46" s="17" t="n">
        <f aca="false">IF(A46="","",SUMIFS(Sales_Items!$H$2:$H$3001,Sales_Items!$A$2:$A$3001,A46))</f>
        <v>260</v>
      </c>
      <c r="F46" s="13" t="n">
        <v>50</v>
      </c>
      <c r="G46" s="17" t="n">
        <f aca="false">IF(A46="","",E46-N(F46))</f>
        <v>210</v>
      </c>
      <c r="H46" s="13" t="n">
        <v>210</v>
      </c>
      <c r="I46" s="17" t="n">
        <f aca="false">IF(A46="","",SUMIFS(Due_Payments!$C$2:$C$1001,Due_Payments!$B$2:$B$1001,A46))</f>
        <v>0</v>
      </c>
      <c r="J46" s="17" t="n">
        <f aca="false">IF(A46="","",G46-N(H46)-I46)</f>
        <v>0</v>
      </c>
      <c r="K46" s="7" t="s">
        <v>13</v>
      </c>
      <c r="L46" s="7" t="s">
        <v>317</v>
      </c>
      <c r="M46" s="7"/>
    </row>
    <row r="47" customFormat="false" ht="15" hidden="false" customHeight="true" outlineLevel="0" collapsed="false">
      <c r="A47" s="7" t="s">
        <v>318</v>
      </c>
      <c r="B47" s="15" t="n">
        <v>46242</v>
      </c>
      <c r="C47" s="7" t="s">
        <v>275</v>
      </c>
      <c r="D47" s="7" t="s">
        <v>276</v>
      </c>
      <c r="E47" s="17" t="n">
        <f aca="false">IF(A47="","",SUMIFS(Sales_Items!$H$2:$H$3001,Sales_Items!$A$2:$A$3001,A47))</f>
        <v>3930</v>
      </c>
      <c r="F47" s="13" t="n">
        <v>0</v>
      </c>
      <c r="G47" s="17" t="n">
        <f aca="false">IF(A47="","",E47-N(F47))</f>
        <v>3930</v>
      </c>
      <c r="H47" s="13" t="n">
        <v>3930</v>
      </c>
      <c r="I47" s="17" t="n">
        <f aca="false">IF(A47="","",SUMIFS(Due_Payments!$C$2:$C$1001,Due_Payments!$B$2:$B$1001,A47))</f>
        <v>0</v>
      </c>
      <c r="J47" s="17" t="n">
        <f aca="false">IF(A47="","",G47-N(H47)-I47)</f>
        <v>0</v>
      </c>
      <c r="K47" s="7" t="s">
        <v>13</v>
      </c>
      <c r="L47" s="7" t="s">
        <v>319</v>
      </c>
      <c r="M47" s="7"/>
    </row>
    <row r="48" customFormat="false" ht="15" hidden="false" customHeight="true" outlineLevel="0" collapsed="false">
      <c r="A48" s="7" t="s">
        <v>320</v>
      </c>
      <c r="B48" s="15" t="n">
        <v>46242</v>
      </c>
      <c r="C48" s="7" t="s">
        <v>300</v>
      </c>
      <c r="D48" s="7" t="s">
        <v>301</v>
      </c>
      <c r="E48" s="17" t="n">
        <f aca="false">IF(A48="","",SUMIFS(Sales_Items!$H$2:$H$3001,Sales_Items!$A$2:$A$3001,A48))</f>
        <v>1590</v>
      </c>
      <c r="F48" s="13" t="n">
        <v>0</v>
      </c>
      <c r="G48" s="17" t="n">
        <f aca="false">IF(A48="","",E48-N(F48))</f>
        <v>1590</v>
      </c>
      <c r="H48" s="13" t="n">
        <v>0</v>
      </c>
      <c r="I48" s="17" t="n">
        <f aca="false">IF(A48="","",SUMIFS(Due_Payments!$C$2:$C$1001,Due_Payments!$B$2:$B$1001,A48))</f>
        <v>0</v>
      </c>
      <c r="J48" s="17" t="n">
        <f aca="false">IF(A48="","",G48-N(H48)-I48)</f>
        <v>1590</v>
      </c>
      <c r="K48" s="7" t="s">
        <v>13</v>
      </c>
      <c r="L48" s="7" t="s">
        <v>321</v>
      </c>
      <c r="M48" s="7"/>
    </row>
    <row r="49" customFormat="false" ht="15" hidden="false" customHeight="true" outlineLevel="0" collapsed="false">
      <c r="A49" s="7" t="s">
        <v>322</v>
      </c>
      <c r="B49" s="15" t="n">
        <v>46242</v>
      </c>
      <c r="C49" s="7" t="s">
        <v>300</v>
      </c>
      <c r="D49" s="7" t="s">
        <v>301</v>
      </c>
      <c r="E49" s="17" t="n">
        <f aca="false">IF(A49="","",SUMIFS(Sales_Items!$H$2:$H$3001,Sales_Items!$A$2:$A$3001,A49))</f>
        <v>520</v>
      </c>
      <c r="F49" s="13" t="n">
        <v>0</v>
      </c>
      <c r="G49" s="17" t="n">
        <f aca="false">IF(A49="","",E49-N(F49))</f>
        <v>520</v>
      </c>
      <c r="H49" s="13" t="n">
        <v>520</v>
      </c>
      <c r="I49" s="17" t="n">
        <f aca="false">IF(A49="","",SUMIFS(Due_Payments!$C$2:$C$1001,Due_Payments!$B$2:$B$1001,A49))</f>
        <v>0</v>
      </c>
      <c r="J49" s="17" t="n">
        <f aca="false">IF(A49="","",G49-N(H49)-I49)</f>
        <v>0</v>
      </c>
      <c r="K49" s="7" t="s">
        <v>29</v>
      </c>
      <c r="L49" s="7" t="s">
        <v>323</v>
      </c>
      <c r="M49" s="7"/>
    </row>
    <row r="50" customFormat="false" ht="15" hidden="false" customHeight="true" outlineLevel="0" collapsed="false">
      <c r="A50" s="7" t="s">
        <v>324</v>
      </c>
      <c r="B50" s="15" t="n">
        <v>46242</v>
      </c>
      <c r="C50" s="7" t="s">
        <v>249</v>
      </c>
      <c r="D50" s="7" t="s">
        <v>250</v>
      </c>
      <c r="E50" s="17" t="n">
        <f aca="false">IF(A50="","",SUMIFS(Sales_Items!$H$2:$H$3001,Sales_Items!$A$2:$A$3001,A50))</f>
        <v>600</v>
      </c>
      <c r="F50" s="13" t="n">
        <v>0</v>
      </c>
      <c r="G50" s="17" t="n">
        <f aca="false">IF(A50="","",E50-N(F50))</f>
        <v>600</v>
      </c>
      <c r="H50" s="13" t="n">
        <v>600</v>
      </c>
      <c r="I50" s="17" t="n">
        <f aca="false">IF(A50="","",SUMIFS(Due_Payments!$C$2:$C$1001,Due_Payments!$B$2:$B$1001,A50))</f>
        <v>0</v>
      </c>
      <c r="J50" s="17" t="n">
        <f aca="false">IF(A50="","",G50-N(H50)-I50)</f>
        <v>0</v>
      </c>
      <c r="K50" s="7" t="s">
        <v>21</v>
      </c>
      <c r="L50" s="7" t="s">
        <v>325</v>
      </c>
      <c r="M50" s="7"/>
    </row>
    <row r="51" customFormat="false" ht="15" hidden="false" customHeight="true" outlineLevel="0" collapsed="false">
      <c r="A51" s="7" t="s">
        <v>326</v>
      </c>
      <c r="B51" s="15" t="n">
        <v>46243</v>
      </c>
      <c r="C51" s="7" t="s">
        <v>217</v>
      </c>
      <c r="D51" s="7" t="s">
        <v>218</v>
      </c>
      <c r="E51" s="17" t="n">
        <f aca="false">IF(A51="","",SUMIFS(Sales_Items!$H$2:$H$3001,Sales_Items!$A$2:$A$3001,A51))</f>
        <v>190</v>
      </c>
      <c r="F51" s="13" t="n">
        <v>100</v>
      </c>
      <c r="G51" s="17" t="n">
        <f aca="false">IF(A51="","",E51-N(F51))</f>
        <v>90</v>
      </c>
      <c r="H51" s="13" t="n">
        <v>90</v>
      </c>
      <c r="I51" s="17" t="n">
        <f aca="false">IF(A51="","",SUMIFS(Due_Payments!$C$2:$C$1001,Due_Payments!$B$2:$B$1001,A51))</f>
        <v>0</v>
      </c>
      <c r="J51" s="17" t="n">
        <f aca="false">IF(A51="","",G51-N(H51)-I51)</f>
        <v>0</v>
      </c>
      <c r="K51" s="7" t="s">
        <v>21</v>
      </c>
      <c r="L51" s="7" t="s">
        <v>327</v>
      </c>
      <c r="M51" s="7"/>
    </row>
    <row r="52" customFormat="false" ht="15" hidden="false" customHeight="true" outlineLevel="0" collapsed="false">
      <c r="A52" s="7" t="s">
        <v>328</v>
      </c>
      <c r="B52" s="15" t="n">
        <v>46243</v>
      </c>
      <c r="C52" s="7" t="s">
        <v>329</v>
      </c>
      <c r="D52" s="7" t="s">
        <v>330</v>
      </c>
      <c r="E52" s="17" t="n">
        <f aca="false">IF(A52="","",SUMIFS(Sales_Items!$H$2:$H$3001,Sales_Items!$A$2:$A$3001,A52))</f>
        <v>2180</v>
      </c>
      <c r="F52" s="13" t="n">
        <v>70</v>
      </c>
      <c r="G52" s="17" t="n">
        <f aca="false">IF(A52="","",E52-N(F52))</f>
        <v>2110</v>
      </c>
      <c r="H52" s="13" t="n">
        <v>2110</v>
      </c>
      <c r="I52" s="17" t="n">
        <f aca="false">IF(A52="","",SUMIFS(Due_Payments!$C$2:$C$1001,Due_Payments!$B$2:$B$1001,A52))</f>
        <v>0</v>
      </c>
      <c r="J52" s="17" t="n">
        <f aca="false">IF(A52="","",G52-N(H52)-I52)</f>
        <v>0</v>
      </c>
      <c r="K52" s="7" t="s">
        <v>13</v>
      </c>
      <c r="L52" s="7" t="s">
        <v>331</v>
      </c>
      <c r="M52" s="7"/>
    </row>
    <row r="53" customFormat="false" ht="15" hidden="false" customHeight="true" outlineLevel="0" collapsed="false">
      <c r="A53" s="7" t="s">
        <v>332</v>
      </c>
      <c r="B53" s="15" t="n">
        <v>46243</v>
      </c>
      <c r="C53" s="7" t="s">
        <v>275</v>
      </c>
      <c r="D53" s="7" t="s">
        <v>276</v>
      </c>
      <c r="E53" s="17" t="n">
        <f aca="false">IF(A53="","",SUMIFS(Sales_Items!$H$2:$H$3001,Sales_Items!$A$2:$A$3001,A53))</f>
        <v>3750</v>
      </c>
      <c r="F53" s="13" t="n">
        <v>0</v>
      </c>
      <c r="G53" s="17" t="n">
        <f aca="false">IF(A53="","",E53-N(F53))</f>
        <v>3750</v>
      </c>
      <c r="H53" s="13" t="n">
        <v>3750</v>
      </c>
      <c r="I53" s="17" t="n">
        <f aca="false">IF(A53="","",SUMIFS(Due_Payments!$C$2:$C$1001,Due_Payments!$B$2:$B$1001,A53))</f>
        <v>0</v>
      </c>
      <c r="J53" s="17" t="n">
        <f aca="false">IF(A53="","",G53-N(H53)-I53)</f>
        <v>0</v>
      </c>
      <c r="K53" s="7" t="s">
        <v>29</v>
      </c>
      <c r="L53" s="7" t="s">
        <v>333</v>
      </c>
      <c r="M53" s="7"/>
    </row>
    <row r="54" customFormat="false" ht="15" hidden="false" customHeight="true" outlineLevel="0" collapsed="false">
      <c r="A54" s="7" t="s">
        <v>334</v>
      </c>
      <c r="B54" s="15" t="n">
        <v>46243</v>
      </c>
      <c r="C54" s="7" t="s">
        <v>293</v>
      </c>
      <c r="D54" s="7" t="s">
        <v>294</v>
      </c>
      <c r="E54" s="17" t="n">
        <f aca="false">IF(A54="","",SUMIFS(Sales_Items!$H$2:$H$3001,Sales_Items!$A$2:$A$3001,A54))</f>
        <v>1240</v>
      </c>
      <c r="F54" s="13" t="n">
        <v>0</v>
      </c>
      <c r="G54" s="17" t="n">
        <f aca="false">IF(A54="","",E54-N(F54))</f>
        <v>1240</v>
      </c>
      <c r="H54" s="13" t="n">
        <v>730</v>
      </c>
      <c r="I54" s="17" t="n">
        <f aca="false">IF(A54="","",SUMIFS(Due_Payments!$C$2:$C$1001,Due_Payments!$B$2:$B$1001,A54))</f>
        <v>510</v>
      </c>
      <c r="J54" s="17" t="n">
        <f aca="false">IF(A54="","",G54-N(H54)-I54)</f>
        <v>0</v>
      </c>
      <c r="K54" s="7" t="s">
        <v>13</v>
      </c>
      <c r="L54" s="7" t="s">
        <v>335</v>
      </c>
      <c r="M54" s="7"/>
    </row>
    <row r="55" customFormat="false" ht="15" hidden="false" customHeight="true" outlineLevel="0" collapsed="false">
      <c r="A55" s="7" t="s">
        <v>336</v>
      </c>
      <c r="B55" s="15" t="n">
        <v>46243</v>
      </c>
      <c r="C55" s="7" t="s">
        <v>275</v>
      </c>
      <c r="D55" s="7" t="s">
        <v>276</v>
      </c>
      <c r="E55" s="17" t="n">
        <f aca="false">IF(A55="","",SUMIFS(Sales_Items!$H$2:$H$3001,Sales_Items!$A$2:$A$3001,A55))</f>
        <v>270</v>
      </c>
      <c r="F55" s="13" t="n">
        <v>0</v>
      </c>
      <c r="G55" s="17" t="n">
        <f aca="false">IF(A55="","",E55-N(F55))</f>
        <v>270</v>
      </c>
      <c r="H55" s="13" t="n">
        <v>270</v>
      </c>
      <c r="I55" s="17" t="n">
        <f aca="false">IF(A55="","",SUMIFS(Due_Payments!$C$2:$C$1001,Due_Payments!$B$2:$B$1001,A55))</f>
        <v>0</v>
      </c>
      <c r="J55" s="17" t="n">
        <f aca="false">IF(A55="","",G55-N(H55)-I55)</f>
        <v>0</v>
      </c>
      <c r="K55" s="7" t="s">
        <v>13</v>
      </c>
      <c r="L55" s="7" t="s">
        <v>337</v>
      </c>
      <c r="M55" s="7"/>
    </row>
    <row r="56" customFormat="false" ht="15" hidden="false" customHeight="true" outlineLevel="0" collapsed="false">
      <c r="A56" s="7" t="s">
        <v>338</v>
      </c>
      <c r="B56" s="15" t="n">
        <v>46243</v>
      </c>
      <c r="C56" s="7" t="s">
        <v>263</v>
      </c>
      <c r="D56" s="7" t="s">
        <v>264</v>
      </c>
      <c r="E56" s="17" t="n">
        <f aca="false">IF(A56="","",SUMIFS(Sales_Items!$H$2:$H$3001,Sales_Items!$A$2:$A$3001,A56))</f>
        <v>260</v>
      </c>
      <c r="F56" s="13" t="n">
        <v>0</v>
      </c>
      <c r="G56" s="17" t="n">
        <f aca="false">IF(A56="","",E56-N(F56))</f>
        <v>260</v>
      </c>
      <c r="H56" s="13" t="n">
        <v>140</v>
      </c>
      <c r="I56" s="17" t="n">
        <f aca="false">IF(A56="","",SUMIFS(Due_Payments!$C$2:$C$1001,Due_Payments!$B$2:$B$1001,A56))</f>
        <v>60</v>
      </c>
      <c r="J56" s="17" t="n">
        <f aca="false">IF(A56="","",G56-N(H56)-I56)</f>
        <v>60</v>
      </c>
      <c r="K56" s="7" t="s">
        <v>21</v>
      </c>
      <c r="L56" s="7" t="s">
        <v>265</v>
      </c>
      <c r="M56" s="7"/>
    </row>
    <row r="57" customFormat="false" ht="15" hidden="false" customHeight="true" outlineLevel="0" collapsed="false">
      <c r="A57" s="7" t="s">
        <v>339</v>
      </c>
      <c r="B57" s="15" t="n">
        <v>46243</v>
      </c>
      <c r="C57" s="7" t="s">
        <v>225</v>
      </c>
      <c r="D57" s="7" t="s">
        <v>226</v>
      </c>
      <c r="E57" s="17" t="n">
        <f aca="false">IF(A57="","",SUMIFS(Sales_Items!$H$2:$H$3001,Sales_Items!$A$2:$A$3001,A57))</f>
        <v>380</v>
      </c>
      <c r="F57" s="13" t="n">
        <v>10</v>
      </c>
      <c r="G57" s="17" t="n">
        <f aca="false">IF(A57="","",E57-N(F57))</f>
        <v>370</v>
      </c>
      <c r="H57" s="13" t="n">
        <v>0</v>
      </c>
      <c r="I57" s="17" t="n">
        <f aca="false">IF(A57="","",SUMIFS(Due_Payments!$C$2:$C$1001,Due_Payments!$B$2:$B$1001,A57))</f>
        <v>370</v>
      </c>
      <c r="J57" s="17" t="n">
        <f aca="false">IF(A57="","",G57-N(H57)-I57)</f>
        <v>0</v>
      </c>
      <c r="K57" s="7" t="s">
        <v>13</v>
      </c>
      <c r="L57" s="7" t="s">
        <v>252</v>
      </c>
      <c r="M57" s="7"/>
    </row>
    <row r="58" customFormat="false" ht="15" hidden="false" customHeight="true" outlineLevel="0" collapsed="false">
      <c r="A58" s="7" t="s">
        <v>340</v>
      </c>
      <c r="B58" s="15" t="n">
        <v>46244</v>
      </c>
      <c r="C58" s="7" t="s">
        <v>275</v>
      </c>
      <c r="D58" s="7" t="s">
        <v>276</v>
      </c>
      <c r="E58" s="17" t="n">
        <f aca="false">IF(A58="","",SUMIFS(Sales_Items!$H$2:$H$3001,Sales_Items!$A$2:$A$3001,A58))</f>
        <v>780</v>
      </c>
      <c r="F58" s="13" t="n">
        <v>0</v>
      </c>
      <c r="G58" s="17" t="n">
        <f aca="false">IF(A58="","",E58-N(F58))</f>
        <v>780</v>
      </c>
      <c r="H58" s="13" t="n">
        <v>780</v>
      </c>
      <c r="I58" s="17" t="n">
        <f aca="false">IF(A58="","",SUMIFS(Due_Payments!$C$2:$C$1001,Due_Payments!$B$2:$B$1001,A58))</f>
        <v>0</v>
      </c>
      <c r="J58" s="17" t="n">
        <f aca="false">IF(A58="","",G58-N(H58)-I58)</f>
        <v>0</v>
      </c>
      <c r="K58" s="7" t="s">
        <v>21</v>
      </c>
      <c r="L58" s="7" t="s">
        <v>309</v>
      </c>
      <c r="M58" s="7"/>
    </row>
    <row r="59" customFormat="false" ht="15" hidden="false" customHeight="true" outlineLevel="0" collapsed="false">
      <c r="A59" s="7" t="s">
        <v>341</v>
      </c>
      <c r="B59" s="15" t="n">
        <v>46244</v>
      </c>
      <c r="C59" s="7" t="s">
        <v>259</v>
      </c>
      <c r="D59" s="7" t="s">
        <v>260</v>
      </c>
      <c r="E59" s="17" t="n">
        <f aca="false">IF(A59="","",SUMIFS(Sales_Items!$H$2:$H$3001,Sales_Items!$A$2:$A$3001,A59))</f>
        <v>190</v>
      </c>
      <c r="F59" s="13" t="n">
        <v>0</v>
      </c>
      <c r="G59" s="17" t="n">
        <f aca="false">IF(A59="","",E59-N(F59))</f>
        <v>190</v>
      </c>
      <c r="H59" s="13" t="n">
        <v>130</v>
      </c>
      <c r="I59" s="17" t="n">
        <f aca="false">IF(A59="","",SUMIFS(Due_Payments!$C$2:$C$1001,Due_Payments!$B$2:$B$1001,A59))</f>
        <v>60</v>
      </c>
      <c r="J59" s="17" t="n">
        <f aca="false">IF(A59="","",G59-N(H59)-I59)</f>
        <v>0</v>
      </c>
      <c r="K59" s="7" t="s">
        <v>29</v>
      </c>
      <c r="L59" s="7" t="s">
        <v>342</v>
      </c>
      <c r="M59" s="7"/>
    </row>
    <row r="60" customFormat="false" ht="15" hidden="false" customHeight="true" outlineLevel="0" collapsed="false">
      <c r="A60" s="7" t="s">
        <v>343</v>
      </c>
      <c r="B60" s="15" t="n">
        <v>46244</v>
      </c>
      <c r="C60" s="7" t="s">
        <v>344</v>
      </c>
      <c r="D60" s="7" t="s">
        <v>345</v>
      </c>
      <c r="E60" s="17" t="n">
        <f aca="false">IF(A60="","",SUMIFS(Sales_Items!$H$2:$H$3001,Sales_Items!$A$2:$A$3001,A60))</f>
        <v>710</v>
      </c>
      <c r="F60" s="13" t="n">
        <v>0</v>
      </c>
      <c r="G60" s="17" t="n">
        <f aca="false">IF(A60="","",E60-N(F60))</f>
        <v>710</v>
      </c>
      <c r="H60" s="13" t="n">
        <v>710</v>
      </c>
      <c r="I60" s="17" t="n">
        <f aca="false">IF(A60="","",SUMIFS(Due_Payments!$C$2:$C$1001,Due_Payments!$B$2:$B$1001,A60))</f>
        <v>0</v>
      </c>
      <c r="J60" s="17" t="n">
        <f aca="false">IF(A60="","",G60-N(H60)-I60)</f>
        <v>0</v>
      </c>
      <c r="K60" s="7" t="s">
        <v>13</v>
      </c>
      <c r="L60" s="7" t="s">
        <v>346</v>
      </c>
      <c r="M60" s="7"/>
    </row>
    <row r="61" customFormat="false" ht="15" hidden="false" customHeight="true" outlineLevel="0" collapsed="false">
      <c r="A61" s="7" t="s">
        <v>347</v>
      </c>
      <c r="B61" s="15" t="n">
        <v>46244</v>
      </c>
      <c r="C61" s="7" t="s">
        <v>198</v>
      </c>
      <c r="D61" s="7" t="s">
        <v>199</v>
      </c>
      <c r="E61" s="17" t="n">
        <f aca="false">IF(A61="","",SUMIFS(Sales_Items!$H$2:$H$3001,Sales_Items!$A$2:$A$3001,A61))</f>
        <v>480</v>
      </c>
      <c r="F61" s="13" t="n">
        <v>10</v>
      </c>
      <c r="G61" s="17" t="n">
        <f aca="false">IF(A61="","",E61-N(F61))</f>
        <v>470</v>
      </c>
      <c r="H61" s="13" t="n">
        <v>470</v>
      </c>
      <c r="I61" s="17" t="n">
        <f aca="false">IF(A61="","",SUMIFS(Due_Payments!$C$2:$C$1001,Due_Payments!$B$2:$B$1001,A61))</f>
        <v>0</v>
      </c>
      <c r="J61" s="17" t="n">
        <f aca="false">IF(A61="","",G61-N(H61)-I61)</f>
        <v>0</v>
      </c>
      <c r="K61" s="7" t="s">
        <v>13</v>
      </c>
      <c r="L61" s="7" t="s">
        <v>348</v>
      </c>
      <c r="M61" s="7"/>
    </row>
    <row r="62" customFormat="false" ht="15" hidden="false" customHeight="true" outlineLevel="0" collapsed="false">
      <c r="A62" s="7" t="s">
        <v>349</v>
      </c>
      <c r="B62" s="15" t="n">
        <v>46244</v>
      </c>
      <c r="C62" s="7" t="s">
        <v>350</v>
      </c>
      <c r="D62" s="7" t="s">
        <v>351</v>
      </c>
      <c r="E62" s="17" t="n">
        <f aca="false">IF(A62="","",SUMIFS(Sales_Items!$H$2:$H$3001,Sales_Items!$A$2:$A$3001,A62))</f>
        <v>1570</v>
      </c>
      <c r="F62" s="13" t="n">
        <v>0</v>
      </c>
      <c r="G62" s="17" t="n">
        <f aca="false">IF(A62="","",E62-N(F62))</f>
        <v>1570</v>
      </c>
      <c r="H62" s="13" t="n">
        <v>1010</v>
      </c>
      <c r="I62" s="17" t="n">
        <f aca="false">IF(A62="","",SUMIFS(Due_Payments!$C$2:$C$1001,Due_Payments!$B$2:$B$1001,A62))</f>
        <v>0</v>
      </c>
      <c r="J62" s="17" t="n">
        <f aca="false">IF(A62="","",G62-N(H62)-I62)</f>
        <v>560</v>
      </c>
      <c r="K62" s="7" t="s">
        <v>21</v>
      </c>
      <c r="L62" s="7" t="s">
        <v>352</v>
      </c>
      <c r="M62" s="7"/>
    </row>
    <row r="63" customFormat="false" ht="15" hidden="false" customHeight="true" outlineLevel="0" collapsed="false">
      <c r="A63" s="7" t="s">
        <v>353</v>
      </c>
      <c r="B63" s="15" t="n">
        <v>46244</v>
      </c>
      <c r="C63" s="7" t="s">
        <v>206</v>
      </c>
      <c r="D63" s="7" t="s">
        <v>207</v>
      </c>
      <c r="E63" s="17" t="n">
        <f aca="false">IF(A63="","",SUMIFS(Sales_Items!$H$2:$H$3001,Sales_Items!$A$2:$A$3001,A63))</f>
        <v>1800</v>
      </c>
      <c r="F63" s="13" t="n">
        <v>50</v>
      </c>
      <c r="G63" s="17" t="n">
        <f aca="false">IF(A63="","",E63-N(F63))</f>
        <v>1750</v>
      </c>
      <c r="H63" s="13" t="n">
        <v>1750</v>
      </c>
      <c r="I63" s="17" t="n">
        <f aca="false">IF(A63="","",SUMIFS(Due_Payments!$C$2:$C$1001,Due_Payments!$B$2:$B$1001,A63))</f>
        <v>0</v>
      </c>
      <c r="J63" s="17" t="n">
        <f aca="false">IF(A63="","",G63-N(H63)-I63)</f>
        <v>0</v>
      </c>
      <c r="K63" s="7" t="s">
        <v>13</v>
      </c>
      <c r="L63" s="7" t="s">
        <v>354</v>
      </c>
      <c r="M63" s="7"/>
    </row>
    <row r="64" customFormat="false" ht="15" hidden="false" customHeight="true" outlineLevel="0" collapsed="false">
      <c r="A64" s="7" t="s">
        <v>355</v>
      </c>
      <c r="B64" s="15" t="n">
        <v>46244</v>
      </c>
      <c r="C64" s="7" t="s">
        <v>213</v>
      </c>
      <c r="D64" s="7" t="s">
        <v>214</v>
      </c>
      <c r="E64" s="17" t="n">
        <f aca="false">IF(A64="","",SUMIFS(Sales_Items!$H$2:$H$3001,Sales_Items!$A$2:$A$3001,A64))</f>
        <v>1540</v>
      </c>
      <c r="F64" s="13" t="n">
        <v>50</v>
      </c>
      <c r="G64" s="17" t="n">
        <f aca="false">IF(A64="","",E64-N(F64))</f>
        <v>1490</v>
      </c>
      <c r="H64" s="13" t="n">
        <v>1490</v>
      </c>
      <c r="I64" s="17" t="n">
        <f aca="false">IF(A64="","",SUMIFS(Due_Payments!$C$2:$C$1001,Due_Payments!$B$2:$B$1001,A64))</f>
        <v>0</v>
      </c>
      <c r="J64" s="17" t="n">
        <f aca="false">IF(A64="","",G64-N(H64)-I64)</f>
        <v>0</v>
      </c>
      <c r="K64" s="7" t="s">
        <v>21</v>
      </c>
      <c r="L64" s="7" t="s">
        <v>356</v>
      </c>
      <c r="M64" s="7"/>
    </row>
    <row r="65" customFormat="false" ht="15" hidden="false" customHeight="true" outlineLevel="0" collapsed="false">
      <c r="A65" s="7" t="s">
        <v>357</v>
      </c>
      <c r="B65" s="15" t="n">
        <v>46244</v>
      </c>
      <c r="C65" s="7" t="s">
        <v>210</v>
      </c>
      <c r="D65" s="7" t="s">
        <v>211</v>
      </c>
      <c r="E65" s="17" t="n">
        <f aca="false">IF(A65="","",SUMIFS(Sales_Items!$H$2:$H$3001,Sales_Items!$A$2:$A$3001,A65))</f>
        <v>340</v>
      </c>
      <c r="F65" s="13" t="n">
        <v>0</v>
      </c>
      <c r="G65" s="17" t="n">
        <f aca="false">IF(A65="","",E65-N(F65))</f>
        <v>340</v>
      </c>
      <c r="H65" s="13" t="n">
        <v>170</v>
      </c>
      <c r="I65" s="17" t="n">
        <f aca="false">IF(A65="","",SUMIFS(Due_Payments!$C$2:$C$1001,Due_Payments!$B$2:$B$1001,A65))</f>
        <v>0</v>
      </c>
      <c r="J65" s="17" t="n">
        <f aca="false">IF(A65="","",G65-N(H65)-I65)</f>
        <v>170</v>
      </c>
      <c r="K65" s="7" t="s">
        <v>13</v>
      </c>
      <c r="L65" s="7" t="s">
        <v>237</v>
      </c>
      <c r="M65" s="7"/>
    </row>
    <row r="66" customFormat="false" ht="15" hidden="false" customHeight="true" outlineLevel="0" collapsed="false">
      <c r="A66" s="7" t="s">
        <v>358</v>
      </c>
      <c r="B66" s="15" t="n">
        <v>46244</v>
      </c>
      <c r="C66" s="7" t="s">
        <v>206</v>
      </c>
      <c r="D66" s="7" t="s">
        <v>207</v>
      </c>
      <c r="E66" s="17" t="n">
        <f aca="false">IF(A66="","",SUMIFS(Sales_Items!$H$2:$H$3001,Sales_Items!$A$2:$A$3001,A66))</f>
        <v>1520</v>
      </c>
      <c r="F66" s="13" t="n">
        <v>0</v>
      </c>
      <c r="G66" s="17" t="n">
        <f aca="false">IF(A66="","",E66-N(F66))</f>
        <v>1520</v>
      </c>
      <c r="H66" s="13" t="n">
        <v>1520</v>
      </c>
      <c r="I66" s="17" t="n">
        <f aca="false">IF(A66="","",SUMIFS(Due_Payments!$C$2:$C$1001,Due_Payments!$B$2:$B$1001,A66))</f>
        <v>0</v>
      </c>
      <c r="J66" s="17" t="n">
        <f aca="false">IF(A66="","",G66-N(H66)-I66)</f>
        <v>0</v>
      </c>
      <c r="K66" s="7" t="s">
        <v>13</v>
      </c>
      <c r="L66" s="7" t="s">
        <v>247</v>
      </c>
      <c r="M66" s="7"/>
    </row>
    <row r="67" customFormat="false" ht="15" hidden="false" customHeight="true" outlineLevel="0" collapsed="false">
      <c r="A67" s="7" t="s">
        <v>359</v>
      </c>
      <c r="B67" s="15" t="n">
        <v>46244</v>
      </c>
      <c r="C67" s="7" t="s">
        <v>282</v>
      </c>
      <c r="D67" s="7" t="s">
        <v>283</v>
      </c>
      <c r="E67" s="17" t="n">
        <f aca="false">IF(A67="","",SUMIFS(Sales_Items!$H$2:$H$3001,Sales_Items!$A$2:$A$3001,A67))</f>
        <v>850</v>
      </c>
      <c r="F67" s="13" t="n">
        <v>0</v>
      </c>
      <c r="G67" s="17" t="n">
        <f aca="false">IF(A67="","",E67-N(F67))</f>
        <v>850</v>
      </c>
      <c r="H67" s="13" t="n">
        <v>850</v>
      </c>
      <c r="I67" s="17" t="n">
        <f aca="false">IF(A67="","",SUMIFS(Due_Payments!$C$2:$C$1001,Due_Payments!$B$2:$B$1001,A67))</f>
        <v>0</v>
      </c>
      <c r="J67" s="17" t="n">
        <f aca="false">IF(A67="","",G67-N(H67)-I67)</f>
        <v>0</v>
      </c>
      <c r="K67" s="7" t="s">
        <v>37</v>
      </c>
      <c r="L67" s="7" t="s">
        <v>287</v>
      </c>
      <c r="M67" s="7"/>
    </row>
    <row r="68" customFormat="false" ht="15" hidden="false" customHeight="true" outlineLevel="0" collapsed="false">
      <c r="A68" s="7" t="s">
        <v>360</v>
      </c>
      <c r="B68" s="15" t="n">
        <v>46244</v>
      </c>
      <c r="C68" s="7" t="s">
        <v>225</v>
      </c>
      <c r="D68" s="7" t="s">
        <v>226</v>
      </c>
      <c r="E68" s="17" t="n">
        <f aca="false">IF(A68="","",SUMIFS(Sales_Items!$H$2:$H$3001,Sales_Items!$A$2:$A$3001,A68))</f>
        <v>240</v>
      </c>
      <c r="F68" s="13" t="n">
        <v>0</v>
      </c>
      <c r="G68" s="17" t="n">
        <f aca="false">IF(A68="","",E68-N(F68))</f>
        <v>240</v>
      </c>
      <c r="H68" s="13" t="n">
        <v>240</v>
      </c>
      <c r="I68" s="17" t="n">
        <f aca="false">IF(A68="","",SUMIFS(Due_Payments!$C$2:$C$1001,Due_Payments!$B$2:$B$1001,A68))</f>
        <v>0</v>
      </c>
      <c r="J68" s="17" t="n">
        <f aca="false">IF(A68="","",G68-N(H68)-I68)</f>
        <v>0</v>
      </c>
      <c r="K68" s="7" t="s">
        <v>13</v>
      </c>
      <c r="L68" s="7" t="s">
        <v>261</v>
      </c>
      <c r="M68" s="7"/>
    </row>
    <row r="69" customFormat="false" ht="15" hidden="false" customHeight="true" outlineLevel="0" collapsed="false">
      <c r="A69" s="7" t="s">
        <v>361</v>
      </c>
      <c r="B69" s="15" t="n">
        <v>46244</v>
      </c>
      <c r="C69" s="7" t="s">
        <v>210</v>
      </c>
      <c r="D69" s="7" t="s">
        <v>211</v>
      </c>
      <c r="E69" s="17" t="n">
        <f aca="false">IF(A69="","",SUMIFS(Sales_Items!$H$2:$H$3001,Sales_Items!$A$2:$A$3001,A69))</f>
        <v>240</v>
      </c>
      <c r="F69" s="13" t="n">
        <v>0</v>
      </c>
      <c r="G69" s="17" t="n">
        <f aca="false">IF(A69="","",E69-N(F69))</f>
        <v>240</v>
      </c>
      <c r="H69" s="13" t="n">
        <v>240</v>
      </c>
      <c r="I69" s="17" t="n">
        <f aca="false">IF(A69="","",SUMIFS(Due_Payments!$C$2:$C$1001,Due_Payments!$B$2:$B$1001,A69))</f>
        <v>0</v>
      </c>
      <c r="J69" s="17" t="n">
        <f aca="false">IF(A69="","",G69-N(H69)-I69)</f>
        <v>0</v>
      </c>
      <c r="K69" s="7" t="s">
        <v>13</v>
      </c>
      <c r="L69" s="7" t="s">
        <v>261</v>
      </c>
      <c r="M69" s="7"/>
    </row>
    <row r="70" customFormat="false" ht="15" hidden="false" customHeight="true" outlineLevel="0" collapsed="false">
      <c r="A70" s="7" t="s">
        <v>362</v>
      </c>
      <c r="B70" s="15" t="n">
        <v>46245</v>
      </c>
      <c r="C70" s="7" t="s">
        <v>293</v>
      </c>
      <c r="D70" s="7" t="s">
        <v>294</v>
      </c>
      <c r="E70" s="17" t="n">
        <f aca="false">IF(A70="","",SUMIFS(Sales_Items!$H$2:$H$3001,Sales_Items!$A$2:$A$3001,A70))</f>
        <v>2580</v>
      </c>
      <c r="F70" s="13" t="n">
        <v>100</v>
      </c>
      <c r="G70" s="17" t="n">
        <f aca="false">IF(A70="","",E70-N(F70))</f>
        <v>2480</v>
      </c>
      <c r="H70" s="13" t="n">
        <v>2480</v>
      </c>
      <c r="I70" s="17" t="n">
        <f aca="false">IF(A70="","",SUMIFS(Due_Payments!$C$2:$C$1001,Due_Payments!$B$2:$B$1001,A70))</f>
        <v>0</v>
      </c>
      <c r="J70" s="17" t="n">
        <f aca="false">IF(A70="","",G70-N(H70)-I70)</f>
        <v>0</v>
      </c>
      <c r="K70" s="7" t="s">
        <v>21</v>
      </c>
      <c r="L70" s="7" t="s">
        <v>363</v>
      </c>
      <c r="M70" s="7"/>
    </row>
    <row r="71" customFormat="false" ht="15" hidden="false" customHeight="true" outlineLevel="0" collapsed="false">
      <c r="A71" s="7" t="s">
        <v>364</v>
      </c>
      <c r="B71" s="15" t="n">
        <v>46245</v>
      </c>
      <c r="C71" s="7" t="s">
        <v>293</v>
      </c>
      <c r="D71" s="7" t="s">
        <v>294</v>
      </c>
      <c r="E71" s="17" t="n">
        <f aca="false">IF(A71="","",SUMIFS(Sales_Items!$H$2:$H$3001,Sales_Items!$A$2:$A$3001,A71))</f>
        <v>580</v>
      </c>
      <c r="F71" s="13" t="n">
        <v>0</v>
      </c>
      <c r="G71" s="17" t="n">
        <f aca="false">IF(A71="","",E71-N(F71))</f>
        <v>580</v>
      </c>
      <c r="H71" s="13" t="n">
        <v>580</v>
      </c>
      <c r="I71" s="17" t="n">
        <f aca="false">IF(A71="","",SUMIFS(Due_Payments!$C$2:$C$1001,Due_Payments!$B$2:$B$1001,A71))</f>
        <v>0</v>
      </c>
      <c r="J71" s="17" t="n">
        <f aca="false">IF(A71="","",G71-N(H71)-I71)</f>
        <v>0</v>
      </c>
      <c r="K71" s="7" t="s">
        <v>13</v>
      </c>
      <c r="L71" s="7" t="s">
        <v>365</v>
      </c>
      <c r="M71" s="7"/>
    </row>
    <row r="72" customFormat="false" ht="15" hidden="false" customHeight="true" outlineLevel="0" collapsed="false">
      <c r="A72" s="7" t="s">
        <v>366</v>
      </c>
      <c r="B72" s="15" t="n">
        <v>46245</v>
      </c>
      <c r="C72" s="7" t="s">
        <v>249</v>
      </c>
      <c r="D72" s="7" t="s">
        <v>250</v>
      </c>
      <c r="E72" s="17" t="n">
        <f aca="false">IF(A72="","",SUMIFS(Sales_Items!$H$2:$H$3001,Sales_Items!$A$2:$A$3001,A72))</f>
        <v>920</v>
      </c>
      <c r="F72" s="13" t="n">
        <v>0</v>
      </c>
      <c r="G72" s="17" t="n">
        <f aca="false">IF(A72="","",E72-N(F72))</f>
        <v>920</v>
      </c>
      <c r="H72" s="13" t="n">
        <v>920</v>
      </c>
      <c r="I72" s="17" t="n">
        <f aca="false">IF(A72="","",SUMIFS(Due_Payments!$C$2:$C$1001,Due_Payments!$B$2:$B$1001,A72))</f>
        <v>0</v>
      </c>
      <c r="J72" s="17" t="n">
        <f aca="false">IF(A72="","",G72-N(H72)-I72)</f>
        <v>0</v>
      </c>
      <c r="K72" s="7" t="s">
        <v>13</v>
      </c>
      <c r="L72" s="7" t="s">
        <v>367</v>
      </c>
      <c r="M72" s="7"/>
    </row>
    <row r="73" customFormat="false" ht="15" hidden="false" customHeight="true" outlineLevel="0" collapsed="false">
      <c r="A73" s="7" t="s">
        <v>368</v>
      </c>
      <c r="B73" s="15" t="n">
        <v>46245</v>
      </c>
      <c r="C73" s="7" t="s">
        <v>369</v>
      </c>
      <c r="D73" s="7" t="s">
        <v>370</v>
      </c>
      <c r="E73" s="17" t="n">
        <f aca="false">IF(A73="","",SUMIFS(Sales_Items!$H$2:$H$3001,Sales_Items!$A$2:$A$3001,A73))</f>
        <v>1980</v>
      </c>
      <c r="F73" s="13" t="n">
        <v>0</v>
      </c>
      <c r="G73" s="17" t="n">
        <f aca="false">IF(A73="","",E73-N(F73))</f>
        <v>1980</v>
      </c>
      <c r="H73" s="13" t="n">
        <v>1980</v>
      </c>
      <c r="I73" s="17" t="n">
        <f aca="false">IF(A73="","",SUMIFS(Due_Payments!$C$2:$C$1001,Due_Payments!$B$2:$B$1001,A73))</f>
        <v>0</v>
      </c>
      <c r="J73" s="17" t="n">
        <f aca="false">IF(A73="","",G73-N(H73)-I73)</f>
        <v>0</v>
      </c>
      <c r="K73" s="7" t="s">
        <v>13</v>
      </c>
      <c r="L73" s="7" t="s">
        <v>305</v>
      </c>
      <c r="M73" s="7"/>
    </row>
    <row r="74" customFormat="false" ht="15" hidden="false" customHeight="true" outlineLevel="0" collapsed="false">
      <c r="A74" s="7" t="s">
        <v>371</v>
      </c>
      <c r="B74" s="15" t="n">
        <v>46245</v>
      </c>
      <c r="C74" s="7" t="s">
        <v>285</v>
      </c>
      <c r="D74" s="7" t="s">
        <v>286</v>
      </c>
      <c r="E74" s="17" t="n">
        <f aca="false">IF(A74="","",SUMIFS(Sales_Items!$H$2:$H$3001,Sales_Items!$A$2:$A$3001,A74))</f>
        <v>1550</v>
      </c>
      <c r="F74" s="13" t="n">
        <v>0</v>
      </c>
      <c r="G74" s="17" t="n">
        <f aca="false">IF(A74="","",E74-N(F74))</f>
        <v>1550</v>
      </c>
      <c r="H74" s="13" t="n">
        <v>1550</v>
      </c>
      <c r="I74" s="17" t="n">
        <f aca="false">IF(A74="","",SUMIFS(Due_Payments!$C$2:$C$1001,Due_Payments!$B$2:$B$1001,A74))</f>
        <v>0</v>
      </c>
      <c r="J74" s="17" t="n">
        <f aca="false">IF(A74="","",G74-N(H74)-I74)</f>
        <v>0</v>
      </c>
      <c r="K74" s="7" t="s">
        <v>13</v>
      </c>
      <c r="L74" s="7" t="s">
        <v>372</v>
      </c>
      <c r="M74" s="7"/>
    </row>
    <row r="75" customFormat="false" ht="15" hidden="false" customHeight="true" outlineLevel="0" collapsed="false">
      <c r="A75" s="7" t="s">
        <v>373</v>
      </c>
      <c r="B75" s="15" t="n">
        <v>46245</v>
      </c>
      <c r="C75" s="7" t="s">
        <v>202</v>
      </c>
      <c r="D75" s="7" t="s">
        <v>203</v>
      </c>
      <c r="E75" s="17" t="n">
        <f aca="false">IF(A75="","",SUMIFS(Sales_Items!$H$2:$H$3001,Sales_Items!$A$2:$A$3001,A75))</f>
        <v>1570</v>
      </c>
      <c r="F75" s="13" t="n">
        <v>0</v>
      </c>
      <c r="G75" s="17" t="n">
        <f aca="false">IF(A75="","",E75-N(F75))</f>
        <v>1570</v>
      </c>
      <c r="H75" s="13" t="n">
        <v>1570</v>
      </c>
      <c r="I75" s="17" t="n">
        <f aca="false">IF(A75="","",SUMIFS(Due_Payments!$C$2:$C$1001,Due_Payments!$B$2:$B$1001,A75))</f>
        <v>0</v>
      </c>
      <c r="J75" s="17" t="n">
        <f aca="false">IF(A75="","",G75-N(H75)-I75)</f>
        <v>0</v>
      </c>
      <c r="K75" s="7" t="s">
        <v>13</v>
      </c>
      <c r="L75" s="7" t="s">
        <v>352</v>
      </c>
      <c r="M75" s="7"/>
    </row>
    <row r="76" customFormat="false" ht="15" hidden="false" customHeight="true" outlineLevel="0" collapsed="false">
      <c r="A76" s="7" t="s">
        <v>374</v>
      </c>
      <c r="B76" s="15" t="n">
        <v>46245</v>
      </c>
      <c r="C76" s="7" t="s">
        <v>210</v>
      </c>
      <c r="D76" s="7" t="s">
        <v>211</v>
      </c>
      <c r="E76" s="17" t="n">
        <f aca="false">IF(A76="","",SUMIFS(Sales_Items!$H$2:$H$3001,Sales_Items!$A$2:$A$3001,A76))</f>
        <v>480</v>
      </c>
      <c r="F76" s="13" t="n">
        <v>10</v>
      </c>
      <c r="G76" s="17" t="n">
        <f aca="false">IF(A76="","",E76-N(F76))</f>
        <v>470</v>
      </c>
      <c r="H76" s="13" t="n">
        <v>470</v>
      </c>
      <c r="I76" s="17" t="n">
        <f aca="false">IF(A76="","",SUMIFS(Due_Payments!$C$2:$C$1001,Due_Payments!$B$2:$B$1001,A76))</f>
        <v>0</v>
      </c>
      <c r="J76" s="17" t="n">
        <f aca="false">IF(A76="","",G76-N(H76)-I76)</f>
        <v>0</v>
      </c>
      <c r="K76" s="7" t="s">
        <v>13</v>
      </c>
      <c r="L76" s="7" t="s">
        <v>348</v>
      </c>
      <c r="M76" s="7"/>
    </row>
    <row r="77" customFormat="false" ht="15" hidden="false" customHeight="true" outlineLevel="0" collapsed="false">
      <c r="A77" s="7" t="s">
        <v>375</v>
      </c>
      <c r="B77" s="15" t="n">
        <v>46245</v>
      </c>
      <c r="C77" s="7" t="s">
        <v>329</v>
      </c>
      <c r="D77" s="7" t="s">
        <v>330</v>
      </c>
      <c r="E77" s="17" t="n">
        <f aca="false">IF(A77="","",SUMIFS(Sales_Items!$H$2:$H$3001,Sales_Items!$A$2:$A$3001,A77))</f>
        <v>1100</v>
      </c>
      <c r="F77" s="13" t="n">
        <v>0</v>
      </c>
      <c r="G77" s="17" t="n">
        <f aca="false">IF(A77="","",E77-N(F77))</f>
        <v>1100</v>
      </c>
      <c r="H77" s="13" t="n">
        <v>1100</v>
      </c>
      <c r="I77" s="17" t="n">
        <f aca="false">IF(A77="","",SUMIFS(Due_Payments!$C$2:$C$1001,Due_Payments!$B$2:$B$1001,A77))</f>
        <v>0</v>
      </c>
      <c r="J77" s="17" t="n">
        <f aca="false">IF(A77="","",G77-N(H77)-I77)</f>
        <v>0</v>
      </c>
      <c r="K77" s="7" t="s">
        <v>13</v>
      </c>
      <c r="L77" s="7" t="s">
        <v>376</v>
      </c>
      <c r="M77" s="7"/>
    </row>
    <row r="78" customFormat="false" ht="15" hidden="false" customHeight="true" outlineLevel="0" collapsed="false">
      <c r="A78" s="7" t="s">
        <v>377</v>
      </c>
      <c r="B78" s="15" t="n">
        <v>46245</v>
      </c>
      <c r="C78" s="7" t="s">
        <v>378</v>
      </c>
      <c r="D78" s="7" t="s">
        <v>379</v>
      </c>
      <c r="E78" s="17" t="n">
        <f aca="false">IF(A78="","",SUMIFS(Sales_Items!$H$2:$H$3001,Sales_Items!$A$2:$A$3001,A78))</f>
        <v>380</v>
      </c>
      <c r="F78" s="13" t="n">
        <v>0</v>
      </c>
      <c r="G78" s="17" t="n">
        <f aca="false">IF(A78="","",E78-N(F78))</f>
        <v>380</v>
      </c>
      <c r="H78" s="13" t="n">
        <v>380</v>
      </c>
      <c r="I78" s="17" t="n">
        <f aca="false">IF(A78="","",SUMIFS(Due_Payments!$C$2:$C$1001,Due_Payments!$B$2:$B$1001,A78))</f>
        <v>0</v>
      </c>
      <c r="J78" s="17" t="n">
        <f aca="false">IF(A78="","",G78-N(H78)-I78)</f>
        <v>0</v>
      </c>
      <c r="K78" s="7" t="s">
        <v>13</v>
      </c>
      <c r="L78" s="7" t="s">
        <v>223</v>
      </c>
      <c r="M78" s="7"/>
    </row>
    <row r="79" customFormat="false" ht="15" hidden="false" customHeight="true" outlineLevel="0" collapsed="false">
      <c r="A79" s="7" t="s">
        <v>380</v>
      </c>
      <c r="B79" s="15" t="n">
        <v>46246</v>
      </c>
      <c r="C79" s="7" t="s">
        <v>206</v>
      </c>
      <c r="D79" s="7" t="s">
        <v>207</v>
      </c>
      <c r="E79" s="17" t="n">
        <f aca="false">IF(A79="","",SUMIFS(Sales_Items!$H$2:$H$3001,Sales_Items!$A$2:$A$3001,A79))</f>
        <v>3730</v>
      </c>
      <c r="F79" s="13" t="n">
        <v>110</v>
      </c>
      <c r="G79" s="17" t="n">
        <f aca="false">IF(A79="","",E79-N(F79))</f>
        <v>3620</v>
      </c>
      <c r="H79" s="13" t="n">
        <v>0</v>
      </c>
      <c r="I79" s="17" t="n">
        <f aca="false">IF(A79="","",SUMIFS(Due_Payments!$C$2:$C$1001,Due_Payments!$B$2:$B$1001,A79))</f>
        <v>0</v>
      </c>
      <c r="J79" s="17" t="n">
        <f aca="false">IF(A79="","",G79-N(H79)-I79)</f>
        <v>3620</v>
      </c>
      <c r="K79" s="7" t="s">
        <v>37</v>
      </c>
      <c r="L79" s="7" t="s">
        <v>381</v>
      </c>
      <c r="M79" s="7"/>
    </row>
    <row r="80" customFormat="false" ht="15" hidden="false" customHeight="true" outlineLevel="0" collapsed="false">
      <c r="A80" s="7" t="s">
        <v>382</v>
      </c>
      <c r="B80" s="15" t="n">
        <v>46246</v>
      </c>
      <c r="C80" s="7" t="s">
        <v>329</v>
      </c>
      <c r="D80" s="7" t="s">
        <v>330</v>
      </c>
      <c r="E80" s="17" t="n">
        <f aca="false">IF(A80="","",SUMIFS(Sales_Items!$H$2:$H$3001,Sales_Items!$A$2:$A$3001,A80))</f>
        <v>1190</v>
      </c>
      <c r="F80" s="13" t="n">
        <v>40</v>
      </c>
      <c r="G80" s="17" t="n">
        <f aca="false">IF(A80="","",E80-N(F80))</f>
        <v>1150</v>
      </c>
      <c r="H80" s="13" t="n">
        <v>1150</v>
      </c>
      <c r="I80" s="17" t="n">
        <f aca="false">IF(A80="","",SUMIFS(Due_Payments!$C$2:$C$1001,Due_Payments!$B$2:$B$1001,A80))</f>
        <v>0</v>
      </c>
      <c r="J80" s="17" t="n">
        <f aca="false">IF(A80="","",G80-N(H80)-I80)</f>
        <v>0</v>
      </c>
      <c r="K80" s="7" t="s">
        <v>13</v>
      </c>
      <c r="L80" s="7" t="s">
        <v>383</v>
      </c>
      <c r="M80" s="7"/>
    </row>
    <row r="81" customFormat="false" ht="15" hidden="false" customHeight="true" outlineLevel="0" collapsed="false">
      <c r="A81" s="7" t="s">
        <v>384</v>
      </c>
      <c r="B81" s="15" t="n">
        <v>46246</v>
      </c>
      <c r="C81" s="7" t="s">
        <v>344</v>
      </c>
      <c r="D81" s="7" t="s">
        <v>345</v>
      </c>
      <c r="E81" s="17" t="n">
        <f aca="false">IF(A81="","",SUMIFS(Sales_Items!$H$2:$H$3001,Sales_Items!$A$2:$A$3001,A81))</f>
        <v>2850</v>
      </c>
      <c r="F81" s="13" t="n">
        <v>0</v>
      </c>
      <c r="G81" s="17" t="n">
        <f aca="false">IF(A81="","",E81-N(F81))</f>
        <v>2850</v>
      </c>
      <c r="H81" s="13" t="n">
        <v>0</v>
      </c>
      <c r="I81" s="17" t="n">
        <f aca="false">IF(A81="","",SUMIFS(Due_Payments!$C$2:$C$1001,Due_Payments!$B$2:$B$1001,A81))</f>
        <v>0</v>
      </c>
      <c r="J81" s="17" t="n">
        <f aca="false">IF(A81="","",G81-N(H81)-I81)</f>
        <v>2850</v>
      </c>
      <c r="K81" s="7" t="s">
        <v>13</v>
      </c>
      <c r="L81" s="7" t="s">
        <v>385</v>
      </c>
      <c r="M81" s="7"/>
    </row>
    <row r="82" customFormat="false" ht="15" hidden="false" customHeight="true" outlineLevel="0" collapsed="false">
      <c r="A82" s="7" t="s">
        <v>386</v>
      </c>
      <c r="B82" s="15" t="n">
        <v>46246</v>
      </c>
      <c r="C82" s="7" t="s">
        <v>275</v>
      </c>
      <c r="D82" s="7" t="s">
        <v>276</v>
      </c>
      <c r="E82" s="17" t="n">
        <f aca="false">IF(A82="","",SUMIFS(Sales_Items!$H$2:$H$3001,Sales_Items!$A$2:$A$3001,A82))</f>
        <v>740</v>
      </c>
      <c r="F82" s="13" t="n">
        <v>50</v>
      </c>
      <c r="G82" s="17" t="n">
        <f aca="false">IF(A82="","",E82-N(F82))</f>
        <v>690</v>
      </c>
      <c r="H82" s="13" t="n">
        <v>690</v>
      </c>
      <c r="I82" s="17" t="n">
        <f aca="false">IF(A82="","",SUMIFS(Due_Payments!$C$2:$C$1001,Due_Payments!$B$2:$B$1001,A82))</f>
        <v>0</v>
      </c>
      <c r="J82" s="17" t="n">
        <f aca="false">IF(A82="","",G82-N(H82)-I82)</f>
        <v>0</v>
      </c>
      <c r="K82" s="7" t="s">
        <v>13</v>
      </c>
      <c r="L82" s="7" t="s">
        <v>387</v>
      </c>
      <c r="M82" s="7"/>
    </row>
    <row r="83" customFormat="false" ht="15" hidden="false" customHeight="true" outlineLevel="0" collapsed="false">
      <c r="A83" s="7" t="s">
        <v>388</v>
      </c>
      <c r="B83" s="15" t="n">
        <v>46246</v>
      </c>
      <c r="C83" s="7" t="s">
        <v>221</v>
      </c>
      <c r="D83" s="7" t="s">
        <v>222</v>
      </c>
      <c r="E83" s="17" t="n">
        <f aca="false">IF(A83="","",SUMIFS(Sales_Items!$H$2:$H$3001,Sales_Items!$A$2:$A$3001,A83))</f>
        <v>1750</v>
      </c>
      <c r="F83" s="13" t="n">
        <v>100</v>
      </c>
      <c r="G83" s="17" t="n">
        <f aca="false">IF(A83="","",E83-N(F83))</f>
        <v>1650</v>
      </c>
      <c r="H83" s="13" t="n">
        <v>1650</v>
      </c>
      <c r="I83" s="17" t="n">
        <f aca="false">IF(A83="","",SUMIFS(Due_Payments!$C$2:$C$1001,Due_Payments!$B$2:$B$1001,A83))</f>
        <v>0</v>
      </c>
      <c r="J83" s="17" t="n">
        <f aca="false">IF(A83="","",G83-N(H83)-I83)</f>
        <v>0</v>
      </c>
      <c r="K83" s="7" t="s">
        <v>13</v>
      </c>
      <c r="L83" s="7" t="s">
        <v>389</v>
      </c>
      <c r="M83" s="7"/>
    </row>
    <row r="84" customFormat="false" ht="15" hidden="false" customHeight="true" outlineLevel="0" collapsed="false">
      <c r="A84" s="7" t="s">
        <v>390</v>
      </c>
      <c r="B84" s="15" t="n">
        <v>46246</v>
      </c>
      <c r="C84" s="7" t="s">
        <v>350</v>
      </c>
      <c r="D84" s="7" t="s">
        <v>351</v>
      </c>
      <c r="E84" s="17" t="n">
        <f aca="false">IF(A84="","",SUMIFS(Sales_Items!$H$2:$H$3001,Sales_Items!$A$2:$A$3001,A84))</f>
        <v>1300</v>
      </c>
      <c r="F84" s="13" t="n">
        <v>100</v>
      </c>
      <c r="G84" s="17" t="n">
        <f aca="false">IF(A84="","",E84-N(F84))</f>
        <v>1200</v>
      </c>
      <c r="H84" s="13" t="n">
        <v>1200</v>
      </c>
      <c r="I84" s="17" t="n">
        <f aca="false">IF(A84="","",SUMIFS(Due_Payments!$C$2:$C$1001,Due_Payments!$B$2:$B$1001,A84))</f>
        <v>0</v>
      </c>
      <c r="J84" s="17" t="n">
        <f aca="false">IF(A84="","",G84-N(H84)-I84)</f>
        <v>0</v>
      </c>
      <c r="K84" s="7" t="s">
        <v>29</v>
      </c>
      <c r="L84" s="7" t="s">
        <v>391</v>
      </c>
      <c r="M84" s="7"/>
    </row>
    <row r="85" customFormat="false" ht="15" hidden="false" customHeight="true" outlineLevel="0" collapsed="false">
      <c r="A85" s="7" t="s">
        <v>392</v>
      </c>
      <c r="B85" s="15" t="n">
        <v>46246</v>
      </c>
      <c r="C85" s="7" t="s">
        <v>213</v>
      </c>
      <c r="D85" s="7" t="s">
        <v>214</v>
      </c>
      <c r="E85" s="17" t="n">
        <f aca="false">IF(A85="","",SUMIFS(Sales_Items!$H$2:$H$3001,Sales_Items!$A$2:$A$3001,A85))</f>
        <v>810</v>
      </c>
      <c r="F85" s="13" t="n">
        <v>20</v>
      </c>
      <c r="G85" s="17" t="n">
        <f aca="false">IF(A85="","",E85-N(F85))</f>
        <v>790</v>
      </c>
      <c r="H85" s="13" t="n">
        <v>790</v>
      </c>
      <c r="I85" s="17" t="n">
        <f aca="false">IF(A85="","",SUMIFS(Due_Payments!$C$2:$C$1001,Due_Payments!$B$2:$B$1001,A85))</f>
        <v>0</v>
      </c>
      <c r="J85" s="17" t="n">
        <f aca="false">IF(A85="","",G85-N(H85)-I85)</f>
        <v>0</v>
      </c>
      <c r="K85" s="7" t="s">
        <v>13</v>
      </c>
      <c r="L85" s="7" t="s">
        <v>393</v>
      </c>
      <c r="M85" s="7"/>
    </row>
    <row r="86" customFormat="false" ht="15" hidden="false" customHeight="true" outlineLevel="0" collapsed="false">
      <c r="A86" s="7" t="s">
        <v>394</v>
      </c>
      <c r="B86" s="15" t="n">
        <v>46246</v>
      </c>
      <c r="C86" s="7" t="s">
        <v>221</v>
      </c>
      <c r="D86" s="7" t="s">
        <v>222</v>
      </c>
      <c r="E86" s="17" t="n">
        <f aca="false">IF(A86="","",SUMIFS(Sales_Items!$H$2:$H$3001,Sales_Items!$A$2:$A$3001,A86))</f>
        <v>1110</v>
      </c>
      <c r="F86" s="13" t="n">
        <v>0</v>
      </c>
      <c r="G86" s="17" t="n">
        <f aca="false">IF(A86="","",E86-N(F86))</f>
        <v>1110</v>
      </c>
      <c r="H86" s="13" t="n">
        <v>1110</v>
      </c>
      <c r="I86" s="17" t="n">
        <f aca="false">IF(A86="","",SUMIFS(Due_Payments!$C$2:$C$1001,Due_Payments!$B$2:$B$1001,A86))</f>
        <v>0</v>
      </c>
      <c r="J86" s="17" t="n">
        <f aca="false">IF(A86="","",G86-N(H86)-I86)</f>
        <v>0</v>
      </c>
      <c r="K86" s="7" t="s">
        <v>21</v>
      </c>
      <c r="L86" s="7" t="s">
        <v>395</v>
      </c>
      <c r="M86" s="7"/>
    </row>
    <row r="87" customFormat="false" ht="15" hidden="false" customHeight="true" outlineLevel="0" collapsed="false">
      <c r="A87" s="7" t="s">
        <v>396</v>
      </c>
      <c r="B87" s="15" t="n">
        <v>46246</v>
      </c>
      <c r="C87" s="7" t="s">
        <v>282</v>
      </c>
      <c r="D87" s="7" t="s">
        <v>283</v>
      </c>
      <c r="E87" s="17" t="n">
        <f aca="false">IF(A87="","",SUMIFS(Sales_Items!$H$2:$H$3001,Sales_Items!$A$2:$A$3001,A87))</f>
        <v>1100</v>
      </c>
      <c r="F87" s="13" t="n">
        <v>50</v>
      </c>
      <c r="G87" s="17" t="n">
        <f aca="false">IF(A87="","",E87-N(F87))</f>
        <v>1050</v>
      </c>
      <c r="H87" s="13" t="n">
        <v>1050</v>
      </c>
      <c r="I87" s="17" t="n">
        <f aca="false">IF(A87="","",SUMIFS(Due_Payments!$C$2:$C$1001,Due_Payments!$B$2:$B$1001,A87))</f>
        <v>0</v>
      </c>
      <c r="J87" s="17" t="n">
        <f aca="false">IF(A87="","",G87-N(H87)-I87)</f>
        <v>0</v>
      </c>
      <c r="K87" s="7" t="s">
        <v>13</v>
      </c>
      <c r="L87" s="7" t="s">
        <v>397</v>
      </c>
      <c r="M87" s="7"/>
    </row>
    <row r="88" customFormat="false" ht="15" hidden="false" customHeight="true" outlineLevel="0" collapsed="false">
      <c r="A88" s="7" t="s">
        <v>398</v>
      </c>
      <c r="B88" s="15" t="n">
        <v>46247</v>
      </c>
      <c r="C88" s="7" t="s">
        <v>344</v>
      </c>
      <c r="D88" s="7" t="s">
        <v>345</v>
      </c>
      <c r="E88" s="17" t="n">
        <f aca="false">IF(A88="","",SUMIFS(Sales_Items!$H$2:$H$3001,Sales_Items!$A$2:$A$3001,A88))</f>
        <v>450</v>
      </c>
      <c r="F88" s="13" t="n">
        <v>100</v>
      </c>
      <c r="G88" s="17" t="n">
        <f aca="false">IF(A88="","",E88-N(F88))</f>
        <v>350</v>
      </c>
      <c r="H88" s="13" t="n">
        <v>350</v>
      </c>
      <c r="I88" s="17" t="n">
        <f aca="false">IF(A88="","",SUMIFS(Due_Payments!$C$2:$C$1001,Due_Payments!$B$2:$B$1001,A88))</f>
        <v>0</v>
      </c>
      <c r="J88" s="17" t="n">
        <f aca="false">IF(A88="","",G88-N(H88)-I88)</f>
        <v>0</v>
      </c>
      <c r="K88" s="7" t="s">
        <v>21</v>
      </c>
      <c r="L88" s="7" t="s">
        <v>399</v>
      </c>
      <c r="M88" s="7"/>
    </row>
    <row r="89" customFormat="false" ht="15" hidden="false" customHeight="true" outlineLevel="0" collapsed="false">
      <c r="A89" s="7" t="s">
        <v>400</v>
      </c>
      <c r="B89" s="15" t="n">
        <v>46247</v>
      </c>
      <c r="C89" s="7" t="s">
        <v>249</v>
      </c>
      <c r="D89" s="7" t="s">
        <v>250</v>
      </c>
      <c r="E89" s="17" t="n">
        <f aca="false">IF(A89="","",SUMIFS(Sales_Items!$H$2:$H$3001,Sales_Items!$A$2:$A$3001,A89))</f>
        <v>2390</v>
      </c>
      <c r="F89" s="13" t="n">
        <v>0</v>
      </c>
      <c r="G89" s="17" t="n">
        <f aca="false">IF(A89="","",E89-N(F89))</f>
        <v>2390</v>
      </c>
      <c r="H89" s="13" t="n">
        <v>1190</v>
      </c>
      <c r="I89" s="17" t="n">
        <f aca="false">IF(A89="","",SUMIFS(Due_Payments!$C$2:$C$1001,Due_Payments!$B$2:$B$1001,A89))</f>
        <v>1200</v>
      </c>
      <c r="J89" s="17" t="n">
        <f aca="false">IF(A89="","",G89-N(H89)-I89)</f>
        <v>0</v>
      </c>
      <c r="K89" s="7" t="s">
        <v>13</v>
      </c>
      <c r="L89" s="7" t="s">
        <v>401</v>
      </c>
      <c r="M89" s="7"/>
    </row>
    <row r="90" customFormat="false" ht="15" hidden="false" customHeight="true" outlineLevel="0" collapsed="false">
      <c r="A90" s="7" t="s">
        <v>402</v>
      </c>
      <c r="B90" s="15" t="n">
        <v>46247</v>
      </c>
      <c r="C90" s="7" t="s">
        <v>369</v>
      </c>
      <c r="D90" s="7" t="s">
        <v>370</v>
      </c>
      <c r="E90" s="17" t="n">
        <f aca="false">IF(A90="","",SUMIFS(Sales_Items!$H$2:$H$3001,Sales_Items!$A$2:$A$3001,A90))</f>
        <v>1360</v>
      </c>
      <c r="F90" s="13" t="n">
        <v>0</v>
      </c>
      <c r="G90" s="17" t="n">
        <f aca="false">IF(A90="","",E90-N(F90))</f>
        <v>1360</v>
      </c>
      <c r="H90" s="13" t="n">
        <v>1360</v>
      </c>
      <c r="I90" s="17" t="n">
        <f aca="false">IF(A90="","",SUMIFS(Due_Payments!$C$2:$C$1001,Due_Payments!$B$2:$B$1001,A90))</f>
        <v>0</v>
      </c>
      <c r="J90" s="17" t="n">
        <f aca="false">IF(A90="","",G90-N(H90)-I90)</f>
        <v>0</v>
      </c>
      <c r="K90" s="7" t="s">
        <v>21</v>
      </c>
      <c r="L90" s="7" t="s">
        <v>403</v>
      </c>
      <c r="M90" s="7"/>
    </row>
    <row r="91" customFormat="false" ht="15" hidden="false" customHeight="true" outlineLevel="0" collapsed="false">
      <c r="A91" s="7" t="s">
        <v>404</v>
      </c>
      <c r="B91" s="15" t="n">
        <v>46247</v>
      </c>
      <c r="C91" s="7" t="s">
        <v>225</v>
      </c>
      <c r="D91" s="7" t="s">
        <v>226</v>
      </c>
      <c r="E91" s="17" t="n">
        <f aca="false">IF(A91="","",SUMIFS(Sales_Items!$H$2:$H$3001,Sales_Items!$A$2:$A$3001,A91))</f>
        <v>2950</v>
      </c>
      <c r="F91" s="13" t="n">
        <v>50</v>
      </c>
      <c r="G91" s="17" t="n">
        <f aca="false">IF(A91="","",E91-N(F91))</f>
        <v>2900</v>
      </c>
      <c r="H91" s="13" t="n">
        <v>2900</v>
      </c>
      <c r="I91" s="17" t="n">
        <f aca="false">IF(A91="","",SUMIFS(Due_Payments!$C$2:$C$1001,Due_Payments!$B$2:$B$1001,A91))</f>
        <v>0</v>
      </c>
      <c r="J91" s="17" t="n">
        <f aca="false">IF(A91="","",G91-N(H91)-I91)</f>
        <v>0</v>
      </c>
      <c r="K91" s="7" t="s">
        <v>13</v>
      </c>
      <c r="L91" s="7" t="s">
        <v>405</v>
      </c>
      <c r="M91" s="7"/>
    </row>
    <row r="92" customFormat="false" ht="15" hidden="false" customHeight="true" outlineLevel="0" collapsed="false">
      <c r="A92" s="7" t="s">
        <v>406</v>
      </c>
      <c r="B92" s="15" t="n">
        <v>46247</v>
      </c>
      <c r="C92" s="7" t="s">
        <v>259</v>
      </c>
      <c r="D92" s="7" t="s">
        <v>260</v>
      </c>
      <c r="E92" s="17" t="n">
        <f aca="false">IF(A92="","",SUMIFS(Sales_Items!$H$2:$H$3001,Sales_Items!$A$2:$A$3001,A92))</f>
        <v>810</v>
      </c>
      <c r="F92" s="13" t="n">
        <v>20</v>
      </c>
      <c r="G92" s="17" t="n">
        <f aca="false">IF(A92="","",E92-N(F92))</f>
        <v>790</v>
      </c>
      <c r="H92" s="13" t="n">
        <v>790</v>
      </c>
      <c r="I92" s="17" t="n">
        <f aca="false">IF(A92="","",SUMIFS(Due_Payments!$C$2:$C$1001,Due_Payments!$B$2:$B$1001,A92))</f>
        <v>0</v>
      </c>
      <c r="J92" s="17" t="n">
        <f aca="false">IF(A92="","",G92-N(H92)-I92)</f>
        <v>0</v>
      </c>
      <c r="K92" s="7" t="s">
        <v>13</v>
      </c>
      <c r="L92" s="7" t="s">
        <v>393</v>
      </c>
      <c r="M92" s="7"/>
    </row>
    <row r="93" customFormat="false" ht="15" hidden="false" customHeight="true" outlineLevel="0" collapsed="false">
      <c r="A93" s="7" t="s">
        <v>407</v>
      </c>
      <c r="B93" s="15" t="n">
        <v>46247</v>
      </c>
      <c r="C93" s="7" t="s">
        <v>256</v>
      </c>
      <c r="D93" s="7" t="s">
        <v>257</v>
      </c>
      <c r="E93" s="17" t="n">
        <f aca="false">IF(A93="","",SUMIFS(Sales_Items!$H$2:$H$3001,Sales_Items!$A$2:$A$3001,A93))</f>
        <v>540</v>
      </c>
      <c r="F93" s="13" t="n">
        <v>0</v>
      </c>
      <c r="G93" s="17" t="n">
        <f aca="false">IF(A93="","",E93-N(F93))</f>
        <v>540</v>
      </c>
      <c r="H93" s="13" t="n">
        <v>540</v>
      </c>
      <c r="I93" s="17" t="n">
        <f aca="false">IF(A93="","",SUMIFS(Due_Payments!$C$2:$C$1001,Due_Payments!$B$2:$B$1001,A93))</f>
        <v>0</v>
      </c>
      <c r="J93" s="17" t="n">
        <f aca="false">IF(A93="","",G93-N(H93)-I93)</f>
        <v>0</v>
      </c>
      <c r="K93" s="7" t="s">
        <v>13</v>
      </c>
      <c r="L93" s="7" t="s">
        <v>279</v>
      </c>
      <c r="M93" s="7"/>
    </row>
    <row r="94" customFormat="false" ht="15" hidden="false" customHeight="true" outlineLevel="0" collapsed="false">
      <c r="A94" s="7" t="s">
        <v>408</v>
      </c>
      <c r="B94" s="15" t="n">
        <v>46247</v>
      </c>
      <c r="C94" s="7" t="s">
        <v>259</v>
      </c>
      <c r="D94" s="7" t="s">
        <v>260</v>
      </c>
      <c r="E94" s="17" t="n">
        <f aca="false">IF(A94="","",SUMIFS(Sales_Items!$H$2:$H$3001,Sales_Items!$A$2:$A$3001,A94))</f>
        <v>560</v>
      </c>
      <c r="F94" s="13" t="n">
        <v>0</v>
      </c>
      <c r="G94" s="17" t="n">
        <f aca="false">IF(A94="","",E94-N(F94))</f>
        <v>560</v>
      </c>
      <c r="H94" s="13" t="n">
        <v>560</v>
      </c>
      <c r="I94" s="17" t="n">
        <f aca="false">IF(A94="","",SUMIFS(Due_Payments!$C$2:$C$1001,Due_Payments!$B$2:$B$1001,A94))</f>
        <v>0</v>
      </c>
      <c r="J94" s="17" t="n">
        <f aca="false">IF(A94="","",G94-N(H94)-I94)</f>
        <v>0</v>
      </c>
      <c r="K94" s="7" t="s">
        <v>13</v>
      </c>
      <c r="L94" s="7" t="s">
        <v>409</v>
      </c>
      <c r="M94" s="7"/>
    </row>
    <row r="95" customFormat="false" ht="15" hidden="false" customHeight="true" outlineLevel="0" collapsed="false">
      <c r="A95" s="7" t="s">
        <v>410</v>
      </c>
      <c r="B95" s="15" t="n">
        <v>46247</v>
      </c>
      <c r="C95" s="7" t="s">
        <v>293</v>
      </c>
      <c r="D95" s="7" t="s">
        <v>294</v>
      </c>
      <c r="E95" s="17" t="n">
        <f aca="false">IF(A95="","",SUMIFS(Sales_Items!$H$2:$H$3001,Sales_Items!$A$2:$A$3001,A95))</f>
        <v>520</v>
      </c>
      <c r="F95" s="13" t="n">
        <v>100</v>
      </c>
      <c r="G95" s="17" t="n">
        <f aca="false">IF(A95="","",E95-N(F95))</f>
        <v>420</v>
      </c>
      <c r="H95" s="13" t="n">
        <v>420</v>
      </c>
      <c r="I95" s="17" t="n">
        <f aca="false">IF(A95="","",SUMIFS(Due_Payments!$C$2:$C$1001,Due_Payments!$B$2:$B$1001,A95))</f>
        <v>0</v>
      </c>
      <c r="J95" s="17" t="n">
        <f aca="false">IF(A95="","",G95-N(H95)-I95)</f>
        <v>0</v>
      </c>
      <c r="K95" s="7" t="s">
        <v>13</v>
      </c>
      <c r="L95" s="7" t="s">
        <v>411</v>
      </c>
      <c r="M95" s="7"/>
    </row>
    <row r="96" customFormat="false" ht="15" hidden="false" customHeight="true" outlineLevel="0" collapsed="false">
      <c r="A96" s="7" t="s">
        <v>412</v>
      </c>
      <c r="B96" s="15" t="n">
        <v>46247</v>
      </c>
      <c r="C96" s="7" t="s">
        <v>225</v>
      </c>
      <c r="D96" s="7" t="s">
        <v>226</v>
      </c>
      <c r="E96" s="17" t="n">
        <f aca="false">IF(A96="","",SUMIFS(Sales_Items!$H$2:$H$3001,Sales_Items!$A$2:$A$3001,A96))</f>
        <v>1740</v>
      </c>
      <c r="F96" s="13" t="n">
        <v>0</v>
      </c>
      <c r="G96" s="17" t="n">
        <f aca="false">IF(A96="","",E96-N(F96))</f>
        <v>1740</v>
      </c>
      <c r="H96" s="13" t="n">
        <v>1740</v>
      </c>
      <c r="I96" s="17" t="n">
        <f aca="false">IF(A96="","",SUMIFS(Due_Payments!$C$2:$C$1001,Due_Payments!$B$2:$B$1001,A96))</f>
        <v>0</v>
      </c>
      <c r="J96" s="17" t="n">
        <f aca="false">IF(A96="","",G96-N(H96)-I96)</f>
        <v>0</v>
      </c>
      <c r="K96" s="7" t="s">
        <v>13</v>
      </c>
      <c r="L96" s="7" t="s">
        <v>413</v>
      </c>
      <c r="M96" s="7"/>
    </row>
    <row r="97" customFormat="false" ht="15" hidden="false" customHeight="true" outlineLevel="0" collapsed="false">
      <c r="A97" s="7" t="s">
        <v>414</v>
      </c>
      <c r="B97" s="15" t="n">
        <v>46247</v>
      </c>
      <c r="C97" s="7" t="s">
        <v>210</v>
      </c>
      <c r="D97" s="7" t="s">
        <v>211</v>
      </c>
      <c r="E97" s="17" t="n">
        <f aca="false">IF(A97="","",SUMIFS(Sales_Items!$H$2:$H$3001,Sales_Items!$A$2:$A$3001,A97))</f>
        <v>1220</v>
      </c>
      <c r="F97" s="13" t="n">
        <v>100</v>
      </c>
      <c r="G97" s="17" t="n">
        <f aca="false">IF(A97="","",E97-N(F97))</f>
        <v>1120</v>
      </c>
      <c r="H97" s="13" t="n">
        <v>1120</v>
      </c>
      <c r="I97" s="17" t="n">
        <f aca="false">IF(A97="","",SUMIFS(Due_Payments!$C$2:$C$1001,Due_Payments!$B$2:$B$1001,A97))</f>
        <v>0</v>
      </c>
      <c r="J97" s="17" t="n">
        <f aca="false">IF(A97="","",G97-N(H97)-I97)</f>
        <v>0</v>
      </c>
      <c r="K97" s="7" t="s">
        <v>13</v>
      </c>
      <c r="L97" s="7" t="s">
        <v>415</v>
      </c>
      <c r="M97" s="7"/>
    </row>
    <row r="98" customFormat="false" ht="15" hidden="false" customHeight="true" outlineLevel="0" collapsed="false">
      <c r="A98" s="7" t="s">
        <v>416</v>
      </c>
      <c r="B98" s="15" t="n">
        <v>46249</v>
      </c>
      <c r="C98" s="7" t="s">
        <v>256</v>
      </c>
      <c r="D98" s="7" t="s">
        <v>257</v>
      </c>
      <c r="E98" s="17" t="n">
        <f aca="false">IF(A98="","",SUMIFS(Sales_Items!$H$2:$H$3001,Sales_Items!$A$2:$A$3001,A98))</f>
        <v>1460</v>
      </c>
      <c r="F98" s="13" t="n">
        <v>40</v>
      </c>
      <c r="G98" s="17" t="n">
        <f aca="false">IF(A98="","",E98-N(F98))</f>
        <v>1420</v>
      </c>
      <c r="H98" s="13" t="n">
        <v>1420</v>
      </c>
      <c r="I98" s="17" t="n">
        <f aca="false">IF(A98="","",SUMIFS(Due_Payments!$C$2:$C$1001,Due_Payments!$B$2:$B$1001,A98))</f>
        <v>0</v>
      </c>
      <c r="J98" s="17" t="n">
        <f aca="false">IF(A98="","",G98-N(H98)-I98)</f>
        <v>0</v>
      </c>
      <c r="K98" s="7" t="s">
        <v>13</v>
      </c>
      <c r="L98" s="7" t="s">
        <v>417</v>
      </c>
      <c r="M98" s="7"/>
    </row>
    <row r="99" customFormat="false" ht="15" hidden="false" customHeight="true" outlineLevel="0" collapsed="false">
      <c r="A99" s="7" t="s">
        <v>418</v>
      </c>
      <c r="B99" s="15" t="n">
        <v>46249</v>
      </c>
      <c r="C99" s="7" t="s">
        <v>293</v>
      </c>
      <c r="D99" s="7" t="s">
        <v>294</v>
      </c>
      <c r="E99" s="17" t="n">
        <f aca="false">IF(A99="","",SUMIFS(Sales_Items!$H$2:$H$3001,Sales_Items!$A$2:$A$3001,A99))</f>
        <v>2260</v>
      </c>
      <c r="F99" s="13" t="n">
        <v>0</v>
      </c>
      <c r="G99" s="17" t="n">
        <f aca="false">IF(A99="","",E99-N(F99))</f>
        <v>2260</v>
      </c>
      <c r="H99" s="13" t="n">
        <v>2260</v>
      </c>
      <c r="I99" s="17" t="n">
        <f aca="false">IF(A99="","",SUMIFS(Due_Payments!$C$2:$C$1001,Due_Payments!$B$2:$B$1001,A99))</f>
        <v>0</v>
      </c>
      <c r="J99" s="17" t="n">
        <f aca="false">IF(A99="","",G99-N(H99)-I99)</f>
        <v>0</v>
      </c>
      <c r="K99" s="7" t="s">
        <v>13</v>
      </c>
      <c r="L99" s="7" t="s">
        <v>419</v>
      </c>
      <c r="M99" s="7"/>
    </row>
    <row r="100" customFormat="false" ht="15" hidden="false" customHeight="true" outlineLevel="0" collapsed="false">
      <c r="A100" s="7" t="s">
        <v>420</v>
      </c>
      <c r="B100" s="15" t="n">
        <v>46249</v>
      </c>
      <c r="C100" s="7" t="s">
        <v>206</v>
      </c>
      <c r="D100" s="7" t="s">
        <v>207</v>
      </c>
      <c r="E100" s="17" t="n">
        <f aca="false">IF(A100="","",SUMIFS(Sales_Items!$H$2:$H$3001,Sales_Items!$A$2:$A$3001,A100))</f>
        <v>3870</v>
      </c>
      <c r="F100" s="13" t="n">
        <v>0</v>
      </c>
      <c r="G100" s="17" t="n">
        <f aca="false">IF(A100="","",E100-N(F100))</f>
        <v>3870</v>
      </c>
      <c r="H100" s="13" t="n">
        <v>3870</v>
      </c>
      <c r="I100" s="17" t="n">
        <f aca="false">IF(A100="","",SUMIFS(Due_Payments!$C$2:$C$1001,Due_Payments!$B$2:$B$1001,A100))</f>
        <v>0</v>
      </c>
      <c r="J100" s="17" t="n">
        <f aca="false">IF(A100="","",G100-N(H100)-I100)</f>
        <v>0</v>
      </c>
      <c r="K100" s="7" t="s">
        <v>13</v>
      </c>
      <c r="L100" s="7" t="s">
        <v>421</v>
      </c>
      <c r="M100" s="7"/>
    </row>
    <row r="101" customFormat="false" ht="15" hidden="false" customHeight="true" outlineLevel="0" collapsed="false">
      <c r="A101" s="7" t="s">
        <v>422</v>
      </c>
      <c r="B101" s="15" t="n">
        <v>46249</v>
      </c>
      <c r="C101" s="7" t="s">
        <v>217</v>
      </c>
      <c r="D101" s="7" t="s">
        <v>218</v>
      </c>
      <c r="E101" s="17" t="n">
        <f aca="false">IF(A101="","",SUMIFS(Sales_Items!$H$2:$H$3001,Sales_Items!$A$2:$A$3001,A101))</f>
        <v>260</v>
      </c>
      <c r="F101" s="13" t="n">
        <v>0</v>
      </c>
      <c r="G101" s="17" t="n">
        <f aca="false">IF(A101="","",E101-N(F101))</f>
        <v>260</v>
      </c>
      <c r="H101" s="13" t="n">
        <v>260</v>
      </c>
      <c r="I101" s="17" t="n">
        <f aca="false">IF(A101="","",SUMIFS(Due_Payments!$C$2:$C$1001,Due_Payments!$B$2:$B$1001,A101))</f>
        <v>0</v>
      </c>
      <c r="J101" s="17" t="n">
        <f aca="false">IF(A101="","",G101-N(H101)-I101)</f>
        <v>0</v>
      </c>
      <c r="K101" s="7" t="s">
        <v>13</v>
      </c>
      <c r="L101" s="7" t="s">
        <v>265</v>
      </c>
      <c r="M101" s="7"/>
    </row>
    <row r="102" customFormat="false" ht="15" hidden="false" customHeight="true" outlineLevel="0" collapsed="false">
      <c r="A102" s="7" t="s">
        <v>423</v>
      </c>
      <c r="B102" s="15" t="n">
        <v>46249</v>
      </c>
      <c r="C102" s="7" t="s">
        <v>217</v>
      </c>
      <c r="D102" s="7" t="s">
        <v>218</v>
      </c>
      <c r="E102" s="17" t="n">
        <f aca="false">IF(A102="","",SUMIFS(Sales_Items!$H$2:$H$3001,Sales_Items!$A$2:$A$3001,A102))</f>
        <v>1240</v>
      </c>
      <c r="F102" s="13" t="n">
        <v>0</v>
      </c>
      <c r="G102" s="17" t="n">
        <f aca="false">IF(A102="","",E102-N(F102))</f>
        <v>1240</v>
      </c>
      <c r="H102" s="13" t="n">
        <v>1240</v>
      </c>
      <c r="I102" s="17" t="n">
        <f aca="false">IF(A102="","",SUMIFS(Due_Payments!$C$2:$C$1001,Due_Payments!$B$2:$B$1001,A102))</f>
        <v>0</v>
      </c>
      <c r="J102" s="17" t="n">
        <f aca="false">IF(A102="","",G102-N(H102)-I102)</f>
        <v>0</v>
      </c>
      <c r="K102" s="7" t="s">
        <v>13</v>
      </c>
      <c r="L102" s="7" t="s">
        <v>335</v>
      </c>
      <c r="M102" s="7"/>
    </row>
    <row r="103" customFormat="false" ht="15" hidden="false" customHeight="true" outlineLevel="0" collapsed="false">
      <c r="A103" s="7" t="s">
        <v>424</v>
      </c>
      <c r="B103" s="15" t="n">
        <v>46249</v>
      </c>
      <c r="C103" s="7" t="s">
        <v>275</v>
      </c>
      <c r="D103" s="7" t="s">
        <v>276</v>
      </c>
      <c r="E103" s="17" t="n">
        <f aca="false">IF(A103="","",SUMIFS(Sales_Items!$H$2:$H$3001,Sales_Items!$A$2:$A$3001,A103))</f>
        <v>620</v>
      </c>
      <c r="F103" s="13" t="n">
        <v>0</v>
      </c>
      <c r="G103" s="17" t="n">
        <f aca="false">IF(A103="","",E103-N(F103))</f>
        <v>620</v>
      </c>
      <c r="H103" s="13" t="n">
        <v>620</v>
      </c>
      <c r="I103" s="17" t="n">
        <f aca="false">IF(A103="","",SUMIFS(Due_Payments!$C$2:$C$1001,Due_Payments!$B$2:$B$1001,A103))</f>
        <v>0</v>
      </c>
      <c r="J103" s="17" t="n">
        <f aca="false">IF(A103="","",G103-N(H103)-I103)</f>
        <v>0</v>
      </c>
      <c r="K103" s="7" t="s">
        <v>13</v>
      </c>
      <c r="L103" s="7" t="s">
        <v>425</v>
      </c>
      <c r="M103" s="7"/>
    </row>
    <row r="104" customFormat="false" ht="15" hidden="false" customHeight="true" outlineLevel="0" collapsed="false">
      <c r="A104" s="7" t="s">
        <v>426</v>
      </c>
      <c r="B104" s="15" t="n">
        <v>46249</v>
      </c>
      <c r="C104" s="7" t="s">
        <v>282</v>
      </c>
      <c r="D104" s="7" t="s">
        <v>283</v>
      </c>
      <c r="E104" s="17" t="n">
        <f aca="false">IF(A104="","",SUMIFS(Sales_Items!$H$2:$H$3001,Sales_Items!$A$2:$A$3001,A104))</f>
        <v>720</v>
      </c>
      <c r="F104" s="13" t="n">
        <v>0</v>
      </c>
      <c r="G104" s="17" t="n">
        <f aca="false">IF(A104="","",E104-N(F104))</f>
        <v>720</v>
      </c>
      <c r="H104" s="13" t="n">
        <v>390</v>
      </c>
      <c r="I104" s="17" t="n">
        <f aca="false">IF(A104="","",SUMIFS(Due_Payments!$C$2:$C$1001,Due_Payments!$B$2:$B$1001,A104))</f>
        <v>0</v>
      </c>
      <c r="J104" s="17" t="n">
        <f aca="false">IF(A104="","",G104-N(H104)-I104)</f>
        <v>330</v>
      </c>
      <c r="K104" s="7" t="s">
        <v>13</v>
      </c>
      <c r="L104" s="7" t="s">
        <v>427</v>
      </c>
      <c r="M104" s="7"/>
    </row>
    <row r="105" customFormat="false" ht="15" hidden="false" customHeight="true" outlineLevel="0" collapsed="false">
      <c r="A105" s="7" t="s">
        <v>428</v>
      </c>
      <c r="B105" s="15" t="n">
        <v>46249</v>
      </c>
      <c r="C105" s="7" t="s">
        <v>344</v>
      </c>
      <c r="D105" s="7" t="s">
        <v>345</v>
      </c>
      <c r="E105" s="17" t="n">
        <f aca="false">IF(A105="","",SUMIFS(Sales_Items!$H$2:$H$3001,Sales_Items!$A$2:$A$3001,A105))</f>
        <v>1050</v>
      </c>
      <c r="F105" s="13" t="n">
        <v>0</v>
      </c>
      <c r="G105" s="17" t="n">
        <f aca="false">IF(A105="","",E105-N(F105))</f>
        <v>1050</v>
      </c>
      <c r="H105" s="13" t="n">
        <v>1050</v>
      </c>
      <c r="I105" s="17" t="n">
        <f aca="false">IF(A105="","",SUMIFS(Due_Payments!$C$2:$C$1001,Due_Payments!$B$2:$B$1001,A105))</f>
        <v>0</v>
      </c>
      <c r="J105" s="17" t="n">
        <f aca="false">IF(A105="","",G105-N(H105)-I105)</f>
        <v>0</v>
      </c>
      <c r="K105" s="7" t="s">
        <v>29</v>
      </c>
      <c r="L105" s="7" t="s">
        <v>397</v>
      </c>
      <c r="M105" s="7"/>
    </row>
    <row r="106" customFormat="false" ht="15" hidden="false" customHeight="true" outlineLevel="0" collapsed="false">
      <c r="A106" s="7" t="s">
        <v>429</v>
      </c>
      <c r="B106" s="15" t="n">
        <v>46249</v>
      </c>
      <c r="C106" s="7" t="s">
        <v>300</v>
      </c>
      <c r="D106" s="7" t="s">
        <v>301</v>
      </c>
      <c r="E106" s="17" t="n">
        <f aca="false">IF(A106="","",SUMIFS(Sales_Items!$H$2:$H$3001,Sales_Items!$A$2:$A$3001,A106))</f>
        <v>540</v>
      </c>
      <c r="F106" s="13" t="n">
        <v>0</v>
      </c>
      <c r="G106" s="17" t="n">
        <f aca="false">IF(A106="","",E106-N(F106))</f>
        <v>540</v>
      </c>
      <c r="H106" s="13" t="n">
        <v>540</v>
      </c>
      <c r="I106" s="17" t="n">
        <f aca="false">IF(A106="","",SUMIFS(Due_Payments!$C$2:$C$1001,Due_Payments!$B$2:$B$1001,A106))</f>
        <v>0</v>
      </c>
      <c r="J106" s="17" t="n">
        <f aca="false">IF(A106="","",G106-N(H106)-I106)</f>
        <v>0</v>
      </c>
      <c r="K106" s="7" t="s">
        <v>13</v>
      </c>
      <c r="L106" s="7" t="s">
        <v>279</v>
      </c>
      <c r="M106" s="7"/>
    </row>
    <row r="107" customFormat="false" ht="15" hidden="false" customHeight="true" outlineLevel="0" collapsed="false">
      <c r="A107" s="7" t="s">
        <v>430</v>
      </c>
      <c r="B107" s="15" t="n">
        <v>46249</v>
      </c>
      <c r="C107" s="7" t="s">
        <v>225</v>
      </c>
      <c r="D107" s="7" t="s">
        <v>226</v>
      </c>
      <c r="E107" s="17" t="n">
        <f aca="false">IF(A107="","",SUMIFS(Sales_Items!$H$2:$H$3001,Sales_Items!$A$2:$A$3001,A107))</f>
        <v>1100</v>
      </c>
      <c r="F107" s="13" t="n">
        <v>50</v>
      </c>
      <c r="G107" s="17" t="n">
        <f aca="false">IF(A107="","",E107-N(F107))</f>
        <v>1050</v>
      </c>
      <c r="H107" s="13" t="n">
        <v>550</v>
      </c>
      <c r="I107" s="17" t="n">
        <f aca="false">IF(A107="","",SUMIFS(Due_Payments!$C$2:$C$1001,Due_Payments!$B$2:$B$1001,A107))</f>
        <v>500</v>
      </c>
      <c r="J107" s="17" t="n">
        <f aca="false">IF(A107="","",G107-N(H107)-I107)</f>
        <v>0</v>
      </c>
      <c r="K107" s="7" t="s">
        <v>21</v>
      </c>
      <c r="L107" s="7" t="s">
        <v>397</v>
      </c>
      <c r="M107" s="7"/>
    </row>
    <row r="108" customFormat="false" ht="15" hidden="false" customHeight="true" outlineLevel="0" collapsed="false">
      <c r="A108" s="7" t="s">
        <v>431</v>
      </c>
      <c r="B108" s="15" t="n">
        <v>46249</v>
      </c>
      <c r="C108" s="7" t="s">
        <v>263</v>
      </c>
      <c r="D108" s="7" t="s">
        <v>264</v>
      </c>
      <c r="E108" s="17" t="n">
        <f aca="false">IF(A108="","",SUMIFS(Sales_Items!$H$2:$H$3001,Sales_Items!$A$2:$A$3001,A108))</f>
        <v>2220</v>
      </c>
      <c r="F108" s="13" t="n">
        <v>70</v>
      </c>
      <c r="G108" s="17" t="n">
        <f aca="false">IF(A108="","",E108-N(F108))</f>
        <v>2150</v>
      </c>
      <c r="H108" s="13" t="n">
        <v>2150</v>
      </c>
      <c r="I108" s="17" t="n">
        <f aca="false">IF(A108="","",SUMIFS(Due_Payments!$C$2:$C$1001,Due_Payments!$B$2:$B$1001,A108))</f>
        <v>0</v>
      </c>
      <c r="J108" s="17" t="n">
        <f aca="false">IF(A108="","",G108-N(H108)-I108)</f>
        <v>0</v>
      </c>
      <c r="K108" s="7" t="s">
        <v>13</v>
      </c>
      <c r="L108" s="7" t="s">
        <v>432</v>
      </c>
      <c r="M108" s="7"/>
    </row>
    <row r="109" customFormat="false" ht="15" hidden="false" customHeight="true" outlineLevel="0" collapsed="false">
      <c r="A109" s="7" t="s">
        <v>433</v>
      </c>
      <c r="B109" s="15" t="n">
        <v>46249</v>
      </c>
      <c r="C109" s="7" t="s">
        <v>241</v>
      </c>
      <c r="D109" s="7" t="s">
        <v>242</v>
      </c>
      <c r="E109" s="17" t="n">
        <f aca="false">IF(A109="","",SUMIFS(Sales_Items!$H$2:$H$3001,Sales_Items!$A$2:$A$3001,A109))</f>
        <v>380</v>
      </c>
      <c r="F109" s="13" t="n">
        <v>50</v>
      </c>
      <c r="G109" s="17" t="n">
        <f aca="false">IF(A109="","",E109-N(F109))</f>
        <v>330</v>
      </c>
      <c r="H109" s="13" t="n">
        <v>330</v>
      </c>
      <c r="I109" s="17" t="n">
        <f aca="false">IF(A109="","",SUMIFS(Due_Payments!$C$2:$C$1001,Due_Payments!$B$2:$B$1001,A109))</f>
        <v>0</v>
      </c>
      <c r="J109" s="17" t="n">
        <f aca="false">IF(A109="","",G109-N(H109)-I109)</f>
        <v>0</v>
      </c>
      <c r="K109" s="7" t="s">
        <v>13</v>
      </c>
      <c r="L109" s="7" t="s">
        <v>215</v>
      </c>
      <c r="M109" s="7"/>
    </row>
    <row r="110" customFormat="false" ht="15" hidden="false" customHeight="true" outlineLevel="0" collapsed="false">
      <c r="A110" s="7" t="s">
        <v>434</v>
      </c>
      <c r="B110" s="15" t="n">
        <v>46250</v>
      </c>
      <c r="C110" s="7" t="s">
        <v>285</v>
      </c>
      <c r="D110" s="7" t="s">
        <v>286</v>
      </c>
      <c r="E110" s="17" t="n">
        <f aca="false">IF(A110="","",SUMIFS(Sales_Items!$H$2:$H$3001,Sales_Items!$A$2:$A$3001,A110))</f>
        <v>1290</v>
      </c>
      <c r="F110" s="13" t="n">
        <v>0</v>
      </c>
      <c r="G110" s="17" t="n">
        <f aca="false">IF(A110="","",E110-N(F110))</f>
        <v>1290</v>
      </c>
      <c r="H110" s="13" t="n">
        <v>1290</v>
      </c>
      <c r="I110" s="17" t="n">
        <f aca="false">IF(A110="","",SUMIFS(Due_Payments!$C$2:$C$1001,Due_Payments!$B$2:$B$1001,A110))</f>
        <v>0</v>
      </c>
      <c r="J110" s="17" t="n">
        <f aca="false">IF(A110="","",G110-N(H110)-I110)</f>
        <v>0</v>
      </c>
      <c r="K110" s="7" t="s">
        <v>13</v>
      </c>
      <c r="L110" s="7" t="s">
        <v>435</v>
      </c>
      <c r="M110" s="7"/>
    </row>
    <row r="111" customFormat="false" ht="15" hidden="false" customHeight="true" outlineLevel="0" collapsed="false">
      <c r="A111" s="7" t="s">
        <v>436</v>
      </c>
      <c r="B111" s="15" t="n">
        <v>46250</v>
      </c>
      <c r="C111" s="7" t="s">
        <v>275</v>
      </c>
      <c r="D111" s="7" t="s">
        <v>276</v>
      </c>
      <c r="E111" s="17" t="n">
        <f aca="false">IF(A111="","",SUMIFS(Sales_Items!$H$2:$H$3001,Sales_Items!$A$2:$A$3001,A111))</f>
        <v>1100</v>
      </c>
      <c r="F111" s="13" t="n">
        <v>0</v>
      </c>
      <c r="G111" s="17" t="n">
        <f aca="false">IF(A111="","",E111-N(F111))</f>
        <v>1100</v>
      </c>
      <c r="H111" s="13" t="n">
        <v>1100</v>
      </c>
      <c r="I111" s="17" t="n">
        <f aca="false">IF(A111="","",SUMIFS(Due_Payments!$C$2:$C$1001,Due_Payments!$B$2:$B$1001,A111))</f>
        <v>0</v>
      </c>
      <c r="J111" s="17" t="n">
        <f aca="false">IF(A111="","",G111-N(H111)-I111)</f>
        <v>0</v>
      </c>
      <c r="K111" s="7" t="s">
        <v>21</v>
      </c>
      <c r="L111" s="7" t="s">
        <v>376</v>
      </c>
      <c r="M111" s="7"/>
    </row>
    <row r="112" customFormat="false" ht="15" hidden="false" customHeight="true" outlineLevel="0" collapsed="false">
      <c r="A112" s="7" t="s">
        <v>437</v>
      </c>
      <c r="B112" s="15" t="n">
        <v>46250</v>
      </c>
      <c r="C112" s="7" t="s">
        <v>369</v>
      </c>
      <c r="D112" s="7" t="s">
        <v>370</v>
      </c>
      <c r="E112" s="17" t="n">
        <f aca="false">IF(A112="","",SUMIFS(Sales_Items!$H$2:$H$3001,Sales_Items!$A$2:$A$3001,A112))</f>
        <v>260</v>
      </c>
      <c r="F112" s="13" t="n">
        <v>50</v>
      </c>
      <c r="G112" s="17" t="n">
        <f aca="false">IF(A112="","",E112-N(F112))</f>
        <v>210</v>
      </c>
      <c r="H112" s="13" t="n">
        <v>210</v>
      </c>
      <c r="I112" s="17" t="n">
        <f aca="false">IF(A112="","",SUMIFS(Due_Payments!$C$2:$C$1001,Due_Payments!$B$2:$B$1001,A112))</f>
        <v>0</v>
      </c>
      <c r="J112" s="17" t="n">
        <f aca="false">IF(A112="","",G112-N(H112)-I112)</f>
        <v>0</v>
      </c>
      <c r="K112" s="7" t="s">
        <v>13</v>
      </c>
      <c r="L112" s="7" t="s">
        <v>317</v>
      </c>
      <c r="M112" s="7"/>
    </row>
    <row r="113" customFormat="false" ht="15" hidden="false" customHeight="true" outlineLevel="0" collapsed="false">
      <c r="A113" s="7" t="s">
        <v>438</v>
      </c>
      <c r="B113" s="15" t="n">
        <v>46250</v>
      </c>
      <c r="C113" s="7" t="s">
        <v>285</v>
      </c>
      <c r="D113" s="7" t="s">
        <v>286</v>
      </c>
      <c r="E113" s="17" t="n">
        <f aca="false">IF(A113="","",SUMIFS(Sales_Items!$H$2:$H$3001,Sales_Items!$A$2:$A$3001,A113))</f>
        <v>260</v>
      </c>
      <c r="F113" s="13" t="n">
        <v>0</v>
      </c>
      <c r="G113" s="17" t="n">
        <f aca="false">IF(A113="","",E113-N(F113))</f>
        <v>260</v>
      </c>
      <c r="H113" s="13" t="n">
        <v>260</v>
      </c>
      <c r="I113" s="17" t="n">
        <f aca="false">IF(A113="","",SUMIFS(Due_Payments!$C$2:$C$1001,Due_Payments!$B$2:$B$1001,A113))</f>
        <v>0</v>
      </c>
      <c r="J113" s="17" t="n">
        <f aca="false">IF(A113="","",G113-N(H113)-I113)</f>
        <v>0</v>
      </c>
      <c r="K113" s="7" t="s">
        <v>21</v>
      </c>
      <c r="L113" s="7" t="s">
        <v>265</v>
      </c>
      <c r="M113" s="7"/>
    </row>
    <row r="114" customFormat="false" ht="15" hidden="false" customHeight="true" outlineLevel="0" collapsed="false">
      <c r="A114" s="7" t="s">
        <v>439</v>
      </c>
      <c r="B114" s="15" t="n">
        <v>46250</v>
      </c>
      <c r="C114" s="7" t="s">
        <v>263</v>
      </c>
      <c r="D114" s="7" t="s">
        <v>264</v>
      </c>
      <c r="E114" s="17" t="n">
        <f aca="false">IF(A114="","",SUMIFS(Sales_Items!$H$2:$H$3001,Sales_Items!$A$2:$A$3001,A114))</f>
        <v>240</v>
      </c>
      <c r="F114" s="13" t="n">
        <v>10</v>
      </c>
      <c r="G114" s="17" t="n">
        <f aca="false">IF(A114="","",E114-N(F114))</f>
        <v>230</v>
      </c>
      <c r="H114" s="13" t="n">
        <v>230</v>
      </c>
      <c r="I114" s="17" t="n">
        <f aca="false">IF(A114="","",SUMIFS(Due_Payments!$C$2:$C$1001,Due_Payments!$B$2:$B$1001,A114))</f>
        <v>0</v>
      </c>
      <c r="J114" s="17" t="n">
        <f aca="false">IF(A114="","",G114-N(H114)-I114)</f>
        <v>0</v>
      </c>
      <c r="K114" s="7" t="s">
        <v>21</v>
      </c>
      <c r="L114" s="7" t="s">
        <v>440</v>
      </c>
      <c r="M114" s="7"/>
    </row>
    <row r="115" customFormat="false" ht="15" hidden="false" customHeight="true" outlineLevel="0" collapsed="false">
      <c r="A115" s="7" t="s">
        <v>441</v>
      </c>
      <c r="B115" s="15" t="n">
        <v>46250</v>
      </c>
      <c r="C115" s="7" t="s">
        <v>329</v>
      </c>
      <c r="D115" s="7" t="s">
        <v>330</v>
      </c>
      <c r="E115" s="17" t="n">
        <f aca="false">IF(A115="","",SUMIFS(Sales_Items!$H$2:$H$3001,Sales_Items!$A$2:$A$3001,A115))</f>
        <v>480</v>
      </c>
      <c r="F115" s="13" t="n">
        <v>10</v>
      </c>
      <c r="G115" s="17" t="n">
        <f aca="false">IF(A115="","",E115-N(F115))</f>
        <v>470</v>
      </c>
      <c r="H115" s="13" t="n">
        <v>0</v>
      </c>
      <c r="I115" s="17" t="n">
        <f aca="false">IF(A115="","",SUMIFS(Due_Payments!$C$2:$C$1001,Due_Payments!$B$2:$B$1001,A115))</f>
        <v>470</v>
      </c>
      <c r="J115" s="17" t="n">
        <f aca="false">IF(A115="","",G115-N(H115)-I115)</f>
        <v>0</v>
      </c>
      <c r="K115" s="7" t="s">
        <v>21</v>
      </c>
      <c r="L115" s="7" t="s">
        <v>348</v>
      </c>
      <c r="M115" s="7"/>
    </row>
    <row r="116" customFormat="false" ht="15" hidden="false" customHeight="true" outlineLevel="0" collapsed="false">
      <c r="A116" s="7" t="s">
        <v>442</v>
      </c>
      <c r="B116" s="15" t="n">
        <v>46250</v>
      </c>
      <c r="C116" s="7" t="s">
        <v>206</v>
      </c>
      <c r="D116" s="7" t="s">
        <v>207</v>
      </c>
      <c r="E116" s="17" t="n">
        <f aca="false">IF(A116="","",SUMIFS(Sales_Items!$H$2:$H$3001,Sales_Items!$A$2:$A$3001,A116))</f>
        <v>560</v>
      </c>
      <c r="F116" s="13" t="n">
        <v>20</v>
      </c>
      <c r="G116" s="17" t="n">
        <f aca="false">IF(A116="","",E116-N(F116))</f>
        <v>540</v>
      </c>
      <c r="H116" s="13" t="n">
        <v>540</v>
      </c>
      <c r="I116" s="17" t="n">
        <f aca="false">IF(A116="","",SUMIFS(Due_Payments!$C$2:$C$1001,Due_Payments!$B$2:$B$1001,A116))</f>
        <v>0</v>
      </c>
      <c r="J116" s="17" t="n">
        <f aca="false">IF(A116="","",G116-N(H116)-I116)</f>
        <v>0</v>
      </c>
      <c r="K116" s="7" t="s">
        <v>21</v>
      </c>
      <c r="L116" s="7" t="s">
        <v>279</v>
      </c>
      <c r="M116" s="7"/>
    </row>
    <row r="117" customFormat="false" ht="15" hidden="false" customHeight="true" outlineLevel="0" collapsed="false">
      <c r="A117" s="7" t="s">
        <v>443</v>
      </c>
      <c r="B117" s="15" t="n">
        <v>46250</v>
      </c>
      <c r="C117" s="7" t="s">
        <v>221</v>
      </c>
      <c r="D117" s="7" t="s">
        <v>222</v>
      </c>
      <c r="E117" s="17" t="n">
        <f aca="false">IF(A117="","",SUMIFS(Sales_Items!$H$2:$H$3001,Sales_Items!$A$2:$A$3001,A117))</f>
        <v>190</v>
      </c>
      <c r="F117" s="13" t="n">
        <v>0</v>
      </c>
      <c r="G117" s="17" t="n">
        <f aca="false">IF(A117="","",E117-N(F117))</f>
        <v>190</v>
      </c>
      <c r="H117" s="13" t="n">
        <v>190</v>
      </c>
      <c r="I117" s="17" t="n">
        <f aca="false">IF(A117="","",SUMIFS(Due_Payments!$C$2:$C$1001,Due_Payments!$B$2:$B$1001,A117))</f>
        <v>0</v>
      </c>
      <c r="J117" s="17" t="n">
        <f aca="false">IF(A117="","",G117-N(H117)-I117)</f>
        <v>0</v>
      </c>
      <c r="K117" s="7" t="s">
        <v>13</v>
      </c>
      <c r="L117" s="7" t="s">
        <v>342</v>
      </c>
      <c r="M117" s="7"/>
    </row>
    <row r="118" customFormat="false" ht="15" hidden="false" customHeight="true" outlineLevel="0" collapsed="false">
      <c r="A118" s="7" t="s">
        <v>444</v>
      </c>
      <c r="B118" s="15" t="n">
        <v>46250</v>
      </c>
      <c r="C118" s="7" t="s">
        <v>249</v>
      </c>
      <c r="D118" s="7" t="s">
        <v>250</v>
      </c>
      <c r="E118" s="17" t="n">
        <f aca="false">IF(A118="","",SUMIFS(Sales_Items!$H$2:$H$3001,Sales_Items!$A$2:$A$3001,A118))</f>
        <v>1320</v>
      </c>
      <c r="F118" s="13" t="n">
        <v>0</v>
      </c>
      <c r="G118" s="17" t="n">
        <f aca="false">IF(A118="","",E118-N(F118))</f>
        <v>1320</v>
      </c>
      <c r="H118" s="13" t="n">
        <v>1320</v>
      </c>
      <c r="I118" s="17" t="n">
        <f aca="false">IF(A118="","",SUMIFS(Due_Payments!$C$2:$C$1001,Due_Payments!$B$2:$B$1001,A118))</f>
        <v>0</v>
      </c>
      <c r="J118" s="17" t="n">
        <f aca="false">IF(A118="","",G118-N(H118)-I118)</f>
        <v>0</v>
      </c>
      <c r="K118" s="7" t="s">
        <v>21</v>
      </c>
      <c r="L118" s="7" t="s">
        <v>445</v>
      </c>
      <c r="M118" s="7"/>
    </row>
    <row r="119" customFormat="false" ht="15" hidden="false" customHeight="true" outlineLevel="0" collapsed="false">
      <c r="A119" s="7" t="s">
        <v>446</v>
      </c>
      <c r="B119" s="15" t="n">
        <v>46250</v>
      </c>
      <c r="C119" s="7" t="s">
        <v>282</v>
      </c>
      <c r="D119" s="7" t="s">
        <v>283</v>
      </c>
      <c r="E119" s="17" t="n">
        <f aca="false">IF(A119="","",SUMIFS(Sales_Items!$H$2:$H$3001,Sales_Items!$A$2:$A$3001,A119))</f>
        <v>190</v>
      </c>
      <c r="F119" s="13" t="n">
        <v>10</v>
      </c>
      <c r="G119" s="17" t="n">
        <f aca="false">IF(A119="","",E119-N(F119))</f>
        <v>180</v>
      </c>
      <c r="H119" s="13" t="n">
        <v>180</v>
      </c>
      <c r="I119" s="17" t="n">
        <f aca="false">IF(A119="","",SUMIFS(Due_Payments!$C$2:$C$1001,Due_Payments!$B$2:$B$1001,A119))</f>
        <v>0</v>
      </c>
      <c r="J119" s="17" t="n">
        <f aca="false">IF(A119="","",G119-N(H119)-I119)</f>
        <v>0</v>
      </c>
      <c r="K119" s="7" t="s">
        <v>21</v>
      </c>
      <c r="L119" s="7" t="s">
        <v>447</v>
      </c>
      <c r="M119" s="7"/>
    </row>
    <row r="120" customFormat="false" ht="15" hidden="false" customHeight="true" outlineLevel="0" collapsed="false">
      <c r="A120" s="7" t="s">
        <v>448</v>
      </c>
      <c r="B120" s="15" t="n">
        <v>46251</v>
      </c>
      <c r="C120" s="7" t="s">
        <v>329</v>
      </c>
      <c r="D120" s="7" t="s">
        <v>330</v>
      </c>
      <c r="E120" s="17" t="n">
        <f aca="false">IF(A120="","",SUMIFS(Sales_Items!$H$2:$H$3001,Sales_Items!$A$2:$A$3001,A120))</f>
        <v>190</v>
      </c>
      <c r="F120" s="13" t="n">
        <v>0</v>
      </c>
      <c r="G120" s="17" t="n">
        <f aca="false">IF(A120="","",E120-N(F120))</f>
        <v>190</v>
      </c>
      <c r="H120" s="13" t="n">
        <v>190</v>
      </c>
      <c r="I120" s="17" t="n">
        <f aca="false">IF(A120="","",SUMIFS(Due_Payments!$C$2:$C$1001,Due_Payments!$B$2:$B$1001,A120))</f>
        <v>0</v>
      </c>
      <c r="J120" s="17" t="n">
        <f aca="false">IF(A120="","",G120-N(H120)-I120)</f>
        <v>0</v>
      </c>
      <c r="K120" s="7" t="s">
        <v>13</v>
      </c>
      <c r="L120" s="7" t="s">
        <v>342</v>
      </c>
      <c r="M120" s="7"/>
    </row>
    <row r="121" customFormat="false" ht="15" hidden="false" customHeight="true" outlineLevel="0" collapsed="false">
      <c r="A121" s="7" t="s">
        <v>449</v>
      </c>
      <c r="B121" s="15" t="n">
        <v>46251</v>
      </c>
      <c r="C121" s="7" t="s">
        <v>307</v>
      </c>
      <c r="D121" s="7" t="s">
        <v>308</v>
      </c>
      <c r="E121" s="17" t="n">
        <f aca="false">IF(A121="","",SUMIFS(Sales_Items!$H$2:$H$3001,Sales_Items!$A$2:$A$3001,A121))</f>
        <v>730</v>
      </c>
      <c r="F121" s="13" t="n">
        <v>0</v>
      </c>
      <c r="G121" s="17" t="n">
        <f aca="false">IF(A121="","",E121-N(F121))</f>
        <v>730</v>
      </c>
      <c r="H121" s="13" t="n">
        <v>730</v>
      </c>
      <c r="I121" s="17" t="n">
        <f aca="false">IF(A121="","",SUMIFS(Due_Payments!$C$2:$C$1001,Due_Payments!$B$2:$B$1001,A121))</f>
        <v>0</v>
      </c>
      <c r="J121" s="17" t="n">
        <f aca="false">IF(A121="","",G121-N(H121)-I121)</f>
        <v>0</v>
      </c>
      <c r="K121" s="7" t="s">
        <v>13</v>
      </c>
      <c r="L121" s="7" t="s">
        <v>450</v>
      </c>
      <c r="M121" s="7"/>
    </row>
    <row r="122" customFormat="false" ht="15" hidden="false" customHeight="true" outlineLevel="0" collapsed="false">
      <c r="A122" s="7" t="s">
        <v>451</v>
      </c>
      <c r="B122" s="15" t="n">
        <v>46251</v>
      </c>
      <c r="C122" s="7" t="s">
        <v>225</v>
      </c>
      <c r="D122" s="7" t="s">
        <v>226</v>
      </c>
      <c r="E122" s="17" t="n">
        <f aca="false">IF(A122="","",SUMIFS(Sales_Items!$H$2:$H$3001,Sales_Items!$A$2:$A$3001,A122))</f>
        <v>1680</v>
      </c>
      <c r="F122" s="13" t="n">
        <v>50</v>
      </c>
      <c r="G122" s="17" t="n">
        <f aca="false">IF(A122="","",E122-N(F122))</f>
        <v>1630</v>
      </c>
      <c r="H122" s="13" t="n">
        <v>1630</v>
      </c>
      <c r="I122" s="17" t="n">
        <f aca="false">IF(A122="","",SUMIFS(Due_Payments!$C$2:$C$1001,Due_Payments!$B$2:$B$1001,A122))</f>
        <v>0</v>
      </c>
      <c r="J122" s="17" t="n">
        <f aca="false">IF(A122="","",G122-N(H122)-I122)</f>
        <v>0</v>
      </c>
      <c r="K122" s="7" t="s">
        <v>13</v>
      </c>
      <c r="L122" s="7" t="s">
        <v>452</v>
      </c>
      <c r="M122" s="7"/>
    </row>
    <row r="123" customFormat="false" ht="15" hidden="false" customHeight="true" outlineLevel="0" collapsed="false">
      <c r="A123" s="7" t="s">
        <v>453</v>
      </c>
      <c r="B123" s="15" t="n">
        <v>46251</v>
      </c>
      <c r="C123" s="7" t="s">
        <v>202</v>
      </c>
      <c r="D123" s="7" t="s">
        <v>203</v>
      </c>
      <c r="E123" s="17" t="n">
        <f aca="false">IF(A123="","",SUMIFS(Sales_Items!$H$2:$H$3001,Sales_Items!$A$2:$A$3001,A123))</f>
        <v>240</v>
      </c>
      <c r="F123" s="13" t="n">
        <v>50</v>
      </c>
      <c r="G123" s="17" t="n">
        <f aca="false">IF(A123="","",E123-N(F123))</f>
        <v>190</v>
      </c>
      <c r="H123" s="13" t="n">
        <v>190</v>
      </c>
      <c r="I123" s="17" t="n">
        <f aca="false">IF(A123="","",SUMIFS(Due_Payments!$C$2:$C$1001,Due_Payments!$B$2:$B$1001,A123))</f>
        <v>0</v>
      </c>
      <c r="J123" s="17" t="n">
        <f aca="false">IF(A123="","",G123-N(H123)-I123)</f>
        <v>0</v>
      </c>
      <c r="K123" s="7" t="s">
        <v>13</v>
      </c>
      <c r="L123" s="7" t="s">
        <v>342</v>
      </c>
      <c r="M123" s="7"/>
    </row>
    <row r="124" customFormat="false" ht="15" hidden="false" customHeight="true" outlineLevel="0" collapsed="false">
      <c r="A124" s="7" t="s">
        <v>454</v>
      </c>
      <c r="B124" s="15" t="n">
        <v>46251</v>
      </c>
      <c r="C124" s="7" t="s">
        <v>369</v>
      </c>
      <c r="D124" s="7" t="s">
        <v>370</v>
      </c>
      <c r="E124" s="17" t="n">
        <f aca="false">IF(A124="","",SUMIFS(Sales_Items!$H$2:$H$3001,Sales_Items!$A$2:$A$3001,A124))</f>
        <v>240</v>
      </c>
      <c r="F124" s="13" t="n">
        <v>0</v>
      </c>
      <c r="G124" s="17" t="n">
        <f aca="false">IF(A124="","",E124-N(F124))</f>
        <v>240</v>
      </c>
      <c r="H124" s="13" t="n">
        <v>240</v>
      </c>
      <c r="I124" s="17" t="n">
        <f aca="false">IF(A124="","",SUMIFS(Due_Payments!$C$2:$C$1001,Due_Payments!$B$2:$B$1001,A124))</f>
        <v>0</v>
      </c>
      <c r="J124" s="17" t="n">
        <f aca="false">IF(A124="","",G124-N(H124)-I124)</f>
        <v>0</v>
      </c>
      <c r="K124" s="7" t="s">
        <v>29</v>
      </c>
      <c r="L124" s="7" t="s">
        <v>261</v>
      </c>
      <c r="M124" s="7"/>
    </row>
    <row r="125" customFormat="false" ht="15" hidden="false" customHeight="true" outlineLevel="0" collapsed="false">
      <c r="A125" s="7" t="s">
        <v>455</v>
      </c>
      <c r="B125" s="15" t="n">
        <v>46251</v>
      </c>
      <c r="C125" s="7" t="s">
        <v>293</v>
      </c>
      <c r="D125" s="7" t="s">
        <v>294</v>
      </c>
      <c r="E125" s="17" t="n">
        <f aca="false">IF(A125="","",SUMIFS(Sales_Items!$H$2:$H$3001,Sales_Items!$A$2:$A$3001,A125))</f>
        <v>780</v>
      </c>
      <c r="F125" s="13" t="n">
        <v>50</v>
      </c>
      <c r="G125" s="17" t="n">
        <f aca="false">IF(A125="","",E125-N(F125))</f>
        <v>730</v>
      </c>
      <c r="H125" s="13" t="n">
        <v>730</v>
      </c>
      <c r="I125" s="17" t="n">
        <f aca="false">IF(A125="","",SUMIFS(Due_Payments!$C$2:$C$1001,Due_Payments!$B$2:$B$1001,A125))</f>
        <v>0</v>
      </c>
      <c r="J125" s="17" t="n">
        <f aca="false">IF(A125="","",G125-N(H125)-I125)</f>
        <v>0</v>
      </c>
      <c r="K125" s="7" t="s">
        <v>21</v>
      </c>
      <c r="L125" s="7" t="s">
        <v>450</v>
      </c>
      <c r="M125" s="7"/>
    </row>
    <row r="126" customFormat="false" ht="15" hidden="false" customHeight="true" outlineLevel="0" collapsed="false">
      <c r="A126" s="7" t="s">
        <v>456</v>
      </c>
      <c r="B126" s="15" t="n">
        <v>46251</v>
      </c>
      <c r="C126" s="7" t="s">
        <v>378</v>
      </c>
      <c r="D126" s="7" t="s">
        <v>379</v>
      </c>
      <c r="E126" s="17" t="n">
        <f aca="false">IF(A126="","",SUMIFS(Sales_Items!$H$2:$H$3001,Sales_Items!$A$2:$A$3001,A126))</f>
        <v>860</v>
      </c>
      <c r="F126" s="13" t="n">
        <v>0</v>
      </c>
      <c r="G126" s="17" t="n">
        <f aca="false">IF(A126="","",E126-N(F126))</f>
        <v>860</v>
      </c>
      <c r="H126" s="13" t="n">
        <v>860</v>
      </c>
      <c r="I126" s="17" t="n">
        <f aca="false">IF(A126="","",SUMIFS(Due_Payments!$C$2:$C$1001,Due_Payments!$B$2:$B$1001,A126))</f>
        <v>0</v>
      </c>
      <c r="J126" s="17" t="n">
        <f aca="false">IF(A126="","",G126-N(H126)-I126)</f>
        <v>0</v>
      </c>
      <c r="K126" s="7" t="s">
        <v>13</v>
      </c>
      <c r="L126" s="7" t="s">
        <v>277</v>
      </c>
      <c r="M126" s="7"/>
    </row>
    <row r="127" customFormat="false" ht="15" hidden="false" customHeight="true" outlineLevel="0" collapsed="false">
      <c r="A127" s="7" t="s">
        <v>457</v>
      </c>
      <c r="B127" s="15" t="n">
        <v>46252</v>
      </c>
      <c r="C127" s="7" t="s">
        <v>259</v>
      </c>
      <c r="D127" s="7" t="s">
        <v>260</v>
      </c>
      <c r="E127" s="17" t="n">
        <f aca="false">IF(A127="","",SUMIFS(Sales_Items!$H$2:$H$3001,Sales_Items!$A$2:$A$3001,A127))</f>
        <v>3370</v>
      </c>
      <c r="F127" s="13" t="n">
        <v>0</v>
      </c>
      <c r="G127" s="17" t="n">
        <f aca="false">IF(A127="","",E127-N(F127))</f>
        <v>3370</v>
      </c>
      <c r="H127" s="13" t="n">
        <v>3370</v>
      </c>
      <c r="I127" s="17" t="n">
        <f aca="false">IF(A127="","",SUMIFS(Due_Payments!$C$2:$C$1001,Due_Payments!$B$2:$B$1001,A127))</f>
        <v>0</v>
      </c>
      <c r="J127" s="17" t="n">
        <f aca="false">IF(A127="","",G127-N(H127)-I127)</f>
        <v>0</v>
      </c>
      <c r="K127" s="7" t="s">
        <v>13</v>
      </c>
      <c r="L127" s="7" t="s">
        <v>458</v>
      </c>
      <c r="M127" s="7"/>
    </row>
    <row r="128" customFormat="false" ht="15" hidden="false" customHeight="true" outlineLevel="0" collapsed="false">
      <c r="A128" s="7" t="s">
        <v>459</v>
      </c>
      <c r="B128" s="15" t="n">
        <v>46252</v>
      </c>
      <c r="C128" s="7" t="s">
        <v>263</v>
      </c>
      <c r="D128" s="7" t="s">
        <v>264</v>
      </c>
      <c r="E128" s="17" t="n">
        <f aca="false">IF(A128="","",SUMIFS(Sales_Items!$H$2:$H$3001,Sales_Items!$A$2:$A$3001,A128))</f>
        <v>570</v>
      </c>
      <c r="F128" s="13" t="n">
        <v>50</v>
      </c>
      <c r="G128" s="17" t="n">
        <f aca="false">IF(A128="","",E128-N(F128))</f>
        <v>520</v>
      </c>
      <c r="H128" s="13" t="n">
        <v>520</v>
      </c>
      <c r="I128" s="17" t="n">
        <f aca="false">IF(A128="","",SUMIFS(Due_Payments!$C$2:$C$1001,Due_Payments!$B$2:$B$1001,A128))</f>
        <v>0</v>
      </c>
      <c r="J128" s="17" t="n">
        <f aca="false">IF(A128="","",G128-N(H128)-I128)</f>
        <v>0</v>
      </c>
      <c r="K128" s="7" t="s">
        <v>13</v>
      </c>
      <c r="L128" s="7" t="s">
        <v>323</v>
      </c>
      <c r="M128" s="7"/>
    </row>
    <row r="129" customFormat="false" ht="15" hidden="false" customHeight="true" outlineLevel="0" collapsed="false">
      <c r="A129" s="7" t="s">
        <v>460</v>
      </c>
      <c r="B129" s="15" t="n">
        <v>46252</v>
      </c>
      <c r="C129" s="7" t="s">
        <v>221</v>
      </c>
      <c r="D129" s="7" t="s">
        <v>222</v>
      </c>
      <c r="E129" s="17" t="n">
        <f aca="false">IF(A129="","",SUMIFS(Sales_Items!$H$2:$H$3001,Sales_Items!$A$2:$A$3001,A129))</f>
        <v>560</v>
      </c>
      <c r="F129" s="13" t="n">
        <v>50</v>
      </c>
      <c r="G129" s="17" t="n">
        <f aca="false">IF(A129="","",E129-N(F129))</f>
        <v>510</v>
      </c>
      <c r="H129" s="13" t="n">
        <v>510</v>
      </c>
      <c r="I129" s="17" t="n">
        <f aca="false">IF(A129="","",SUMIFS(Due_Payments!$C$2:$C$1001,Due_Payments!$B$2:$B$1001,A129))</f>
        <v>0</v>
      </c>
      <c r="J129" s="17" t="n">
        <f aca="false">IF(A129="","",G129-N(H129)-I129)</f>
        <v>0</v>
      </c>
      <c r="K129" s="7" t="s">
        <v>29</v>
      </c>
      <c r="L129" s="7" t="s">
        <v>461</v>
      </c>
      <c r="M129" s="7"/>
    </row>
    <row r="130" customFormat="false" ht="15" hidden="false" customHeight="true" outlineLevel="0" collapsed="false">
      <c r="A130" s="7" t="s">
        <v>462</v>
      </c>
      <c r="B130" s="15" t="n">
        <v>46252</v>
      </c>
      <c r="C130" s="7" t="s">
        <v>225</v>
      </c>
      <c r="D130" s="7" t="s">
        <v>226</v>
      </c>
      <c r="E130" s="17" t="n">
        <f aca="false">IF(A130="","",SUMIFS(Sales_Items!$H$2:$H$3001,Sales_Items!$A$2:$A$3001,A130))</f>
        <v>3350</v>
      </c>
      <c r="F130" s="13" t="n">
        <v>0</v>
      </c>
      <c r="G130" s="17" t="n">
        <f aca="false">IF(A130="","",E130-N(F130))</f>
        <v>3350</v>
      </c>
      <c r="H130" s="13" t="n">
        <v>3350</v>
      </c>
      <c r="I130" s="17" t="n">
        <f aca="false">IF(A130="","",SUMIFS(Due_Payments!$C$2:$C$1001,Due_Payments!$B$2:$B$1001,A130))</f>
        <v>0</v>
      </c>
      <c r="J130" s="17" t="n">
        <f aca="false">IF(A130="","",G130-N(H130)-I130)</f>
        <v>0</v>
      </c>
      <c r="K130" s="7" t="s">
        <v>13</v>
      </c>
      <c r="L130" s="7" t="s">
        <v>463</v>
      </c>
      <c r="M130" s="7"/>
    </row>
    <row r="131" customFormat="false" ht="15" hidden="false" customHeight="true" outlineLevel="0" collapsed="false">
      <c r="A131" s="7" t="s">
        <v>464</v>
      </c>
      <c r="B131" s="15" t="n">
        <v>46252</v>
      </c>
      <c r="C131" s="7" t="s">
        <v>282</v>
      </c>
      <c r="D131" s="7" t="s">
        <v>283</v>
      </c>
      <c r="E131" s="17" t="n">
        <f aca="false">IF(A131="","",SUMIFS(Sales_Items!$H$2:$H$3001,Sales_Items!$A$2:$A$3001,A131))</f>
        <v>240</v>
      </c>
      <c r="F131" s="13" t="n">
        <v>0</v>
      </c>
      <c r="G131" s="17" t="n">
        <f aca="false">IF(A131="","",E131-N(F131))</f>
        <v>240</v>
      </c>
      <c r="H131" s="13" t="n">
        <v>240</v>
      </c>
      <c r="I131" s="17" t="n">
        <f aca="false">IF(A131="","",SUMIFS(Due_Payments!$C$2:$C$1001,Due_Payments!$B$2:$B$1001,A131))</f>
        <v>0</v>
      </c>
      <c r="J131" s="17" t="n">
        <f aca="false">IF(A131="","",G131-N(H131)-I131)</f>
        <v>0</v>
      </c>
      <c r="K131" s="7" t="s">
        <v>13</v>
      </c>
      <c r="L131" s="7" t="s">
        <v>261</v>
      </c>
      <c r="M131" s="7"/>
    </row>
    <row r="132" customFormat="false" ht="15" hidden="false" customHeight="true" outlineLevel="0" collapsed="false">
      <c r="A132" s="7" t="s">
        <v>465</v>
      </c>
      <c r="B132" s="15" t="n">
        <v>46252</v>
      </c>
      <c r="C132" s="7" t="s">
        <v>344</v>
      </c>
      <c r="D132" s="7" t="s">
        <v>345</v>
      </c>
      <c r="E132" s="17" t="n">
        <f aca="false">IF(A132="","",SUMIFS(Sales_Items!$H$2:$H$3001,Sales_Items!$A$2:$A$3001,A132))</f>
        <v>520</v>
      </c>
      <c r="F132" s="13" t="n">
        <v>50</v>
      </c>
      <c r="G132" s="17" t="n">
        <f aca="false">IF(A132="","",E132-N(F132))</f>
        <v>470</v>
      </c>
      <c r="H132" s="13" t="n">
        <v>470</v>
      </c>
      <c r="I132" s="17" t="n">
        <f aca="false">IF(A132="","",SUMIFS(Due_Payments!$C$2:$C$1001,Due_Payments!$B$2:$B$1001,A132))</f>
        <v>0</v>
      </c>
      <c r="J132" s="17" t="n">
        <f aca="false">IF(A132="","",G132-N(H132)-I132)</f>
        <v>0</v>
      </c>
      <c r="K132" s="7" t="s">
        <v>21</v>
      </c>
      <c r="L132" s="7" t="s">
        <v>348</v>
      </c>
      <c r="M132" s="7"/>
    </row>
    <row r="133" customFormat="false" ht="15" hidden="false" customHeight="true" outlineLevel="0" collapsed="false">
      <c r="A133" s="7" t="s">
        <v>466</v>
      </c>
      <c r="B133" s="15" t="n">
        <v>46252</v>
      </c>
      <c r="C133" s="7" t="s">
        <v>225</v>
      </c>
      <c r="D133" s="7" t="s">
        <v>226</v>
      </c>
      <c r="E133" s="17" t="n">
        <f aca="false">IF(A133="","",SUMIFS(Sales_Items!$H$2:$H$3001,Sales_Items!$A$2:$A$3001,A133))</f>
        <v>380</v>
      </c>
      <c r="F133" s="13" t="n">
        <v>0</v>
      </c>
      <c r="G133" s="17" t="n">
        <f aca="false">IF(A133="","",E133-N(F133))</f>
        <v>380</v>
      </c>
      <c r="H133" s="13" t="n">
        <v>380</v>
      </c>
      <c r="I133" s="17" t="n">
        <f aca="false">IF(A133="","",SUMIFS(Due_Payments!$C$2:$C$1001,Due_Payments!$B$2:$B$1001,A133))</f>
        <v>0</v>
      </c>
      <c r="J133" s="17" t="n">
        <f aca="false">IF(A133="","",G133-N(H133)-I133)</f>
        <v>0</v>
      </c>
      <c r="K133" s="7" t="s">
        <v>13</v>
      </c>
      <c r="L133" s="7" t="s">
        <v>223</v>
      </c>
      <c r="M133" s="7"/>
    </row>
    <row r="134" customFormat="false" ht="15" hidden="false" customHeight="true" outlineLevel="0" collapsed="false">
      <c r="A134" s="7" t="s">
        <v>467</v>
      </c>
      <c r="B134" s="15" t="n">
        <v>46252</v>
      </c>
      <c r="C134" s="7" t="s">
        <v>259</v>
      </c>
      <c r="D134" s="7" t="s">
        <v>260</v>
      </c>
      <c r="E134" s="17" t="n">
        <f aca="false">IF(A134="","",SUMIFS(Sales_Items!$H$2:$H$3001,Sales_Items!$A$2:$A$3001,A134))</f>
        <v>570</v>
      </c>
      <c r="F134" s="13" t="n">
        <v>0</v>
      </c>
      <c r="G134" s="17" t="n">
        <f aca="false">IF(A134="","",E134-N(F134))</f>
        <v>570</v>
      </c>
      <c r="H134" s="13" t="n">
        <v>570</v>
      </c>
      <c r="I134" s="17" t="n">
        <f aca="false">IF(A134="","",SUMIFS(Due_Payments!$C$2:$C$1001,Due_Payments!$B$2:$B$1001,A134))</f>
        <v>0</v>
      </c>
      <c r="J134" s="17" t="n">
        <f aca="false">IF(A134="","",G134-N(H134)-I134)</f>
        <v>0</v>
      </c>
      <c r="K134" s="7" t="s">
        <v>13</v>
      </c>
      <c r="L134" s="7" t="s">
        <v>468</v>
      </c>
      <c r="M134" s="7"/>
    </row>
    <row r="135" customFormat="false" ht="15" hidden="false" customHeight="true" outlineLevel="0" collapsed="false">
      <c r="A135" s="7" t="s">
        <v>469</v>
      </c>
      <c r="B135" s="15" t="n">
        <v>46252</v>
      </c>
      <c r="C135" s="7" t="s">
        <v>206</v>
      </c>
      <c r="D135" s="7" t="s">
        <v>207</v>
      </c>
      <c r="E135" s="17" t="n">
        <f aca="false">IF(A135="","",SUMIFS(Sales_Items!$H$2:$H$3001,Sales_Items!$A$2:$A$3001,A135))</f>
        <v>620</v>
      </c>
      <c r="F135" s="13" t="n">
        <v>0</v>
      </c>
      <c r="G135" s="17" t="n">
        <f aca="false">IF(A135="","",E135-N(F135))</f>
        <v>620</v>
      </c>
      <c r="H135" s="13" t="n">
        <v>0</v>
      </c>
      <c r="I135" s="17" t="n">
        <f aca="false">IF(A135="","",SUMIFS(Due_Payments!$C$2:$C$1001,Due_Payments!$B$2:$B$1001,A135))</f>
        <v>310</v>
      </c>
      <c r="J135" s="17" t="n">
        <f aca="false">IF(A135="","",G135-N(H135)-I135)</f>
        <v>310</v>
      </c>
      <c r="K135" s="7" t="s">
        <v>21</v>
      </c>
      <c r="L135" s="7" t="s">
        <v>425</v>
      </c>
      <c r="M135" s="7"/>
    </row>
    <row r="136" customFormat="false" ht="15" hidden="false" customHeight="true" outlineLevel="0" collapsed="false">
      <c r="A136" s="7" t="s">
        <v>470</v>
      </c>
      <c r="B136" s="15" t="n">
        <v>46252</v>
      </c>
      <c r="C136" s="7" t="s">
        <v>285</v>
      </c>
      <c r="D136" s="7" t="s">
        <v>286</v>
      </c>
      <c r="E136" s="17" t="n">
        <f aca="false">IF(A136="","",SUMIFS(Sales_Items!$H$2:$H$3001,Sales_Items!$A$2:$A$3001,A136))</f>
        <v>1750</v>
      </c>
      <c r="F136" s="13" t="n">
        <v>0</v>
      </c>
      <c r="G136" s="17" t="n">
        <f aca="false">IF(A136="","",E136-N(F136))</f>
        <v>1750</v>
      </c>
      <c r="H136" s="13" t="n">
        <v>940</v>
      </c>
      <c r="I136" s="17" t="n">
        <f aca="false">IF(A136="","",SUMIFS(Due_Payments!$C$2:$C$1001,Due_Payments!$B$2:$B$1001,A136))</f>
        <v>0</v>
      </c>
      <c r="J136" s="17" t="n">
        <f aca="false">IF(A136="","",G136-N(H136)-I136)</f>
        <v>810</v>
      </c>
      <c r="K136" s="7" t="s">
        <v>29</v>
      </c>
      <c r="L136" s="7" t="s">
        <v>354</v>
      </c>
      <c r="M136" s="7"/>
    </row>
    <row r="137" customFormat="false" ht="15" hidden="false" customHeight="true" outlineLevel="0" collapsed="false">
      <c r="A137" s="7" t="s">
        <v>471</v>
      </c>
      <c r="B137" s="15" t="n">
        <v>46253</v>
      </c>
      <c r="C137" s="7" t="s">
        <v>213</v>
      </c>
      <c r="D137" s="7" t="s">
        <v>214</v>
      </c>
      <c r="E137" s="17" t="n">
        <f aca="false">IF(A137="","",SUMIFS(Sales_Items!$H$2:$H$3001,Sales_Items!$A$2:$A$3001,A137))</f>
        <v>1350</v>
      </c>
      <c r="F137" s="13" t="n">
        <v>0</v>
      </c>
      <c r="G137" s="17" t="n">
        <f aca="false">IF(A137="","",E137-N(F137))</f>
        <v>1350</v>
      </c>
      <c r="H137" s="13" t="n">
        <v>1350</v>
      </c>
      <c r="I137" s="17" t="n">
        <f aca="false">IF(A137="","",SUMIFS(Due_Payments!$C$2:$C$1001,Due_Payments!$B$2:$B$1001,A137))</f>
        <v>0</v>
      </c>
      <c r="J137" s="17" t="n">
        <f aca="false">IF(A137="","",G137-N(H137)-I137)</f>
        <v>0</v>
      </c>
      <c r="K137" s="7" t="s">
        <v>13</v>
      </c>
      <c r="L137" s="7" t="s">
        <v>472</v>
      </c>
      <c r="M137" s="7"/>
    </row>
    <row r="138" customFormat="false" ht="15" hidden="false" customHeight="true" outlineLevel="0" collapsed="false">
      <c r="A138" s="7" t="s">
        <v>473</v>
      </c>
      <c r="B138" s="15" t="n">
        <v>46253</v>
      </c>
      <c r="C138" s="7" t="s">
        <v>217</v>
      </c>
      <c r="D138" s="7" t="s">
        <v>218</v>
      </c>
      <c r="E138" s="17" t="n">
        <f aca="false">IF(A138="","",SUMIFS(Sales_Items!$H$2:$H$3001,Sales_Items!$A$2:$A$3001,A138))</f>
        <v>1240</v>
      </c>
      <c r="F138" s="13" t="n">
        <v>0</v>
      </c>
      <c r="G138" s="17" t="n">
        <f aca="false">IF(A138="","",E138-N(F138))</f>
        <v>1240</v>
      </c>
      <c r="H138" s="13" t="n">
        <v>1240</v>
      </c>
      <c r="I138" s="17" t="n">
        <f aca="false">IF(A138="","",SUMIFS(Due_Payments!$C$2:$C$1001,Due_Payments!$B$2:$B$1001,A138))</f>
        <v>0</v>
      </c>
      <c r="J138" s="17" t="n">
        <f aca="false">IF(A138="","",G138-N(H138)-I138)</f>
        <v>0</v>
      </c>
      <c r="K138" s="7" t="s">
        <v>21</v>
      </c>
      <c r="L138" s="7" t="s">
        <v>335</v>
      </c>
      <c r="M138" s="7"/>
    </row>
    <row r="139" customFormat="false" ht="15" hidden="false" customHeight="true" outlineLevel="0" collapsed="false">
      <c r="A139" s="7" t="s">
        <v>474</v>
      </c>
      <c r="B139" s="15" t="n">
        <v>46253</v>
      </c>
      <c r="C139" s="7" t="s">
        <v>369</v>
      </c>
      <c r="D139" s="7" t="s">
        <v>370</v>
      </c>
      <c r="E139" s="17" t="n">
        <f aca="false">IF(A139="","",SUMIFS(Sales_Items!$H$2:$H$3001,Sales_Items!$A$2:$A$3001,A139))</f>
        <v>650</v>
      </c>
      <c r="F139" s="13" t="n">
        <v>0</v>
      </c>
      <c r="G139" s="17" t="n">
        <f aca="false">IF(A139="","",E139-N(F139))</f>
        <v>650</v>
      </c>
      <c r="H139" s="13" t="n">
        <v>650</v>
      </c>
      <c r="I139" s="17" t="n">
        <f aca="false">IF(A139="","",SUMIFS(Due_Payments!$C$2:$C$1001,Due_Payments!$B$2:$B$1001,A139))</f>
        <v>0</v>
      </c>
      <c r="J139" s="17" t="n">
        <f aca="false">IF(A139="","",G139-N(H139)-I139)</f>
        <v>0</v>
      </c>
      <c r="K139" s="7" t="s">
        <v>13</v>
      </c>
      <c r="L139" s="7" t="s">
        <v>475</v>
      </c>
      <c r="M139" s="7"/>
    </row>
    <row r="140" customFormat="false" ht="15" hidden="false" customHeight="true" outlineLevel="0" collapsed="false">
      <c r="A140" s="7" t="s">
        <v>476</v>
      </c>
      <c r="B140" s="15" t="n">
        <v>46253</v>
      </c>
      <c r="C140" s="7" t="s">
        <v>217</v>
      </c>
      <c r="D140" s="7" t="s">
        <v>218</v>
      </c>
      <c r="E140" s="17" t="n">
        <f aca="false">IF(A140="","",SUMIFS(Sales_Items!$H$2:$H$3001,Sales_Items!$A$2:$A$3001,A140))</f>
        <v>3690</v>
      </c>
      <c r="F140" s="13" t="n">
        <v>0</v>
      </c>
      <c r="G140" s="17" t="n">
        <f aca="false">IF(A140="","",E140-N(F140))</f>
        <v>3690</v>
      </c>
      <c r="H140" s="13" t="n">
        <v>3690</v>
      </c>
      <c r="I140" s="17" t="n">
        <f aca="false">IF(A140="","",SUMIFS(Due_Payments!$C$2:$C$1001,Due_Payments!$B$2:$B$1001,A140))</f>
        <v>0</v>
      </c>
      <c r="J140" s="17" t="n">
        <f aca="false">IF(A140="","",G140-N(H140)-I140)</f>
        <v>0</v>
      </c>
      <c r="K140" s="7" t="s">
        <v>29</v>
      </c>
      <c r="L140" s="7" t="s">
        <v>315</v>
      </c>
      <c r="M140" s="7"/>
    </row>
    <row r="141" customFormat="false" ht="15" hidden="false" customHeight="true" outlineLevel="0" collapsed="false">
      <c r="A141" s="7" t="s">
        <v>477</v>
      </c>
      <c r="B141" s="15" t="n">
        <v>46253</v>
      </c>
      <c r="C141" s="7" t="s">
        <v>256</v>
      </c>
      <c r="D141" s="7" t="s">
        <v>257</v>
      </c>
      <c r="E141" s="17" t="n">
        <f aca="false">IF(A141="","",SUMIFS(Sales_Items!$H$2:$H$3001,Sales_Items!$A$2:$A$3001,A141))</f>
        <v>1340</v>
      </c>
      <c r="F141" s="13" t="n">
        <v>0</v>
      </c>
      <c r="G141" s="17" t="n">
        <f aca="false">IF(A141="","",E141-N(F141))</f>
        <v>1340</v>
      </c>
      <c r="H141" s="13" t="n">
        <v>1340</v>
      </c>
      <c r="I141" s="17" t="n">
        <f aca="false">IF(A141="","",SUMIFS(Due_Payments!$C$2:$C$1001,Due_Payments!$B$2:$B$1001,A141))</f>
        <v>0</v>
      </c>
      <c r="J141" s="17" t="n">
        <f aca="false">IF(A141="","",G141-N(H141)-I141)</f>
        <v>0</v>
      </c>
      <c r="K141" s="7" t="s">
        <v>13</v>
      </c>
      <c r="L141" s="7" t="s">
        <v>478</v>
      </c>
      <c r="M141" s="7"/>
    </row>
    <row r="142" customFormat="false" ht="15" hidden="false" customHeight="true" outlineLevel="0" collapsed="false">
      <c r="A142" s="7" t="s">
        <v>479</v>
      </c>
      <c r="B142" s="15" t="n">
        <v>46253</v>
      </c>
      <c r="C142" s="7" t="s">
        <v>213</v>
      </c>
      <c r="D142" s="7" t="s">
        <v>214</v>
      </c>
      <c r="E142" s="17" t="n">
        <f aca="false">IF(A142="","",SUMIFS(Sales_Items!$H$2:$H$3001,Sales_Items!$A$2:$A$3001,A142))</f>
        <v>190</v>
      </c>
      <c r="F142" s="13" t="n">
        <v>0</v>
      </c>
      <c r="G142" s="17" t="n">
        <f aca="false">IF(A142="","",E142-N(F142))</f>
        <v>190</v>
      </c>
      <c r="H142" s="13" t="n">
        <v>110</v>
      </c>
      <c r="I142" s="17" t="n">
        <f aca="false">IF(A142="","",SUMIFS(Due_Payments!$C$2:$C$1001,Due_Payments!$B$2:$B$1001,A142))</f>
        <v>80</v>
      </c>
      <c r="J142" s="17" t="n">
        <f aca="false">IF(A142="","",G142-N(H142)-I142)</f>
        <v>0</v>
      </c>
      <c r="K142" s="7" t="s">
        <v>13</v>
      </c>
      <c r="L142" s="7" t="s">
        <v>342</v>
      </c>
      <c r="M142" s="7"/>
    </row>
    <row r="143" customFormat="false" ht="15" hidden="false" customHeight="true" outlineLevel="0" collapsed="false">
      <c r="A143" s="7" t="s">
        <v>480</v>
      </c>
      <c r="B143" s="15" t="n">
        <v>46253</v>
      </c>
      <c r="C143" s="7" t="s">
        <v>282</v>
      </c>
      <c r="D143" s="7" t="s">
        <v>283</v>
      </c>
      <c r="E143" s="17" t="n">
        <f aca="false">IF(A143="","",SUMIFS(Sales_Items!$H$2:$H$3001,Sales_Items!$A$2:$A$3001,A143))</f>
        <v>680</v>
      </c>
      <c r="F143" s="13" t="n">
        <v>20</v>
      </c>
      <c r="G143" s="17" t="n">
        <f aca="false">IF(A143="","",E143-N(F143))</f>
        <v>660</v>
      </c>
      <c r="H143" s="13" t="n">
        <v>660</v>
      </c>
      <c r="I143" s="17" t="n">
        <f aca="false">IF(A143="","",SUMIFS(Due_Payments!$C$2:$C$1001,Due_Payments!$B$2:$B$1001,A143))</f>
        <v>0</v>
      </c>
      <c r="J143" s="17" t="n">
        <f aca="false">IF(A143="","",G143-N(H143)-I143)</f>
        <v>0</v>
      </c>
      <c r="K143" s="7" t="s">
        <v>13</v>
      </c>
      <c r="L143" s="7" t="s">
        <v>481</v>
      </c>
      <c r="M143" s="7"/>
    </row>
    <row r="144" customFormat="false" ht="15" hidden="false" customHeight="true" outlineLevel="0" collapsed="false">
      <c r="A144" s="7" t="s">
        <v>482</v>
      </c>
      <c r="B144" s="15" t="n">
        <v>46253</v>
      </c>
      <c r="C144" s="7" t="s">
        <v>285</v>
      </c>
      <c r="D144" s="7" t="s">
        <v>286</v>
      </c>
      <c r="E144" s="17" t="n">
        <f aca="false">IF(A144="","",SUMIFS(Sales_Items!$H$2:$H$3001,Sales_Items!$A$2:$A$3001,A144))</f>
        <v>1340</v>
      </c>
      <c r="F144" s="13" t="n">
        <v>0</v>
      </c>
      <c r="G144" s="17" t="n">
        <f aca="false">IF(A144="","",E144-N(F144))</f>
        <v>1340</v>
      </c>
      <c r="H144" s="13" t="n">
        <v>1340</v>
      </c>
      <c r="I144" s="17" t="n">
        <f aca="false">IF(A144="","",SUMIFS(Due_Payments!$C$2:$C$1001,Due_Payments!$B$2:$B$1001,A144))</f>
        <v>0</v>
      </c>
      <c r="J144" s="17" t="n">
        <f aca="false">IF(A144="","",G144-N(H144)-I144)</f>
        <v>0</v>
      </c>
      <c r="K144" s="7" t="s">
        <v>13</v>
      </c>
      <c r="L144" s="7" t="s">
        <v>478</v>
      </c>
      <c r="M144" s="7"/>
    </row>
    <row r="145" customFormat="false" ht="15" hidden="false" customHeight="true" outlineLevel="0" collapsed="false">
      <c r="A145" s="7" t="s">
        <v>483</v>
      </c>
      <c r="B145" s="15" t="n">
        <v>46253</v>
      </c>
      <c r="C145" s="7" t="s">
        <v>210</v>
      </c>
      <c r="D145" s="7" t="s">
        <v>211</v>
      </c>
      <c r="E145" s="17" t="n">
        <f aca="false">IF(A145="","",SUMIFS(Sales_Items!$H$2:$H$3001,Sales_Items!$A$2:$A$3001,A145))</f>
        <v>530</v>
      </c>
      <c r="F145" s="13" t="n">
        <v>0</v>
      </c>
      <c r="G145" s="17" t="n">
        <f aca="false">IF(A145="","",E145-N(F145))</f>
        <v>530</v>
      </c>
      <c r="H145" s="13" t="n">
        <v>530</v>
      </c>
      <c r="I145" s="17" t="n">
        <f aca="false">IF(A145="","",SUMIFS(Due_Payments!$C$2:$C$1001,Due_Payments!$B$2:$B$1001,A145))</f>
        <v>0</v>
      </c>
      <c r="J145" s="17" t="n">
        <f aca="false">IF(A145="","",G145-N(H145)-I145)</f>
        <v>0</v>
      </c>
      <c r="K145" s="7" t="s">
        <v>29</v>
      </c>
      <c r="L145" s="7" t="s">
        <v>484</v>
      </c>
      <c r="M145" s="7"/>
    </row>
    <row r="146" customFormat="false" ht="15" hidden="false" customHeight="true" outlineLevel="0" collapsed="false">
      <c r="A146" s="7" t="s">
        <v>485</v>
      </c>
      <c r="B146" s="15" t="n">
        <v>46253</v>
      </c>
      <c r="C146" s="7" t="s">
        <v>249</v>
      </c>
      <c r="D146" s="7" t="s">
        <v>250</v>
      </c>
      <c r="E146" s="17" t="n">
        <f aca="false">IF(A146="","",SUMIFS(Sales_Items!$H$2:$H$3001,Sales_Items!$A$2:$A$3001,A146))</f>
        <v>570</v>
      </c>
      <c r="F146" s="13" t="n">
        <v>0</v>
      </c>
      <c r="G146" s="17" t="n">
        <f aca="false">IF(A146="","",E146-N(F146))</f>
        <v>570</v>
      </c>
      <c r="H146" s="13" t="n">
        <v>570</v>
      </c>
      <c r="I146" s="17" t="n">
        <f aca="false">IF(A146="","",SUMIFS(Due_Payments!$C$2:$C$1001,Due_Payments!$B$2:$B$1001,A146))</f>
        <v>0</v>
      </c>
      <c r="J146" s="17" t="n">
        <f aca="false">IF(A146="","",G146-N(H146)-I146)</f>
        <v>0</v>
      </c>
      <c r="K146" s="7" t="s">
        <v>13</v>
      </c>
      <c r="L146" s="7" t="s">
        <v>468</v>
      </c>
      <c r="M146" s="7"/>
    </row>
    <row r="147" customFormat="false" ht="15" hidden="false" customHeight="true" outlineLevel="0" collapsed="false">
      <c r="A147" s="7" t="s">
        <v>486</v>
      </c>
      <c r="B147" s="15" t="n">
        <v>46254</v>
      </c>
      <c r="C147" s="7" t="s">
        <v>206</v>
      </c>
      <c r="D147" s="7" t="s">
        <v>207</v>
      </c>
      <c r="E147" s="17" t="n">
        <f aca="false">IF(A147="","",SUMIFS(Sales_Items!$H$2:$H$3001,Sales_Items!$A$2:$A$3001,A147))</f>
        <v>520</v>
      </c>
      <c r="F147" s="13" t="n">
        <v>0</v>
      </c>
      <c r="G147" s="17" t="n">
        <f aca="false">IF(A147="","",E147-N(F147))</f>
        <v>520</v>
      </c>
      <c r="H147" s="13" t="n">
        <v>320</v>
      </c>
      <c r="I147" s="17" t="n">
        <f aca="false">IF(A147="","",SUMIFS(Due_Payments!$C$2:$C$1001,Due_Payments!$B$2:$B$1001,A147))</f>
        <v>0</v>
      </c>
      <c r="J147" s="17" t="n">
        <f aca="false">IF(A147="","",G147-N(H147)-I147)</f>
        <v>200</v>
      </c>
      <c r="K147" s="7" t="s">
        <v>13</v>
      </c>
      <c r="L147" s="7" t="s">
        <v>323</v>
      </c>
      <c r="M147" s="7"/>
    </row>
    <row r="148" customFormat="false" ht="15" hidden="false" customHeight="true" outlineLevel="0" collapsed="false">
      <c r="A148" s="7" t="s">
        <v>487</v>
      </c>
      <c r="B148" s="15" t="n">
        <v>46254</v>
      </c>
      <c r="C148" s="7" t="s">
        <v>210</v>
      </c>
      <c r="D148" s="7" t="s">
        <v>211</v>
      </c>
      <c r="E148" s="17" t="n">
        <f aca="false">IF(A148="","",SUMIFS(Sales_Items!$H$2:$H$3001,Sales_Items!$A$2:$A$3001,A148))</f>
        <v>720</v>
      </c>
      <c r="F148" s="13" t="n">
        <v>0</v>
      </c>
      <c r="G148" s="17" t="n">
        <f aca="false">IF(A148="","",E148-N(F148))</f>
        <v>720</v>
      </c>
      <c r="H148" s="13" t="n">
        <v>720</v>
      </c>
      <c r="I148" s="17" t="n">
        <f aca="false">IF(A148="","",SUMIFS(Due_Payments!$C$2:$C$1001,Due_Payments!$B$2:$B$1001,A148))</f>
        <v>0</v>
      </c>
      <c r="J148" s="17" t="n">
        <f aca="false">IF(A148="","",G148-N(H148)-I148)</f>
        <v>0</v>
      </c>
      <c r="K148" s="7" t="s">
        <v>13</v>
      </c>
      <c r="L148" s="7" t="s">
        <v>427</v>
      </c>
      <c r="M148" s="7"/>
    </row>
    <row r="149" customFormat="false" ht="15" hidden="false" customHeight="true" outlineLevel="0" collapsed="false">
      <c r="A149" s="7" t="s">
        <v>488</v>
      </c>
      <c r="B149" s="15" t="n">
        <v>46254</v>
      </c>
      <c r="C149" s="7" t="s">
        <v>282</v>
      </c>
      <c r="D149" s="7" t="s">
        <v>283</v>
      </c>
      <c r="E149" s="17" t="n">
        <f aca="false">IF(A149="","",SUMIFS(Sales_Items!$H$2:$H$3001,Sales_Items!$A$2:$A$3001,A149))</f>
        <v>2240</v>
      </c>
      <c r="F149" s="13" t="n">
        <v>0</v>
      </c>
      <c r="G149" s="17" t="n">
        <f aca="false">IF(A149="","",E149-N(F149))</f>
        <v>2240</v>
      </c>
      <c r="H149" s="13" t="n">
        <v>0</v>
      </c>
      <c r="I149" s="17" t="n">
        <f aca="false">IF(A149="","",SUMIFS(Due_Payments!$C$2:$C$1001,Due_Payments!$B$2:$B$1001,A149))</f>
        <v>2240</v>
      </c>
      <c r="J149" s="17" t="n">
        <f aca="false">IF(A149="","",G149-N(H149)-I149)</f>
        <v>0</v>
      </c>
      <c r="K149" s="7" t="s">
        <v>29</v>
      </c>
      <c r="L149" s="7" t="s">
        <v>489</v>
      </c>
      <c r="M149" s="7"/>
    </row>
    <row r="150" customFormat="false" ht="15" hidden="false" customHeight="true" outlineLevel="0" collapsed="false">
      <c r="A150" s="7" t="s">
        <v>490</v>
      </c>
      <c r="B150" s="15" t="n">
        <v>46254</v>
      </c>
      <c r="C150" s="7" t="s">
        <v>206</v>
      </c>
      <c r="D150" s="7" t="s">
        <v>207</v>
      </c>
      <c r="E150" s="17" t="n">
        <f aca="false">IF(A150="","",SUMIFS(Sales_Items!$H$2:$H$3001,Sales_Items!$A$2:$A$3001,A150))</f>
        <v>1210</v>
      </c>
      <c r="F150" s="13" t="n">
        <v>0</v>
      </c>
      <c r="G150" s="17" t="n">
        <f aca="false">IF(A150="","",E150-N(F150))</f>
        <v>1210</v>
      </c>
      <c r="H150" s="13" t="n">
        <v>1210</v>
      </c>
      <c r="I150" s="17" t="n">
        <f aca="false">IF(A150="","",SUMIFS(Due_Payments!$C$2:$C$1001,Due_Payments!$B$2:$B$1001,A150))</f>
        <v>0</v>
      </c>
      <c r="J150" s="17" t="n">
        <f aca="false">IF(A150="","",G150-N(H150)-I150)</f>
        <v>0</v>
      </c>
      <c r="K150" s="7" t="s">
        <v>13</v>
      </c>
      <c r="L150" s="7" t="s">
        <v>491</v>
      </c>
      <c r="M150" s="7"/>
    </row>
    <row r="151" customFormat="false" ht="15" hidden="false" customHeight="true" outlineLevel="0" collapsed="false">
      <c r="A151" s="7" t="s">
        <v>492</v>
      </c>
      <c r="B151" s="15" t="n">
        <v>46254</v>
      </c>
      <c r="C151" s="7" t="s">
        <v>293</v>
      </c>
      <c r="D151" s="7" t="s">
        <v>294</v>
      </c>
      <c r="E151" s="17" t="n">
        <f aca="false">IF(A151="","",SUMIFS(Sales_Items!$H$2:$H$3001,Sales_Items!$A$2:$A$3001,A151))</f>
        <v>1020</v>
      </c>
      <c r="F151" s="13" t="n">
        <v>0</v>
      </c>
      <c r="G151" s="17" t="n">
        <f aca="false">IF(A151="","",E151-N(F151))</f>
        <v>1020</v>
      </c>
      <c r="H151" s="13" t="n">
        <v>1020</v>
      </c>
      <c r="I151" s="17" t="n">
        <f aca="false">IF(A151="","",SUMIFS(Due_Payments!$C$2:$C$1001,Due_Payments!$B$2:$B$1001,A151))</f>
        <v>0</v>
      </c>
      <c r="J151" s="17" t="n">
        <f aca="false">IF(A151="","",G151-N(H151)-I151)</f>
        <v>0</v>
      </c>
      <c r="K151" s="7" t="s">
        <v>37</v>
      </c>
      <c r="L151" s="7" t="s">
        <v>493</v>
      </c>
      <c r="M151" s="7"/>
    </row>
    <row r="152" customFormat="false" ht="15" hidden="false" customHeight="true" outlineLevel="0" collapsed="false">
      <c r="A152" s="7" t="s">
        <v>494</v>
      </c>
      <c r="B152" s="15" t="n">
        <v>46254</v>
      </c>
      <c r="C152" s="7" t="s">
        <v>275</v>
      </c>
      <c r="D152" s="7" t="s">
        <v>276</v>
      </c>
      <c r="E152" s="17" t="n">
        <f aca="false">IF(A152="","",SUMIFS(Sales_Items!$H$2:$H$3001,Sales_Items!$A$2:$A$3001,A152))</f>
        <v>570</v>
      </c>
      <c r="F152" s="13" t="n">
        <v>0</v>
      </c>
      <c r="G152" s="17" t="n">
        <f aca="false">IF(A152="","",E152-N(F152))</f>
        <v>570</v>
      </c>
      <c r="H152" s="13" t="n">
        <v>570</v>
      </c>
      <c r="I152" s="17" t="n">
        <f aca="false">IF(A152="","",SUMIFS(Due_Payments!$C$2:$C$1001,Due_Payments!$B$2:$B$1001,A152))</f>
        <v>0</v>
      </c>
      <c r="J152" s="17" t="n">
        <f aca="false">IF(A152="","",G152-N(H152)-I152)</f>
        <v>0</v>
      </c>
      <c r="K152" s="7" t="s">
        <v>29</v>
      </c>
      <c r="L152" s="7" t="s">
        <v>468</v>
      </c>
      <c r="M152" s="7"/>
    </row>
    <row r="153" customFormat="false" ht="15" hidden="false" customHeight="true" outlineLevel="0" collapsed="false">
      <c r="A153" s="7" t="s">
        <v>495</v>
      </c>
      <c r="B153" s="15" t="n">
        <v>46254</v>
      </c>
      <c r="C153" s="7" t="s">
        <v>217</v>
      </c>
      <c r="D153" s="7" t="s">
        <v>218</v>
      </c>
      <c r="E153" s="17" t="n">
        <f aca="false">IF(A153="","",SUMIFS(Sales_Items!$H$2:$H$3001,Sales_Items!$A$2:$A$3001,A153))</f>
        <v>4100</v>
      </c>
      <c r="F153" s="13" t="n">
        <v>0</v>
      </c>
      <c r="G153" s="17" t="n">
        <f aca="false">IF(A153="","",E153-N(F153))</f>
        <v>4100</v>
      </c>
      <c r="H153" s="13" t="n">
        <v>4100</v>
      </c>
      <c r="I153" s="17" t="n">
        <f aca="false">IF(A153="","",SUMIFS(Due_Payments!$C$2:$C$1001,Due_Payments!$B$2:$B$1001,A153))</f>
        <v>0</v>
      </c>
      <c r="J153" s="17" t="n">
        <f aca="false">IF(A153="","",G153-N(H153)-I153)</f>
        <v>0</v>
      </c>
      <c r="K153" s="7" t="s">
        <v>29</v>
      </c>
      <c r="L153" s="7" t="s">
        <v>496</v>
      </c>
      <c r="M153" s="7"/>
    </row>
    <row r="154" customFormat="false" ht="15" hidden="false" customHeight="true" outlineLevel="0" collapsed="false">
      <c r="A154" s="7" t="s">
        <v>497</v>
      </c>
      <c r="B154" s="15" t="n">
        <v>46256</v>
      </c>
      <c r="C154" s="7" t="s">
        <v>282</v>
      </c>
      <c r="D154" s="7" t="s">
        <v>283</v>
      </c>
      <c r="E154" s="17" t="n">
        <f aca="false">IF(A154="","",SUMIFS(Sales_Items!$H$2:$H$3001,Sales_Items!$A$2:$A$3001,A154))</f>
        <v>480</v>
      </c>
      <c r="F154" s="13" t="n">
        <v>0</v>
      </c>
      <c r="G154" s="17" t="n">
        <f aca="false">IF(A154="","",E154-N(F154))</f>
        <v>480</v>
      </c>
      <c r="H154" s="13" t="n">
        <v>480</v>
      </c>
      <c r="I154" s="17" t="n">
        <f aca="false">IF(A154="","",SUMIFS(Due_Payments!$C$2:$C$1001,Due_Payments!$B$2:$B$1001,A154))</f>
        <v>0</v>
      </c>
      <c r="J154" s="17" t="n">
        <f aca="false">IF(A154="","",G154-N(H154)-I154)</f>
        <v>0</v>
      </c>
      <c r="K154" s="7" t="s">
        <v>21</v>
      </c>
      <c r="L154" s="7" t="s">
        <v>254</v>
      </c>
      <c r="M154" s="7"/>
    </row>
    <row r="155" customFormat="false" ht="15" hidden="false" customHeight="true" outlineLevel="0" collapsed="false">
      <c r="A155" s="7" t="s">
        <v>498</v>
      </c>
      <c r="B155" s="15" t="n">
        <v>46256</v>
      </c>
      <c r="C155" s="7" t="s">
        <v>378</v>
      </c>
      <c r="D155" s="7" t="s">
        <v>379</v>
      </c>
      <c r="E155" s="17" t="n">
        <f aca="false">IF(A155="","",SUMIFS(Sales_Items!$H$2:$H$3001,Sales_Items!$A$2:$A$3001,A155))</f>
        <v>2340</v>
      </c>
      <c r="F155" s="13" t="n">
        <v>100</v>
      </c>
      <c r="G155" s="17" t="n">
        <f aca="false">IF(A155="","",E155-N(F155))</f>
        <v>2240</v>
      </c>
      <c r="H155" s="13" t="n">
        <v>0</v>
      </c>
      <c r="I155" s="17" t="n">
        <f aca="false">IF(A155="","",SUMIFS(Due_Payments!$C$2:$C$1001,Due_Payments!$B$2:$B$1001,A155))</f>
        <v>0</v>
      </c>
      <c r="J155" s="17" t="n">
        <f aca="false">IF(A155="","",G155-N(H155)-I155)</f>
        <v>2240</v>
      </c>
      <c r="K155" s="7" t="s">
        <v>13</v>
      </c>
      <c r="L155" s="7" t="s">
        <v>489</v>
      </c>
      <c r="M155" s="7"/>
    </row>
    <row r="156" customFormat="false" ht="15" hidden="false" customHeight="true" outlineLevel="0" collapsed="false">
      <c r="A156" s="7" t="s">
        <v>499</v>
      </c>
      <c r="B156" s="15" t="n">
        <v>46256</v>
      </c>
      <c r="C156" s="7" t="s">
        <v>282</v>
      </c>
      <c r="D156" s="7" t="s">
        <v>283</v>
      </c>
      <c r="E156" s="17" t="n">
        <f aca="false">IF(A156="","",SUMIFS(Sales_Items!$H$2:$H$3001,Sales_Items!$A$2:$A$3001,A156))</f>
        <v>240</v>
      </c>
      <c r="F156" s="13" t="n">
        <v>100</v>
      </c>
      <c r="G156" s="17" t="n">
        <f aca="false">IF(A156="","",E156-N(F156))</f>
        <v>140</v>
      </c>
      <c r="H156" s="13" t="n">
        <v>140</v>
      </c>
      <c r="I156" s="17" t="n">
        <f aca="false">IF(A156="","",SUMIFS(Due_Payments!$C$2:$C$1001,Due_Payments!$B$2:$B$1001,A156))</f>
        <v>0</v>
      </c>
      <c r="J156" s="17" t="n">
        <f aca="false">IF(A156="","",G156-N(H156)-I156)</f>
        <v>0</v>
      </c>
      <c r="K156" s="7" t="s">
        <v>21</v>
      </c>
      <c r="L156" s="7" t="s">
        <v>500</v>
      </c>
      <c r="M156" s="7"/>
    </row>
    <row r="157" customFormat="false" ht="15" hidden="false" customHeight="true" outlineLevel="0" collapsed="false">
      <c r="A157" s="7" t="s">
        <v>501</v>
      </c>
      <c r="B157" s="15" t="n">
        <v>46256</v>
      </c>
      <c r="C157" s="7" t="s">
        <v>285</v>
      </c>
      <c r="D157" s="7" t="s">
        <v>286</v>
      </c>
      <c r="E157" s="17" t="n">
        <f aca="false">IF(A157="","",SUMIFS(Sales_Items!$H$2:$H$3001,Sales_Items!$A$2:$A$3001,A157))</f>
        <v>1100</v>
      </c>
      <c r="F157" s="13" t="n">
        <v>0</v>
      </c>
      <c r="G157" s="17" t="n">
        <f aca="false">IF(A157="","",E157-N(F157))</f>
        <v>1100</v>
      </c>
      <c r="H157" s="13" t="n">
        <v>1100</v>
      </c>
      <c r="I157" s="17" t="n">
        <f aca="false">IF(A157="","",SUMIFS(Due_Payments!$C$2:$C$1001,Due_Payments!$B$2:$B$1001,A157))</f>
        <v>0</v>
      </c>
      <c r="J157" s="17" t="n">
        <f aca="false">IF(A157="","",G157-N(H157)-I157)</f>
        <v>0</v>
      </c>
      <c r="K157" s="7" t="s">
        <v>13</v>
      </c>
      <c r="L157" s="7" t="s">
        <v>376</v>
      </c>
      <c r="M157" s="7"/>
    </row>
    <row r="158" customFormat="false" ht="15" hidden="false" customHeight="true" outlineLevel="0" collapsed="false">
      <c r="A158" s="7" t="s">
        <v>502</v>
      </c>
      <c r="B158" s="15" t="n">
        <v>46256</v>
      </c>
      <c r="C158" s="7" t="s">
        <v>285</v>
      </c>
      <c r="D158" s="7" t="s">
        <v>286</v>
      </c>
      <c r="E158" s="17" t="n">
        <f aca="false">IF(A158="","",SUMIFS(Sales_Items!$H$2:$H$3001,Sales_Items!$A$2:$A$3001,A158))</f>
        <v>240</v>
      </c>
      <c r="F158" s="13" t="n">
        <v>0</v>
      </c>
      <c r="G158" s="17" t="n">
        <f aca="false">IF(A158="","",E158-N(F158))</f>
        <v>240</v>
      </c>
      <c r="H158" s="13" t="n">
        <v>240</v>
      </c>
      <c r="I158" s="17" t="n">
        <f aca="false">IF(A158="","",SUMIFS(Due_Payments!$C$2:$C$1001,Due_Payments!$B$2:$B$1001,A158))</f>
        <v>0</v>
      </c>
      <c r="J158" s="17" t="n">
        <f aca="false">IF(A158="","",G158-N(H158)-I158)</f>
        <v>0</v>
      </c>
      <c r="K158" s="7" t="s">
        <v>13</v>
      </c>
      <c r="L158" s="7" t="s">
        <v>261</v>
      </c>
      <c r="M158" s="7"/>
    </row>
    <row r="159" customFormat="false" ht="15" hidden="false" customHeight="true" outlineLevel="0" collapsed="false">
      <c r="A159" s="7" t="s">
        <v>503</v>
      </c>
      <c r="B159" s="15" t="n">
        <v>46256</v>
      </c>
      <c r="C159" s="7" t="s">
        <v>249</v>
      </c>
      <c r="D159" s="7" t="s">
        <v>250</v>
      </c>
      <c r="E159" s="17" t="n">
        <f aca="false">IF(A159="","",SUMIFS(Sales_Items!$H$2:$H$3001,Sales_Items!$A$2:$A$3001,A159))</f>
        <v>1830</v>
      </c>
      <c r="F159" s="13" t="n">
        <v>0</v>
      </c>
      <c r="G159" s="17" t="n">
        <f aca="false">IF(A159="","",E159-N(F159))</f>
        <v>1830</v>
      </c>
      <c r="H159" s="13" t="n">
        <v>1830</v>
      </c>
      <c r="I159" s="17" t="n">
        <f aca="false">IF(A159="","",SUMIFS(Due_Payments!$C$2:$C$1001,Due_Payments!$B$2:$B$1001,A159))</f>
        <v>0</v>
      </c>
      <c r="J159" s="17" t="n">
        <f aca="false">IF(A159="","",G159-N(H159)-I159)</f>
        <v>0</v>
      </c>
      <c r="K159" s="7" t="s">
        <v>13</v>
      </c>
      <c r="L159" s="7" t="s">
        <v>504</v>
      </c>
      <c r="M159" s="7"/>
    </row>
    <row r="160" customFormat="false" ht="15" hidden="false" customHeight="true" outlineLevel="0" collapsed="false">
      <c r="A160" s="7" t="s">
        <v>505</v>
      </c>
      <c r="B160" s="15" t="n">
        <v>46256</v>
      </c>
      <c r="C160" s="7" t="s">
        <v>206</v>
      </c>
      <c r="D160" s="7" t="s">
        <v>207</v>
      </c>
      <c r="E160" s="17" t="n">
        <f aca="false">IF(A160="","",SUMIFS(Sales_Items!$H$2:$H$3001,Sales_Items!$A$2:$A$3001,A160))</f>
        <v>240</v>
      </c>
      <c r="F160" s="13" t="n">
        <v>0</v>
      </c>
      <c r="G160" s="17" t="n">
        <f aca="false">IF(A160="","",E160-N(F160))</f>
        <v>240</v>
      </c>
      <c r="H160" s="13" t="n">
        <v>240</v>
      </c>
      <c r="I160" s="17" t="n">
        <f aca="false">IF(A160="","",SUMIFS(Due_Payments!$C$2:$C$1001,Due_Payments!$B$2:$B$1001,A160))</f>
        <v>0</v>
      </c>
      <c r="J160" s="17" t="n">
        <f aca="false">IF(A160="","",G160-N(H160)-I160)</f>
        <v>0</v>
      </c>
      <c r="K160" s="7" t="s">
        <v>13</v>
      </c>
      <c r="L160" s="7" t="s">
        <v>261</v>
      </c>
      <c r="M160" s="7"/>
    </row>
    <row r="161" customFormat="false" ht="15" hidden="false" customHeight="true" outlineLevel="0" collapsed="false">
      <c r="A161" s="7" t="s">
        <v>506</v>
      </c>
      <c r="B161" s="15" t="n">
        <v>46257</v>
      </c>
      <c r="C161" s="7" t="s">
        <v>198</v>
      </c>
      <c r="D161" s="7" t="s">
        <v>199</v>
      </c>
      <c r="E161" s="17" t="n">
        <f aca="false">IF(A161="","",SUMIFS(Sales_Items!$H$2:$H$3001,Sales_Items!$A$2:$A$3001,A161))</f>
        <v>6070</v>
      </c>
      <c r="F161" s="13" t="n">
        <v>0</v>
      </c>
      <c r="G161" s="17" t="n">
        <f aca="false">IF(A161="","",E161-N(F161))</f>
        <v>6070</v>
      </c>
      <c r="H161" s="13" t="n">
        <v>6070</v>
      </c>
      <c r="I161" s="17" t="n">
        <f aca="false">IF(A161="","",SUMIFS(Due_Payments!$C$2:$C$1001,Due_Payments!$B$2:$B$1001,A161))</f>
        <v>0</v>
      </c>
      <c r="J161" s="17" t="n">
        <f aca="false">IF(A161="","",G161-N(H161)-I161)</f>
        <v>0</v>
      </c>
      <c r="K161" s="7" t="s">
        <v>13</v>
      </c>
      <c r="L161" s="7" t="s">
        <v>507</v>
      </c>
      <c r="M161" s="7"/>
    </row>
    <row r="162" customFormat="false" ht="15" hidden="false" customHeight="true" outlineLevel="0" collapsed="false">
      <c r="A162" s="7" t="s">
        <v>508</v>
      </c>
      <c r="B162" s="15" t="n">
        <v>46257</v>
      </c>
      <c r="C162" s="7" t="s">
        <v>249</v>
      </c>
      <c r="D162" s="7" t="s">
        <v>250</v>
      </c>
      <c r="E162" s="17" t="n">
        <f aca="false">IF(A162="","",SUMIFS(Sales_Items!$H$2:$H$3001,Sales_Items!$A$2:$A$3001,A162))</f>
        <v>1510</v>
      </c>
      <c r="F162" s="13" t="n">
        <v>0</v>
      </c>
      <c r="G162" s="17" t="n">
        <f aca="false">IF(A162="","",E162-N(F162))</f>
        <v>1510</v>
      </c>
      <c r="H162" s="13" t="n">
        <v>1510</v>
      </c>
      <c r="I162" s="17" t="n">
        <f aca="false">IF(A162="","",SUMIFS(Due_Payments!$C$2:$C$1001,Due_Payments!$B$2:$B$1001,A162))</f>
        <v>0</v>
      </c>
      <c r="J162" s="17" t="n">
        <f aca="false">IF(A162="","",G162-N(H162)-I162)</f>
        <v>0</v>
      </c>
      <c r="K162" s="7" t="s">
        <v>21</v>
      </c>
      <c r="L162" s="7" t="s">
        <v>509</v>
      </c>
      <c r="M162" s="7"/>
    </row>
    <row r="163" customFormat="false" ht="15" hidden="false" customHeight="true" outlineLevel="0" collapsed="false">
      <c r="A163" s="7" t="s">
        <v>510</v>
      </c>
      <c r="B163" s="15" t="n">
        <v>46257</v>
      </c>
      <c r="C163" s="7" t="s">
        <v>217</v>
      </c>
      <c r="D163" s="7" t="s">
        <v>218</v>
      </c>
      <c r="E163" s="17" t="n">
        <f aca="false">IF(A163="","",SUMIFS(Sales_Items!$H$2:$H$3001,Sales_Items!$A$2:$A$3001,A163))</f>
        <v>2340</v>
      </c>
      <c r="F163" s="13" t="n">
        <v>0</v>
      </c>
      <c r="G163" s="17" t="n">
        <f aca="false">IF(A163="","",E163-N(F163))</f>
        <v>2340</v>
      </c>
      <c r="H163" s="13" t="n">
        <v>2340</v>
      </c>
      <c r="I163" s="17" t="n">
        <f aca="false">IF(A163="","",SUMIFS(Due_Payments!$C$2:$C$1001,Due_Payments!$B$2:$B$1001,A163))</f>
        <v>0</v>
      </c>
      <c r="J163" s="17" t="n">
        <f aca="false">IF(A163="","",G163-N(H163)-I163)</f>
        <v>0</v>
      </c>
      <c r="K163" s="7" t="s">
        <v>13</v>
      </c>
      <c r="L163" s="7" t="s">
        <v>511</v>
      </c>
      <c r="M163" s="7"/>
    </row>
    <row r="164" customFormat="false" ht="15" hidden="false" customHeight="true" outlineLevel="0" collapsed="false">
      <c r="A164" s="7" t="s">
        <v>512</v>
      </c>
      <c r="B164" s="15" t="n">
        <v>46257</v>
      </c>
      <c r="C164" s="7" t="s">
        <v>263</v>
      </c>
      <c r="D164" s="7" t="s">
        <v>264</v>
      </c>
      <c r="E164" s="17" t="n">
        <f aca="false">IF(A164="","",SUMIFS(Sales_Items!$H$2:$H$3001,Sales_Items!$A$2:$A$3001,A164))</f>
        <v>960</v>
      </c>
      <c r="F164" s="13" t="n">
        <v>0</v>
      </c>
      <c r="G164" s="17" t="n">
        <f aca="false">IF(A164="","",E164-N(F164))</f>
        <v>960</v>
      </c>
      <c r="H164" s="13" t="n">
        <v>960</v>
      </c>
      <c r="I164" s="17" t="n">
        <f aca="false">IF(A164="","",SUMIFS(Due_Payments!$C$2:$C$1001,Due_Payments!$B$2:$B$1001,A164))</f>
        <v>0</v>
      </c>
      <c r="J164" s="17" t="n">
        <f aca="false">IF(A164="","",G164-N(H164)-I164)</f>
        <v>0</v>
      </c>
      <c r="K164" s="7" t="s">
        <v>13</v>
      </c>
      <c r="L164" s="7" t="s">
        <v>513</v>
      </c>
      <c r="M164" s="7"/>
    </row>
    <row r="165" customFormat="false" ht="15" hidden="false" customHeight="true" outlineLevel="0" collapsed="false">
      <c r="A165" s="7" t="s">
        <v>514</v>
      </c>
      <c r="B165" s="15" t="n">
        <v>46257</v>
      </c>
      <c r="C165" s="7" t="s">
        <v>249</v>
      </c>
      <c r="D165" s="7" t="s">
        <v>250</v>
      </c>
      <c r="E165" s="17" t="n">
        <f aca="false">IF(A165="","",SUMIFS(Sales_Items!$H$2:$H$3001,Sales_Items!$A$2:$A$3001,A165))</f>
        <v>3230</v>
      </c>
      <c r="F165" s="13" t="n">
        <v>100</v>
      </c>
      <c r="G165" s="17" t="n">
        <f aca="false">IF(A165="","",E165-N(F165))</f>
        <v>3130</v>
      </c>
      <c r="H165" s="13" t="n">
        <v>3130</v>
      </c>
      <c r="I165" s="17" t="n">
        <f aca="false">IF(A165="","",SUMIFS(Due_Payments!$C$2:$C$1001,Due_Payments!$B$2:$B$1001,A165))</f>
        <v>0</v>
      </c>
      <c r="J165" s="17" t="n">
        <f aca="false">IF(A165="","",G165-N(H165)-I165)</f>
        <v>0</v>
      </c>
      <c r="K165" s="7" t="s">
        <v>21</v>
      </c>
      <c r="L165" s="7" t="s">
        <v>515</v>
      </c>
      <c r="M165" s="7"/>
    </row>
    <row r="166" customFormat="false" ht="15" hidden="false" customHeight="true" outlineLevel="0" collapsed="false">
      <c r="A166" s="7" t="s">
        <v>516</v>
      </c>
      <c r="B166" s="15" t="n">
        <v>46257</v>
      </c>
      <c r="C166" s="7" t="s">
        <v>329</v>
      </c>
      <c r="D166" s="7" t="s">
        <v>330</v>
      </c>
      <c r="E166" s="17" t="n">
        <f aca="false">IF(A166="","",SUMIFS(Sales_Items!$H$2:$H$3001,Sales_Items!$A$2:$A$3001,A166))</f>
        <v>780</v>
      </c>
      <c r="F166" s="13" t="n">
        <v>20</v>
      </c>
      <c r="G166" s="17" t="n">
        <f aca="false">IF(A166="","",E166-N(F166))</f>
        <v>760</v>
      </c>
      <c r="H166" s="13" t="n">
        <v>760</v>
      </c>
      <c r="I166" s="17" t="n">
        <f aca="false">IF(A166="","",SUMIFS(Due_Payments!$C$2:$C$1001,Due_Payments!$B$2:$B$1001,A166))</f>
        <v>0</v>
      </c>
      <c r="J166" s="17" t="n">
        <f aca="false">IF(A166="","",G166-N(H166)-I166)</f>
        <v>0</v>
      </c>
      <c r="K166" s="7" t="s">
        <v>13</v>
      </c>
      <c r="L166" s="7" t="s">
        <v>517</v>
      </c>
      <c r="M166" s="7"/>
    </row>
    <row r="167" customFormat="false" ht="15" hidden="false" customHeight="true" outlineLevel="0" collapsed="false">
      <c r="A167" s="7" t="s">
        <v>518</v>
      </c>
      <c r="B167" s="15" t="n">
        <v>46257</v>
      </c>
      <c r="C167" s="7" t="s">
        <v>329</v>
      </c>
      <c r="D167" s="7" t="s">
        <v>330</v>
      </c>
      <c r="E167" s="17" t="n">
        <f aca="false">IF(A167="","",SUMIFS(Sales_Items!$H$2:$H$3001,Sales_Items!$A$2:$A$3001,A167))</f>
        <v>780</v>
      </c>
      <c r="F167" s="13" t="n">
        <v>0</v>
      </c>
      <c r="G167" s="17" t="n">
        <f aca="false">IF(A167="","",E167-N(F167))</f>
        <v>780</v>
      </c>
      <c r="H167" s="13" t="n">
        <v>780</v>
      </c>
      <c r="I167" s="17" t="n">
        <f aca="false">IF(A167="","",SUMIFS(Due_Payments!$C$2:$C$1001,Due_Payments!$B$2:$B$1001,A167))</f>
        <v>0</v>
      </c>
      <c r="J167" s="17" t="n">
        <f aca="false">IF(A167="","",G167-N(H167)-I167)</f>
        <v>0</v>
      </c>
      <c r="K167" s="7" t="s">
        <v>13</v>
      </c>
      <c r="L167" s="7" t="s">
        <v>309</v>
      </c>
      <c r="M167" s="7"/>
    </row>
    <row r="168" customFormat="false" ht="15" hidden="false" customHeight="true" outlineLevel="0" collapsed="false">
      <c r="A168" s="7" t="s">
        <v>519</v>
      </c>
      <c r="B168" s="15" t="n">
        <v>46257</v>
      </c>
      <c r="C168" s="7" t="s">
        <v>206</v>
      </c>
      <c r="D168" s="7" t="s">
        <v>207</v>
      </c>
      <c r="E168" s="17" t="n">
        <f aca="false">IF(A168="","",SUMIFS(Sales_Items!$H$2:$H$3001,Sales_Items!$A$2:$A$3001,A168))</f>
        <v>1860</v>
      </c>
      <c r="F168" s="13" t="n">
        <v>100</v>
      </c>
      <c r="G168" s="17" t="n">
        <f aca="false">IF(A168="","",E168-N(F168))</f>
        <v>1760</v>
      </c>
      <c r="H168" s="13" t="n">
        <v>1170</v>
      </c>
      <c r="I168" s="17" t="n">
        <f aca="false">IF(A168="","",SUMIFS(Due_Payments!$C$2:$C$1001,Due_Payments!$B$2:$B$1001,A168))</f>
        <v>300</v>
      </c>
      <c r="J168" s="17" t="n">
        <f aca="false">IF(A168="","",G168-N(H168)-I168)</f>
        <v>290</v>
      </c>
      <c r="K168" s="7" t="s">
        <v>29</v>
      </c>
      <c r="L168" s="7" t="s">
        <v>520</v>
      </c>
      <c r="M168" s="7"/>
    </row>
    <row r="169" customFormat="false" ht="15" hidden="false" customHeight="true" outlineLevel="0" collapsed="false">
      <c r="A169" s="7" t="s">
        <v>521</v>
      </c>
      <c r="B169" s="15" t="n">
        <v>46257</v>
      </c>
      <c r="C169" s="7" t="s">
        <v>275</v>
      </c>
      <c r="D169" s="7" t="s">
        <v>276</v>
      </c>
      <c r="E169" s="17" t="n">
        <f aca="false">IF(A169="","",SUMIFS(Sales_Items!$H$2:$H$3001,Sales_Items!$A$2:$A$3001,A169))</f>
        <v>720</v>
      </c>
      <c r="F169" s="13" t="n">
        <v>0</v>
      </c>
      <c r="G169" s="17" t="n">
        <f aca="false">IF(A169="","",E169-N(F169))</f>
        <v>720</v>
      </c>
      <c r="H169" s="13" t="n">
        <v>720</v>
      </c>
      <c r="I169" s="17" t="n">
        <f aca="false">IF(A169="","",SUMIFS(Due_Payments!$C$2:$C$1001,Due_Payments!$B$2:$B$1001,A169))</f>
        <v>0</v>
      </c>
      <c r="J169" s="17" t="n">
        <f aca="false">IF(A169="","",G169-N(H169)-I169)</f>
        <v>0</v>
      </c>
      <c r="K169" s="7" t="s">
        <v>13</v>
      </c>
      <c r="L169" s="7" t="s">
        <v>427</v>
      </c>
      <c r="M169" s="7"/>
    </row>
    <row r="170" customFormat="false" ht="15" hidden="false" customHeight="true" outlineLevel="0" collapsed="false">
      <c r="A170" s="7" t="s">
        <v>522</v>
      </c>
      <c r="B170" s="15" t="n">
        <v>46258</v>
      </c>
      <c r="C170" s="7" t="s">
        <v>249</v>
      </c>
      <c r="D170" s="7" t="s">
        <v>250</v>
      </c>
      <c r="E170" s="17" t="n">
        <f aca="false">IF(A170="","",SUMIFS(Sales_Items!$H$2:$H$3001,Sales_Items!$A$2:$A$3001,A170))</f>
        <v>1020</v>
      </c>
      <c r="F170" s="13" t="n">
        <v>0</v>
      </c>
      <c r="G170" s="17" t="n">
        <f aca="false">IF(A170="","",E170-N(F170))</f>
        <v>1020</v>
      </c>
      <c r="H170" s="13" t="n">
        <v>1020</v>
      </c>
      <c r="I170" s="17" t="n">
        <f aca="false">IF(A170="","",SUMIFS(Due_Payments!$C$2:$C$1001,Due_Payments!$B$2:$B$1001,A170))</f>
        <v>0</v>
      </c>
      <c r="J170" s="17" t="n">
        <f aca="false">IF(A170="","",G170-N(H170)-I170)</f>
        <v>0</v>
      </c>
      <c r="K170" s="7" t="s">
        <v>13</v>
      </c>
      <c r="L170" s="7" t="s">
        <v>493</v>
      </c>
      <c r="M170" s="7"/>
    </row>
    <row r="171" customFormat="false" ht="15" hidden="false" customHeight="true" outlineLevel="0" collapsed="false">
      <c r="A171" s="7" t="s">
        <v>523</v>
      </c>
      <c r="B171" s="15" t="n">
        <v>46258</v>
      </c>
      <c r="C171" s="7" t="s">
        <v>249</v>
      </c>
      <c r="D171" s="7" t="s">
        <v>250</v>
      </c>
      <c r="E171" s="17" t="n">
        <f aca="false">IF(A171="","",SUMIFS(Sales_Items!$H$2:$H$3001,Sales_Items!$A$2:$A$3001,A171))</f>
        <v>5200</v>
      </c>
      <c r="F171" s="13" t="n">
        <v>0</v>
      </c>
      <c r="G171" s="17" t="n">
        <f aca="false">IF(A171="","",E171-N(F171))</f>
        <v>5200</v>
      </c>
      <c r="H171" s="13" t="n">
        <v>5200</v>
      </c>
      <c r="I171" s="17" t="n">
        <f aca="false">IF(A171="","",SUMIFS(Due_Payments!$C$2:$C$1001,Due_Payments!$B$2:$B$1001,A171))</f>
        <v>0</v>
      </c>
      <c r="J171" s="17" t="n">
        <f aca="false">IF(A171="","",G171-N(H171)-I171)</f>
        <v>0</v>
      </c>
      <c r="K171" s="7" t="s">
        <v>13</v>
      </c>
      <c r="L171" s="7" t="s">
        <v>524</v>
      </c>
      <c r="M171" s="7"/>
    </row>
    <row r="172" customFormat="false" ht="15" hidden="false" customHeight="true" outlineLevel="0" collapsed="false">
      <c r="A172" s="7" t="s">
        <v>525</v>
      </c>
      <c r="B172" s="15" t="n">
        <v>46258</v>
      </c>
      <c r="C172" s="7" t="s">
        <v>221</v>
      </c>
      <c r="D172" s="7" t="s">
        <v>222</v>
      </c>
      <c r="E172" s="17" t="n">
        <f aca="false">IF(A172="","",SUMIFS(Sales_Items!$H$2:$H$3001,Sales_Items!$A$2:$A$3001,A172))</f>
        <v>2340</v>
      </c>
      <c r="F172" s="13" t="n">
        <v>0</v>
      </c>
      <c r="G172" s="17" t="n">
        <f aca="false">IF(A172="","",E172-N(F172))</f>
        <v>2340</v>
      </c>
      <c r="H172" s="13" t="n">
        <v>2340</v>
      </c>
      <c r="I172" s="17" t="n">
        <f aca="false">IF(A172="","",SUMIFS(Due_Payments!$C$2:$C$1001,Due_Payments!$B$2:$B$1001,A172))</f>
        <v>0</v>
      </c>
      <c r="J172" s="17" t="n">
        <f aca="false">IF(A172="","",G172-N(H172)-I172)</f>
        <v>0</v>
      </c>
      <c r="K172" s="7" t="s">
        <v>21</v>
      </c>
      <c r="L172" s="7" t="s">
        <v>511</v>
      </c>
      <c r="M172" s="7"/>
    </row>
    <row r="173" customFormat="false" ht="15" hidden="false" customHeight="true" outlineLevel="0" collapsed="false">
      <c r="A173" s="7" t="s">
        <v>526</v>
      </c>
      <c r="B173" s="15" t="n">
        <v>46258</v>
      </c>
      <c r="C173" s="7" t="s">
        <v>275</v>
      </c>
      <c r="D173" s="7" t="s">
        <v>276</v>
      </c>
      <c r="E173" s="17" t="n">
        <f aca="false">IF(A173="","",SUMIFS(Sales_Items!$H$2:$H$3001,Sales_Items!$A$2:$A$3001,A173))</f>
        <v>190</v>
      </c>
      <c r="F173" s="13" t="n">
        <v>0</v>
      </c>
      <c r="G173" s="17" t="n">
        <f aca="false">IF(A173="","",E173-N(F173))</f>
        <v>190</v>
      </c>
      <c r="H173" s="13" t="n">
        <v>190</v>
      </c>
      <c r="I173" s="17" t="n">
        <f aca="false">IF(A173="","",SUMIFS(Due_Payments!$C$2:$C$1001,Due_Payments!$B$2:$B$1001,A173))</f>
        <v>0</v>
      </c>
      <c r="J173" s="17" t="n">
        <f aca="false">IF(A173="","",G173-N(H173)-I173)</f>
        <v>0</v>
      </c>
      <c r="K173" s="7" t="s">
        <v>21</v>
      </c>
      <c r="L173" s="7" t="s">
        <v>342</v>
      </c>
      <c r="M173" s="7"/>
    </row>
    <row r="174" customFormat="false" ht="15" hidden="false" customHeight="true" outlineLevel="0" collapsed="false">
      <c r="A174" s="7" t="s">
        <v>527</v>
      </c>
      <c r="B174" s="15" t="n">
        <v>46258</v>
      </c>
      <c r="C174" s="7" t="s">
        <v>241</v>
      </c>
      <c r="D174" s="7" t="s">
        <v>242</v>
      </c>
      <c r="E174" s="17" t="n">
        <f aca="false">IF(A174="","",SUMIFS(Sales_Items!$H$2:$H$3001,Sales_Items!$A$2:$A$3001,A174))</f>
        <v>620</v>
      </c>
      <c r="F174" s="13" t="n">
        <v>0</v>
      </c>
      <c r="G174" s="17" t="n">
        <f aca="false">IF(A174="","",E174-N(F174))</f>
        <v>620</v>
      </c>
      <c r="H174" s="13" t="n">
        <v>0</v>
      </c>
      <c r="I174" s="17" t="n">
        <f aca="false">IF(A174="","",SUMIFS(Due_Payments!$C$2:$C$1001,Due_Payments!$B$2:$B$1001,A174))</f>
        <v>620</v>
      </c>
      <c r="J174" s="17" t="n">
        <f aca="false">IF(A174="","",G174-N(H174)-I174)</f>
        <v>0</v>
      </c>
      <c r="K174" s="7" t="s">
        <v>21</v>
      </c>
      <c r="L174" s="7" t="s">
        <v>425</v>
      </c>
      <c r="M174" s="7"/>
    </row>
    <row r="175" customFormat="false" ht="15" hidden="false" customHeight="true" outlineLevel="0" collapsed="false">
      <c r="A175" s="7" t="s">
        <v>528</v>
      </c>
      <c r="B175" s="15" t="n">
        <v>46258</v>
      </c>
      <c r="C175" s="7" t="s">
        <v>210</v>
      </c>
      <c r="D175" s="7" t="s">
        <v>211</v>
      </c>
      <c r="E175" s="17" t="n">
        <f aca="false">IF(A175="","",SUMIFS(Sales_Items!$H$2:$H$3001,Sales_Items!$A$2:$A$3001,A175))</f>
        <v>820</v>
      </c>
      <c r="F175" s="13" t="n">
        <v>0</v>
      </c>
      <c r="G175" s="17" t="n">
        <f aca="false">IF(A175="","",E175-N(F175))</f>
        <v>820</v>
      </c>
      <c r="H175" s="13" t="n">
        <v>820</v>
      </c>
      <c r="I175" s="17" t="n">
        <f aca="false">IF(A175="","",SUMIFS(Due_Payments!$C$2:$C$1001,Due_Payments!$B$2:$B$1001,A175))</f>
        <v>0</v>
      </c>
      <c r="J175" s="17" t="n">
        <f aca="false">IF(A175="","",G175-N(H175)-I175)</f>
        <v>0</v>
      </c>
      <c r="K175" s="7" t="s">
        <v>13</v>
      </c>
      <c r="L175" s="7" t="s">
        <v>529</v>
      </c>
      <c r="M175" s="7"/>
    </row>
    <row r="176" customFormat="false" ht="15" hidden="false" customHeight="true" outlineLevel="0" collapsed="false">
      <c r="A176" s="7" t="s">
        <v>530</v>
      </c>
      <c r="B176" s="15" t="n">
        <v>46258</v>
      </c>
      <c r="C176" s="7" t="s">
        <v>198</v>
      </c>
      <c r="D176" s="7" t="s">
        <v>199</v>
      </c>
      <c r="E176" s="17" t="n">
        <f aca="false">IF(A176="","",SUMIFS(Sales_Items!$H$2:$H$3001,Sales_Items!$A$2:$A$3001,A176))</f>
        <v>960</v>
      </c>
      <c r="F176" s="13" t="n">
        <v>0</v>
      </c>
      <c r="G176" s="17" t="n">
        <f aca="false">IF(A176="","",E176-N(F176))</f>
        <v>960</v>
      </c>
      <c r="H176" s="13" t="n">
        <v>960</v>
      </c>
      <c r="I176" s="17" t="n">
        <f aca="false">IF(A176="","",SUMIFS(Due_Payments!$C$2:$C$1001,Due_Payments!$B$2:$B$1001,A176))</f>
        <v>0</v>
      </c>
      <c r="J176" s="17" t="n">
        <f aca="false">IF(A176="","",G176-N(H176)-I176)</f>
        <v>0</v>
      </c>
      <c r="K176" s="7" t="s">
        <v>13</v>
      </c>
      <c r="L176" s="7" t="s">
        <v>513</v>
      </c>
      <c r="M176" s="7"/>
    </row>
    <row r="177" customFormat="false" ht="15" hidden="false" customHeight="true" outlineLevel="0" collapsed="false">
      <c r="A177" s="7" t="s">
        <v>531</v>
      </c>
      <c r="B177" s="15" t="n">
        <v>46258</v>
      </c>
      <c r="C177" s="7" t="s">
        <v>241</v>
      </c>
      <c r="D177" s="7" t="s">
        <v>242</v>
      </c>
      <c r="E177" s="17" t="n">
        <f aca="false">IF(A177="","",SUMIFS(Sales_Items!$H$2:$H$3001,Sales_Items!$A$2:$A$3001,A177))</f>
        <v>1760</v>
      </c>
      <c r="F177" s="13" t="n">
        <v>100</v>
      </c>
      <c r="G177" s="17" t="n">
        <f aca="false">IF(A177="","",E177-N(F177))</f>
        <v>1660</v>
      </c>
      <c r="H177" s="13" t="n">
        <v>1660</v>
      </c>
      <c r="I177" s="17" t="n">
        <f aca="false">IF(A177="","",SUMIFS(Due_Payments!$C$2:$C$1001,Due_Payments!$B$2:$B$1001,A177))</f>
        <v>0</v>
      </c>
      <c r="J177" s="17" t="n">
        <f aca="false">IF(A177="","",G177-N(H177)-I177)</f>
        <v>0</v>
      </c>
      <c r="K177" s="7" t="s">
        <v>29</v>
      </c>
      <c r="L177" s="7" t="s">
        <v>532</v>
      </c>
      <c r="M177" s="7"/>
    </row>
    <row r="178" customFormat="false" ht="15" hidden="false" customHeight="true" outlineLevel="0" collapsed="false">
      <c r="A178" s="7" t="s">
        <v>533</v>
      </c>
      <c r="B178" s="15" t="n">
        <v>46259</v>
      </c>
      <c r="C178" s="7" t="s">
        <v>293</v>
      </c>
      <c r="D178" s="7" t="s">
        <v>294</v>
      </c>
      <c r="E178" s="17" t="n">
        <f aca="false">IF(A178="","",SUMIFS(Sales_Items!$H$2:$H$3001,Sales_Items!$A$2:$A$3001,A178))</f>
        <v>610</v>
      </c>
      <c r="F178" s="13" t="n">
        <v>0</v>
      </c>
      <c r="G178" s="17" t="n">
        <f aca="false">IF(A178="","",E178-N(F178))</f>
        <v>610</v>
      </c>
      <c r="H178" s="13" t="n">
        <v>610</v>
      </c>
      <c r="I178" s="17" t="n">
        <f aca="false">IF(A178="","",SUMIFS(Due_Payments!$C$2:$C$1001,Due_Payments!$B$2:$B$1001,A178))</f>
        <v>0</v>
      </c>
      <c r="J178" s="17" t="n">
        <f aca="false">IF(A178="","",G178-N(H178)-I178)</f>
        <v>0</v>
      </c>
      <c r="K178" s="7" t="s">
        <v>21</v>
      </c>
      <c r="L178" s="7" t="s">
        <v>534</v>
      </c>
      <c r="M178" s="7"/>
    </row>
    <row r="179" customFormat="false" ht="15" hidden="false" customHeight="true" outlineLevel="0" collapsed="false">
      <c r="A179" s="7" t="s">
        <v>535</v>
      </c>
      <c r="B179" s="15" t="n">
        <v>46259</v>
      </c>
      <c r="C179" s="7" t="s">
        <v>241</v>
      </c>
      <c r="D179" s="7" t="s">
        <v>242</v>
      </c>
      <c r="E179" s="17" t="n">
        <f aca="false">IF(A179="","",SUMIFS(Sales_Items!$H$2:$H$3001,Sales_Items!$A$2:$A$3001,A179))</f>
        <v>540</v>
      </c>
      <c r="F179" s="13" t="n">
        <v>50</v>
      </c>
      <c r="G179" s="17" t="n">
        <f aca="false">IF(A179="","",E179-N(F179))</f>
        <v>490</v>
      </c>
      <c r="H179" s="13" t="n">
        <v>490</v>
      </c>
      <c r="I179" s="17" t="n">
        <f aca="false">IF(A179="","",SUMIFS(Due_Payments!$C$2:$C$1001,Due_Payments!$B$2:$B$1001,A179))</f>
        <v>0</v>
      </c>
      <c r="J179" s="17" t="n">
        <f aca="false">IF(A179="","",G179-N(H179)-I179)</f>
        <v>0</v>
      </c>
      <c r="K179" s="7" t="s">
        <v>21</v>
      </c>
      <c r="L179" s="7" t="s">
        <v>536</v>
      </c>
      <c r="M179" s="7"/>
    </row>
    <row r="180" customFormat="false" ht="15" hidden="false" customHeight="true" outlineLevel="0" collapsed="false">
      <c r="A180" s="7" t="s">
        <v>537</v>
      </c>
      <c r="B180" s="15" t="n">
        <v>46259</v>
      </c>
      <c r="C180" s="7" t="s">
        <v>263</v>
      </c>
      <c r="D180" s="7" t="s">
        <v>264</v>
      </c>
      <c r="E180" s="17" t="n">
        <f aca="false">IF(A180="","",SUMIFS(Sales_Items!$H$2:$H$3001,Sales_Items!$A$2:$A$3001,A180))</f>
        <v>240</v>
      </c>
      <c r="F180" s="13" t="n">
        <v>10</v>
      </c>
      <c r="G180" s="17" t="n">
        <f aca="false">IF(A180="","",E180-N(F180))</f>
        <v>230</v>
      </c>
      <c r="H180" s="13" t="n">
        <v>230</v>
      </c>
      <c r="I180" s="17" t="n">
        <f aca="false">IF(A180="","",SUMIFS(Due_Payments!$C$2:$C$1001,Due_Payments!$B$2:$B$1001,A180))</f>
        <v>0</v>
      </c>
      <c r="J180" s="17" t="n">
        <f aca="false">IF(A180="","",G180-N(H180)-I180)</f>
        <v>0</v>
      </c>
      <c r="K180" s="7" t="s">
        <v>21</v>
      </c>
      <c r="L180" s="7" t="s">
        <v>440</v>
      </c>
      <c r="M180" s="7"/>
    </row>
    <row r="181" customFormat="false" ht="15" hidden="false" customHeight="true" outlineLevel="0" collapsed="false">
      <c r="A181" s="7" t="s">
        <v>538</v>
      </c>
      <c r="B181" s="15" t="n">
        <v>46259</v>
      </c>
      <c r="C181" s="7" t="s">
        <v>344</v>
      </c>
      <c r="D181" s="7" t="s">
        <v>345</v>
      </c>
      <c r="E181" s="17" t="n">
        <f aca="false">IF(A181="","",SUMIFS(Sales_Items!$H$2:$H$3001,Sales_Items!$A$2:$A$3001,A181))</f>
        <v>560</v>
      </c>
      <c r="F181" s="13" t="n">
        <v>0</v>
      </c>
      <c r="G181" s="17" t="n">
        <f aca="false">IF(A181="","",E181-N(F181))</f>
        <v>560</v>
      </c>
      <c r="H181" s="13" t="n">
        <v>270</v>
      </c>
      <c r="I181" s="17" t="n">
        <f aca="false">IF(A181="","",SUMIFS(Due_Payments!$C$2:$C$1001,Due_Payments!$B$2:$B$1001,A181))</f>
        <v>290</v>
      </c>
      <c r="J181" s="17" t="n">
        <f aca="false">IF(A181="","",G181-N(H181)-I181)</f>
        <v>0</v>
      </c>
      <c r="K181" s="7" t="s">
        <v>21</v>
      </c>
      <c r="L181" s="7" t="s">
        <v>409</v>
      </c>
      <c r="M181" s="7"/>
    </row>
    <row r="182" customFormat="false" ht="15" hidden="false" customHeight="true" outlineLevel="0" collapsed="false">
      <c r="A182" s="7" t="s">
        <v>539</v>
      </c>
      <c r="B182" s="15" t="n">
        <v>46259</v>
      </c>
      <c r="C182" s="7" t="s">
        <v>300</v>
      </c>
      <c r="D182" s="7" t="s">
        <v>301</v>
      </c>
      <c r="E182" s="17" t="n">
        <f aca="false">IF(A182="","",SUMIFS(Sales_Items!$H$2:$H$3001,Sales_Items!$A$2:$A$3001,A182))</f>
        <v>520</v>
      </c>
      <c r="F182" s="13" t="n">
        <v>0</v>
      </c>
      <c r="G182" s="17" t="n">
        <f aca="false">IF(A182="","",E182-N(F182))</f>
        <v>520</v>
      </c>
      <c r="H182" s="13" t="n">
        <v>520</v>
      </c>
      <c r="I182" s="17" t="n">
        <f aca="false">IF(A182="","",SUMIFS(Due_Payments!$C$2:$C$1001,Due_Payments!$B$2:$B$1001,A182))</f>
        <v>0</v>
      </c>
      <c r="J182" s="17" t="n">
        <f aca="false">IF(A182="","",G182-N(H182)-I182)</f>
        <v>0</v>
      </c>
      <c r="K182" s="7" t="s">
        <v>13</v>
      </c>
      <c r="L182" s="7" t="s">
        <v>323</v>
      </c>
      <c r="M182" s="7"/>
    </row>
    <row r="183" customFormat="false" ht="15" hidden="false" customHeight="true" outlineLevel="0" collapsed="false">
      <c r="A183" s="7" t="s">
        <v>540</v>
      </c>
      <c r="B183" s="15" t="n">
        <v>46259</v>
      </c>
      <c r="C183" s="7" t="s">
        <v>249</v>
      </c>
      <c r="D183" s="7" t="s">
        <v>250</v>
      </c>
      <c r="E183" s="17" t="n">
        <f aca="false">IF(A183="","",SUMIFS(Sales_Items!$H$2:$H$3001,Sales_Items!$A$2:$A$3001,A183))</f>
        <v>260</v>
      </c>
      <c r="F183" s="13" t="n">
        <v>50</v>
      </c>
      <c r="G183" s="17" t="n">
        <f aca="false">IF(A183="","",E183-N(F183))</f>
        <v>210</v>
      </c>
      <c r="H183" s="13" t="n">
        <v>210</v>
      </c>
      <c r="I183" s="17" t="n">
        <f aca="false">IF(A183="","",SUMIFS(Due_Payments!$C$2:$C$1001,Due_Payments!$B$2:$B$1001,A183))</f>
        <v>0</v>
      </c>
      <c r="J183" s="17" t="n">
        <f aca="false">IF(A183="","",G183-N(H183)-I183)</f>
        <v>0</v>
      </c>
      <c r="K183" s="7" t="s">
        <v>13</v>
      </c>
      <c r="L183" s="7" t="s">
        <v>317</v>
      </c>
      <c r="M183" s="7"/>
    </row>
    <row r="184" customFormat="false" ht="15" hidden="false" customHeight="true" outlineLevel="0" collapsed="false">
      <c r="A184" s="7" t="s">
        <v>541</v>
      </c>
      <c r="B184" s="15" t="n">
        <v>46259</v>
      </c>
      <c r="C184" s="7" t="s">
        <v>307</v>
      </c>
      <c r="D184" s="7" t="s">
        <v>308</v>
      </c>
      <c r="E184" s="17" t="n">
        <f aca="false">IF(A184="","",SUMIFS(Sales_Items!$H$2:$H$3001,Sales_Items!$A$2:$A$3001,A184))</f>
        <v>1560</v>
      </c>
      <c r="F184" s="13" t="n">
        <v>100</v>
      </c>
      <c r="G184" s="17" t="n">
        <f aca="false">IF(A184="","",E184-N(F184))</f>
        <v>1460</v>
      </c>
      <c r="H184" s="13" t="n">
        <v>720</v>
      </c>
      <c r="I184" s="17" t="n">
        <f aca="false">IF(A184="","",SUMIFS(Due_Payments!$C$2:$C$1001,Due_Payments!$B$2:$B$1001,A184))</f>
        <v>0</v>
      </c>
      <c r="J184" s="17" t="n">
        <f aca="false">IF(A184="","",G184-N(H184)-I184)</f>
        <v>740</v>
      </c>
      <c r="K184" s="7" t="s">
        <v>29</v>
      </c>
      <c r="L184" s="7" t="s">
        <v>542</v>
      </c>
      <c r="M184" s="7"/>
    </row>
    <row r="185" customFormat="false" ht="15" hidden="false" customHeight="true" outlineLevel="0" collapsed="false">
      <c r="A185" s="7" t="s">
        <v>543</v>
      </c>
      <c r="B185" s="15" t="n">
        <v>46259</v>
      </c>
      <c r="C185" s="7" t="s">
        <v>213</v>
      </c>
      <c r="D185" s="7" t="s">
        <v>214</v>
      </c>
      <c r="E185" s="17" t="n">
        <f aca="false">IF(A185="","",SUMIFS(Sales_Items!$H$2:$H$3001,Sales_Items!$A$2:$A$3001,A185))</f>
        <v>560</v>
      </c>
      <c r="F185" s="13" t="n">
        <v>0</v>
      </c>
      <c r="G185" s="17" t="n">
        <f aca="false">IF(A185="","",E185-N(F185))</f>
        <v>560</v>
      </c>
      <c r="H185" s="13" t="n">
        <v>560</v>
      </c>
      <c r="I185" s="17" t="n">
        <f aca="false">IF(A185="","",SUMIFS(Due_Payments!$C$2:$C$1001,Due_Payments!$B$2:$B$1001,A185))</f>
        <v>0</v>
      </c>
      <c r="J185" s="17" t="n">
        <f aca="false">IF(A185="","",G185-N(H185)-I185)</f>
        <v>0</v>
      </c>
      <c r="K185" s="7" t="s">
        <v>13</v>
      </c>
      <c r="L185" s="7" t="s">
        <v>409</v>
      </c>
      <c r="M185" s="7"/>
    </row>
    <row r="186" customFormat="false" ht="15" hidden="false" customHeight="true" outlineLevel="0" collapsed="false">
      <c r="A186" s="7" t="s">
        <v>544</v>
      </c>
      <c r="B186" s="15" t="n">
        <v>46259</v>
      </c>
      <c r="C186" s="7" t="s">
        <v>259</v>
      </c>
      <c r="D186" s="7" t="s">
        <v>260</v>
      </c>
      <c r="E186" s="17" t="n">
        <f aca="false">IF(A186="","",SUMIFS(Sales_Items!$H$2:$H$3001,Sales_Items!$A$2:$A$3001,A186))</f>
        <v>1560</v>
      </c>
      <c r="F186" s="13" t="n">
        <v>0</v>
      </c>
      <c r="G186" s="17" t="n">
        <f aca="false">IF(A186="","",E186-N(F186))</f>
        <v>1560</v>
      </c>
      <c r="H186" s="13" t="n">
        <v>1560</v>
      </c>
      <c r="I186" s="17" t="n">
        <f aca="false">IF(A186="","",SUMIFS(Due_Payments!$C$2:$C$1001,Due_Payments!$B$2:$B$1001,A186))</f>
        <v>0</v>
      </c>
      <c r="J186" s="17" t="n">
        <f aca="false">IF(A186="","",G186-N(H186)-I186)</f>
        <v>0</v>
      </c>
      <c r="K186" s="7" t="s">
        <v>13</v>
      </c>
      <c r="L186" s="7" t="s">
        <v>545</v>
      </c>
      <c r="M186" s="7"/>
    </row>
    <row r="187" customFormat="false" ht="15" hidden="false" customHeight="true" outlineLevel="0" collapsed="false">
      <c r="A187" s="7" t="s">
        <v>546</v>
      </c>
      <c r="B187" s="15" t="n">
        <v>46260</v>
      </c>
      <c r="C187" s="7" t="s">
        <v>350</v>
      </c>
      <c r="D187" s="7" t="s">
        <v>351</v>
      </c>
      <c r="E187" s="17" t="n">
        <f aca="false">IF(A187="","",SUMIFS(Sales_Items!$H$2:$H$3001,Sales_Items!$A$2:$A$3001,A187))</f>
        <v>740</v>
      </c>
      <c r="F187" s="13" t="n">
        <v>50</v>
      </c>
      <c r="G187" s="17" t="n">
        <f aca="false">IF(A187="","",E187-N(F187))</f>
        <v>690</v>
      </c>
      <c r="H187" s="13" t="n">
        <v>690</v>
      </c>
      <c r="I187" s="17" t="n">
        <f aca="false">IF(A187="","",SUMIFS(Due_Payments!$C$2:$C$1001,Due_Payments!$B$2:$B$1001,A187))</f>
        <v>0</v>
      </c>
      <c r="J187" s="17" t="n">
        <f aca="false">IF(A187="","",G187-N(H187)-I187)</f>
        <v>0</v>
      </c>
      <c r="K187" s="7" t="s">
        <v>29</v>
      </c>
      <c r="L187" s="7" t="s">
        <v>387</v>
      </c>
      <c r="M187" s="7"/>
    </row>
    <row r="188" customFormat="false" ht="15" hidden="false" customHeight="true" outlineLevel="0" collapsed="false">
      <c r="A188" s="7" t="s">
        <v>547</v>
      </c>
      <c r="B188" s="15" t="n">
        <v>46260</v>
      </c>
      <c r="C188" s="7" t="s">
        <v>225</v>
      </c>
      <c r="D188" s="7" t="s">
        <v>226</v>
      </c>
      <c r="E188" s="17" t="n">
        <f aca="false">IF(A188="","",SUMIFS(Sales_Items!$H$2:$H$3001,Sales_Items!$A$2:$A$3001,A188))</f>
        <v>890</v>
      </c>
      <c r="F188" s="13" t="n">
        <v>50</v>
      </c>
      <c r="G188" s="17" t="n">
        <f aca="false">IF(A188="","",E188-N(F188))</f>
        <v>840</v>
      </c>
      <c r="H188" s="13" t="n">
        <v>840</v>
      </c>
      <c r="I188" s="17" t="n">
        <f aca="false">IF(A188="","",SUMIFS(Due_Payments!$C$2:$C$1001,Due_Payments!$B$2:$B$1001,A188))</f>
        <v>0</v>
      </c>
      <c r="J188" s="17" t="n">
        <f aca="false">IF(A188="","",G188-N(H188)-I188)</f>
        <v>0</v>
      </c>
      <c r="K188" s="7" t="s">
        <v>21</v>
      </c>
      <c r="L188" s="7" t="s">
        <v>243</v>
      </c>
      <c r="M188" s="7"/>
    </row>
    <row r="189" customFormat="false" ht="15" hidden="false" customHeight="true" outlineLevel="0" collapsed="false">
      <c r="A189" s="7" t="s">
        <v>548</v>
      </c>
      <c r="B189" s="15" t="n">
        <v>46260</v>
      </c>
      <c r="C189" s="7" t="s">
        <v>256</v>
      </c>
      <c r="D189" s="7" t="s">
        <v>257</v>
      </c>
      <c r="E189" s="17" t="n">
        <f aca="false">IF(A189="","",SUMIFS(Sales_Items!$H$2:$H$3001,Sales_Items!$A$2:$A$3001,A189))</f>
        <v>380</v>
      </c>
      <c r="F189" s="13" t="n">
        <v>0</v>
      </c>
      <c r="G189" s="17" t="n">
        <f aca="false">IF(A189="","",E189-N(F189))</f>
        <v>380</v>
      </c>
      <c r="H189" s="13" t="n">
        <v>380</v>
      </c>
      <c r="I189" s="17" t="n">
        <f aca="false">IF(A189="","",SUMIFS(Due_Payments!$C$2:$C$1001,Due_Payments!$B$2:$B$1001,A189))</f>
        <v>0</v>
      </c>
      <c r="J189" s="17" t="n">
        <f aca="false">IF(A189="","",G189-N(H189)-I189)</f>
        <v>0</v>
      </c>
      <c r="K189" s="7" t="s">
        <v>29</v>
      </c>
      <c r="L189" s="7" t="s">
        <v>223</v>
      </c>
      <c r="M189" s="7"/>
    </row>
    <row r="190" customFormat="false" ht="15" hidden="false" customHeight="true" outlineLevel="0" collapsed="false">
      <c r="A190" s="7" t="s">
        <v>549</v>
      </c>
      <c r="B190" s="15" t="n">
        <v>46260</v>
      </c>
      <c r="C190" s="7" t="s">
        <v>217</v>
      </c>
      <c r="D190" s="7" t="s">
        <v>218</v>
      </c>
      <c r="E190" s="17" t="n">
        <f aca="false">IF(A190="","",SUMIFS(Sales_Items!$H$2:$H$3001,Sales_Items!$A$2:$A$3001,A190))</f>
        <v>3350</v>
      </c>
      <c r="F190" s="13" t="n">
        <v>0</v>
      </c>
      <c r="G190" s="17" t="n">
        <f aca="false">IF(A190="","",E190-N(F190))</f>
        <v>3350</v>
      </c>
      <c r="H190" s="13" t="n">
        <v>3350</v>
      </c>
      <c r="I190" s="17" t="n">
        <f aca="false">IF(A190="","",SUMIFS(Due_Payments!$C$2:$C$1001,Due_Payments!$B$2:$B$1001,A190))</f>
        <v>0</v>
      </c>
      <c r="J190" s="17" t="n">
        <f aca="false">IF(A190="","",G190-N(H190)-I190)</f>
        <v>0</v>
      </c>
      <c r="K190" s="7" t="s">
        <v>13</v>
      </c>
      <c r="L190" s="7" t="s">
        <v>463</v>
      </c>
      <c r="M190" s="7"/>
    </row>
    <row r="191" customFormat="false" ht="15" hidden="false" customHeight="true" outlineLevel="0" collapsed="false">
      <c r="A191" s="7" t="s">
        <v>550</v>
      </c>
      <c r="B191" s="15" t="n">
        <v>46260</v>
      </c>
      <c r="C191" s="7" t="s">
        <v>225</v>
      </c>
      <c r="D191" s="7" t="s">
        <v>226</v>
      </c>
      <c r="E191" s="17" t="n">
        <f aca="false">IF(A191="","",SUMIFS(Sales_Items!$H$2:$H$3001,Sales_Items!$A$2:$A$3001,A191))</f>
        <v>480</v>
      </c>
      <c r="F191" s="13" t="n">
        <v>0</v>
      </c>
      <c r="G191" s="17" t="n">
        <f aca="false">IF(A191="","",E191-N(F191))</f>
        <v>480</v>
      </c>
      <c r="H191" s="13" t="n">
        <v>480</v>
      </c>
      <c r="I191" s="17" t="n">
        <f aca="false">IF(A191="","",SUMIFS(Due_Payments!$C$2:$C$1001,Due_Payments!$B$2:$B$1001,A191))</f>
        <v>0</v>
      </c>
      <c r="J191" s="17" t="n">
        <f aca="false">IF(A191="","",G191-N(H191)-I191)</f>
        <v>0</v>
      </c>
      <c r="K191" s="7" t="s">
        <v>13</v>
      </c>
      <c r="L191" s="7" t="s">
        <v>254</v>
      </c>
      <c r="M191" s="7"/>
    </row>
    <row r="192" customFormat="false" ht="15" hidden="false" customHeight="true" outlineLevel="0" collapsed="false">
      <c r="A192" s="7" t="s">
        <v>551</v>
      </c>
      <c r="B192" s="15" t="n">
        <v>46260</v>
      </c>
      <c r="C192" s="7" t="s">
        <v>378</v>
      </c>
      <c r="D192" s="7" t="s">
        <v>379</v>
      </c>
      <c r="E192" s="17" t="n">
        <f aca="false">IF(A192="","",SUMIFS(Sales_Items!$H$2:$H$3001,Sales_Items!$A$2:$A$3001,A192))</f>
        <v>560</v>
      </c>
      <c r="F192" s="13" t="n">
        <v>0</v>
      </c>
      <c r="G192" s="17" t="n">
        <f aca="false">IF(A192="","",E192-N(F192))</f>
        <v>560</v>
      </c>
      <c r="H192" s="13" t="n">
        <v>560</v>
      </c>
      <c r="I192" s="17" t="n">
        <f aca="false">IF(A192="","",SUMIFS(Due_Payments!$C$2:$C$1001,Due_Payments!$B$2:$B$1001,A192))</f>
        <v>0</v>
      </c>
      <c r="J192" s="17" t="n">
        <f aca="false">IF(A192="","",G192-N(H192)-I192)</f>
        <v>0</v>
      </c>
      <c r="K192" s="7" t="s">
        <v>13</v>
      </c>
      <c r="L192" s="7" t="s">
        <v>409</v>
      </c>
      <c r="M192" s="7"/>
    </row>
    <row r="193" customFormat="false" ht="15" hidden="false" customHeight="true" outlineLevel="0" collapsed="false">
      <c r="A193" s="7" t="s">
        <v>552</v>
      </c>
      <c r="B193" s="15" t="n">
        <v>46260</v>
      </c>
      <c r="C193" s="7" t="s">
        <v>206</v>
      </c>
      <c r="D193" s="7" t="s">
        <v>207</v>
      </c>
      <c r="E193" s="17" t="n">
        <f aca="false">IF(A193="","",SUMIFS(Sales_Items!$H$2:$H$3001,Sales_Items!$A$2:$A$3001,A193))</f>
        <v>1130</v>
      </c>
      <c r="F193" s="13" t="n">
        <v>0</v>
      </c>
      <c r="G193" s="17" t="n">
        <f aca="false">IF(A193="","",E193-N(F193))</f>
        <v>1130</v>
      </c>
      <c r="H193" s="13" t="n">
        <v>1130</v>
      </c>
      <c r="I193" s="17" t="n">
        <f aca="false">IF(A193="","",SUMIFS(Due_Payments!$C$2:$C$1001,Due_Payments!$B$2:$B$1001,A193))</f>
        <v>0</v>
      </c>
      <c r="J193" s="17" t="n">
        <f aca="false">IF(A193="","",G193-N(H193)-I193)</f>
        <v>0</v>
      </c>
      <c r="K193" s="7" t="s">
        <v>29</v>
      </c>
      <c r="L193" s="7" t="s">
        <v>553</v>
      </c>
      <c r="M193" s="7"/>
    </row>
    <row r="194" customFormat="false" ht="15" hidden="false" customHeight="true" outlineLevel="0" collapsed="false">
      <c r="A194" s="7" t="s">
        <v>554</v>
      </c>
      <c r="B194" s="15" t="n">
        <v>46260</v>
      </c>
      <c r="C194" s="7" t="s">
        <v>202</v>
      </c>
      <c r="D194" s="7" t="s">
        <v>203</v>
      </c>
      <c r="E194" s="17" t="n">
        <f aca="false">IF(A194="","",SUMIFS(Sales_Items!$H$2:$H$3001,Sales_Items!$A$2:$A$3001,A194))</f>
        <v>4010</v>
      </c>
      <c r="F194" s="13" t="n">
        <v>0</v>
      </c>
      <c r="G194" s="17" t="n">
        <f aca="false">IF(A194="","",E194-N(F194))</f>
        <v>4010</v>
      </c>
      <c r="H194" s="13" t="n">
        <v>4010</v>
      </c>
      <c r="I194" s="17" t="n">
        <f aca="false">IF(A194="","",SUMIFS(Due_Payments!$C$2:$C$1001,Due_Payments!$B$2:$B$1001,A194))</f>
        <v>0</v>
      </c>
      <c r="J194" s="17" t="n">
        <f aca="false">IF(A194="","",G194-N(H194)-I194)</f>
        <v>0</v>
      </c>
      <c r="K194" s="7" t="s">
        <v>21</v>
      </c>
      <c r="L194" s="7" t="s">
        <v>555</v>
      </c>
      <c r="M194" s="7"/>
    </row>
    <row r="195" customFormat="false" ht="15" hidden="false" customHeight="true" outlineLevel="0" collapsed="false">
      <c r="A195" s="7" t="s">
        <v>556</v>
      </c>
      <c r="B195" s="15" t="n">
        <v>46260</v>
      </c>
      <c r="C195" s="7" t="s">
        <v>259</v>
      </c>
      <c r="D195" s="7" t="s">
        <v>260</v>
      </c>
      <c r="E195" s="17" t="n">
        <f aca="false">IF(A195="","",SUMIFS(Sales_Items!$H$2:$H$3001,Sales_Items!$A$2:$A$3001,A195))</f>
        <v>680</v>
      </c>
      <c r="F195" s="13" t="n">
        <v>0</v>
      </c>
      <c r="G195" s="17" t="n">
        <f aca="false">IF(A195="","",E195-N(F195))</f>
        <v>680</v>
      </c>
      <c r="H195" s="13" t="n">
        <v>680</v>
      </c>
      <c r="I195" s="17" t="n">
        <f aca="false">IF(A195="","",SUMIFS(Due_Payments!$C$2:$C$1001,Due_Payments!$B$2:$B$1001,A195))</f>
        <v>0</v>
      </c>
      <c r="J195" s="17" t="n">
        <f aca="false">IF(A195="","",G195-N(H195)-I195)</f>
        <v>0</v>
      </c>
      <c r="K195" s="7" t="s">
        <v>13</v>
      </c>
      <c r="L195" s="7" t="s">
        <v>239</v>
      </c>
      <c r="M195" s="7"/>
    </row>
    <row r="196" customFormat="false" ht="15" hidden="false" customHeight="true" outlineLevel="0" collapsed="false">
      <c r="A196" s="7" t="s">
        <v>557</v>
      </c>
      <c r="B196" s="15" t="n">
        <v>46261</v>
      </c>
      <c r="C196" s="7" t="s">
        <v>206</v>
      </c>
      <c r="D196" s="7" t="s">
        <v>207</v>
      </c>
      <c r="E196" s="17" t="n">
        <f aca="false">IF(A196="","",SUMIFS(Sales_Items!$H$2:$H$3001,Sales_Items!$A$2:$A$3001,A196))</f>
        <v>260</v>
      </c>
      <c r="F196" s="13" t="n">
        <v>50</v>
      </c>
      <c r="G196" s="17" t="n">
        <f aca="false">IF(A196="","",E196-N(F196))</f>
        <v>210</v>
      </c>
      <c r="H196" s="13" t="n">
        <v>210</v>
      </c>
      <c r="I196" s="17" t="n">
        <f aca="false">IF(A196="","",SUMIFS(Due_Payments!$C$2:$C$1001,Due_Payments!$B$2:$B$1001,A196))</f>
        <v>0</v>
      </c>
      <c r="J196" s="17" t="n">
        <f aca="false">IF(A196="","",G196-N(H196)-I196)</f>
        <v>0</v>
      </c>
      <c r="K196" s="7" t="s">
        <v>29</v>
      </c>
      <c r="L196" s="7" t="s">
        <v>317</v>
      </c>
      <c r="M196" s="7"/>
    </row>
    <row r="197" customFormat="false" ht="15" hidden="false" customHeight="true" outlineLevel="0" collapsed="false">
      <c r="A197" s="7" t="s">
        <v>558</v>
      </c>
      <c r="B197" s="15" t="n">
        <v>46261</v>
      </c>
      <c r="C197" s="7" t="s">
        <v>256</v>
      </c>
      <c r="D197" s="7" t="s">
        <v>257</v>
      </c>
      <c r="E197" s="17" t="n">
        <f aca="false">IF(A197="","",SUMIFS(Sales_Items!$H$2:$H$3001,Sales_Items!$A$2:$A$3001,A197))</f>
        <v>560</v>
      </c>
      <c r="F197" s="13" t="n">
        <v>0</v>
      </c>
      <c r="G197" s="17" t="n">
        <f aca="false">IF(A197="","",E197-N(F197))</f>
        <v>560</v>
      </c>
      <c r="H197" s="13" t="n">
        <v>310</v>
      </c>
      <c r="I197" s="17" t="n">
        <f aca="false">IF(A197="","",SUMIFS(Due_Payments!$C$2:$C$1001,Due_Payments!$B$2:$B$1001,A197))</f>
        <v>120</v>
      </c>
      <c r="J197" s="17" t="n">
        <f aca="false">IF(A197="","",G197-N(H197)-I197)</f>
        <v>130</v>
      </c>
      <c r="K197" s="7" t="s">
        <v>21</v>
      </c>
      <c r="L197" s="7" t="s">
        <v>409</v>
      </c>
      <c r="M197" s="7"/>
    </row>
    <row r="198" customFormat="false" ht="15" hidden="false" customHeight="true" outlineLevel="0" collapsed="false">
      <c r="A198" s="7" t="s">
        <v>559</v>
      </c>
      <c r="B198" s="15" t="n">
        <v>46261</v>
      </c>
      <c r="C198" s="7" t="s">
        <v>249</v>
      </c>
      <c r="D198" s="7" t="s">
        <v>250</v>
      </c>
      <c r="E198" s="17" t="n">
        <f aca="false">IF(A198="","",SUMIFS(Sales_Items!$H$2:$H$3001,Sales_Items!$A$2:$A$3001,A198))</f>
        <v>520</v>
      </c>
      <c r="F198" s="13" t="n">
        <v>50</v>
      </c>
      <c r="G198" s="17" t="n">
        <f aca="false">IF(A198="","",E198-N(F198))</f>
        <v>470</v>
      </c>
      <c r="H198" s="13" t="n">
        <v>470</v>
      </c>
      <c r="I198" s="17" t="n">
        <f aca="false">IF(A198="","",SUMIFS(Due_Payments!$C$2:$C$1001,Due_Payments!$B$2:$B$1001,A198))</f>
        <v>0</v>
      </c>
      <c r="J198" s="17" t="n">
        <f aca="false">IF(A198="","",G198-N(H198)-I198)</f>
        <v>0</v>
      </c>
      <c r="K198" s="7" t="s">
        <v>21</v>
      </c>
      <c r="L198" s="7" t="s">
        <v>348</v>
      </c>
      <c r="M198" s="7"/>
    </row>
    <row r="199" customFormat="false" ht="15" hidden="false" customHeight="true" outlineLevel="0" collapsed="false">
      <c r="A199" s="7" t="s">
        <v>560</v>
      </c>
      <c r="B199" s="15" t="n">
        <v>46261</v>
      </c>
      <c r="C199" s="7" t="s">
        <v>221</v>
      </c>
      <c r="D199" s="7" t="s">
        <v>222</v>
      </c>
      <c r="E199" s="17" t="n">
        <f aca="false">IF(A199="","",SUMIFS(Sales_Items!$H$2:$H$3001,Sales_Items!$A$2:$A$3001,A199))</f>
        <v>1910</v>
      </c>
      <c r="F199" s="13" t="n">
        <v>60</v>
      </c>
      <c r="G199" s="17" t="n">
        <f aca="false">IF(A199="","",E199-N(F199))</f>
        <v>1850</v>
      </c>
      <c r="H199" s="13" t="n">
        <v>1850</v>
      </c>
      <c r="I199" s="17" t="n">
        <f aca="false">IF(A199="","",SUMIFS(Due_Payments!$C$2:$C$1001,Due_Payments!$B$2:$B$1001,A199))</f>
        <v>0</v>
      </c>
      <c r="J199" s="17" t="n">
        <f aca="false">IF(A199="","",G199-N(H199)-I199)</f>
        <v>0</v>
      </c>
      <c r="K199" s="7" t="s">
        <v>13</v>
      </c>
      <c r="L199" s="7" t="s">
        <v>561</v>
      </c>
      <c r="M199" s="7"/>
    </row>
    <row r="200" customFormat="false" ht="15" hidden="false" customHeight="true" outlineLevel="0" collapsed="false">
      <c r="A200" s="7" t="s">
        <v>562</v>
      </c>
      <c r="B200" s="15" t="n">
        <v>46261</v>
      </c>
      <c r="C200" s="7" t="s">
        <v>307</v>
      </c>
      <c r="D200" s="7" t="s">
        <v>308</v>
      </c>
      <c r="E200" s="17" t="n">
        <f aca="false">IF(A200="","",SUMIFS(Sales_Items!$H$2:$H$3001,Sales_Items!$A$2:$A$3001,A200))</f>
        <v>2120</v>
      </c>
      <c r="F200" s="13" t="n">
        <v>0</v>
      </c>
      <c r="G200" s="17" t="n">
        <f aca="false">IF(A200="","",E200-N(F200))</f>
        <v>2120</v>
      </c>
      <c r="H200" s="13" t="n">
        <v>2120</v>
      </c>
      <c r="I200" s="17" t="n">
        <f aca="false">IF(A200="","",SUMIFS(Due_Payments!$C$2:$C$1001,Due_Payments!$B$2:$B$1001,A200))</f>
        <v>0</v>
      </c>
      <c r="J200" s="17" t="n">
        <f aca="false">IF(A200="","",G200-N(H200)-I200)</f>
        <v>0</v>
      </c>
      <c r="K200" s="7" t="s">
        <v>21</v>
      </c>
      <c r="L200" s="7" t="s">
        <v>563</v>
      </c>
      <c r="M200" s="7"/>
    </row>
    <row r="201" customFormat="false" ht="15" hidden="false" customHeight="true" outlineLevel="0" collapsed="false">
      <c r="A201" s="7" t="s">
        <v>564</v>
      </c>
      <c r="B201" s="15" t="n">
        <v>46261</v>
      </c>
      <c r="C201" s="7" t="s">
        <v>369</v>
      </c>
      <c r="D201" s="7" t="s">
        <v>370</v>
      </c>
      <c r="E201" s="17" t="n">
        <f aca="false">IF(A201="","",SUMIFS(Sales_Items!$H$2:$H$3001,Sales_Items!$A$2:$A$3001,A201))</f>
        <v>240</v>
      </c>
      <c r="F201" s="13" t="n">
        <v>0</v>
      </c>
      <c r="G201" s="17" t="n">
        <f aca="false">IF(A201="","",E201-N(F201))</f>
        <v>240</v>
      </c>
      <c r="H201" s="13" t="n">
        <v>240</v>
      </c>
      <c r="I201" s="17" t="n">
        <f aca="false">IF(A201="","",SUMIFS(Due_Payments!$C$2:$C$1001,Due_Payments!$B$2:$B$1001,A201))</f>
        <v>0</v>
      </c>
      <c r="J201" s="17" t="n">
        <f aca="false">IF(A201="","",G201-N(H201)-I201)</f>
        <v>0</v>
      </c>
      <c r="K201" s="7" t="s">
        <v>29</v>
      </c>
      <c r="L201" s="7" t="s">
        <v>261</v>
      </c>
      <c r="M201" s="7"/>
    </row>
    <row r="202" customFormat="false" ht="15" hidden="false" customHeight="true" outlineLevel="0" collapsed="false">
      <c r="A202" s="7" t="s">
        <v>565</v>
      </c>
      <c r="B202" s="15" t="n">
        <v>46261</v>
      </c>
      <c r="C202" s="7" t="s">
        <v>241</v>
      </c>
      <c r="D202" s="7" t="s">
        <v>242</v>
      </c>
      <c r="E202" s="17" t="n">
        <f aca="false">IF(A202="","",SUMIFS(Sales_Items!$H$2:$H$3001,Sales_Items!$A$2:$A$3001,A202))</f>
        <v>3350</v>
      </c>
      <c r="F202" s="13" t="n">
        <v>0</v>
      </c>
      <c r="G202" s="17" t="n">
        <f aca="false">IF(A202="","",E202-N(F202))</f>
        <v>3350</v>
      </c>
      <c r="H202" s="13" t="n">
        <v>3350</v>
      </c>
      <c r="I202" s="17" t="n">
        <f aca="false">IF(A202="","",SUMIFS(Due_Payments!$C$2:$C$1001,Due_Payments!$B$2:$B$1001,A202))</f>
        <v>0</v>
      </c>
      <c r="J202" s="17" t="n">
        <f aca="false">IF(A202="","",G202-N(H202)-I202)</f>
        <v>0</v>
      </c>
      <c r="K202" s="7" t="s">
        <v>21</v>
      </c>
      <c r="L202" s="7" t="s">
        <v>463</v>
      </c>
      <c r="M202" s="7"/>
    </row>
    <row r="203" customFormat="false" ht="15" hidden="false" customHeight="true" outlineLevel="0" collapsed="false">
      <c r="A203" s="7" t="s">
        <v>566</v>
      </c>
      <c r="B203" s="15" t="n">
        <v>46261</v>
      </c>
      <c r="C203" s="7" t="s">
        <v>300</v>
      </c>
      <c r="D203" s="7" t="s">
        <v>301</v>
      </c>
      <c r="E203" s="17" t="n">
        <f aca="false">IF(A203="","",SUMIFS(Sales_Items!$H$2:$H$3001,Sales_Items!$A$2:$A$3001,A203))</f>
        <v>740</v>
      </c>
      <c r="F203" s="13" t="n">
        <v>0</v>
      </c>
      <c r="G203" s="17" t="n">
        <f aca="false">IF(A203="","",E203-N(F203))</f>
        <v>740</v>
      </c>
      <c r="H203" s="13" t="n">
        <v>740</v>
      </c>
      <c r="I203" s="17" t="n">
        <f aca="false">IF(A203="","",SUMIFS(Due_Payments!$C$2:$C$1001,Due_Payments!$B$2:$B$1001,A203))</f>
        <v>0</v>
      </c>
      <c r="J203" s="17" t="n">
        <f aca="false">IF(A203="","",G203-N(H203)-I203)</f>
        <v>0</v>
      </c>
      <c r="K203" s="7" t="s">
        <v>13</v>
      </c>
      <c r="L203" s="7" t="s">
        <v>567</v>
      </c>
      <c r="M203" s="7"/>
    </row>
    <row r="204" customFormat="false" ht="15" hidden="false" customHeight="true" outlineLevel="0" collapsed="false">
      <c r="A204" s="7" t="s">
        <v>568</v>
      </c>
      <c r="B204" s="15" t="n">
        <v>46263</v>
      </c>
      <c r="C204" s="7" t="s">
        <v>300</v>
      </c>
      <c r="D204" s="7" t="s">
        <v>301</v>
      </c>
      <c r="E204" s="17" t="n">
        <f aca="false">IF(A204="","",SUMIFS(Sales_Items!$H$2:$H$3001,Sales_Items!$A$2:$A$3001,A204))</f>
        <v>840</v>
      </c>
      <c r="F204" s="13" t="n">
        <v>30</v>
      </c>
      <c r="G204" s="17" t="n">
        <f aca="false">IF(A204="","",E204-N(F204))</f>
        <v>810</v>
      </c>
      <c r="H204" s="13" t="n">
        <v>810</v>
      </c>
      <c r="I204" s="17" t="n">
        <f aca="false">IF(A204="","",SUMIFS(Due_Payments!$C$2:$C$1001,Due_Payments!$B$2:$B$1001,A204))</f>
        <v>0</v>
      </c>
      <c r="J204" s="17" t="n">
        <f aca="false">IF(A204="","",G204-N(H204)-I204)</f>
        <v>0</v>
      </c>
      <c r="K204" s="7" t="s">
        <v>13</v>
      </c>
      <c r="L204" s="7" t="s">
        <v>233</v>
      </c>
      <c r="M204" s="7"/>
    </row>
    <row r="205" customFormat="false" ht="15" hidden="false" customHeight="true" outlineLevel="0" collapsed="false">
      <c r="A205" s="7" t="s">
        <v>569</v>
      </c>
      <c r="B205" s="15" t="n">
        <v>46263</v>
      </c>
      <c r="C205" s="7" t="s">
        <v>369</v>
      </c>
      <c r="D205" s="7" t="s">
        <v>370</v>
      </c>
      <c r="E205" s="17" t="n">
        <f aca="false">IF(A205="","",SUMIFS(Sales_Items!$H$2:$H$3001,Sales_Items!$A$2:$A$3001,A205))</f>
        <v>1110</v>
      </c>
      <c r="F205" s="13" t="n">
        <v>0</v>
      </c>
      <c r="G205" s="17" t="n">
        <f aca="false">IF(A205="","",E205-N(F205))</f>
        <v>1110</v>
      </c>
      <c r="H205" s="13" t="n">
        <v>1110</v>
      </c>
      <c r="I205" s="17" t="n">
        <f aca="false">IF(A205="","",SUMIFS(Due_Payments!$C$2:$C$1001,Due_Payments!$B$2:$B$1001,A205))</f>
        <v>0</v>
      </c>
      <c r="J205" s="17" t="n">
        <f aca="false">IF(A205="","",G205-N(H205)-I205)</f>
        <v>0</v>
      </c>
      <c r="K205" s="7" t="s">
        <v>37</v>
      </c>
      <c r="L205" s="7" t="s">
        <v>395</v>
      </c>
      <c r="M205" s="7"/>
    </row>
    <row r="206" customFormat="false" ht="15" hidden="false" customHeight="true" outlineLevel="0" collapsed="false">
      <c r="A206" s="7" t="s">
        <v>570</v>
      </c>
      <c r="B206" s="15" t="n">
        <v>46263</v>
      </c>
      <c r="C206" s="7" t="s">
        <v>300</v>
      </c>
      <c r="D206" s="7" t="s">
        <v>301</v>
      </c>
      <c r="E206" s="17" t="n">
        <f aca="false">IF(A206="","",SUMIFS(Sales_Items!$H$2:$H$3001,Sales_Items!$A$2:$A$3001,A206))</f>
        <v>3430</v>
      </c>
      <c r="F206" s="13" t="n">
        <v>50</v>
      </c>
      <c r="G206" s="17" t="n">
        <f aca="false">IF(A206="","",E206-N(F206))</f>
        <v>3380</v>
      </c>
      <c r="H206" s="13" t="n">
        <v>0</v>
      </c>
      <c r="I206" s="17" t="n">
        <f aca="false">IF(A206="","",SUMIFS(Due_Payments!$C$2:$C$1001,Due_Payments!$B$2:$B$1001,A206))</f>
        <v>3380</v>
      </c>
      <c r="J206" s="17" t="n">
        <f aca="false">IF(A206="","",G206-N(H206)-I206)</f>
        <v>0</v>
      </c>
      <c r="K206" s="7" t="s">
        <v>13</v>
      </c>
      <c r="L206" s="7" t="s">
        <v>571</v>
      </c>
      <c r="M206" s="7"/>
    </row>
    <row r="207" customFormat="false" ht="15" hidden="false" customHeight="true" outlineLevel="0" collapsed="false">
      <c r="A207" s="7" t="s">
        <v>572</v>
      </c>
      <c r="B207" s="15" t="n">
        <v>46263</v>
      </c>
      <c r="C207" s="7" t="s">
        <v>225</v>
      </c>
      <c r="D207" s="7" t="s">
        <v>226</v>
      </c>
      <c r="E207" s="17" t="n">
        <f aca="false">IF(A207="","",SUMIFS(Sales_Items!$H$2:$H$3001,Sales_Items!$A$2:$A$3001,A207))</f>
        <v>240</v>
      </c>
      <c r="F207" s="13" t="n">
        <v>0</v>
      </c>
      <c r="G207" s="17" t="n">
        <f aca="false">IF(A207="","",E207-N(F207))</f>
        <v>240</v>
      </c>
      <c r="H207" s="13" t="n">
        <v>240</v>
      </c>
      <c r="I207" s="17" t="n">
        <f aca="false">IF(A207="","",SUMIFS(Due_Payments!$C$2:$C$1001,Due_Payments!$B$2:$B$1001,A207))</f>
        <v>0</v>
      </c>
      <c r="J207" s="17" t="n">
        <f aca="false">IF(A207="","",G207-N(H207)-I207)</f>
        <v>0</v>
      </c>
      <c r="K207" s="7" t="s">
        <v>13</v>
      </c>
      <c r="L207" s="7" t="s">
        <v>261</v>
      </c>
      <c r="M207" s="7"/>
    </row>
    <row r="208" customFormat="false" ht="15" hidden="false" customHeight="true" outlineLevel="0" collapsed="false">
      <c r="A208" s="7" t="s">
        <v>573</v>
      </c>
      <c r="B208" s="15" t="n">
        <v>46263</v>
      </c>
      <c r="C208" s="7" t="s">
        <v>329</v>
      </c>
      <c r="D208" s="7" t="s">
        <v>330</v>
      </c>
      <c r="E208" s="17" t="n">
        <f aca="false">IF(A208="","",SUMIFS(Sales_Items!$H$2:$H$3001,Sales_Items!$A$2:$A$3001,A208))</f>
        <v>1560</v>
      </c>
      <c r="F208" s="13" t="n">
        <v>50</v>
      </c>
      <c r="G208" s="17" t="n">
        <f aca="false">IF(A208="","",E208-N(F208))</f>
        <v>1510</v>
      </c>
      <c r="H208" s="13" t="n">
        <v>1510</v>
      </c>
      <c r="I208" s="17" t="n">
        <f aca="false">IF(A208="","",SUMIFS(Due_Payments!$C$2:$C$1001,Due_Payments!$B$2:$B$1001,A208))</f>
        <v>0</v>
      </c>
      <c r="J208" s="17" t="n">
        <f aca="false">IF(A208="","",G208-N(H208)-I208)</f>
        <v>0</v>
      </c>
      <c r="K208" s="7" t="s">
        <v>13</v>
      </c>
      <c r="L208" s="7" t="s">
        <v>509</v>
      </c>
      <c r="M208" s="7"/>
    </row>
    <row r="209" customFormat="false" ht="15" hidden="false" customHeight="true" outlineLevel="0" collapsed="false">
      <c r="A209" s="7" t="s">
        <v>574</v>
      </c>
      <c r="B209" s="15" t="n">
        <v>46263</v>
      </c>
      <c r="C209" s="7" t="s">
        <v>256</v>
      </c>
      <c r="D209" s="7" t="s">
        <v>257</v>
      </c>
      <c r="E209" s="17" t="n">
        <f aca="false">IF(A209="","",SUMIFS(Sales_Items!$H$2:$H$3001,Sales_Items!$A$2:$A$3001,A209))</f>
        <v>560</v>
      </c>
      <c r="F209" s="13" t="n">
        <v>100</v>
      </c>
      <c r="G209" s="17" t="n">
        <f aca="false">IF(A209="","",E209-N(F209))</f>
        <v>460</v>
      </c>
      <c r="H209" s="13" t="n">
        <v>460</v>
      </c>
      <c r="I209" s="17" t="n">
        <f aca="false">IF(A209="","",SUMIFS(Due_Payments!$C$2:$C$1001,Due_Payments!$B$2:$B$1001,A209))</f>
        <v>0</v>
      </c>
      <c r="J209" s="17" t="n">
        <f aca="false">IF(A209="","",G209-N(H209)-I209)</f>
        <v>0</v>
      </c>
      <c r="K209" s="7" t="s">
        <v>13</v>
      </c>
      <c r="L209" s="7" t="s">
        <v>575</v>
      </c>
      <c r="M209" s="7"/>
    </row>
    <row r="210" customFormat="false" ht="15" hidden="false" customHeight="true" outlineLevel="0" collapsed="false">
      <c r="A210" s="7" t="s">
        <v>576</v>
      </c>
      <c r="B210" s="15" t="n">
        <v>46263</v>
      </c>
      <c r="C210" s="7" t="s">
        <v>249</v>
      </c>
      <c r="D210" s="7" t="s">
        <v>250</v>
      </c>
      <c r="E210" s="17" t="n">
        <f aca="false">IF(A210="","",SUMIFS(Sales_Items!$H$2:$H$3001,Sales_Items!$A$2:$A$3001,A210))</f>
        <v>280</v>
      </c>
      <c r="F210" s="13" t="n">
        <v>10</v>
      </c>
      <c r="G210" s="17" t="n">
        <f aca="false">IF(A210="","",E210-N(F210))</f>
        <v>270</v>
      </c>
      <c r="H210" s="13" t="n">
        <v>270</v>
      </c>
      <c r="I210" s="17" t="n">
        <f aca="false">IF(A210="","",SUMIFS(Due_Payments!$C$2:$C$1001,Due_Payments!$B$2:$B$1001,A210))</f>
        <v>0</v>
      </c>
      <c r="J210" s="17" t="n">
        <f aca="false">IF(A210="","",G210-N(H210)-I210)</f>
        <v>0</v>
      </c>
      <c r="K210" s="7" t="s">
        <v>13</v>
      </c>
      <c r="L210" s="7" t="s">
        <v>337</v>
      </c>
      <c r="M210" s="7"/>
    </row>
    <row r="211" customFormat="false" ht="15" hidden="false" customHeight="true" outlineLevel="0" collapsed="false">
      <c r="A211" s="7" t="s">
        <v>577</v>
      </c>
      <c r="B211" s="15" t="n">
        <v>46264</v>
      </c>
      <c r="C211" s="7" t="s">
        <v>293</v>
      </c>
      <c r="D211" s="7" t="s">
        <v>294</v>
      </c>
      <c r="E211" s="17" t="n">
        <f aca="false">IF(A211="","",SUMIFS(Sales_Items!$H$2:$H$3001,Sales_Items!$A$2:$A$3001,A211))</f>
        <v>240</v>
      </c>
      <c r="F211" s="13" t="n">
        <v>100</v>
      </c>
      <c r="G211" s="17" t="n">
        <f aca="false">IF(A211="","",E211-N(F211))</f>
        <v>140</v>
      </c>
      <c r="H211" s="13" t="n">
        <v>70</v>
      </c>
      <c r="I211" s="17" t="n">
        <f aca="false">IF(A211="","",SUMIFS(Due_Payments!$C$2:$C$1001,Due_Payments!$B$2:$B$1001,A211))</f>
        <v>40</v>
      </c>
      <c r="J211" s="17" t="n">
        <f aca="false">IF(A211="","",G211-N(H211)-I211)</f>
        <v>30</v>
      </c>
      <c r="K211" s="7" t="s">
        <v>13</v>
      </c>
      <c r="L211" s="7" t="s">
        <v>500</v>
      </c>
      <c r="M211" s="7"/>
    </row>
    <row r="212" customFormat="false" ht="15" hidden="false" customHeight="true" outlineLevel="0" collapsed="false">
      <c r="A212" s="7" t="s">
        <v>578</v>
      </c>
      <c r="B212" s="15" t="n">
        <v>46264</v>
      </c>
      <c r="C212" s="7" t="s">
        <v>229</v>
      </c>
      <c r="D212" s="7" t="s">
        <v>230</v>
      </c>
      <c r="E212" s="17" t="n">
        <f aca="false">IF(A212="","",SUMIFS(Sales_Items!$H$2:$H$3001,Sales_Items!$A$2:$A$3001,A212))</f>
        <v>460</v>
      </c>
      <c r="F212" s="13" t="n">
        <v>0</v>
      </c>
      <c r="G212" s="17" t="n">
        <f aca="false">IF(A212="","",E212-N(F212))</f>
        <v>460</v>
      </c>
      <c r="H212" s="13" t="n">
        <v>460</v>
      </c>
      <c r="I212" s="17" t="n">
        <f aca="false">IF(A212="","",SUMIFS(Due_Payments!$C$2:$C$1001,Due_Payments!$B$2:$B$1001,A212))</f>
        <v>0</v>
      </c>
      <c r="J212" s="17" t="n">
        <f aca="false">IF(A212="","",G212-N(H212)-I212)</f>
        <v>0</v>
      </c>
      <c r="K212" s="7" t="s">
        <v>21</v>
      </c>
      <c r="L212" s="7" t="s">
        <v>575</v>
      </c>
      <c r="M212" s="7"/>
    </row>
    <row r="213" customFormat="false" ht="15" hidden="false" customHeight="true" outlineLevel="0" collapsed="false">
      <c r="A213" s="7" t="s">
        <v>579</v>
      </c>
      <c r="B213" s="15" t="n">
        <v>46264</v>
      </c>
      <c r="C213" s="7" t="s">
        <v>221</v>
      </c>
      <c r="D213" s="7" t="s">
        <v>222</v>
      </c>
      <c r="E213" s="17" t="n">
        <f aca="false">IF(A213="","",SUMIFS(Sales_Items!$H$2:$H$3001,Sales_Items!$A$2:$A$3001,A213))</f>
        <v>1440</v>
      </c>
      <c r="F213" s="13" t="n">
        <v>0</v>
      </c>
      <c r="G213" s="17" t="n">
        <f aca="false">IF(A213="","",E213-N(F213))</f>
        <v>1440</v>
      </c>
      <c r="H213" s="13" t="n">
        <v>1440</v>
      </c>
      <c r="I213" s="17" t="n">
        <f aca="false">IF(A213="","",SUMIFS(Due_Payments!$C$2:$C$1001,Due_Payments!$B$2:$B$1001,A213))</f>
        <v>0</v>
      </c>
      <c r="J213" s="17" t="n">
        <f aca="false">IF(A213="","",G213-N(H213)-I213)</f>
        <v>0</v>
      </c>
      <c r="K213" s="7" t="s">
        <v>13</v>
      </c>
      <c r="L213" s="7" t="s">
        <v>580</v>
      </c>
      <c r="M213" s="7"/>
    </row>
    <row r="214" customFormat="false" ht="15" hidden="false" customHeight="true" outlineLevel="0" collapsed="false">
      <c r="A214" s="7" t="s">
        <v>581</v>
      </c>
      <c r="B214" s="15" t="n">
        <v>46264</v>
      </c>
      <c r="C214" s="7" t="s">
        <v>275</v>
      </c>
      <c r="D214" s="7" t="s">
        <v>276</v>
      </c>
      <c r="E214" s="17" t="n">
        <f aca="false">IF(A214="","",SUMIFS(Sales_Items!$H$2:$H$3001,Sales_Items!$A$2:$A$3001,A214))</f>
        <v>280</v>
      </c>
      <c r="F214" s="13" t="n">
        <v>0</v>
      </c>
      <c r="G214" s="17" t="n">
        <f aca="false">IF(A214="","",E214-N(F214))</f>
        <v>280</v>
      </c>
      <c r="H214" s="13" t="n">
        <v>180</v>
      </c>
      <c r="I214" s="17" t="n">
        <f aca="false">IF(A214="","",SUMIFS(Due_Payments!$C$2:$C$1001,Due_Payments!$B$2:$B$1001,A214))</f>
        <v>50</v>
      </c>
      <c r="J214" s="17" t="n">
        <f aca="false">IF(A214="","",G214-N(H214)-I214)</f>
        <v>50</v>
      </c>
      <c r="K214" s="7" t="s">
        <v>21</v>
      </c>
      <c r="L214" s="7" t="s">
        <v>235</v>
      </c>
      <c r="M214" s="7"/>
    </row>
    <row r="215" customFormat="false" ht="15" hidden="false" customHeight="true" outlineLevel="0" collapsed="false">
      <c r="A215" s="7" t="s">
        <v>582</v>
      </c>
      <c r="B215" s="15" t="n">
        <v>46264</v>
      </c>
      <c r="C215" s="7" t="s">
        <v>210</v>
      </c>
      <c r="D215" s="7" t="s">
        <v>211</v>
      </c>
      <c r="E215" s="17" t="n">
        <f aca="false">IF(A215="","",SUMIFS(Sales_Items!$H$2:$H$3001,Sales_Items!$A$2:$A$3001,A215))</f>
        <v>560</v>
      </c>
      <c r="F215" s="13" t="n">
        <v>0</v>
      </c>
      <c r="G215" s="17" t="n">
        <f aca="false">IF(A215="","",E215-N(F215))</f>
        <v>560</v>
      </c>
      <c r="H215" s="13" t="n">
        <v>290</v>
      </c>
      <c r="I215" s="17" t="n">
        <f aca="false">IF(A215="","",SUMIFS(Due_Payments!$C$2:$C$1001,Due_Payments!$B$2:$B$1001,A215))</f>
        <v>0</v>
      </c>
      <c r="J215" s="17" t="n">
        <f aca="false">IF(A215="","",G215-N(H215)-I215)</f>
        <v>270</v>
      </c>
      <c r="K215" s="7" t="s">
        <v>29</v>
      </c>
      <c r="L215" s="7" t="s">
        <v>409</v>
      </c>
      <c r="M215" s="7"/>
    </row>
    <row r="216" customFormat="false" ht="15" hidden="false" customHeight="true" outlineLevel="0" collapsed="false">
      <c r="A216" s="7" t="s">
        <v>583</v>
      </c>
      <c r="B216" s="15" t="n">
        <v>46264</v>
      </c>
      <c r="C216" s="7" t="s">
        <v>225</v>
      </c>
      <c r="D216" s="7" t="s">
        <v>226</v>
      </c>
      <c r="E216" s="17" t="n">
        <f aca="false">IF(A216="","",SUMIFS(Sales_Items!$H$2:$H$3001,Sales_Items!$A$2:$A$3001,A216))</f>
        <v>1060</v>
      </c>
      <c r="F216" s="13" t="n">
        <v>100</v>
      </c>
      <c r="G216" s="17" t="n">
        <f aca="false">IF(A216="","",E216-N(F216))</f>
        <v>960</v>
      </c>
      <c r="H216" s="13" t="n">
        <v>960</v>
      </c>
      <c r="I216" s="17" t="n">
        <f aca="false">IF(A216="","",SUMIFS(Due_Payments!$C$2:$C$1001,Due_Payments!$B$2:$B$1001,A216))</f>
        <v>0</v>
      </c>
      <c r="J216" s="17" t="n">
        <f aca="false">IF(A216="","",G216-N(H216)-I216)</f>
        <v>0</v>
      </c>
      <c r="K216" s="7" t="s">
        <v>37</v>
      </c>
      <c r="L216" s="7" t="s">
        <v>513</v>
      </c>
      <c r="M216" s="7"/>
    </row>
    <row r="217" customFormat="false" ht="15" hidden="false" customHeight="true" outlineLevel="0" collapsed="false">
      <c r="A217" s="7" t="s">
        <v>584</v>
      </c>
      <c r="B217" s="15" t="n">
        <v>46264</v>
      </c>
      <c r="C217" s="7" t="s">
        <v>206</v>
      </c>
      <c r="D217" s="7" t="s">
        <v>207</v>
      </c>
      <c r="E217" s="17" t="n">
        <f aca="false">IF(A217="","",SUMIFS(Sales_Items!$H$2:$H$3001,Sales_Items!$A$2:$A$3001,A217))</f>
        <v>1680</v>
      </c>
      <c r="F217" s="13" t="n">
        <v>0</v>
      </c>
      <c r="G217" s="17" t="n">
        <f aca="false">IF(A217="","",E217-N(F217))</f>
        <v>1680</v>
      </c>
      <c r="H217" s="13" t="n">
        <v>1680</v>
      </c>
      <c r="I217" s="17" t="n">
        <f aca="false">IF(A217="","",SUMIFS(Due_Payments!$C$2:$C$1001,Due_Payments!$B$2:$B$1001,A217))</f>
        <v>0</v>
      </c>
      <c r="J217" s="17" t="n">
        <f aca="false">IF(A217="","",G217-N(H217)-I217)</f>
        <v>0</v>
      </c>
      <c r="K217" s="7" t="s">
        <v>13</v>
      </c>
      <c r="L217" s="7" t="s">
        <v>267</v>
      </c>
      <c r="M217" s="7"/>
    </row>
    <row r="218" customFormat="false" ht="15" hidden="false" customHeight="true" outlineLevel="0" collapsed="false">
      <c r="A218" s="7" t="s">
        <v>585</v>
      </c>
      <c r="B218" s="15" t="n">
        <v>46264</v>
      </c>
      <c r="C218" s="7" t="s">
        <v>217</v>
      </c>
      <c r="D218" s="7" t="s">
        <v>218</v>
      </c>
      <c r="E218" s="17" t="n">
        <f aca="false">IF(A218="","",SUMIFS(Sales_Items!$H$2:$H$3001,Sales_Items!$A$2:$A$3001,A218))</f>
        <v>3330</v>
      </c>
      <c r="F218" s="13" t="n">
        <v>0</v>
      </c>
      <c r="G218" s="17" t="n">
        <f aca="false">IF(A218="","",E218-N(F218))</f>
        <v>3330</v>
      </c>
      <c r="H218" s="13" t="n">
        <v>3330</v>
      </c>
      <c r="I218" s="17" t="n">
        <f aca="false">IF(A218="","",SUMIFS(Due_Payments!$C$2:$C$1001,Due_Payments!$B$2:$B$1001,A218))</f>
        <v>0</v>
      </c>
      <c r="J218" s="17" t="n">
        <f aca="false">IF(A218="","",G218-N(H218)-I218)</f>
        <v>0</v>
      </c>
      <c r="K218" s="7" t="s">
        <v>13</v>
      </c>
      <c r="L218" s="7" t="s">
        <v>586</v>
      </c>
      <c r="M218" s="7"/>
    </row>
    <row r="219" customFormat="false" ht="15" hidden="false" customHeight="true" outlineLevel="0" collapsed="false">
      <c r="A219" s="7" t="s">
        <v>587</v>
      </c>
      <c r="B219" s="15" t="n">
        <v>46264</v>
      </c>
      <c r="C219" s="7" t="s">
        <v>282</v>
      </c>
      <c r="D219" s="7" t="s">
        <v>283</v>
      </c>
      <c r="E219" s="17" t="n">
        <f aca="false">IF(A219="","",SUMIFS(Sales_Items!$H$2:$H$3001,Sales_Items!$A$2:$A$3001,A219))</f>
        <v>2520</v>
      </c>
      <c r="F219" s="13" t="n">
        <v>0</v>
      </c>
      <c r="G219" s="17" t="n">
        <f aca="false">IF(A219="","",E219-N(F219))</f>
        <v>2520</v>
      </c>
      <c r="H219" s="13" t="n">
        <v>2520</v>
      </c>
      <c r="I219" s="17" t="n">
        <f aca="false">IF(A219="","",SUMIFS(Due_Payments!$C$2:$C$1001,Due_Payments!$B$2:$B$1001,A219))</f>
        <v>0</v>
      </c>
      <c r="J219" s="17" t="n">
        <f aca="false">IF(A219="","",G219-N(H219)-I219)</f>
        <v>0</v>
      </c>
      <c r="K219" s="7" t="s">
        <v>13</v>
      </c>
      <c r="L219" s="7" t="s">
        <v>588</v>
      </c>
      <c r="M219" s="7"/>
    </row>
    <row r="220" customFormat="false" ht="15" hidden="false" customHeight="true" outlineLevel="0" collapsed="false">
      <c r="A220" s="7" t="s">
        <v>589</v>
      </c>
      <c r="B220" s="15" t="n">
        <v>46265</v>
      </c>
      <c r="C220" s="7" t="s">
        <v>225</v>
      </c>
      <c r="D220" s="7" t="s">
        <v>226</v>
      </c>
      <c r="E220" s="17" t="n">
        <f aca="false">IF(A220="","",SUMIFS(Sales_Items!$H$2:$H$3001,Sales_Items!$A$2:$A$3001,A220))</f>
        <v>780</v>
      </c>
      <c r="F220" s="13" t="n">
        <v>50</v>
      </c>
      <c r="G220" s="17" t="n">
        <f aca="false">IF(A220="","",E220-N(F220))</f>
        <v>730</v>
      </c>
      <c r="H220" s="13" t="n">
        <v>0</v>
      </c>
      <c r="I220" s="17" t="n">
        <f aca="false">IF(A220="","",SUMIFS(Due_Payments!$C$2:$C$1001,Due_Payments!$B$2:$B$1001,A220))</f>
        <v>0</v>
      </c>
      <c r="J220" s="17" t="n">
        <f aca="false">IF(A220="","",G220-N(H220)-I220)</f>
        <v>730</v>
      </c>
      <c r="K220" s="7" t="s">
        <v>13</v>
      </c>
      <c r="L220" s="7" t="s">
        <v>450</v>
      </c>
      <c r="M220" s="7"/>
    </row>
    <row r="221" customFormat="false" ht="15" hidden="false" customHeight="true" outlineLevel="0" collapsed="false">
      <c r="A221" s="7" t="s">
        <v>590</v>
      </c>
      <c r="B221" s="15" t="n">
        <v>46265</v>
      </c>
      <c r="C221" s="7" t="s">
        <v>329</v>
      </c>
      <c r="D221" s="7" t="s">
        <v>330</v>
      </c>
      <c r="E221" s="17" t="n">
        <f aca="false">IF(A221="","",SUMIFS(Sales_Items!$H$2:$H$3001,Sales_Items!$A$2:$A$3001,A221))</f>
        <v>610</v>
      </c>
      <c r="F221" s="13" t="n">
        <v>100</v>
      </c>
      <c r="G221" s="17" t="n">
        <f aca="false">IF(A221="","",E221-N(F221))</f>
        <v>510</v>
      </c>
      <c r="H221" s="13" t="n">
        <v>510</v>
      </c>
      <c r="I221" s="17" t="n">
        <f aca="false">IF(A221="","",SUMIFS(Due_Payments!$C$2:$C$1001,Due_Payments!$B$2:$B$1001,A221))</f>
        <v>0</v>
      </c>
      <c r="J221" s="17" t="n">
        <f aca="false">IF(A221="","",G221-N(H221)-I221)</f>
        <v>0</v>
      </c>
      <c r="K221" s="7" t="s">
        <v>29</v>
      </c>
      <c r="L221" s="7" t="s">
        <v>461</v>
      </c>
      <c r="M221" s="7"/>
    </row>
    <row r="222" customFormat="false" ht="15" hidden="false" customHeight="true" outlineLevel="0" collapsed="false">
      <c r="A222" s="7" t="s">
        <v>591</v>
      </c>
      <c r="B222" s="15" t="n">
        <v>46265</v>
      </c>
      <c r="C222" s="7" t="s">
        <v>282</v>
      </c>
      <c r="D222" s="7" t="s">
        <v>283</v>
      </c>
      <c r="E222" s="17" t="n">
        <f aca="false">IF(A222="","",SUMIFS(Sales_Items!$H$2:$H$3001,Sales_Items!$A$2:$A$3001,A222))</f>
        <v>990</v>
      </c>
      <c r="F222" s="13" t="n">
        <v>0</v>
      </c>
      <c r="G222" s="17" t="n">
        <f aca="false">IF(A222="","",E222-N(F222))</f>
        <v>990</v>
      </c>
      <c r="H222" s="13" t="n">
        <v>990</v>
      </c>
      <c r="I222" s="17" t="n">
        <f aca="false">IF(A222="","",SUMIFS(Due_Payments!$C$2:$C$1001,Due_Payments!$B$2:$B$1001,A222))</f>
        <v>0</v>
      </c>
      <c r="J222" s="17" t="n">
        <f aca="false">IF(A222="","",G222-N(H222)-I222)</f>
        <v>0</v>
      </c>
      <c r="K222" s="7" t="s">
        <v>21</v>
      </c>
      <c r="L222" s="7" t="s">
        <v>208</v>
      </c>
      <c r="M222" s="7"/>
    </row>
    <row r="223" customFormat="false" ht="15" hidden="false" customHeight="true" outlineLevel="0" collapsed="false">
      <c r="A223" s="7" t="s">
        <v>592</v>
      </c>
      <c r="B223" s="15" t="n">
        <v>46265</v>
      </c>
      <c r="C223" s="7" t="s">
        <v>206</v>
      </c>
      <c r="D223" s="7" t="s">
        <v>207</v>
      </c>
      <c r="E223" s="17" t="n">
        <f aca="false">IF(A223="","",SUMIFS(Sales_Items!$H$2:$H$3001,Sales_Items!$A$2:$A$3001,A223))</f>
        <v>570</v>
      </c>
      <c r="F223" s="13" t="n">
        <v>0</v>
      </c>
      <c r="G223" s="17" t="n">
        <f aca="false">IF(A223="","",E223-N(F223))</f>
        <v>570</v>
      </c>
      <c r="H223" s="13" t="n">
        <v>370</v>
      </c>
      <c r="I223" s="17" t="n">
        <f aca="false">IF(A223="","",SUMIFS(Due_Payments!$C$2:$C$1001,Due_Payments!$B$2:$B$1001,A223))</f>
        <v>100</v>
      </c>
      <c r="J223" s="17" t="n">
        <f aca="false">IF(A223="","",G223-N(H223)-I223)</f>
        <v>100</v>
      </c>
      <c r="K223" s="7" t="s">
        <v>21</v>
      </c>
      <c r="L223" s="7" t="s">
        <v>468</v>
      </c>
      <c r="M223" s="7"/>
    </row>
    <row r="224" customFormat="false" ht="15" hidden="false" customHeight="true" outlineLevel="0" collapsed="false">
      <c r="A224" s="7" t="s">
        <v>593</v>
      </c>
      <c r="B224" s="15" t="n">
        <v>46265</v>
      </c>
      <c r="C224" s="7" t="s">
        <v>213</v>
      </c>
      <c r="D224" s="7" t="s">
        <v>214</v>
      </c>
      <c r="E224" s="17" t="n">
        <f aca="false">IF(A224="","",SUMIFS(Sales_Items!$H$2:$H$3001,Sales_Items!$A$2:$A$3001,A224))</f>
        <v>4030</v>
      </c>
      <c r="F224" s="13" t="n">
        <v>0</v>
      </c>
      <c r="G224" s="17" t="n">
        <f aca="false">IF(A224="","",E224-N(F224))</f>
        <v>4030</v>
      </c>
      <c r="H224" s="13" t="n">
        <v>4030</v>
      </c>
      <c r="I224" s="17" t="n">
        <f aca="false">IF(A224="","",SUMIFS(Due_Payments!$C$2:$C$1001,Due_Payments!$B$2:$B$1001,A224))</f>
        <v>0</v>
      </c>
      <c r="J224" s="17" t="n">
        <f aca="false">IF(A224="","",G224-N(H224)-I224)</f>
        <v>0</v>
      </c>
      <c r="K224" s="7" t="s">
        <v>13</v>
      </c>
      <c r="L224" s="7" t="s">
        <v>594</v>
      </c>
      <c r="M224" s="7"/>
    </row>
    <row r="225" customFormat="false" ht="15" hidden="false" customHeight="true" outlineLevel="0" collapsed="false">
      <c r="A225" s="7" t="s">
        <v>595</v>
      </c>
      <c r="B225" s="15" t="n">
        <v>46265</v>
      </c>
      <c r="C225" s="7" t="s">
        <v>293</v>
      </c>
      <c r="D225" s="7" t="s">
        <v>294</v>
      </c>
      <c r="E225" s="17" t="n">
        <f aca="false">IF(A225="","",SUMIFS(Sales_Items!$H$2:$H$3001,Sales_Items!$A$2:$A$3001,A225))</f>
        <v>2460</v>
      </c>
      <c r="F225" s="13" t="n">
        <v>0</v>
      </c>
      <c r="G225" s="17" t="n">
        <f aca="false">IF(A225="","",E225-N(F225))</f>
        <v>2460</v>
      </c>
      <c r="H225" s="13" t="n">
        <v>2460</v>
      </c>
      <c r="I225" s="17" t="n">
        <f aca="false">IF(A225="","",SUMIFS(Due_Payments!$C$2:$C$1001,Due_Payments!$B$2:$B$1001,A225))</f>
        <v>0</v>
      </c>
      <c r="J225" s="17" t="n">
        <f aca="false">IF(A225="","",G225-N(H225)-I225)</f>
        <v>0</v>
      </c>
      <c r="K225" s="7" t="s">
        <v>13</v>
      </c>
      <c r="L225" s="7" t="s">
        <v>596</v>
      </c>
      <c r="M225" s="7"/>
    </row>
    <row r="226" customFormat="false" ht="15" hidden="false" customHeight="true" outlineLevel="0" collapsed="false">
      <c r="A226" s="7" t="s">
        <v>597</v>
      </c>
      <c r="B226" s="15" t="n">
        <v>46265</v>
      </c>
      <c r="C226" s="7" t="s">
        <v>217</v>
      </c>
      <c r="D226" s="7" t="s">
        <v>218</v>
      </c>
      <c r="E226" s="17" t="n">
        <f aca="false">IF(A226="","",SUMIFS(Sales_Items!$H$2:$H$3001,Sales_Items!$A$2:$A$3001,A226))</f>
        <v>380</v>
      </c>
      <c r="F226" s="13" t="n">
        <v>0</v>
      </c>
      <c r="G226" s="17" t="n">
        <f aca="false">IF(A226="","",E226-N(F226))</f>
        <v>380</v>
      </c>
      <c r="H226" s="13" t="n">
        <v>0</v>
      </c>
      <c r="I226" s="17" t="n">
        <f aca="false">IF(A226="","",SUMIFS(Due_Payments!$C$2:$C$1001,Due_Payments!$B$2:$B$1001,A226))</f>
        <v>190</v>
      </c>
      <c r="J226" s="17" t="n">
        <f aca="false">IF(A226="","",G226-N(H226)-I226)</f>
        <v>190</v>
      </c>
      <c r="K226" s="7" t="s">
        <v>21</v>
      </c>
      <c r="L226" s="7" t="s">
        <v>223</v>
      </c>
      <c r="M226" s="7"/>
    </row>
    <row r="227" customFormat="false" ht="15" hidden="false" customHeight="true" outlineLevel="0" collapsed="false">
      <c r="A227" s="7" t="s">
        <v>598</v>
      </c>
      <c r="B227" s="15" t="n">
        <v>46265</v>
      </c>
      <c r="C227" s="7" t="s">
        <v>300</v>
      </c>
      <c r="D227" s="7" t="s">
        <v>301</v>
      </c>
      <c r="E227" s="17" t="n">
        <f aca="false">IF(A227="","",SUMIFS(Sales_Items!$H$2:$H$3001,Sales_Items!$A$2:$A$3001,A227))</f>
        <v>270</v>
      </c>
      <c r="F227" s="13" t="n">
        <v>10</v>
      </c>
      <c r="G227" s="17" t="n">
        <f aca="false">IF(A227="","",E227-N(F227))</f>
        <v>260</v>
      </c>
      <c r="H227" s="13" t="n">
        <v>0</v>
      </c>
      <c r="I227" s="17" t="n">
        <f aca="false">IF(A227="","",SUMIFS(Due_Payments!$C$2:$C$1001,Due_Payments!$B$2:$B$1001,A227))</f>
        <v>130</v>
      </c>
      <c r="J227" s="17" t="n">
        <f aca="false">IF(A227="","",G227-N(H227)-I227)</f>
        <v>130</v>
      </c>
      <c r="K227" s="7" t="s">
        <v>13</v>
      </c>
      <c r="L227" s="7" t="s">
        <v>265</v>
      </c>
      <c r="M227" s="7"/>
    </row>
    <row r="228" customFormat="false" ht="15" hidden="false" customHeight="true" outlineLevel="0" collapsed="false">
      <c r="A228" s="7" t="s">
        <v>599</v>
      </c>
      <c r="B228" s="15" t="n">
        <v>46266</v>
      </c>
      <c r="C228" s="7" t="s">
        <v>378</v>
      </c>
      <c r="D228" s="7" t="s">
        <v>379</v>
      </c>
      <c r="E228" s="17" t="n">
        <f aca="false">IF(A228="","",SUMIFS(Sales_Items!$H$2:$H$3001,Sales_Items!$A$2:$A$3001,A228))</f>
        <v>280</v>
      </c>
      <c r="F228" s="13" t="n">
        <v>0</v>
      </c>
      <c r="G228" s="17" t="n">
        <f aca="false">IF(A228="","",E228-N(F228))</f>
        <v>280</v>
      </c>
      <c r="H228" s="13" t="n">
        <v>170</v>
      </c>
      <c r="I228" s="17" t="n">
        <f aca="false">IF(A228="","",SUMIFS(Due_Payments!$C$2:$C$1001,Due_Payments!$B$2:$B$1001,A228))</f>
        <v>0</v>
      </c>
      <c r="J228" s="17" t="n">
        <f aca="false">IF(A228="","",G228-N(H228)-I228)</f>
        <v>110</v>
      </c>
      <c r="K228" s="7" t="s">
        <v>13</v>
      </c>
      <c r="L228" s="7" t="s">
        <v>235</v>
      </c>
      <c r="M228" s="7"/>
    </row>
    <row r="229" customFormat="false" ht="15" hidden="false" customHeight="true" outlineLevel="0" collapsed="false">
      <c r="A229" s="7" t="s">
        <v>600</v>
      </c>
      <c r="B229" s="15" t="n">
        <v>46266</v>
      </c>
      <c r="C229" s="7" t="s">
        <v>229</v>
      </c>
      <c r="D229" s="7" t="s">
        <v>230</v>
      </c>
      <c r="E229" s="17" t="n">
        <f aca="false">IF(A229="","",SUMIFS(Sales_Items!$H$2:$H$3001,Sales_Items!$A$2:$A$3001,A229))</f>
        <v>1980</v>
      </c>
      <c r="F229" s="13" t="n">
        <v>0</v>
      </c>
      <c r="G229" s="17" t="n">
        <f aca="false">IF(A229="","",E229-N(F229))</f>
        <v>1980</v>
      </c>
      <c r="H229" s="13" t="n">
        <v>1980</v>
      </c>
      <c r="I229" s="17" t="n">
        <f aca="false">IF(A229="","",SUMIFS(Due_Payments!$C$2:$C$1001,Due_Payments!$B$2:$B$1001,A229))</f>
        <v>0</v>
      </c>
      <c r="J229" s="17" t="n">
        <f aca="false">IF(A229="","",G229-N(H229)-I229)</f>
        <v>0</v>
      </c>
      <c r="K229" s="7" t="s">
        <v>37</v>
      </c>
      <c r="L229" s="7" t="s">
        <v>305</v>
      </c>
      <c r="M229" s="7"/>
    </row>
    <row r="230" customFormat="false" ht="15" hidden="false" customHeight="true" outlineLevel="0" collapsed="false">
      <c r="A230" s="7" t="s">
        <v>601</v>
      </c>
      <c r="B230" s="15" t="n">
        <v>46266</v>
      </c>
      <c r="C230" s="7" t="s">
        <v>329</v>
      </c>
      <c r="D230" s="7" t="s">
        <v>330</v>
      </c>
      <c r="E230" s="17" t="n">
        <f aca="false">IF(A230="","",SUMIFS(Sales_Items!$H$2:$H$3001,Sales_Items!$A$2:$A$3001,A230))</f>
        <v>380</v>
      </c>
      <c r="F230" s="13" t="n">
        <v>10</v>
      </c>
      <c r="G230" s="17" t="n">
        <f aca="false">IF(A230="","",E230-N(F230))</f>
        <v>370</v>
      </c>
      <c r="H230" s="13" t="n">
        <v>370</v>
      </c>
      <c r="I230" s="17" t="n">
        <f aca="false">IF(A230="","",SUMIFS(Due_Payments!$C$2:$C$1001,Due_Payments!$B$2:$B$1001,A230))</f>
        <v>0</v>
      </c>
      <c r="J230" s="17" t="n">
        <f aca="false">IF(A230="","",G230-N(H230)-I230)</f>
        <v>0</v>
      </c>
      <c r="K230" s="7" t="s">
        <v>29</v>
      </c>
      <c r="L230" s="7" t="s">
        <v>252</v>
      </c>
      <c r="M230" s="7"/>
    </row>
    <row r="231" customFormat="false" ht="15" hidden="false" customHeight="true" outlineLevel="0" collapsed="false">
      <c r="A231" s="7" t="s">
        <v>602</v>
      </c>
      <c r="B231" s="15" t="n">
        <v>46266</v>
      </c>
      <c r="C231" s="7" t="s">
        <v>256</v>
      </c>
      <c r="D231" s="7" t="s">
        <v>257</v>
      </c>
      <c r="E231" s="17" t="n">
        <f aca="false">IF(A231="","",SUMIFS(Sales_Items!$H$2:$H$3001,Sales_Items!$A$2:$A$3001,A231))</f>
        <v>1090</v>
      </c>
      <c r="F231" s="13" t="n">
        <v>30</v>
      </c>
      <c r="G231" s="17" t="n">
        <f aca="false">IF(A231="","",E231-N(F231))</f>
        <v>1060</v>
      </c>
      <c r="H231" s="13" t="n">
        <v>0</v>
      </c>
      <c r="I231" s="17" t="n">
        <f aca="false">IF(A231="","",SUMIFS(Due_Payments!$C$2:$C$1001,Due_Payments!$B$2:$B$1001,A231))</f>
        <v>1060</v>
      </c>
      <c r="J231" s="17" t="n">
        <f aca="false">IF(A231="","",G231-N(H231)-I231)</f>
        <v>0</v>
      </c>
      <c r="K231" s="7" t="s">
        <v>21</v>
      </c>
      <c r="L231" s="7" t="s">
        <v>603</v>
      </c>
      <c r="M231" s="7"/>
    </row>
    <row r="232" customFormat="false" ht="15" hidden="false" customHeight="true" outlineLevel="0" collapsed="false">
      <c r="A232" s="7" t="s">
        <v>604</v>
      </c>
      <c r="B232" s="15" t="n">
        <v>46266</v>
      </c>
      <c r="C232" s="7" t="s">
        <v>350</v>
      </c>
      <c r="D232" s="7" t="s">
        <v>351</v>
      </c>
      <c r="E232" s="17" t="n">
        <f aca="false">IF(A232="","",SUMIFS(Sales_Items!$H$2:$H$3001,Sales_Items!$A$2:$A$3001,A232))</f>
        <v>270</v>
      </c>
      <c r="F232" s="13" t="n">
        <v>0</v>
      </c>
      <c r="G232" s="17" t="n">
        <f aca="false">IF(A232="","",E232-N(F232))</f>
        <v>270</v>
      </c>
      <c r="H232" s="13" t="n">
        <v>270</v>
      </c>
      <c r="I232" s="17" t="n">
        <f aca="false">IF(A232="","",SUMIFS(Due_Payments!$C$2:$C$1001,Due_Payments!$B$2:$B$1001,A232))</f>
        <v>0</v>
      </c>
      <c r="J232" s="17" t="n">
        <f aca="false">IF(A232="","",G232-N(H232)-I232)</f>
        <v>0</v>
      </c>
      <c r="K232" s="7" t="s">
        <v>13</v>
      </c>
      <c r="L232" s="7" t="s">
        <v>337</v>
      </c>
      <c r="M232" s="7"/>
    </row>
    <row r="233" customFormat="false" ht="15" hidden="false" customHeight="true" outlineLevel="0" collapsed="false">
      <c r="A233" s="7" t="s">
        <v>605</v>
      </c>
      <c r="B233" s="15" t="n">
        <v>46266</v>
      </c>
      <c r="C233" s="7" t="s">
        <v>344</v>
      </c>
      <c r="D233" s="7" t="s">
        <v>345</v>
      </c>
      <c r="E233" s="17" t="n">
        <f aca="false">IF(A233="","",SUMIFS(Sales_Items!$H$2:$H$3001,Sales_Items!$A$2:$A$3001,A233))</f>
        <v>3130</v>
      </c>
      <c r="F233" s="13" t="n">
        <v>100</v>
      </c>
      <c r="G233" s="17" t="n">
        <f aca="false">IF(A233="","",E233-N(F233))</f>
        <v>3030</v>
      </c>
      <c r="H233" s="13" t="n">
        <v>3030</v>
      </c>
      <c r="I233" s="17" t="n">
        <f aca="false">IF(A233="","",SUMIFS(Due_Payments!$C$2:$C$1001,Due_Payments!$B$2:$B$1001,A233))</f>
        <v>0</v>
      </c>
      <c r="J233" s="17" t="n">
        <f aca="false">IF(A233="","",G233-N(H233)-I233)</f>
        <v>0</v>
      </c>
      <c r="K233" s="7" t="s">
        <v>21</v>
      </c>
      <c r="L233" s="7" t="s">
        <v>606</v>
      </c>
      <c r="M233" s="7"/>
    </row>
    <row r="234" customFormat="false" ht="15" hidden="false" customHeight="true" outlineLevel="0" collapsed="false">
      <c r="A234" s="7" t="s">
        <v>607</v>
      </c>
      <c r="B234" s="15" t="n">
        <v>46266</v>
      </c>
      <c r="C234" s="7" t="s">
        <v>263</v>
      </c>
      <c r="D234" s="7" t="s">
        <v>264</v>
      </c>
      <c r="E234" s="17" t="n">
        <f aca="false">IF(A234="","",SUMIFS(Sales_Items!$H$2:$H$3001,Sales_Items!$A$2:$A$3001,A234))</f>
        <v>480</v>
      </c>
      <c r="F234" s="13" t="n">
        <v>0</v>
      </c>
      <c r="G234" s="17" t="n">
        <f aca="false">IF(A234="","",E234-N(F234))</f>
        <v>480</v>
      </c>
      <c r="H234" s="13" t="n">
        <v>480</v>
      </c>
      <c r="I234" s="17" t="n">
        <f aca="false">IF(A234="","",SUMIFS(Due_Payments!$C$2:$C$1001,Due_Payments!$B$2:$B$1001,A234))</f>
        <v>0</v>
      </c>
      <c r="J234" s="17" t="n">
        <f aca="false">IF(A234="","",G234-N(H234)-I234)</f>
        <v>0</v>
      </c>
      <c r="K234" s="7" t="s">
        <v>13</v>
      </c>
      <c r="L234" s="7" t="s">
        <v>254</v>
      </c>
      <c r="M234" s="7"/>
    </row>
    <row r="235" customFormat="false" ht="15" hidden="false" customHeight="true" outlineLevel="0" collapsed="false">
      <c r="A235" s="7" t="s">
        <v>608</v>
      </c>
      <c r="B235" s="15" t="n">
        <v>46267</v>
      </c>
      <c r="C235" s="7" t="s">
        <v>206</v>
      </c>
      <c r="D235" s="7" t="s">
        <v>207</v>
      </c>
      <c r="E235" s="17" t="n">
        <f aca="false">IF(A235="","",SUMIFS(Sales_Items!$H$2:$H$3001,Sales_Items!$A$2:$A$3001,A235))</f>
        <v>240</v>
      </c>
      <c r="F235" s="13" t="n">
        <v>100</v>
      </c>
      <c r="G235" s="17" t="n">
        <f aca="false">IF(A235="","",E235-N(F235))</f>
        <v>140</v>
      </c>
      <c r="H235" s="13" t="n">
        <v>140</v>
      </c>
      <c r="I235" s="17" t="n">
        <f aca="false">IF(A235="","",SUMIFS(Due_Payments!$C$2:$C$1001,Due_Payments!$B$2:$B$1001,A235))</f>
        <v>0</v>
      </c>
      <c r="J235" s="17" t="n">
        <f aca="false">IF(A235="","",G235-N(H235)-I235)</f>
        <v>0</v>
      </c>
      <c r="K235" s="7" t="s">
        <v>21</v>
      </c>
      <c r="L235" s="7" t="s">
        <v>500</v>
      </c>
      <c r="M235" s="7"/>
    </row>
    <row r="236" customFormat="false" ht="15" hidden="false" customHeight="true" outlineLevel="0" collapsed="false">
      <c r="A236" s="7" t="s">
        <v>609</v>
      </c>
      <c r="B236" s="15" t="n">
        <v>46267</v>
      </c>
      <c r="C236" s="7" t="s">
        <v>282</v>
      </c>
      <c r="D236" s="7" t="s">
        <v>283</v>
      </c>
      <c r="E236" s="17" t="n">
        <f aca="false">IF(A236="","",SUMIFS(Sales_Items!$H$2:$H$3001,Sales_Items!$A$2:$A$3001,A236))</f>
        <v>950</v>
      </c>
      <c r="F236" s="13" t="n">
        <v>50</v>
      </c>
      <c r="G236" s="17" t="n">
        <f aca="false">IF(A236="","",E236-N(F236))</f>
        <v>900</v>
      </c>
      <c r="H236" s="13" t="n">
        <v>900</v>
      </c>
      <c r="I236" s="17" t="n">
        <f aca="false">IF(A236="","",SUMIFS(Due_Payments!$C$2:$C$1001,Due_Payments!$B$2:$B$1001,A236))</f>
        <v>0</v>
      </c>
      <c r="J236" s="17" t="n">
        <f aca="false">IF(A236="","",G236-N(H236)-I236)</f>
        <v>0</v>
      </c>
      <c r="K236" s="7" t="s">
        <v>13</v>
      </c>
      <c r="L236" s="7" t="s">
        <v>610</v>
      </c>
      <c r="M236" s="7"/>
    </row>
    <row r="237" customFormat="false" ht="15" hidden="false" customHeight="true" outlineLevel="0" collapsed="false">
      <c r="A237" s="7" t="s">
        <v>611</v>
      </c>
      <c r="B237" s="15" t="n">
        <v>46267</v>
      </c>
      <c r="C237" s="7" t="s">
        <v>225</v>
      </c>
      <c r="D237" s="7" t="s">
        <v>226</v>
      </c>
      <c r="E237" s="17" t="n">
        <f aca="false">IF(A237="","",SUMIFS(Sales_Items!$H$2:$H$3001,Sales_Items!$A$2:$A$3001,A237))</f>
        <v>3350</v>
      </c>
      <c r="F237" s="13" t="n">
        <v>100</v>
      </c>
      <c r="G237" s="17" t="n">
        <f aca="false">IF(A237="","",E237-N(F237))</f>
        <v>3250</v>
      </c>
      <c r="H237" s="13" t="n">
        <v>3250</v>
      </c>
      <c r="I237" s="17" t="n">
        <f aca="false">IF(A237="","",SUMIFS(Due_Payments!$C$2:$C$1001,Due_Payments!$B$2:$B$1001,A237))</f>
        <v>0</v>
      </c>
      <c r="J237" s="17" t="n">
        <f aca="false">IF(A237="","",G237-N(H237)-I237)</f>
        <v>0</v>
      </c>
      <c r="K237" s="7" t="s">
        <v>29</v>
      </c>
      <c r="L237" s="7" t="s">
        <v>612</v>
      </c>
      <c r="M237" s="7"/>
    </row>
    <row r="238" customFormat="false" ht="15" hidden="false" customHeight="true" outlineLevel="0" collapsed="false">
      <c r="A238" s="7" t="s">
        <v>613</v>
      </c>
      <c r="B238" s="15" t="n">
        <v>46267</v>
      </c>
      <c r="C238" s="7" t="s">
        <v>210</v>
      </c>
      <c r="D238" s="7" t="s">
        <v>211</v>
      </c>
      <c r="E238" s="17" t="n">
        <f aca="false">IF(A238="","",SUMIFS(Sales_Items!$H$2:$H$3001,Sales_Items!$A$2:$A$3001,A238))</f>
        <v>670</v>
      </c>
      <c r="F238" s="13" t="n">
        <v>0</v>
      </c>
      <c r="G238" s="17" t="n">
        <f aca="false">IF(A238="","",E238-N(F238))</f>
        <v>670</v>
      </c>
      <c r="H238" s="13" t="n">
        <v>350</v>
      </c>
      <c r="I238" s="17" t="n">
        <f aca="false">IF(A238="","",SUMIFS(Due_Payments!$C$2:$C$1001,Due_Payments!$B$2:$B$1001,A238))</f>
        <v>320</v>
      </c>
      <c r="J238" s="17" t="n">
        <f aca="false">IF(A238="","",G238-N(H238)-I238)</f>
        <v>0</v>
      </c>
      <c r="K238" s="7" t="s">
        <v>13</v>
      </c>
      <c r="L238" s="7" t="s">
        <v>614</v>
      </c>
      <c r="M238" s="7"/>
    </row>
    <row r="239" customFormat="false" ht="15" hidden="false" customHeight="true" outlineLevel="0" collapsed="false">
      <c r="A239" s="7" t="s">
        <v>615</v>
      </c>
      <c r="B239" s="15" t="n">
        <v>46267</v>
      </c>
      <c r="C239" s="7" t="s">
        <v>285</v>
      </c>
      <c r="D239" s="7" t="s">
        <v>286</v>
      </c>
      <c r="E239" s="17" t="n">
        <f aca="false">IF(A239="","",SUMIFS(Sales_Items!$H$2:$H$3001,Sales_Items!$A$2:$A$3001,A239))</f>
        <v>570</v>
      </c>
      <c r="F239" s="13" t="n">
        <v>0</v>
      </c>
      <c r="G239" s="17" t="n">
        <f aca="false">IF(A239="","",E239-N(F239))</f>
        <v>570</v>
      </c>
      <c r="H239" s="13" t="n">
        <v>280</v>
      </c>
      <c r="I239" s="17" t="n">
        <f aca="false">IF(A239="","",SUMIFS(Due_Payments!$C$2:$C$1001,Due_Payments!$B$2:$B$1001,A239))</f>
        <v>0</v>
      </c>
      <c r="J239" s="17" t="n">
        <f aca="false">IF(A239="","",G239-N(H239)-I239)</f>
        <v>290</v>
      </c>
      <c r="K239" s="7" t="s">
        <v>29</v>
      </c>
      <c r="L239" s="7" t="s">
        <v>468</v>
      </c>
      <c r="M239" s="7"/>
    </row>
    <row r="240" customFormat="false" ht="15" hidden="false" customHeight="true" outlineLevel="0" collapsed="false">
      <c r="A240" s="7" t="s">
        <v>616</v>
      </c>
      <c r="B240" s="15" t="n">
        <v>46267</v>
      </c>
      <c r="C240" s="7" t="s">
        <v>229</v>
      </c>
      <c r="D240" s="7" t="s">
        <v>230</v>
      </c>
      <c r="E240" s="17" t="n">
        <f aca="false">IF(A240="","",SUMIFS(Sales_Items!$H$2:$H$3001,Sales_Items!$A$2:$A$3001,A240))</f>
        <v>560</v>
      </c>
      <c r="F240" s="13" t="n">
        <v>0</v>
      </c>
      <c r="G240" s="17" t="n">
        <f aca="false">IF(A240="","",E240-N(F240))</f>
        <v>560</v>
      </c>
      <c r="H240" s="13" t="n">
        <v>560</v>
      </c>
      <c r="I240" s="17" t="n">
        <f aca="false">IF(A240="","",SUMIFS(Due_Payments!$C$2:$C$1001,Due_Payments!$B$2:$B$1001,A240))</f>
        <v>0</v>
      </c>
      <c r="J240" s="17" t="n">
        <f aca="false">IF(A240="","",G240-N(H240)-I240)</f>
        <v>0</v>
      </c>
      <c r="K240" s="7" t="s">
        <v>21</v>
      </c>
      <c r="L240" s="7" t="s">
        <v>409</v>
      </c>
      <c r="M240" s="7"/>
    </row>
    <row r="241" customFormat="false" ht="15" hidden="false" customHeight="true" outlineLevel="0" collapsed="false">
      <c r="A241" s="7" t="s">
        <v>617</v>
      </c>
      <c r="B241" s="15" t="n">
        <v>46267</v>
      </c>
      <c r="C241" s="7" t="s">
        <v>229</v>
      </c>
      <c r="D241" s="7" t="s">
        <v>230</v>
      </c>
      <c r="E241" s="17" t="n">
        <f aca="false">IF(A241="","",SUMIFS(Sales_Items!$H$2:$H$3001,Sales_Items!$A$2:$A$3001,A241))</f>
        <v>2420</v>
      </c>
      <c r="F241" s="13" t="n">
        <v>0</v>
      </c>
      <c r="G241" s="17" t="n">
        <f aca="false">IF(A241="","",E241-N(F241))</f>
        <v>2420</v>
      </c>
      <c r="H241" s="13" t="n">
        <v>2420</v>
      </c>
      <c r="I241" s="17" t="n">
        <f aca="false">IF(A241="","",SUMIFS(Due_Payments!$C$2:$C$1001,Due_Payments!$B$2:$B$1001,A241))</f>
        <v>0</v>
      </c>
      <c r="J241" s="17" t="n">
        <f aca="false">IF(A241="","",G241-N(H241)-I241)</f>
        <v>0</v>
      </c>
      <c r="K241" s="7" t="s">
        <v>13</v>
      </c>
      <c r="L241" s="7" t="s">
        <v>618</v>
      </c>
      <c r="M241" s="7"/>
    </row>
    <row r="242" customFormat="false" ht="15" hidden="false" customHeight="true" outlineLevel="0" collapsed="false">
      <c r="A242" s="7" t="s">
        <v>619</v>
      </c>
      <c r="B242" s="15" t="n">
        <v>46267</v>
      </c>
      <c r="C242" s="7" t="s">
        <v>198</v>
      </c>
      <c r="D242" s="7" t="s">
        <v>199</v>
      </c>
      <c r="E242" s="17" t="n">
        <f aca="false">IF(A242="","",SUMIFS(Sales_Items!$H$2:$H$3001,Sales_Items!$A$2:$A$3001,A242))</f>
        <v>960</v>
      </c>
      <c r="F242" s="13" t="n">
        <v>0</v>
      </c>
      <c r="G242" s="17" t="n">
        <f aca="false">IF(A242="","",E242-N(F242))</f>
        <v>960</v>
      </c>
      <c r="H242" s="13" t="n">
        <v>960</v>
      </c>
      <c r="I242" s="17" t="n">
        <f aca="false">IF(A242="","",SUMIFS(Due_Payments!$C$2:$C$1001,Due_Payments!$B$2:$B$1001,A242))</f>
        <v>0</v>
      </c>
      <c r="J242" s="17" t="n">
        <f aca="false">IF(A242="","",G242-N(H242)-I242)</f>
        <v>0</v>
      </c>
      <c r="K242" s="7" t="s">
        <v>29</v>
      </c>
      <c r="L242" s="7" t="s">
        <v>513</v>
      </c>
      <c r="M242" s="7"/>
    </row>
    <row r="243" customFormat="false" ht="15" hidden="false" customHeight="true" outlineLevel="0" collapsed="false">
      <c r="A243" s="7" t="s">
        <v>620</v>
      </c>
      <c r="B243" s="15" t="n">
        <v>46267</v>
      </c>
      <c r="C243" s="7" t="s">
        <v>300</v>
      </c>
      <c r="D243" s="7" t="s">
        <v>301</v>
      </c>
      <c r="E243" s="17" t="n">
        <f aca="false">IF(A243="","",SUMIFS(Sales_Items!$H$2:$H$3001,Sales_Items!$A$2:$A$3001,A243))</f>
        <v>1070</v>
      </c>
      <c r="F243" s="13" t="n">
        <v>0</v>
      </c>
      <c r="G243" s="17" t="n">
        <f aca="false">IF(A243="","",E243-N(F243))</f>
        <v>1070</v>
      </c>
      <c r="H243" s="13" t="n">
        <v>1070</v>
      </c>
      <c r="I243" s="17" t="n">
        <f aca="false">IF(A243="","",SUMIFS(Due_Payments!$C$2:$C$1001,Due_Payments!$B$2:$B$1001,A243))</f>
        <v>0</v>
      </c>
      <c r="J243" s="17" t="n">
        <f aca="false">IF(A243="","",G243-N(H243)-I243)</f>
        <v>0</v>
      </c>
      <c r="K243" s="7" t="s">
        <v>13</v>
      </c>
      <c r="L243" s="7" t="s">
        <v>621</v>
      </c>
      <c r="M243" s="7"/>
    </row>
    <row r="244" customFormat="false" ht="15" hidden="false" customHeight="true" outlineLevel="0" collapsed="false">
      <c r="A244" s="7" t="s">
        <v>622</v>
      </c>
      <c r="B244" s="15" t="n">
        <v>46268</v>
      </c>
      <c r="C244" s="7" t="s">
        <v>256</v>
      </c>
      <c r="D244" s="7" t="s">
        <v>257</v>
      </c>
      <c r="E244" s="17" t="n">
        <f aca="false">IF(A244="","",SUMIFS(Sales_Items!$H$2:$H$3001,Sales_Items!$A$2:$A$3001,A244))</f>
        <v>480</v>
      </c>
      <c r="F244" s="13" t="n">
        <v>100</v>
      </c>
      <c r="G244" s="17" t="n">
        <f aca="false">IF(A244="","",E244-N(F244))</f>
        <v>380</v>
      </c>
      <c r="H244" s="13" t="n">
        <v>380</v>
      </c>
      <c r="I244" s="17" t="n">
        <f aca="false">IF(A244="","",SUMIFS(Due_Payments!$C$2:$C$1001,Due_Payments!$B$2:$B$1001,A244))</f>
        <v>0</v>
      </c>
      <c r="J244" s="17" t="n">
        <f aca="false">IF(A244="","",G244-N(H244)-I244)</f>
        <v>0</v>
      </c>
      <c r="K244" s="7" t="s">
        <v>21</v>
      </c>
      <c r="L244" s="7" t="s">
        <v>223</v>
      </c>
      <c r="M244" s="7"/>
    </row>
    <row r="245" customFormat="false" ht="15" hidden="false" customHeight="true" outlineLevel="0" collapsed="false">
      <c r="A245" s="7" t="s">
        <v>623</v>
      </c>
      <c r="B245" s="15" t="n">
        <v>46268</v>
      </c>
      <c r="C245" s="7" t="s">
        <v>225</v>
      </c>
      <c r="D245" s="7" t="s">
        <v>226</v>
      </c>
      <c r="E245" s="17" t="n">
        <f aca="false">IF(A245="","",SUMIFS(Sales_Items!$H$2:$H$3001,Sales_Items!$A$2:$A$3001,A245))</f>
        <v>3020</v>
      </c>
      <c r="F245" s="13" t="n">
        <v>0</v>
      </c>
      <c r="G245" s="17" t="n">
        <f aca="false">IF(A245="","",E245-N(F245))</f>
        <v>3020</v>
      </c>
      <c r="H245" s="13" t="n">
        <v>3020</v>
      </c>
      <c r="I245" s="17" t="n">
        <f aca="false">IF(A245="","",SUMIFS(Due_Payments!$C$2:$C$1001,Due_Payments!$B$2:$B$1001,A245))</f>
        <v>0</v>
      </c>
      <c r="J245" s="17" t="n">
        <f aca="false">IF(A245="","",G245-N(H245)-I245)</f>
        <v>0</v>
      </c>
      <c r="K245" s="7" t="s">
        <v>21</v>
      </c>
      <c r="L245" s="7" t="s">
        <v>624</v>
      </c>
      <c r="M245" s="7"/>
    </row>
    <row r="246" customFormat="false" ht="15" hidden="false" customHeight="true" outlineLevel="0" collapsed="false">
      <c r="A246" s="7" t="s">
        <v>625</v>
      </c>
      <c r="B246" s="15" t="n">
        <v>46268</v>
      </c>
      <c r="C246" s="7" t="s">
        <v>217</v>
      </c>
      <c r="D246" s="7" t="s">
        <v>218</v>
      </c>
      <c r="E246" s="17" t="n">
        <f aca="false">IF(A246="","",SUMIFS(Sales_Items!$H$2:$H$3001,Sales_Items!$A$2:$A$3001,A246))</f>
        <v>560</v>
      </c>
      <c r="F246" s="13" t="n">
        <v>0</v>
      </c>
      <c r="G246" s="17" t="n">
        <f aca="false">IF(A246="","",E246-N(F246))</f>
        <v>560</v>
      </c>
      <c r="H246" s="13" t="n">
        <v>330</v>
      </c>
      <c r="I246" s="17" t="n">
        <f aca="false">IF(A246="","",SUMIFS(Due_Payments!$C$2:$C$1001,Due_Payments!$B$2:$B$1001,A246))</f>
        <v>0</v>
      </c>
      <c r="J246" s="17" t="n">
        <f aca="false">IF(A246="","",G246-N(H246)-I246)</f>
        <v>230</v>
      </c>
      <c r="K246" s="7" t="s">
        <v>21</v>
      </c>
      <c r="L246" s="7" t="s">
        <v>409</v>
      </c>
      <c r="M246" s="7"/>
    </row>
    <row r="247" customFormat="false" ht="15" hidden="false" customHeight="true" outlineLevel="0" collapsed="false">
      <c r="A247" s="7" t="s">
        <v>626</v>
      </c>
      <c r="B247" s="15" t="n">
        <v>46268</v>
      </c>
      <c r="C247" s="7" t="s">
        <v>256</v>
      </c>
      <c r="D247" s="7" t="s">
        <v>257</v>
      </c>
      <c r="E247" s="17" t="n">
        <f aca="false">IF(A247="","",SUMIFS(Sales_Items!$H$2:$H$3001,Sales_Items!$A$2:$A$3001,A247))</f>
        <v>3210</v>
      </c>
      <c r="F247" s="13" t="n">
        <v>0</v>
      </c>
      <c r="G247" s="17" t="n">
        <f aca="false">IF(A247="","",E247-N(F247))</f>
        <v>3210</v>
      </c>
      <c r="H247" s="13" t="n">
        <v>3210</v>
      </c>
      <c r="I247" s="17" t="n">
        <f aca="false">IF(A247="","",SUMIFS(Due_Payments!$C$2:$C$1001,Due_Payments!$B$2:$B$1001,A247))</f>
        <v>0</v>
      </c>
      <c r="J247" s="17" t="n">
        <f aca="false">IF(A247="","",G247-N(H247)-I247)</f>
        <v>0</v>
      </c>
      <c r="K247" s="7" t="s">
        <v>21</v>
      </c>
      <c r="L247" s="7" t="s">
        <v>627</v>
      </c>
      <c r="M247" s="7"/>
    </row>
    <row r="248" customFormat="false" ht="15" hidden="false" customHeight="true" outlineLevel="0" collapsed="false">
      <c r="A248" s="7" t="s">
        <v>628</v>
      </c>
      <c r="B248" s="15" t="n">
        <v>46268</v>
      </c>
      <c r="C248" s="7" t="s">
        <v>378</v>
      </c>
      <c r="D248" s="7" t="s">
        <v>379</v>
      </c>
      <c r="E248" s="17" t="n">
        <f aca="false">IF(A248="","",SUMIFS(Sales_Items!$H$2:$H$3001,Sales_Items!$A$2:$A$3001,A248))</f>
        <v>1630</v>
      </c>
      <c r="F248" s="13" t="n">
        <v>50</v>
      </c>
      <c r="G248" s="17" t="n">
        <f aca="false">IF(A248="","",E248-N(F248))</f>
        <v>1580</v>
      </c>
      <c r="H248" s="13" t="n">
        <v>1580</v>
      </c>
      <c r="I248" s="17" t="n">
        <f aca="false">IF(A248="","",SUMIFS(Due_Payments!$C$2:$C$1001,Due_Payments!$B$2:$B$1001,A248))</f>
        <v>0</v>
      </c>
      <c r="J248" s="17" t="n">
        <f aca="false">IF(A248="","",G248-N(H248)-I248)</f>
        <v>0</v>
      </c>
      <c r="K248" s="7" t="s">
        <v>13</v>
      </c>
      <c r="L248" s="7" t="s">
        <v>629</v>
      </c>
      <c r="M248" s="7"/>
    </row>
    <row r="249" customFormat="false" ht="15" hidden="false" customHeight="true" outlineLevel="0" collapsed="false">
      <c r="A249" s="7" t="s">
        <v>630</v>
      </c>
      <c r="B249" s="15" t="n">
        <v>46268</v>
      </c>
      <c r="C249" s="7" t="s">
        <v>263</v>
      </c>
      <c r="D249" s="7" t="s">
        <v>264</v>
      </c>
      <c r="E249" s="17" t="n">
        <f aca="false">IF(A249="","",SUMIFS(Sales_Items!$H$2:$H$3001,Sales_Items!$A$2:$A$3001,A249))</f>
        <v>610</v>
      </c>
      <c r="F249" s="13" t="n">
        <v>0</v>
      </c>
      <c r="G249" s="17" t="n">
        <f aca="false">IF(A249="","",E249-N(F249))</f>
        <v>610</v>
      </c>
      <c r="H249" s="13" t="n">
        <v>610</v>
      </c>
      <c r="I249" s="17" t="n">
        <f aca="false">IF(A249="","",SUMIFS(Due_Payments!$C$2:$C$1001,Due_Payments!$B$2:$B$1001,A249))</f>
        <v>0</v>
      </c>
      <c r="J249" s="17" t="n">
        <f aca="false">IF(A249="","",G249-N(H249)-I249)</f>
        <v>0</v>
      </c>
      <c r="K249" s="7" t="s">
        <v>13</v>
      </c>
      <c r="L249" s="7" t="s">
        <v>534</v>
      </c>
      <c r="M249" s="7"/>
    </row>
    <row r="250" customFormat="false" ht="15" hidden="false" customHeight="true" outlineLevel="0" collapsed="false">
      <c r="A250" s="7" t="s">
        <v>631</v>
      </c>
      <c r="B250" s="15" t="n">
        <v>46268</v>
      </c>
      <c r="C250" s="7" t="s">
        <v>225</v>
      </c>
      <c r="D250" s="7" t="s">
        <v>226</v>
      </c>
      <c r="E250" s="17" t="n">
        <f aca="false">IF(A250="","",SUMIFS(Sales_Items!$H$2:$H$3001,Sales_Items!$A$2:$A$3001,A250))</f>
        <v>780</v>
      </c>
      <c r="F250" s="13" t="n">
        <v>50</v>
      </c>
      <c r="G250" s="17" t="n">
        <f aca="false">IF(A250="","",E250-N(F250))</f>
        <v>730</v>
      </c>
      <c r="H250" s="13" t="n">
        <v>730</v>
      </c>
      <c r="I250" s="17" t="n">
        <f aca="false">IF(A250="","",SUMIFS(Due_Payments!$C$2:$C$1001,Due_Payments!$B$2:$B$1001,A250))</f>
        <v>0</v>
      </c>
      <c r="J250" s="17" t="n">
        <f aca="false">IF(A250="","",G250-N(H250)-I250)</f>
        <v>0</v>
      </c>
      <c r="K250" s="7" t="s">
        <v>13</v>
      </c>
      <c r="L250" s="7" t="s">
        <v>450</v>
      </c>
      <c r="M250" s="7"/>
    </row>
    <row r="251" customFormat="false" ht="15" hidden="false" customHeight="true" outlineLevel="0" collapsed="false">
      <c r="A251" s="7" t="s">
        <v>632</v>
      </c>
      <c r="B251" s="15" t="n">
        <v>46268</v>
      </c>
      <c r="C251" s="7" t="s">
        <v>213</v>
      </c>
      <c r="D251" s="7" t="s">
        <v>214</v>
      </c>
      <c r="E251" s="17" t="n">
        <f aca="false">IF(A251="","",SUMIFS(Sales_Items!$H$2:$H$3001,Sales_Items!$A$2:$A$3001,A251))</f>
        <v>840</v>
      </c>
      <c r="F251" s="13" t="n">
        <v>0</v>
      </c>
      <c r="G251" s="17" t="n">
        <f aca="false">IF(A251="","",E251-N(F251))</f>
        <v>840</v>
      </c>
      <c r="H251" s="13" t="n">
        <v>840</v>
      </c>
      <c r="I251" s="17" t="n">
        <f aca="false">IF(A251="","",SUMIFS(Due_Payments!$C$2:$C$1001,Due_Payments!$B$2:$B$1001,A251))</f>
        <v>0</v>
      </c>
      <c r="J251" s="17" t="n">
        <f aca="false">IF(A251="","",G251-N(H251)-I251)</f>
        <v>0</v>
      </c>
      <c r="K251" s="7" t="s">
        <v>13</v>
      </c>
      <c r="L251" s="7" t="s">
        <v>243</v>
      </c>
      <c r="M251" s="7"/>
    </row>
    <row r="252" customFormat="false" ht="15" hidden="false" customHeight="true" outlineLevel="0" collapsed="false">
      <c r="A252" s="7" t="s">
        <v>633</v>
      </c>
      <c r="B252" s="15" t="n">
        <v>46270</v>
      </c>
      <c r="C252" s="7" t="s">
        <v>256</v>
      </c>
      <c r="D252" s="7" t="s">
        <v>257</v>
      </c>
      <c r="E252" s="17" t="n">
        <f aca="false">IF(A252="","",SUMIFS(Sales_Items!$H$2:$H$3001,Sales_Items!$A$2:$A$3001,A252))</f>
        <v>2240</v>
      </c>
      <c r="F252" s="13" t="n">
        <v>0</v>
      </c>
      <c r="G252" s="17" t="n">
        <f aca="false">IF(A252="","",E252-N(F252))</f>
        <v>2240</v>
      </c>
      <c r="H252" s="13" t="n">
        <v>2240</v>
      </c>
      <c r="I252" s="17" t="n">
        <f aca="false">IF(A252="","",SUMIFS(Due_Payments!$C$2:$C$1001,Due_Payments!$B$2:$B$1001,A252))</f>
        <v>0</v>
      </c>
      <c r="J252" s="17" t="n">
        <f aca="false">IF(A252="","",G252-N(H252)-I252)</f>
        <v>0</v>
      </c>
      <c r="K252" s="7" t="s">
        <v>13</v>
      </c>
      <c r="L252" s="7" t="s">
        <v>489</v>
      </c>
      <c r="M252" s="7"/>
    </row>
    <row r="253" customFormat="false" ht="15" hidden="false" customHeight="true" outlineLevel="0" collapsed="false">
      <c r="A253" s="7" t="s">
        <v>634</v>
      </c>
      <c r="B253" s="15" t="n">
        <v>46270</v>
      </c>
      <c r="C253" s="7" t="s">
        <v>275</v>
      </c>
      <c r="D253" s="7" t="s">
        <v>276</v>
      </c>
      <c r="E253" s="17" t="n">
        <f aca="false">IF(A253="","",SUMIFS(Sales_Items!$H$2:$H$3001,Sales_Items!$A$2:$A$3001,A253))</f>
        <v>1210</v>
      </c>
      <c r="F253" s="13" t="n">
        <v>40</v>
      </c>
      <c r="G253" s="17" t="n">
        <f aca="false">IF(A253="","",E253-N(F253))</f>
        <v>1170</v>
      </c>
      <c r="H253" s="13" t="n">
        <v>520</v>
      </c>
      <c r="I253" s="17" t="n">
        <f aca="false">IF(A253="","",SUMIFS(Due_Payments!$C$2:$C$1001,Due_Payments!$B$2:$B$1001,A253))</f>
        <v>320</v>
      </c>
      <c r="J253" s="17" t="n">
        <f aca="false">IF(A253="","",G253-N(H253)-I253)</f>
        <v>330</v>
      </c>
      <c r="K253" s="7" t="s">
        <v>37</v>
      </c>
      <c r="L253" s="7" t="s">
        <v>635</v>
      </c>
      <c r="M253" s="7"/>
    </row>
    <row r="254" customFormat="false" ht="15" hidden="false" customHeight="true" outlineLevel="0" collapsed="false">
      <c r="A254" s="7" t="s">
        <v>636</v>
      </c>
      <c r="B254" s="15" t="n">
        <v>46270</v>
      </c>
      <c r="C254" s="7" t="s">
        <v>285</v>
      </c>
      <c r="D254" s="7" t="s">
        <v>286</v>
      </c>
      <c r="E254" s="17" t="n">
        <f aca="false">IF(A254="","",SUMIFS(Sales_Items!$H$2:$H$3001,Sales_Items!$A$2:$A$3001,A254))</f>
        <v>340</v>
      </c>
      <c r="F254" s="13" t="n">
        <v>0</v>
      </c>
      <c r="G254" s="17" t="n">
        <f aca="false">IF(A254="","",E254-N(F254))</f>
        <v>340</v>
      </c>
      <c r="H254" s="13" t="n">
        <v>340</v>
      </c>
      <c r="I254" s="17" t="n">
        <f aca="false">IF(A254="","",SUMIFS(Due_Payments!$C$2:$C$1001,Due_Payments!$B$2:$B$1001,A254))</f>
        <v>0</v>
      </c>
      <c r="J254" s="17" t="n">
        <f aca="false">IF(A254="","",G254-N(H254)-I254)</f>
        <v>0</v>
      </c>
      <c r="K254" s="7" t="s">
        <v>21</v>
      </c>
      <c r="L254" s="7" t="s">
        <v>237</v>
      </c>
      <c r="M254" s="7"/>
    </row>
    <row r="255" customFormat="false" ht="15" hidden="false" customHeight="true" outlineLevel="0" collapsed="false">
      <c r="A255" s="7" t="s">
        <v>637</v>
      </c>
      <c r="B255" s="15" t="n">
        <v>46270</v>
      </c>
      <c r="C255" s="7" t="s">
        <v>263</v>
      </c>
      <c r="D255" s="7" t="s">
        <v>264</v>
      </c>
      <c r="E255" s="17" t="n">
        <f aca="false">IF(A255="","",SUMIFS(Sales_Items!$H$2:$H$3001,Sales_Items!$A$2:$A$3001,A255))</f>
        <v>2290</v>
      </c>
      <c r="F255" s="13" t="n">
        <v>0</v>
      </c>
      <c r="G255" s="17" t="n">
        <f aca="false">IF(A255="","",E255-N(F255))</f>
        <v>2290</v>
      </c>
      <c r="H255" s="13" t="n">
        <v>1290</v>
      </c>
      <c r="I255" s="17" t="n">
        <f aca="false">IF(A255="","",SUMIFS(Due_Payments!$C$2:$C$1001,Due_Payments!$B$2:$B$1001,A255))</f>
        <v>0</v>
      </c>
      <c r="J255" s="17" t="n">
        <f aca="false">IF(A255="","",G255-N(H255)-I255)</f>
        <v>1000</v>
      </c>
      <c r="K255" s="7" t="s">
        <v>21</v>
      </c>
      <c r="L255" s="7" t="s">
        <v>638</v>
      </c>
      <c r="M255" s="7"/>
    </row>
    <row r="256" customFormat="false" ht="15" hidden="false" customHeight="true" outlineLevel="0" collapsed="false">
      <c r="A256" s="7" t="s">
        <v>639</v>
      </c>
      <c r="B256" s="15" t="n">
        <v>46270</v>
      </c>
      <c r="C256" s="7" t="s">
        <v>300</v>
      </c>
      <c r="D256" s="7" t="s">
        <v>301</v>
      </c>
      <c r="E256" s="17" t="n">
        <f aca="false">IF(A256="","",SUMIFS(Sales_Items!$H$2:$H$3001,Sales_Items!$A$2:$A$3001,A256))</f>
        <v>260</v>
      </c>
      <c r="F256" s="13" t="n">
        <v>0</v>
      </c>
      <c r="G256" s="17" t="n">
        <f aca="false">IF(A256="","",E256-N(F256))</f>
        <v>260</v>
      </c>
      <c r="H256" s="13" t="n">
        <v>260</v>
      </c>
      <c r="I256" s="17" t="n">
        <f aca="false">IF(A256="","",SUMIFS(Due_Payments!$C$2:$C$1001,Due_Payments!$B$2:$B$1001,A256))</f>
        <v>0</v>
      </c>
      <c r="J256" s="17" t="n">
        <f aca="false">IF(A256="","",G256-N(H256)-I256)</f>
        <v>0</v>
      </c>
      <c r="K256" s="7" t="s">
        <v>13</v>
      </c>
      <c r="L256" s="7" t="s">
        <v>265</v>
      </c>
      <c r="M256" s="7"/>
    </row>
    <row r="257" customFormat="false" ht="15" hidden="false" customHeight="true" outlineLevel="0" collapsed="false">
      <c r="A257" s="7" t="s">
        <v>640</v>
      </c>
      <c r="B257" s="15" t="n">
        <v>46270</v>
      </c>
      <c r="C257" s="7" t="s">
        <v>249</v>
      </c>
      <c r="D257" s="7" t="s">
        <v>250</v>
      </c>
      <c r="E257" s="17" t="n">
        <f aca="false">IF(A257="","",SUMIFS(Sales_Items!$H$2:$H$3001,Sales_Items!$A$2:$A$3001,A257))</f>
        <v>720</v>
      </c>
      <c r="F257" s="13" t="n">
        <v>0</v>
      </c>
      <c r="G257" s="17" t="n">
        <f aca="false">IF(A257="","",E257-N(F257))</f>
        <v>720</v>
      </c>
      <c r="H257" s="13" t="n">
        <v>720</v>
      </c>
      <c r="I257" s="17" t="n">
        <f aca="false">IF(A257="","",SUMIFS(Due_Payments!$C$2:$C$1001,Due_Payments!$B$2:$B$1001,A257))</f>
        <v>0</v>
      </c>
      <c r="J257" s="17" t="n">
        <f aca="false">IF(A257="","",G257-N(H257)-I257)</f>
        <v>0</v>
      </c>
      <c r="K257" s="7" t="s">
        <v>13</v>
      </c>
      <c r="L257" s="7" t="s">
        <v>427</v>
      </c>
      <c r="M257" s="7"/>
    </row>
    <row r="258" customFormat="false" ht="15" hidden="false" customHeight="true" outlineLevel="0" collapsed="false">
      <c r="A258" s="7" t="s">
        <v>641</v>
      </c>
      <c r="B258" s="15" t="n">
        <v>46270</v>
      </c>
      <c r="C258" s="7" t="s">
        <v>213</v>
      </c>
      <c r="D258" s="7" t="s">
        <v>214</v>
      </c>
      <c r="E258" s="17" t="n">
        <f aca="false">IF(A258="","",SUMIFS(Sales_Items!$H$2:$H$3001,Sales_Items!$A$2:$A$3001,A258))</f>
        <v>480</v>
      </c>
      <c r="F258" s="13" t="n">
        <v>0</v>
      </c>
      <c r="G258" s="17" t="n">
        <f aca="false">IF(A258="","",E258-N(F258))</f>
        <v>480</v>
      </c>
      <c r="H258" s="13" t="n">
        <v>480</v>
      </c>
      <c r="I258" s="17" t="n">
        <f aca="false">IF(A258="","",SUMIFS(Due_Payments!$C$2:$C$1001,Due_Payments!$B$2:$B$1001,A258))</f>
        <v>0</v>
      </c>
      <c r="J258" s="17" t="n">
        <f aca="false">IF(A258="","",G258-N(H258)-I258)</f>
        <v>0</v>
      </c>
      <c r="K258" s="7" t="s">
        <v>13</v>
      </c>
      <c r="L258" s="7" t="s">
        <v>254</v>
      </c>
      <c r="M258" s="7"/>
    </row>
    <row r="259" customFormat="false" ht="15" hidden="false" customHeight="true" outlineLevel="0" collapsed="false">
      <c r="A259" s="7" t="s">
        <v>642</v>
      </c>
      <c r="B259" s="15" t="n">
        <v>46270</v>
      </c>
      <c r="C259" s="7" t="s">
        <v>249</v>
      </c>
      <c r="D259" s="7" t="s">
        <v>250</v>
      </c>
      <c r="E259" s="17" t="n">
        <f aca="false">IF(A259="","",SUMIFS(Sales_Items!$H$2:$H$3001,Sales_Items!$A$2:$A$3001,A259))</f>
        <v>520</v>
      </c>
      <c r="F259" s="13" t="n">
        <v>0</v>
      </c>
      <c r="G259" s="17" t="n">
        <f aca="false">IF(A259="","",E259-N(F259))</f>
        <v>520</v>
      </c>
      <c r="H259" s="13" t="n">
        <v>520</v>
      </c>
      <c r="I259" s="17" t="n">
        <f aca="false">IF(A259="","",SUMIFS(Due_Payments!$C$2:$C$1001,Due_Payments!$B$2:$B$1001,A259))</f>
        <v>0</v>
      </c>
      <c r="J259" s="17" t="n">
        <f aca="false">IF(A259="","",G259-N(H259)-I259)</f>
        <v>0</v>
      </c>
      <c r="K259" s="7" t="s">
        <v>21</v>
      </c>
      <c r="L259" s="7" t="s">
        <v>323</v>
      </c>
      <c r="M259" s="7"/>
    </row>
    <row r="260" customFormat="false" ht="15" hidden="false" customHeight="true" outlineLevel="0" collapsed="false">
      <c r="A260" s="7" t="s">
        <v>643</v>
      </c>
      <c r="B260" s="15" t="n">
        <v>46270</v>
      </c>
      <c r="C260" s="7" t="s">
        <v>217</v>
      </c>
      <c r="D260" s="7" t="s">
        <v>218</v>
      </c>
      <c r="E260" s="17" t="n">
        <f aca="false">IF(A260="","",SUMIFS(Sales_Items!$H$2:$H$3001,Sales_Items!$A$2:$A$3001,A260))</f>
        <v>2970</v>
      </c>
      <c r="F260" s="13" t="n">
        <v>0</v>
      </c>
      <c r="G260" s="17" t="n">
        <f aca="false">IF(A260="","",E260-N(F260))</f>
        <v>2970</v>
      </c>
      <c r="H260" s="13" t="n">
        <v>2970</v>
      </c>
      <c r="I260" s="17" t="n">
        <f aca="false">IF(A260="","",SUMIFS(Due_Payments!$C$2:$C$1001,Due_Payments!$B$2:$B$1001,A260))</f>
        <v>0</v>
      </c>
      <c r="J260" s="17" t="n">
        <f aca="false">IF(A260="","",G260-N(H260)-I260)</f>
        <v>0</v>
      </c>
      <c r="K260" s="7" t="s">
        <v>13</v>
      </c>
      <c r="L260" s="7" t="s">
        <v>644</v>
      </c>
      <c r="M260" s="7"/>
    </row>
    <row r="261" customFormat="false" ht="15" hidden="false" customHeight="true" outlineLevel="0" collapsed="false">
      <c r="A261" s="7" t="s">
        <v>645</v>
      </c>
      <c r="B261" s="15" t="n">
        <v>46270</v>
      </c>
      <c r="C261" s="7" t="s">
        <v>213</v>
      </c>
      <c r="D261" s="7" t="s">
        <v>214</v>
      </c>
      <c r="E261" s="17" t="n">
        <f aca="false">IF(A261="","",SUMIFS(Sales_Items!$H$2:$H$3001,Sales_Items!$A$2:$A$3001,A261))</f>
        <v>3910</v>
      </c>
      <c r="F261" s="13" t="n">
        <v>0</v>
      </c>
      <c r="G261" s="17" t="n">
        <f aca="false">IF(A261="","",E261-N(F261))</f>
        <v>3910</v>
      </c>
      <c r="H261" s="13" t="n">
        <v>3910</v>
      </c>
      <c r="I261" s="17" t="n">
        <f aca="false">IF(A261="","",SUMIFS(Due_Payments!$C$2:$C$1001,Due_Payments!$B$2:$B$1001,A261))</f>
        <v>0</v>
      </c>
      <c r="J261" s="17" t="n">
        <f aca="false">IF(A261="","",G261-N(H261)-I261)</f>
        <v>0</v>
      </c>
      <c r="K261" s="7" t="s">
        <v>13</v>
      </c>
      <c r="L261" s="7" t="s">
        <v>646</v>
      </c>
      <c r="M261" s="7"/>
    </row>
    <row r="262" customFormat="false" ht="15" hidden="false" customHeight="true" outlineLevel="0" collapsed="false">
      <c r="A262" s="7" t="s">
        <v>647</v>
      </c>
      <c r="B262" s="15" t="n">
        <v>46270</v>
      </c>
      <c r="C262" s="7" t="s">
        <v>259</v>
      </c>
      <c r="D262" s="7" t="s">
        <v>260</v>
      </c>
      <c r="E262" s="17" t="n">
        <f aca="false">IF(A262="","",SUMIFS(Sales_Items!$H$2:$H$3001,Sales_Items!$A$2:$A$3001,A262))</f>
        <v>1440</v>
      </c>
      <c r="F262" s="13" t="n">
        <v>0</v>
      </c>
      <c r="G262" s="17" t="n">
        <f aca="false">IF(A262="","",E262-N(F262))</f>
        <v>1440</v>
      </c>
      <c r="H262" s="13" t="n">
        <v>0</v>
      </c>
      <c r="I262" s="17" t="n">
        <f aca="false">IF(A262="","",SUMIFS(Due_Payments!$C$2:$C$1001,Due_Payments!$B$2:$B$1001,A262))</f>
        <v>720</v>
      </c>
      <c r="J262" s="17" t="n">
        <f aca="false">IF(A262="","",G262-N(H262)-I262)</f>
        <v>720</v>
      </c>
      <c r="K262" s="7" t="s">
        <v>13</v>
      </c>
      <c r="L262" s="7" t="s">
        <v>580</v>
      </c>
      <c r="M262" s="7"/>
    </row>
    <row r="263" customFormat="false" ht="15" hidden="false" customHeight="true" outlineLevel="0" collapsed="false">
      <c r="A263" s="7" t="s">
        <v>648</v>
      </c>
      <c r="B263" s="15" t="n">
        <v>46270</v>
      </c>
      <c r="C263" s="7" t="s">
        <v>275</v>
      </c>
      <c r="D263" s="7" t="s">
        <v>276</v>
      </c>
      <c r="E263" s="17" t="n">
        <f aca="false">IF(A263="","",SUMIFS(Sales_Items!$H$2:$H$3001,Sales_Items!$A$2:$A$3001,A263))</f>
        <v>2230</v>
      </c>
      <c r="F263" s="13" t="n">
        <v>0</v>
      </c>
      <c r="G263" s="17" t="n">
        <f aca="false">IF(A263="","",E263-N(F263))</f>
        <v>2230</v>
      </c>
      <c r="H263" s="13" t="n">
        <v>2230</v>
      </c>
      <c r="I263" s="17" t="n">
        <f aca="false">IF(A263="","",SUMIFS(Due_Payments!$C$2:$C$1001,Due_Payments!$B$2:$B$1001,A263))</f>
        <v>0</v>
      </c>
      <c r="J263" s="17" t="n">
        <f aca="false">IF(A263="","",G263-N(H263)-I263)</f>
        <v>0</v>
      </c>
      <c r="K263" s="7" t="s">
        <v>21</v>
      </c>
      <c r="L263" s="7" t="s">
        <v>649</v>
      </c>
      <c r="M263" s="7"/>
    </row>
    <row r="264" customFormat="false" ht="15" hidden="false" customHeight="true" outlineLevel="0" collapsed="false">
      <c r="A264" s="7" t="s">
        <v>650</v>
      </c>
      <c r="B264" s="15" t="n">
        <v>46271</v>
      </c>
      <c r="C264" s="7" t="s">
        <v>217</v>
      </c>
      <c r="D264" s="7" t="s">
        <v>218</v>
      </c>
      <c r="E264" s="17" t="n">
        <f aca="false">IF(A264="","",SUMIFS(Sales_Items!$H$2:$H$3001,Sales_Items!$A$2:$A$3001,A264))</f>
        <v>570</v>
      </c>
      <c r="F264" s="13" t="n">
        <v>0</v>
      </c>
      <c r="G264" s="17" t="n">
        <f aca="false">IF(A264="","",E264-N(F264))</f>
        <v>570</v>
      </c>
      <c r="H264" s="13" t="n">
        <v>390</v>
      </c>
      <c r="I264" s="17" t="n">
        <f aca="false">IF(A264="","",SUMIFS(Due_Payments!$C$2:$C$1001,Due_Payments!$B$2:$B$1001,A264))</f>
        <v>180</v>
      </c>
      <c r="J264" s="17" t="n">
        <f aca="false">IF(A264="","",G264-N(H264)-I264)</f>
        <v>0</v>
      </c>
      <c r="K264" s="7" t="s">
        <v>21</v>
      </c>
      <c r="L264" s="7" t="s">
        <v>468</v>
      </c>
      <c r="M264" s="7"/>
    </row>
    <row r="265" customFormat="false" ht="15" hidden="false" customHeight="true" outlineLevel="0" collapsed="false">
      <c r="A265" s="7" t="s">
        <v>651</v>
      </c>
      <c r="B265" s="15" t="n">
        <v>46271</v>
      </c>
      <c r="C265" s="7" t="s">
        <v>344</v>
      </c>
      <c r="D265" s="7" t="s">
        <v>345</v>
      </c>
      <c r="E265" s="17" t="n">
        <f aca="false">IF(A265="","",SUMIFS(Sales_Items!$H$2:$H$3001,Sales_Items!$A$2:$A$3001,A265))</f>
        <v>190</v>
      </c>
      <c r="F265" s="13" t="n">
        <v>10</v>
      </c>
      <c r="G265" s="17" t="n">
        <f aca="false">IF(A265="","",E265-N(F265))</f>
        <v>180</v>
      </c>
      <c r="H265" s="13" t="n">
        <v>180</v>
      </c>
      <c r="I265" s="17" t="n">
        <f aca="false">IF(A265="","",SUMIFS(Due_Payments!$C$2:$C$1001,Due_Payments!$B$2:$B$1001,A265))</f>
        <v>0</v>
      </c>
      <c r="J265" s="17" t="n">
        <f aca="false">IF(A265="","",G265-N(H265)-I265)</f>
        <v>0</v>
      </c>
      <c r="K265" s="7" t="s">
        <v>13</v>
      </c>
      <c r="L265" s="7" t="s">
        <v>447</v>
      </c>
      <c r="M265" s="7"/>
    </row>
    <row r="266" customFormat="false" ht="15" hidden="false" customHeight="true" outlineLevel="0" collapsed="false">
      <c r="A266" s="7" t="s">
        <v>652</v>
      </c>
      <c r="B266" s="15" t="n">
        <v>46271</v>
      </c>
      <c r="C266" s="7" t="s">
        <v>241</v>
      </c>
      <c r="D266" s="7" t="s">
        <v>242</v>
      </c>
      <c r="E266" s="17" t="n">
        <f aca="false">IF(A266="","",SUMIFS(Sales_Items!$H$2:$H$3001,Sales_Items!$A$2:$A$3001,A266))</f>
        <v>540</v>
      </c>
      <c r="F266" s="13" t="n">
        <v>0</v>
      </c>
      <c r="G266" s="17" t="n">
        <f aca="false">IF(A266="","",E266-N(F266))</f>
        <v>540</v>
      </c>
      <c r="H266" s="13" t="n">
        <v>0</v>
      </c>
      <c r="I266" s="17" t="n">
        <f aca="false">IF(A266="","",SUMIFS(Due_Payments!$C$2:$C$1001,Due_Payments!$B$2:$B$1001,A266))</f>
        <v>540</v>
      </c>
      <c r="J266" s="17" t="n">
        <f aca="false">IF(A266="","",G266-N(H266)-I266)</f>
        <v>0</v>
      </c>
      <c r="K266" s="7" t="s">
        <v>13</v>
      </c>
      <c r="L266" s="7" t="s">
        <v>279</v>
      </c>
      <c r="M266" s="7"/>
    </row>
    <row r="267" customFormat="false" ht="15" hidden="false" customHeight="true" outlineLevel="0" collapsed="false">
      <c r="A267" s="7" t="s">
        <v>653</v>
      </c>
      <c r="B267" s="15" t="n">
        <v>46271</v>
      </c>
      <c r="C267" s="7" t="s">
        <v>202</v>
      </c>
      <c r="D267" s="7" t="s">
        <v>203</v>
      </c>
      <c r="E267" s="17" t="n">
        <f aca="false">IF(A267="","",SUMIFS(Sales_Items!$H$2:$H$3001,Sales_Items!$A$2:$A$3001,A267))</f>
        <v>2380</v>
      </c>
      <c r="F267" s="13" t="n">
        <v>70</v>
      </c>
      <c r="G267" s="17" t="n">
        <f aca="false">IF(A267="","",E267-N(F267))</f>
        <v>2310</v>
      </c>
      <c r="H267" s="13" t="n">
        <v>2310</v>
      </c>
      <c r="I267" s="17" t="n">
        <f aca="false">IF(A267="","",SUMIFS(Due_Payments!$C$2:$C$1001,Due_Payments!$B$2:$B$1001,A267))</f>
        <v>0</v>
      </c>
      <c r="J267" s="17" t="n">
        <f aca="false">IF(A267="","",G267-N(H267)-I267)</f>
        <v>0</v>
      </c>
      <c r="K267" s="7" t="s">
        <v>13</v>
      </c>
      <c r="L267" s="7" t="s">
        <v>654</v>
      </c>
      <c r="M267" s="7"/>
    </row>
    <row r="268" customFormat="false" ht="15" hidden="false" customHeight="true" outlineLevel="0" collapsed="false">
      <c r="A268" s="7" t="s">
        <v>655</v>
      </c>
      <c r="B268" s="15" t="n">
        <v>46271</v>
      </c>
      <c r="C268" s="7" t="s">
        <v>344</v>
      </c>
      <c r="D268" s="7" t="s">
        <v>345</v>
      </c>
      <c r="E268" s="17" t="n">
        <f aca="false">IF(A268="","",SUMIFS(Sales_Items!$H$2:$H$3001,Sales_Items!$A$2:$A$3001,A268))</f>
        <v>810</v>
      </c>
      <c r="F268" s="13" t="n">
        <v>0</v>
      </c>
      <c r="G268" s="17" t="n">
        <f aca="false">IF(A268="","",E268-N(F268))</f>
        <v>810</v>
      </c>
      <c r="H268" s="13" t="n">
        <v>810</v>
      </c>
      <c r="I268" s="17" t="n">
        <f aca="false">IF(A268="","",SUMIFS(Due_Payments!$C$2:$C$1001,Due_Payments!$B$2:$B$1001,A268))</f>
        <v>0</v>
      </c>
      <c r="J268" s="17" t="n">
        <f aca="false">IF(A268="","",G268-N(H268)-I268)</f>
        <v>0</v>
      </c>
      <c r="K268" s="7" t="s">
        <v>21</v>
      </c>
      <c r="L268" s="7" t="s">
        <v>233</v>
      </c>
      <c r="M268" s="7"/>
    </row>
    <row r="269" customFormat="false" ht="15" hidden="false" customHeight="true" outlineLevel="0" collapsed="false">
      <c r="A269" s="7" t="s">
        <v>656</v>
      </c>
      <c r="B269" s="15" t="n">
        <v>46271</v>
      </c>
      <c r="C269" s="7" t="s">
        <v>213</v>
      </c>
      <c r="D269" s="7" t="s">
        <v>214</v>
      </c>
      <c r="E269" s="17" t="n">
        <f aca="false">IF(A269="","",SUMIFS(Sales_Items!$H$2:$H$3001,Sales_Items!$A$2:$A$3001,A269))</f>
        <v>800</v>
      </c>
      <c r="F269" s="13" t="n">
        <v>100</v>
      </c>
      <c r="G269" s="17" t="n">
        <f aca="false">IF(A269="","",E269-N(F269))</f>
        <v>700</v>
      </c>
      <c r="H269" s="13" t="n">
        <v>430</v>
      </c>
      <c r="I269" s="17" t="n">
        <f aca="false">IF(A269="","",SUMIFS(Due_Payments!$C$2:$C$1001,Due_Payments!$B$2:$B$1001,A269))</f>
        <v>270</v>
      </c>
      <c r="J269" s="17" t="n">
        <f aca="false">IF(A269="","",G269-N(H269)-I269)</f>
        <v>0</v>
      </c>
      <c r="K269" s="7" t="s">
        <v>21</v>
      </c>
      <c r="L269" s="7" t="s">
        <v>657</v>
      </c>
      <c r="M269" s="7"/>
    </row>
    <row r="270" customFormat="false" ht="15" hidden="false" customHeight="true" outlineLevel="0" collapsed="false">
      <c r="A270" s="7" t="s">
        <v>658</v>
      </c>
      <c r="B270" s="15" t="n">
        <v>46271</v>
      </c>
      <c r="C270" s="7" t="s">
        <v>275</v>
      </c>
      <c r="D270" s="7" t="s">
        <v>276</v>
      </c>
      <c r="E270" s="17" t="n">
        <f aca="false">IF(A270="","",SUMIFS(Sales_Items!$H$2:$H$3001,Sales_Items!$A$2:$A$3001,A270))</f>
        <v>1020</v>
      </c>
      <c r="F270" s="13" t="n">
        <v>0</v>
      </c>
      <c r="G270" s="17" t="n">
        <f aca="false">IF(A270="","",E270-N(F270))</f>
        <v>1020</v>
      </c>
      <c r="H270" s="13" t="n">
        <v>450</v>
      </c>
      <c r="I270" s="17" t="n">
        <f aca="false">IF(A270="","",SUMIFS(Due_Payments!$C$2:$C$1001,Due_Payments!$B$2:$B$1001,A270))</f>
        <v>280</v>
      </c>
      <c r="J270" s="17" t="n">
        <f aca="false">IF(A270="","",G270-N(H270)-I270)</f>
        <v>290</v>
      </c>
      <c r="K270" s="7" t="s">
        <v>29</v>
      </c>
      <c r="L270" s="7" t="s">
        <v>493</v>
      </c>
      <c r="M270" s="7"/>
    </row>
    <row r="271" customFormat="false" ht="15" hidden="false" customHeight="true" outlineLevel="0" collapsed="false">
      <c r="A271" s="7" t="s">
        <v>659</v>
      </c>
      <c r="B271" s="15" t="n">
        <v>46271</v>
      </c>
      <c r="C271" s="7" t="s">
        <v>300</v>
      </c>
      <c r="D271" s="7" t="s">
        <v>301</v>
      </c>
      <c r="E271" s="17" t="n">
        <f aca="false">IF(A271="","",SUMIFS(Sales_Items!$H$2:$H$3001,Sales_Items!$A$2:$A$3001,A271))</f>
        <v>480</v>
      </c>
      <c r="F271" s="13" t="n">
        <v>0</v>
      </c>
      <c r="G271" s="17" t="n">
        <f aca="false">IF(A271="","",E271-N(F271))</f>
        <v>480</v>
      </c>
      <c r="H271" s="13" t="n">
        <v>480</v>
      </c>
      <c r="I271" s="17" t="n">
        <f aca="false">IF(A271="","",SUMIFS(Due_Payments!$C$2:$C$1001,Due_Payments!$B$2:$B$1001,A271))</f>
        <v>0</v>
      </c>
      <c r="J271" s="17" t="n">
        <f aca="false">IF(A271="","",G271-N(H271)-I271)</f>
        <v>0</v>
      </c>
      <c r="K271" s="7" t="s">
        <v>21</v>
      </c>
      <c r="L271" s="7" t="s">
        <v>254</v>
      </c>
      <c r="M271" s="7"/>
    </row>
    <row r="272" customFormat="false" ht="15" hidden="false" customHeight="true" outlineLevel="0" collapsed="false">
      <c r="A272" s="7" t="s">
        <v>660</v>
      </c>
      <c r="B272" s="15" t="n">
        <v>46271</v>
      </c>
      <c r="C272" s="7" t="s">
        <v>378</v>
      </c>
      <c r="D272" s="7" t="s">
        <v>379</v>
      </c>
      <c r="E272" s="17" t="n">
        <f aca="false">IF(A272="","",SUMIFS(Sales_Items!$H$2:$H$3001,Sales_Items!$A$2:$A$3001,A272))</f>
        <v>730</v>
      </c>
      <c r="F272" s="13" t="n">
        <v>0</v>
      </c>
      <c r="G272" s="17" t="n">
        <f aca="false">IF(A272="","",E272-N(F272))</f>
        <v>730</v>
      </c>
      <c r="H272" s="13" t="n">
        <v>730</v>
      </c>
      <c r="I272" s="17" t="n">
        <f aca="false">IF(A272="","",SUMIFS(Due_Payments!$C$2:$C$1001,Due_Payments!$B$2:$B$1001,A272))</f>
        <v>0</v>
      </c>
      <c r="J272" s="17" t="n">
        <f aca="false">IF(A272="","",G272-N(H272)-I272)</f>
        <v>0</v>
      </c>
      <c r="K272" s="7" t="s">
        <v>21</v>
      </c>
      <c r="L272" s="7" t="s">
        <v>450</v>
      </c>
      <c r="M272" s="7"/>
    </row>
    <row r="273" customFormat="false" ht="15" hidden="false" customHeight="true" outlineLevel="0" collapsed="false">
      <c r="A273" s="7" t="s">
        <v>661</v>
      </c>
      <c r="B273" s="15" t="n">
        <v>46272</v>
      </c>
      <c r="C273" s="7" t="s">
        <v>350</v>
      </c>
      <c r="D273" s="7" t="s">
        <v>351</v>
      </c>
      <c r="E273" s="17" t="n">
        <f aca="false">IF(A273="","",SUMIFS(Sales_Items!$H$2:$H$3001,Sales_Items!$A$2:$A$3001,A273))</f>
        <v>4070</v>
      </c>
      <c r="F273" s="13" t="n">
        <v>0</v>
      </c>
      <c r="G273" s="17" t="n">
        <f aca="false">IF(A273="","",E273-N(F273))</f>
        <v>4070</v>
      </c>
      <c r="H273" s="13" t="n">
        <v>4070</v>
      </c>
      <c r="I273" s="17" t="n">
        <f aca="false">IF(A273="","",SUMIFS(Due_Payments!$C$2:$C$1001,Due_Payments!$B$2:$B$1001,A273))</f>
        <v>0</v>
      </c>
      <c r="J273" s="17" t="n">
        <f aca="false">IF(A273="","",G273-N(H273)-I273)</f>
        <v>0</v>
      </c>
      <c r="K273" s="7" t="s">
        <v>21</v>
      </c>
      <c r="L273" s="7" t="s">
        <v>662</v>
      </c>
      <c r="M273" s="7"/>
    </row>
    <row r="274" customFormat="false" ht="15" hidden="false" customHeight="true" outlineLevel="0" collapsed="false">
      <c r="A274" s="7" t="s">
        <v>663</v>
      </c>
      <c r="B274" s="15" t="n">
        <v>46272</v>
      </c>
      <c r="C274" s="7" t="s">
        <v>350</v>
      </c>
      <c r="D274" s="7" t="s">
        <v>351</v>
      </c>
      <c r="E274" s="17" t="n">
        <f aca="false">IF(A274="","",SUMIFS(Sales_Items!$H$2:$H$3001,Sales_Items!$A$2:$A$3001,A274))</f>
        <v>900</v>
      </c>
      <c r="F274" s="13" t="n">
        <v>0</v>
      </c>
      <c r="G274" s="17" t="n">
        <f aca="false">IF(A274="","",E274-N(F274))</f>
        <v>900</v>
      </c>
      <c r="H274" s="13" t="n">
        <v>900</v>
      </c>
      <c r="I274" s="17" t="n">
        <f aca="false">IF(A274="","",SUMIFS(Due_Payments!$C$2:$C$1001,Due_Payments!$B$2:$B$1001,A274))</f>
        <v>0</v>
      </c>
      <c r="J274" s="17" t="n">
        <f aca="false">IF(A274="","",G274-N(H274)-I274)</f>
        <v>0</v>
      </c>
      <c r="K274" s="7" t="s">
        <v>13</v>
      </c>
      <c r="L274" s="7" t="s">
        <v>610</v>
      </c>
      <c r="M274" s="7"/>
    </row>
    <row r="275" customFormat="false" ht="15" hidden="false" customHeight="true" outlineLevel="0" collapsed="false">
      <c r="A275" s="7" t="s">
        <v>664</v>
      </c>
      <c r="B275" s="15" t="n">
        <v>46272</v>
      </c>
      <c r="C275" s="7" t="s">
        <v>307</v>
      </c>
      <c r="D275" s="7" t="s">
        <v>308</v>
      </c>
      <c r="E275" s="17" t="n">
        <f aca="false">IF(A275="","",SUMIFS(Sales_Items!$H$2:$H$3001,Sales_Items!$A$2:$A$3001,A275))</f>
        <v>1020</v>
      </c>
      <c r="F275" s="13" t="n">
        <v>0</v>
      </c>
      <c r="G275" s="17" t="n">
        <f aca="false">IF(A275="","",E275-N(F275))</f>
        <v>1020</v>
      </c>
      <c r="H275" s="13" t="n">
        <v>1020</v>
      </c>
      <c r="I275" s="17" t="n">
        <f aca="false">IF(A275="","",SUMIFS(Due_Payments!$C$2:$C$1001,Due_Payments!$B$2:$B$1001,A275))</f>
        <v>0</v>
      </c>
      <c r="J275" s="17" t="n">
        <f aca="false">IF(A275="","",G275-N(H275)-I275)</f>
        <v>0</v>
      </c>
      <c r="K275" s="7" t="s">
        <v>13</v>
      </c>
      <c r="L275" s="7" t="s">
        <v>493</v>
      </c>
      <c r="M275" s="7"/>
    </row>
    <row r="276" customFormat="false" ht="15" hidden="false" customHeight="true" outlineLevel="0" collapsed="false">
      <c r="A276" s="7" t="s">
        <v>665</v>
      </c>
      <c r="B276" s="15" t="n">
        <v>46272</v>
      </c>
      <c r="C276" s="7" t="s">
        <v>198</v>
      </c>
      <c r="D276" s="7" t="s">
        <v>199</v>
      </c>
      <c r="E276" s="17" t="n">
        <f aca="false">IF(A276="","",SUMIFS(Sales_Items!$H$2:$H$3001,Sales_Items!$A$2:$A$3001,A276))</f>
        <v>480</v>
      </c>
      <c r="F276" s="13" t="n">
        <v>50</v>
      </c>
      <c r="G276" s="17" t="n">
        <f aca="false">IF(A276="","",E276-N(F276))</f>
        <v>430</v>
      </c>
      <c r="H276" s="13" t="n">
        <v>430</v>
      </c>
      <c r="I276" s="17" t="n">
        <f aca="false">IF(A276="","",SUMIFS(Due_Payments!$C$2:$C$1001,Due_Payments!$B$2:$B$1001,A276))</f>
        <v>0</v>
      </c>
      <c r="J276" s="17" t="n">
        <f aca="false">IF(A276="","",G276-N(H276)-I276)</f>
        <v>0</v>
      </c>
      <c r="K276" s="7" t="s">
        <v>13</v>
      </c>
      <c r="L276" s="7" t="s">
        <v>666</v>
      </c>
      <c r="M276" s="7"/>
    </row>
    <row r="277" customFormat="false" ht="15" hidden="false" customHeight="true" outlineLevel="0" collapsed="false">
      <c r="A277" s="7" t="s">
        <v>667</v>
      </c>
      <c r="B277" s="15" t="n">
        <v>46272</v>
      </c>
      <c r="C277" s="7" t="s">
        <v>329</v>
      </c>
      <c r="D277" s="7" t="s">
        <v>330</v>
      </c>
      <c r="E277" s="17" t="n">
        <f aca="false">IF(A277="","",SUMIFS(Sales_Items!$H$2:$H$3001,Sales_Items!$A$2:$A$3001,A277))</f>
        <v>1750</v>
      </c>
      <c r="F277" s="13" t="n">
        <v>0</v>
      </c>
      <c r="G277" s="17" t="n">
        <f aca="false">IF(A277="","",E277-N(F277))</f>
        <v>1750</v>
      </c>
      <c r="H277" s="13" t="n">
        <v>1750</v>
      </c>
      <c r="I277" s="17" t="n">
        <f aca="false">IF(A277="","",SUMIFS(Due_Payments!$C$2:$C$1001,Due_Payments!$B$2:$B$1001,A277))</f>
        <v>0</v>
      </c>
      <c r="J277" s="17" t="n">
        <f aca="false">IF(A277="","",G277-N(H277)-I277)</f>
        <v>0</v>
      </c>
      <c r="K277" s="7" t="s">
        <v>13</v>
      </c>
      <c r="L277" s="7" t="s">
        <v>354</v>
      </c>
      <c r="M277" s="7"/>
    </row>
    <row r="278" customFormat="false" ht="15" hidden="false" customHeight="true" outlineLevel="0" collapsed="false">
      <c r="A278" s="7" t="s">
        <v>668</v>
      </c>
      <c r="B278" s="15" t="n">
        <v>46272</v>
      </c>
      <c r="C278" s="7" t="s">
        <v>241</v>
      </c>
      <c r="D278" s="7" t="s">
        <v>242</v>
      </c>
      <c r="E278" s="17" t="n">
        <f aca="false">IF(A278="","",SUMIFS(Sales_Items!$H$2:$H$3001,Sales_Items!$A$2:$A$3001,A278))</f>
        <v>560</v>
      </c>
      <c r="F278" s="13" t="n">
        <v>50</v>
      </c>
      <c r="G278" s="17" t="n">
        <f aca="false">IF(A278="","",E278-N(F278))</f>
        <v>510</v>
      </c>
      <c r="H278" s="13" t="n">
        <v>510</v>
      </c>
      <c r="I278" s="17" t="n">
        <f aca="false">IF(A278="","",SUMIFS(Due_Payments!$C$2:$C$1001,Due_Payments!$B$2:$B$1001,A278))</f>
        <v>0</v>
      </c>
      <c r="J278" s="17" t="n">
        <f aca="false">IF(A278="","",G278-N(H278)-I278)</f>
        <v>0</v>
      </c>
      <c r="K278" s="7" t="s">
        <v>13</v>
      </c>
      <c r="L278" s="7" t="s">
        <v>461</v>
      </c>
      <c r="M278" s="7"/>
    </row>
    <row r="279" customFormat="false" ht="15" hidden="false" customHeight="true" outlineLevel="0" collapsed="false">
      <c r="A279" s="7" t="s">
        <v>669</v>
      </c>
      <c r="B279" s="15" t="n">
        <v>46272</v>
      </c>
      <c r="C279" s="7" t="s">
        <v>249</v>
      </c>
      <c r="D279" s="7" t="s">
        <v>250</v>
      </c>
      <c r="E279" s="17" t="n">
        <f aca="false">IF(A279="","",SUMIFS(Sales_Items!$H$2:$H$3001,Sales_Items!$A$2:$A$3001,A279))</f>
        <v>680</v>
      </c>
      <c r="F279" s="13" t="n">
        <v>20</v>
      </c>
      <c r="G279" s="17" t="n">
        <f aca="false">IF(A279="","",E279-N(F279))</f>
        <v>660</v>
      </c>
      <c r="H279" s="13" t="n">
        <v>660</v>
      </c>
      <c r="I279" s="17" t="n">
        <f aca="false">IF(A279="","",SUMIFS(Due_Payments!$C$2:$C$1001,Due_Payments!$B$2:$B$1001,A279))</f>
        <v>0</v>
      </c>
      <c r="J279" s="17" t="n">
        <f aca="false">IF(A279="","",G279-N(H279)-I279)</f>
        <v>0</v>
      </c>
      <c r="K279" s="7" t="s">
        <v>13</v>
      </c>
      <c r="L279" s="7" t="s">
        <v>481</v>
      </c>
      <c r="M279" s="7"/>
    </row>
    <row r="280" customFormat="false" ht="15" hidden="false" customHeight="true" outlineLevel="0" collapsed="false">
      <c r="A280" s="7" t="s">
        <v>670</v>
      </c>
      <c r="B280" s="15" t="n">
        <v>46272</v>
      </c>
      <c r="C280" s="7" t="s">
        <v>241</v>
      </c>
      <c r="D280" s="7" t="s">
        <v>242</v>
      </c>
      <c r="E280" s="17" t="n">
        <f aca="false">IF(A280="","",SUMIFS(Sales_Items!$H$2:$H$3001,Sales_Items!$A$2:$A$3001,A280))</f>
        <v>840</v>
      </c>
      <c r="F280" s="13" t="n">
        <v>100</v>
      </c>
      <c r="G280" s="17" t="n">
        <f aca="false">IF(A280="","",E280-N(F280))</f>
        <v>740</v>
      </c>
      <c r="H280" s="13" t="n">
        <v>740</v>
      </c>
      <c r="I280" s="17" t="n">
        <f aca="false">IF(A280="","",SUMIFS(Due_Payments!$C$2:$C$1001,Due_Payments!$B$2:$B$1001,A280))</f>
        <v>0</v>
      </c>
      <c r="J280" s="17" t="n">
        <f aca="false">IF(A280="","",G280-N(H280)-I280)</f>
        <v>0</v>
      </c>
      <c r="K280" s="7" t="s">
        <v>13</v>
      </c>
      <c r="L280" s="7" t="s">
        <v>567</v>
      </c>
      <c r="M280" s="7"/>
    </row>
    <row r="281" customFormat="false" ht="15" hidden="false" customHeight="true" outlineLevel="0" collapsed="false">
      <c r="A281" s="7" t="s">
        <v>671</v>
      </c>
      <c r="B281" s="15" t="n">
        <v>46272</v>
      </c>
      <c r="C281" s="7" t="s">
        <v>210</v>
      </c>
      <c r="D281" s="7" t="s">
        <v>211</v>
      </c>
      <c r="E281" s="17" t="n">
        <f aca="false">IF(A281="","",SUMIFS(Sales_Items!$H$2:$H$3001,Sales_Items!$A$2:$A$3001,A281))</f>
        <v>480</v>
      </c>
      <c r="F281" s="13" t="n">
        <v>100</v>
      </c>
      <c r="G281" s="17" t="n">
        <f aca="false">IF(A281="","",E281-N(F281))</f>
        <v>380</v>
      </c>
      <c r="H281" s="13" t="n">
        <v>380</v>
      </c>
      <c r="I281" s="17" t="n">
        <f aca="false">IF(A281="","",SUMIFS(Due_Payments!$C$2:$C$1001,Due_Payments!$B$2:$B$1001,A281))</f>
        <v>0</v>
      </c>
      <c r="J281" s="17" t="n">
        <f aca="false">IF(A281="","",G281-N(H281)-I281)</f>
        <v>0</v>
      </c>
      <c r="K281" s="7" t="s">
        <v>13</v>
      </c>
      <c r="L281" s="7" t="s">
        <v>223</v>
      </c>
      <c r="M281" s="7"/>
    </row>
    <row r="282" customFormat="false" ht="15" hidden="false" customHeight="true" outlineLevel="0" collapsed="false">
      <c r="A282" s="7" t="s">
        <v>672</v>
      </c>
      <c r="B282" s="15" t="n">
        <v>46272</v>
      </c>
      <c r="C282" s="7" t="s">
        <v>285</v>
      </c>
      <c r="D282" s="7" t="s">
        <v>286</v>
      </c>
      <c r="E282" s="17" t="n">
        <f aca="false">IF(A282="","",SUMIFS(Sales_Items!$H$2:$H$3001,Sales_Items!$A$2:$A$3001,A282))</f>
        <v>480</v>
      </c>
      <c r="F282" s="13" t="n">
        <v>0</v>
      </c>
      <c r="G282" s="17" t="n">
        <f aca="false">IF(A282="","",E282-N(F282))</f>
        <v>480</v>
      </c>
      <c r="H282" s="13" t="n">
        <v>480</v>
      </c>
      <c r="I282" s="17" t="n">
        <f aca="false">IF(A282="","",SUMIFS(Due_Payments!$C$2:$C$1001,Due_Payments!$B$2:$B$1001,A282))</f>
        <v>0</v>
      </c>
      <c r="J282" s="17" t="n">
        <f aca="false">IF(A282="","",G282-N(H282)-I282)</f>
        <v>0</v>
      </c>
      <c r="K282" s="7" t="s">
        <v>13</v>
      </c>
      <c r="L282" s="7" t="s">
        <v>254</v>
      </c>
      <c r="M282" s="7"/>
    </row>
    <row r="283" customFormat="false" ht="15" hidden="false" customHeight="true" outlineLevel="0" collapsed="false">
      <c r="A283" s="7" t="s">
        <v>673</v>
      </c>
      <c r="B283" s="15" t="n">
        <v>46272</v>
      </c>
      <c r="C283" s="7" t="s">
        <v>293</v>
      </c>
      <c r="D283" s="7" t="s">
        <v>294</v>
      </c>
      <c r="E283" s="17" t="n">
        <f aca="false">IF(A283="","",SUMIFS(Sales_Items!$H$2:$H$3001,Sales_Items!$A$2:$A$3001,A283))</f>
        <v>480</v>
      </c>
      <c r="F283" s="13" t="n">
        <v>0</v>
      </c>
      <c r="G283" s="17" t="n">
        <f aca="false">IF(A283="","",E283-N(F283))</f>
        <v>480</v>
      </c>
      <c r="H283" s="13" t="n">
        <v>480</v>
      </c>
      <c r="I283" s="17" t="n">
        <f aca="false">IF(A283="","",SUMIFS(Due_Payments!$C$2:$C$1001,Due_Payments!$B$2:$B$1001,A283))</f>
        <v>0</v>
      </c>
      <c r="J283" s="17" t="n">
        <f aca="false">IF(A283="","",G283-N(H283)-I283)</f>
        <v>0</v>
      </c>
      <c r="K283" s="7" t="s">
        <v>13</v>
      </c>
      <c r="L283" s="7" t="s">
        <v>254</v>
      </c>
      <c r="M283" s="7"/>
    </row>
    <row r="284" customFormat="false" ht="15" hidden="false" customHeight="true" outlineLevel="0" collapsed="false">
      <c r="A284" s="7" t="s">
        <v>674</v>
      </c>
      <c r="B284" s="15" t="n">
        <v>46272</v>
      </c>
      <c r="C284" s="7" t="s">
        <v>256</v>
      </c>
      <c r="D284" s="7" t="s">
        <v>257</v>
      </c>
      <c r="E284" s="17" t="n">
        <f aca="false">IF(A284="","",SUMIFS(Sales_Items!$H$2:$H$3001,Sales_Items!$A$2:$A$3001,A284))</f>
        <v>960</v>
      </c>
      <c r="F284" s="13" t="n">
        <v>50</v>
      </c>
      <c r="G284" s="17" t="n">
        <f aca="false">IF(A284="","",E284-N(F284))</f>
        <v>910</v>
      </c>
      <c r="H284" s="13" t="n">
        <v>910</v>
      </c>
      <c r="I284" s="17" t="n">
        <f aca="false">IF(A284="","",SUMIFS(Due_Payments!$C$2:$C$1001,Due_Payments!$B$2:$B$1001,A284))</f>
        <v>0</v>
      </c>
      <c r="J284" s="17" t="n">
        <f aca="false">IF(A284="","",G284-N(H284)-I284)</f>
        <v>0</v>
      </c>
      <c r="K284" s="7" t="s">
        <v>13</v>
      </c>
      <c r="L284" s="7" t="s">
        <v>675</v>
      </c>
      <c r="M284" s="7"/>
    </row>
    <row r="285" customFormat="false" ht="15" hidden="false" customHeight="true" outlineLevel="0" collapsed="false">
      <c r="A285" s="7" t="s">
        <v>676</v>
      </c>
      <c r="B285" s="15" t="n">
        <v>46273</v>
      </c>
      <c r="C285" s="7" t="s">
        <v>241</v>
      </c>
      <c r="D285" s="7" t="s">
        <v>242</v>
      </c>
      <c r="E285" s="17" t="n">
        <f aca="false">IF(A285="","",SUMIFS(Sales_Items!$H$2:$H$3001,Sales_Items!$A$2:$A$3001,A285))</f>
        <v>3160</v>
      </c>
      <c r="F285" s="13" t="n">
        <v>90</v>
      </c>
      <c r="G285" s="17" t="n">
        <f aca="false">IF(A285="","",E285-N(F285))</f>
        <v>3070</v>
      </c>
      <c r="H285" s="13" t="n">
        <v>3070</v>
      </c>
      <c r="I285" s="17" t="n">
        <f aca="false">IF(A285="","",SUMIFS(Due_Payments!$C$2:$C$1001,Due_Payments!$B$2:$B$1001,A285))</f>
        <v>0</v>
      </c>
      <c r="J285" s="17" t="n">
        <f aca="false">IF(A285="","",G285-N(H285)-I285)</f>
        <v>0</v>
      </c>
      <c r="K285" s="7" t="s">
        <v>13</v>
      </c>
      <c r="L285" s="7" t="s">
        <v>677</v>
      </c>
      <c r="M285" s="7"/>
    </row>
    <row r="286" customFormat="false" ht="15" hidden="false" customHeight="true" outlineLevel="0" collapsed="false">
      <c r="A286" s="7" t="s">
        <v>678</v>
      </c>
      <c r="B286" s="15" t="n">
        <v>46273</v>
      </c>
      <c r="C286" s="7" t="s">
        <v>307</v>
      </c>
      <c r="D286" s="7" t="s">
        <v>308</v>
      </c>
      <c r="E286" s="17" t="n">
        <f aca="false">IF(A286="","",SUMIFS(Sales_Items!$H$2:$H$3001,Sales_Items!$A$2:$A$3001,A286))</f>
        <v>720</v>
      </c>
      <c r="F286" s="13" t="n">
        <v>0</v>
      </c>
      <c r="G286" s="17" t="n">
        <f aca="false">IF(A286="","",E286-N(F286))</f>
        <v>720</v>
      </c>
      <c r="H286" s="13" t="n">
        <v>720</v>
      </c>
      <c r="I286" s="17" t="n">
        <f aca="false">IF(A286="","",SUMIFS(Due_Payments!$C$2:$C$1001,Due_Payments!$B$2:$B$1001,A286))</f>
        <v>0</v>
      </c>
      <c r="J286" s="17" t="n">
        <f aca="false">IF(A286="","",G286-N(H286)-I286)</f>
        <v>0</v>
      </c>
      <c r="K286" s="7" t="s">
        <v>21</v>
      </c>
      <c r="L286" s="7" t="s">
        <v>427</v>
      </c>
      <c r="M286" s="7"/>
    </row>
    <row r="287" customFormat="false" ht="15" hidden="false" customHeight="true" outlineLevel="0" collapsed="false">
      <c r="A287" s="7" t="s">
        <v>679</v>
      </c>
      <c r="B287" s="15" t="n">
        <v>46273</v>
      </c>
      <c r="C287" s="7" t="s">
        <v>350</v>
      </c>
      <c r="D287" s="7" t="s">
        <v>351</v>
      </c>
      <c r="E287" s="17" t="n">
        <f aca="false">IF(A287="","",SUMIFS(Sales_Items!$H$2:$H$3001,Sales_Items!$A$2:$A$3001,A287))</f>
        <v>1370</v>
      </c>
      <c r="F287" s="13" t="n">
        <v>50</v>
      </c>
      <c r="G287" s="17" t="n">
        <f aca="false">IF(A287="","",E287-N(F287))</f>
        <v>1320</v>
      </c>
      <c r="H287" s="13" t="n">
        <v>1320</v>
      </c>
      <c r="I287" s="17" t="n">
        <f aca="false">IF(A287="","",SUMIFS(Due_Payments!$C$2:$C$1001,Due_Payments!$B$2:$B$1001,A287))</f>
        <v>0</v>
      </c>
      <c r="J287" s="17" t="n">
        <f aca="false">IF(A287="","",G287-N(H287)-I287)</f>
        <v>0</v>
      </c>
      <c r="K287" s="7" t="s">
        <v>29</v>
      </c>
      <c r="L287" s="7" t="s">
        <v>445</v>
      </c>
      <c r="M287" s="7"/>
    </row>
    <row r="288" customFormat="false" ht="15" hidden="false" customHeight="true" outlineLevel="0" collapsed="false">
      <c r="A288" s="7" t="s">
        <v>680</v>
      </c>
      <c r="B288" s="15" t="n">
        <v>46273</v>
      </c>
      <c r="C288" s="7" t="s">
        <v>344</v>
      </c>
      <c r="D288" s="7" t="s">
        <v>345</v>
      </c>
      <c r="E288" s="17" t="n">
        <f aca="false">IF(A288="","",SUMIFS(Sales_Items!$H$2:$H$3001,Sales_Items!$A$2:$A$3001,A288))</f>
        <v>430</v>
      </c>
      <c r="F288" s="13" t="n">
        <v>0</v>
      </c>
      <c r="G288" s="17" t="n">
        <f aca="false">IF(A288="","",E288-N(F288))</f>
        <v>430</v>
      </c>
      <c r="H288" s="13" t="n">
        <v>0</v>
      </c>
      <c r="I288" s="17" t="n">
        <f aca="false">IF(A288="","",SUMIFS(Due_Payments!$C$2:$C$1001,Due_Payments!$B$2:$B$1001,A288))</f>
        <v>0</v>
      </c>
      <c r="J288" s="17" t="n">
        <f aca="false">IF(A288="","",G288-N(H288)-I288)</f>
        <v>430</v>
      </c>
      <c r="K288" s="7" t="s">
        <v>13</v>
      </c>
      <c r="L288" s="7" t="s">
        <v>666</v>
      </c>
      <c r="M288" s="7"/>
    </row>
    <row r="289" customFormat="false" ht="15" hidden="false" customHeight="true" outlineLevel="0" collapsed="false">
      <c r="A289" s="7" t="s">
        <v>681</v>
      </c>
      <c r="B289" s="15" t="n">
        <v>46273</v>
      </c>
      <c r="C289" s="7" t="s">
        <v>217</v>
      </c>
      <c r="D289" s="7" t="s">
        <v>218</v>
      </c>
      <c r="E289" s="17" t="n">
        <f aca="false">IF(A289="","",SUMIFS(Sales_Items!$H$2:$H$3001,Sales_Items!$A$2:$A$3001,A289))</f>
        <v>2520</v>
      </c>
      <c r="F289" s="13" t="n">
        <v>0</v>
      </c>
      <c r="G289" s="17" t="n">
        <f aca="false">IF(A289="","",E289-N(F289))</f>
        <v>2520</v>
      </c>
      <c r="H289" s="13" t="n">
        <v>2520</v>
      </c>
      <c r="I289" s="17" t="n">
        <f aca="false">IF(A289="","",SUMIFS(Due_Payments!$C$2:$C$1001,Due_Payments!$B$2:$B$1001,A289))</f>
        <v>0</v>
      </c>
      <c r="J289" s="17" t="n">
        <f aca="false">IF(A289="","",G289-N(H289)-I289)</f>
        <v>0</v>
      </c>
      <c r="K289" s="7" t="s">
        <v>21</v>
      </c>
      <c r="L289" s="7" t="s">
        <v>588</v>
      </c>
      <c r="M289" s="7"/>
    </row>
    <row r="290" customFormat="false" ht="15" hidden="false" customHeight="true" outlineLevel="0" collapsed="false">
      <c r="A290" s="7" t="s">
        <v>682</v>
      </c>
      <c r="B290" s="15" t="n">
        <v>46273</v>
      </c>
      <c r="C290" s="7" t="s">
        <v>256</v>
      </c>
      <c r="D290" s="7" t="s">
        <v>257</v>
      </c>
      <c r="E290" s="17" t="n">
        <f aca="false">IF(A290="","",SUMIFS(Sales_Items!$H$2:$H$3001,Sales_Items!$A$2:$A$3001,A290))</f>
        <v>3090</v>
      </c>
      <c r="F290" s="13" t="n">
        <v>100</v>
      </c>
      <c r="G290" s="17" t="n">
        <f aca="false">IF(A290="","",E290-N(F290))</f>
        <v>2990</v>
      </c>
      <c r="H290" s="13" t="n">
        <v>2990</v>
      </c>
      <c r="I290" s="17" t="n">
        <f aca="false">IF(A290="","",SUMIFS(Due_Payments!$C$2:$C$1001,Due_Payments!$B$2:$B$1001,A290))</f>
        <v>0</v>
      </c>
      <c r="J290" s="17" t="n">
        <f aca="false">IF(A290="","",G290-N(H290)-I290)</f>
        <v>0</v>
      </c>
      <c r="K290" s="7" t="s">
        <v>13</v>
      </c>
      <c r="L290" s="7" t="s">
        <v>683</v>
      </c>
      <c r="M290" s="7"/>
    </row>
    <row r="291" customFormat="false" ht="15" hidden="false" customHeight="true" outlineLevel="0" collapsed="false">
      <c r="A291" s="7" t="s">
        <v>684</v>
      </c>
      <c r="B291" s="15" t="n">
        <v>46273</v>
      </c>
      <c r="C291" s="7" t="s">
        <v>275</v>
      </c>
      <c r="D291" s="7" t="s">
        <v>276</v>
      </c>
      <c r="E291" s="17" t="n">
        <f aca="false">IF(A291="","",SUMIFS(Sales_Items!$H$2:$H$3001,Sales_Items!$A$2:$A$3001,A291))</f>
        <v>2850</v>
      </c>
      <c r="F291" s="13" t="n">
        <v>0</v>
      </c>
      <c r="G291" s="17" t="n">
        <f aca="false">IF(A291="","",E291-N(F291))</f>
        <v>2850</v>
      </c>
      <c r="H291" s="13" t="n">
        <v>2850</v>
      </c>
      <c r="I291" s="17" t="n">
        <f aca="false">IF(A291="","",SUMIFS(Due_Payments!$C$2:$C$1001,Due_Payments!$B$2:$B$1001,A291))</f>
        <v>0</v>
      </c>
      <c r="J291" s="17" t="n">
        <f aca="false">IF(A291="","",G291-N(H291)-I291)</f>
        <v>0</v>
      </c>
      <c r="K291" s="7" t="s">
        <v>37</v>
      </c>
      <c r="L291" s="7" t="s">
        <v>385</v>
      </c>
      <c r="M291" s="7"/>
    </row>
    <row r="292" customFormat="false" ht="15" hidden="false" customHeight="true" outlineLevel="0" collapsed="false">
      <c r="A292" s="7" t="s">
        <v>685</v>
      </c>
      <c r="B292" s="15" t="n">
        <v>46273</v>
      </c>
      <c r="C292" s="7" t="s">
        <v>293</v>
      </c>
      <c r="D292" s="7" t="s">
        <v>294</v>
      </c>
      <c r="E292" s="17" t="n">
        <f aca="false">IF(A292="","",SUMIFS(Sales_Items!$H$2:$H$3001,Sales_Items!$A$2:$A$3001,A292))</f>
        <v>380</v>
      </c>
      <c r="F292" s="13" t="n">
        <v>0</v>
      </c>
      <c r="G292" s="17" t="n">
        <f aca="false">IF(A292="","",E292-N(F292))</f>
        <v>380</v>
      </c>
      <c r="H292" s="13" t="n">
        <v>380</v>
      </c>
      <c r="I292" s="17" t="n">
        <f aca="false">IF(A292="","",SUMIFS(Due_Payments!$C$2:$C$1001,Due_Payments!$B$2:$B$1001,A292))</f>
        <v>0</v>
      </c>
      <c r="J292" s="17" t="n">
        <f aca="false">IF(A292="","",G292-N(H292)-I292)</f>
        <v>0</v>
      </c>
      <c r="K292" s="7" t="s">
        <v>21</v>
      </c>
      <c r="L292" s="7" t="s">
        <v>223</v>
      </c>
      <c r="M292" s="7"/>
    </row>
    <row r="293" customFormat="false" ht="15" hidden="false" customHeight="true" outlineLevel="0" collapsed="false">
      <c r="A293" s="7" t="s">
        <v>686</v>
      </c>
      <c r="B293" s="15" t="n">
        <v>46273</v>
      </c>
      <c r="C293" s="7" t="s">
        <v>241</v>
      </c>
      <c r="D293" s="7" t="s">
        <v>242</v>
      </c>
      <c r="E293" s="17" t="n">
        <f aca="false">IF(A293="","",SUMIFS(Sales_Items!$H$2:$H$3001,Sales_Items!$A$2:$A$3001,A293))</f>
        <v>550</v>
      </c>
      <c r="F293" s="13" t="n">
        <v>50</v>
      </c>
      <c r="G293" s="17" t="n">
        <f aca="false">IF(A293="","",E293-N(F293))</f>
        <v>500</v>
      </c>
      <c r="H293" s="13" t="n">
        <v>500</v>
      </c>
      <c r="I293" s="17" t="n">
        <f aca="false">IF(A293="","",SUMIFS(Due_Payments!$C$2:$C$1001,Due_Payments!$B$2:$B$1001,A293))</f>
        <v>0</v>
      </c>
      <c r="J293" s="17" t="n">
        <f aca="false">IF(A293="","",G293-N(H293)-I293)</f>
        <v>0</v>
      </c>
      <c r="K293" s="7" t="s">
        <v>13</v>
      </c>
      <c r="L293" s="7" t="s">
        <v>687</v>
      </c>
      <c r="M293" s="7"/>
    </row>
    <row r="294" customFormat="false" ht="15" hidden="false" customHeight="true" outlineLevel="0" collapsed="false">
      <c r="A294" s="7" t="s">
        <v>688</v>
      </c>
      <c r="B294" s="15" t="n">
        <v>46273</v>
      </c>
      <c r="C294" s="7" t="s">
        <v>344</v>
      </c>
      <c r="D294" s="7" t="s">
        <v>345</v>
      </c>
      <c r="E294" s="17" t="n">
        <f aca="false">IF(A294="","",SUMIFS(Sales_Items!$H$2:$H$3001,Sales_Items!$A$2:$A$3001,A294))</f>
        <v>980</v>
      </c>
      <c r="F294" s="13" t="n">
        <v>0</v>
      </c>
      <c r="G294" s="17" t="n">
        <f aca="false">IF(A294="","",E294-N(F294))</f>
        <v>980</v>
      </c>
      <c r="H294" s="13" t="n">
        <v>980</v>
      </c>
      <c r="I294" s="17" t="n">
        <f aca="false">IF(A294="","",SUMIFS(Due_Payments!$C$2:$C$1001,Due_Payments!$B$2:$B$1001,A294))</f>
        <v>0</v>
      </c>
      <c r="J294" s="17" t="n">
        <f aca="false">IF(A294="","",G294-N(H294)-I294)</f>
        <v>0</v>
      </c>
      <c r="K294" s="7" t="s">
        <v>13</v>
      </c>
      <c r="L294" s="7" t="s">
        <v>689</v>
      </c>
      <c r="M294" s="7"/>
    </row>
    <row r="295" customFormat="false" ht="15" hidden="false" customHeight="true" outlineLevel="0" collapsed="false">
      <c r="A295" s="7" t="s">
        <v>690</v>
      </c>
      <c r="B295" s="15" t="n">
        <v>46273</v>
      </c>
      <c r="C295" s="7" t="s">
        <v>217</v>
      </c>
      <c r="D295" s="7" t="s">
        <v>218</v>
      </c>
      <c r="E295" s="17" t="n">
        <f aca="false">IF(A295="","",SUMIFS(Sales_Items!$H$2:$H$3001,Sales_Items!$A$2:$A$3001,A295))</f>
        <v>380</v>
      </c>
      <c r="F295" s="13" t="n">
        <v>0</v>
      </c>
      <c r="G295" s="17" t="n">
        <f aca="false">IF(A295="","",E295-N(F295))</f>
        <v>380</v>
      </c>
      <c r="H295" s="13" t="n">
        <v>380</v>
      </c>
      <c r="I295" s="17" t="n">
        <f aca="false">IF(A295="","",SUMIFS(Due_Payments!$C$2:$C$1001,Due_Payments!$B$2:$B$1001,A295))</f>
        <v>0</v>
      </c>
      <c r="J295" s="17" t="n">
        <f aca="false">IF(A295="","",G295-N(H295)-I295)</f>
        <v>0</v>
      </c>
      <c r="K295" s="7" t="s">
        <v>13</v>
      </c>
      <c r="L295" s="7" t="s">
        <v>223</v>
      </c>
      <c r="M295" s="7"/>
    </row>
    <row r="296" customFormat="false" ht="15" hidden="false" customHeight="true" outlineLevel="0" collapsed="false">
      <c r="A296" s="7" t="s">
        <v>691</v>
      </c>
      <c r="B296" s="15" t="n">
        <v>46274</v>
      </c>
      <c r="C296" s="7" t="s">
        <v>285</v>
      </c>
      <c r="D296" s="7" t="s">
        <v>286</v>
      </c>
      <c r="E296" s="17" t="n">
        <f aca="false">IF(A296="","",SUMIFS(Sales_Items!$H$2:$H$3001,Sales_Items!$A$2:$A$3001,A296))</f>
        <v>3240</v>
      </c>
      <c r="F296" s="13" t="n">
        <v>0</v>
      </c>
      <c r="G296" s="17" t="n">
        <f aca="false">IF(A296="","",E296-N(F296))</f>
        <v>3240</v>
      </c>
      <c r="H296" s="13" t="n">
        <v>3240</v>
      </c>
      <c r="I296" s="17" t="n">
        <f aca="false">IF(A296="","",SUMIFS(Due_Payments!$C$2:$C$1001,Due_Payments!$B$2:$B$1001,A296))</f>
        <v>0</v>
      </c>
      <c r="J296" s="17" t="n">
        <f aca="false">IF(A296="","",G296-N(H296)-I296)</f>
        <v>0</v>
      </c>
      <c r="K296" s="7" t="s">
        <v>37</v>
      </c>
      <c r="L296" s="7" t="s">
        <v>692</v>
      </c>
      <c r="M296" s="7"/>
    </row>
    <row r="297" customFormat="false" ht="15" hidden="false" customHeight="true" outlineLevel="0" collapsed="false">
      <c r="A297" s="7" t="s">
        <v>693</v>
      </c>
      <c r="B297" s="15" t="n">
        <v>46274</v>
      </c>
      <c r="C297" s="7" t="s">
        <v>275</v>
      </c>
      <c r="D297" s="7" t="s">
        <v>276</v>
      </c>
      <c r="E297" s="17" t="n">
        <f aca="false">IF(A297="","",SUMIFS(Sales_Items!$H$2:$H$3001,Sales_Items!$A$2:$A$3001,A297))</f>
        <v>800</v>
      </c>
      <c r="F297" s="13" t="n">
        <v>0</v>
      </c>
      <c r="G297" s="17" t="n">
        <f aca="false">IF(A297="","",E297-N(F297))</f>
        <v>800</v>
      </c>
      <c r="H297" s="13" t="n">
        <v>800</v>
      </c>
      <c r="I297" s="17" t="n">
        <f aca="false">IF(A297="","",SUMIFS(Due_Payments!$C$2:$C$1001,Due_Payments!$B$2:$B$1001,A297))</f>
        <v>0</v>
      </c>
      <c r="J297" s="17" t="n">
        <f aca="false">IF(A297="","",G297-N(H297)-I297)</f>
        <v>0</v>
      </c>
      <c r="K297" s="7" t="s">
        <v>29</v>
      </c>
      <c r="L297" s="7" t="s">
        <v>694</v>
      </c>
      <c r="M297" s="7"/>
    </row>
    <row r="298" customFormat="false" ht="15" hidden="false" customHeight="true" outlineLevel="0" collapsed="false">
      <c r="A298" s="7" t="s">
        <v>695</v>
      </c>
      <c r="B298" s="15" t="n">
        <v>46274</v>
      </c>
      <c r="C298" s="7" t="s">
        <v>329</v>
      </c>
      <c r="D298" s="7" t="s">
        <v>330</v>
      </c>
      <c r="E298" s="17" t="n">
        <f aca="false">IF(A298="","",SUMIFS(Sales_Items!$H$2:$H$3001,Sales_Items!$A$2:$A$3001,A298))</f>
        <v>960</v>
      </c>
      <c r="F298" s="13" t="n">
        <v>50</v>
      </c>
      <c r="G298" s="17" t="n">
        <f aca="false">IF(A298="","",E298-N(F298))</f>
        <v>910</v>
      </c>
      <c r="H298" s="13" t="n">
        <v>910</v>
      </c>
      <c r="I298" s="17" t="n">
        <f aca="false">IF(A298="","",SUMIFS(Due_Payments!$C$2:$C$1001,Due_Payments!$B$2:$B$1001,A298))</f>
        <v>0</v>
      </c>
      <c r="J298" s="17" t="n">
        <f aca="false">IF(A298="","",G298-N(H298)-I298)</f>
        <v>0</v>
      </c>
      <c r="K298" s="7" t="s">
        <v>13</v>
      </c>
      <c r="L298" s="7" t="s">
        <v>675</v>
      </c>
      <c r="M298" s="7"/>
    </row>
    <row r="299" customFormat="false" ht="15" hidden="false" customHeight="true" outlineLevel="0" collapsed="false">
      <c r="A299" s="7" t="s">
        <v>696</v>
      </c>
      <c r="B299" s="15" t="n">
        <v>46274</v>
      </c>
      <c r="C299" s="7" t="s">
        <v>350</v>
      </c>
      <c r="D299" s="7" t="s">
        <v>351</v>
      </c>
      <c r="E299" s="17" t="n">
        <f aca="false">IF(A299="","",SUMIFS(Sales_Items!$H$2:$H$3001,Sales_Items!$A$2:$A$3001,A299))</f>
        <v>670</v>
      </c>
      <c r="F299" s="13" t="n">
        <v>0</v>
      </c>
      <c r="G299" s="17" t="n">
        <f aca="false">IF(A299="","",E299-N(F299))</f>
        <v>670</v>
      </c>
      <c r="H299" s="13" t="n">
        <v>670</v>
      </c>
      <c r="I299" s="17" t="n">
        <f aca="false">IF(A299="","",SUMIFS(Due_Payments!$C$2:$C$1001,Due_Payments!$B$2:$B$1001,A299))</f>
        <v>0</v>
      </c>
      <c r="J299" s="17" t="n">
        <f aca="false">IF(A299="","",G299-N(H299)-I299)</f>
        <v>0</v>
      </c>
      <c r="K299" s="7" t="s">
        <v>13</v>
      </c>
      <c r="L299" s="7" t="s">
        <v>614</v>
      </c>
      <c r="M299" s="7"/>
    </row>
    <row r="300" customFormat="false" ht="15" hidden="false" customHeight="true" outlineLevel="0" collapsed="false">
      <c r="A300" s="7" t="s">
        <v>697</v>
      </c>
      <c r="B300" s="15" t="n">
        <v>46274</v>
      </c>
      <c r="C300" s="7" t="s">
        <v>202</v>
      </c>
      <c r="D300" s="7" t="s">
        <v>203</v>
      </c>
      <c r="E300" s="17" t="n">
        <f aca="false">IF(A300="","",SUMIFS(Sales_Items!$H$2:$H$3001,Sales_Items!$A$2:$A$3001,A300))</f>
        <v>570</v>
      </c>
      <c r="F300" s="13" t="n">
        <v>0</v>
      </c>
      <c r="G300" s="17" t="n">
        <f aca="false">IF(A300="","",E300-N(F300))</f>
        <v>570</v>
      </c>
      <c r="H300" s="13" t="n">
        <v>570</v>
      </c>
      <c r="I300" s="17" t="n">
        <f aca="false">IF(A300="","",SUMIFS(Due_Payments!$C$2:$C$1001,Due_Payments!$B$2:$B$1001,A300))</f>
        <v>0</v>
      </c>
      <c r="J300" s="17" t="n">
        <f aca="false">IF(A300="","",G300-N(H300)-I300)</f>
        <v>0</v>
      </c>
      <c r="K300" s="7" t="s">
        <v>13</v>
      </c>
      <c r="L300" s="7" t="s">
        <v>468</v>
      </c>
      <c r="M300" s="7"/>
    </row>
    <row r="301" customFormat="false" ht="15" hidden="false" customHeight="true" outlineLevel="0" collapsed="false">
      <c r="A301" s="7" t="s">
        <v>698</v>
      </c>
      <c r="B301" s="15" t="n">
        <v>46274</v>
      </c>
      <c r="C301" s="7" t="s">
        <v>259</v>
      </c>
      <c r="D301" s="7" t="s">
        <v>260</v>
      </c>
      <c r="E301" s="17" t="n">
        <f aca="false">IF(A301="","",SUMIFS(Sales_Items!$H$2:$H$3001,Sales_Items!$A$2:$A$3001,A301))</f>
        <v>190</v>
      </c>
      <c r="F301" s="13" t="n">
        <v>0</v>
      </c>
      <c r="G301" s="17" t="n">
        <f aca="false">IF(A301="","",E301-N(F301))</f>
        <v>190</v>
      </c>
      <c r="H301" s="13" t="n">
        <v>190</v>
      </c>
      <c r="I301" s="17" t="n">
        <f aca="false">IF(A301="","",SUMIFS(Due_Payments!$C$2:$C$1001,Due_Payments!$B$2:$B$1001,A301))</f>
        <v>0</v>
      </c>
      <c r="J301" s="17" t="n">
        <f aca="false">IF(A301="","",G301-N(H301)-I301)</f>
        <v>0</v>
      </c>
      <c r="K301" s="7" t="s">
        <v>13</v>
      </c>
      <c r="L301" s="7" t="s">
        <v>342</v>
      </c>
      <c r="M301" s="7"/>
    </row>
    <row r="302" customFormat="false" ht="15" hidden="false" customHeight="true" outlineLevel="0" collapsed="false">
      <c r="A302" s="7" t="s">
        <v>699</v>
      </c>
      <c r="B302" s="15" t="n">
        <v>46274</v>
      </c>
      <c r="C302" s="7" t="s">
        <v>263</v>
      </c>
      <c r="D302" s="7" t="s">
        <v>264</v>
      </c>
      <c r="E302" s="17" t="n">
        <f aca="false">IF(A302="","",SUMIFS(Sales_Items!$H$2:$H$3001,Sales_Items!$A$2:$A$3001,A302))</f>
        <v>240</v>
      </c>
      <c r="F302" s="13" t="n">
        <v>50</v>
      </c>
      <c r="G302" s="17" t="n">
        <f aca="false">IF(A302="","",E302-N(F302))</f>
        <v>190</v>
      </c>
      <c r="H302" s="13" t="n">
        <v>190</v>
      </c>
      <c r="I302" s="17" t="n">
        <f aca="false">IF(A302="","",SUMIFS(Due_Payments!$C$2:$C$1001,Due_Payments!$B$2:$B$1001,A302))</f>
        <v>0</v>
      </c>
      <c r="J302" s="17" t="n">
        <f aca="false">IF(A302="","",G302-N(H302)-I302)</f>
        <v>0</v>
      </c>
      <c r="K302" s="7" t="s">
        <v>21</v>
      </c>
      <c r="L302" s="7" t="s">
        <v>342</v>
      </c>
      <c r="M302" s="7"/>
    </row>
    <row r="303" customFormat="false" ht="15" hidden="false" customHeight="true" outlineLevel="0" collapsed="false">
      <c r="A303" s="7" t="s">
        <v>700</v>
      </c>
      <c r="B303" s="15" t="n">
        <v>46274</v>
      </c>
      <c r="C303" s="7" t="s">
        <v>378</v>
      </c>
      <c r="D303" s="7" t="s">
        <v>379</v>
      </c>
      <c r="E303" s="17" t="n">
        <f aca="false">IF(A303="","",SUMIFS(Sales_Items!$H$2:$H$3001,Sales_Items!$A$2:$A$3001,A303))</f>
        <v>340</v>
      </c>
      <c r="F303" s="13" t="n">
        <v>0</v>
      </c>
      <c r="G303" s="17" t="n">
        <f aca="false">IF(A303="","",E303-N(F303))</f>
        <v>340</v>
      </c>
      <c r="H303" s="13" t="n">
        <v>340</v>
      </c>
      <c r="I303" s="17" t="n">
        <f aca="false">IF(A303="","",SUMIFS(Due_Payments!$C$2:$C$1001,Due_Payments!$B$2:$B$1001,A303))</f>
        <v>0</v>
      </c>
      <c r="J303" s="17" t="n">
        <f aca="false">IF(A303="","",G303-N(H303)-I303)</f>
        <v>0</v>
      </c>
      <c r="K303" s="7" t="s">
        <v>13</v>
      </c>
      <c r="L303" s="7" t="s">
        <v>237</v>
      </c>
      <c r="M303" s="7"/>
    </row>
    <row r="304" customFormat="false" ht="15" hidden="false" customHeight="true" outlineLevel="0" collapsed="false">
      <c r="A304" s="7" t="s">
        <v>701</v>
      </c>
      <c r="B304" s="15" t="n">
        <v>46275</v>
      </c>
      <c r="C304" s="7" t="s">
        <v>350</v>
      </c>
      <c r="D304" s="7" t="s">
        <v>351</v>
      </c>
      <c r="E304" s="17" t="n">
        <f aca="false">IF(A304="","",SUMIFS(Sales_Items!$H$2:$H$3001,Sales_Items!$A$2:$A$3001,A304))</f>
        <v>560</v>
      </c>
      <c r="F304" s="13" t="n">
        <v>0</v>
      </c>
      <c r="G304" s="17" t="n">
        <f aca="false">IF(A304="","",E304-N(F304))</f>
        <v>560</v>
      </c>
      <c r="H304" s="13" t="n">
        <v>560</v>
      </c>
      <c r="I304" s="17" t="n">
        <f aca="false">IF(A304="","",SUMIFS(Due_Payments!$C$2:$C$1001,Due_Payments!$B$2:$B$1001,A304))</f>
        <v>0</v>
      </c>
      <c r="J304" s="17" t="n">
        <f aca="false">IF(A304="","",G304-N(H304)-I304)</f>
        <v>0</v>
      </c>
      <c r="K304" s="7" t="s">
        <v>21</v>
      </c>
      <c r="L304" s="7" t="s">
        <v>409</v>
      </c>
      <c r="M304" s="7"/>
    </row>
    <row r="305" customFormat="false" ht="15" hidden="false" customHeight="true" outlineLevel="0" collapsed="false">
      <c r="A305" s="7" t="s">
        <v>702</v>
      </c>
      <c r="B305" s="15" t="n">
        <v>46275</v>
      </c>
      <c r="C305" s="7" t="s">
        <v>329</v>
      </c>
      <c r="D305" s="7" t="s">
        <v>330</v>
      </c>
      <c r="E305" s="17" t="n">
        <f aca="false">IF(A305="","",SUMIFS(Sales_Items!$H$2:$H$3001,Sales_Items!$A$2:$A$3001,A305))</f>
        <v>280</v>
      </c>
      <c r="F305" s="13" t="n">
        <v>0</v>
      </c>
      <c r="G305" s="17" t="n">
        <f aca="false">IF(A305="","",E305-N(F305))</f>
        <v>280</v>
      </c>
      <c r="H305" s="13" t="n">
        <v>160</v>
      </c>
      <c r="I305" s="17" t="n">
        <f aca="false">IF(A305="","",SUMIFS(Due_Payments!$C$2:$C$1001,Due_Payments!$B$2:$B$1001,A305))</f>
        <v>120</v>
      </c>
      <c r="J305" s="17" t="n">
        <f aca="false">IF(A305="","",G305-N(H305)-I305)</f>
        <v>0</v>
      </c>
      <c r="K305" s="7" t="s">
        <v>29</v>
      </c>
      <c r="L305" s="7" t="s">
        <v>235</v>
      </c>
      <c r="M305" s="7"/>
    </row>
    <row r="306" customFormat="false" ht="15" hidden="false" customHeight="true" outlineLevel="0" collapsed="false">
      <c r="A306" s="7" t="s">
        <v>703</v>
      </c>
      <c r="B306" s="15" t="n">
        <v>46275</v>
      </c>
      <c r="C306" s="7" t="s">
        <v>217</v>
      </c>
      <c r="D306" s="7" t="s">
        <v>218</v>
      </c>
      <c r="E306" s="17" t="n">
        <f aca="false">IF(A306="","",SUMIFS(Sales_Items!$H$2:$H$3001,Sales_Items!$A$2:$A$3001,A306))</f>
        <v>560</v>
      </c>
      <c r="F306" s="13" t="n">
        <v>0</v>
      </c>
      <c r="G306" s="17" t="n">
        <f aca="false">IF(A306="","",E306-N(F306))</f>
        <v>560</v>
      </c>
      <c r="H306" s="13" t="n">
        <v>560</v>
      </c>
      <c r="I306" s="17" t="n">
        <f aca="false">IF(A306="","",SUMIFS(Due_Payments!$C$2:$C$1001,Due_Payments!$B$2:$B$1001,A306))</f>
        <v>0</v>
      </c>
      <c r="J306" s="17" t="n">
        <f aca="false">IF(A306="","",G306-N(H306)-I306)</f>
        <v>0</v>
      </c>
      <c r="K306" s="7" t="s">
        <v>13</v>
      </c>
      <c r="L306" s="7" t="s">
        <v>409</v>
      </c>
      <c r="M306" s="7"/>
    </row>
    <row r="307" customFormat="false" ht="15" hidden="false" customHeight="true" outlineLevel="0" collapsed="false">
      <c r="A307" s="7" t="s">
        <v>704</v>
      </c>
      <c r="B307" s="15" t="n">
        <v>46275</v>
      </c>
      <c r="C307" s="7" t="s">
        <v>249</v>
      </c>
      <c r="D307" s="7" t="s">
        <v>250</v>
      </c>
      <c r="E307" s="17" t="n">
        <f aca="false">IF(A307="","",SUMIFS(Sales_Items!$H$2:$H$3001,Sales_Items!$A$2:$A$3001,A307))</f>
        <v>560</v>
      </c>
      <c r="F307" s="13" t="n">
        <v>0</v>
      </c>
      <c r="G307" s="17" t="n">
        <f aca="false">IF(A307="","",E307-N(F307))</f>
        <v>560</v>
      </c>
      <c r="H307" s="13" t="n">
        <v>0</v>
      </c>
      <c r="I307" s="17" t="n">
        <f aca="false">IF(A307="","",SUMIFS(Due_Payments!$C$2:$C$1001,Due_Payments!$B$2:$B$1001,A307))</f>
        <v>0</v>
      </c>
      <c r="J307" s="17" t="n">
        <f aca="false">IF(A307="","",G307-N(H307)-I307)</f>
        <v>560</v>
      </c>
      <c r="K307" s="7" t="s">
        <v>13</v>
      </c>
      <c r="L307" s="7" t="s">
        <v>409</v>
      </c>
      <c r="M307" s="7"/>
    </row>
    <row r="308" customFormat="false" ht="15" hidden="false" customHeight="true" outlineLevel="0" collapsed="false">
      <c r="A308" s="7" t="s">
        <v>705</v>
      </c>
      <c r="B308" s="15" t="n">
        <v>46275</v>
      </c>
      <c r="C308" s="7" t="s">
        <v>217</v>
      </c>
      <c r="D308" s="7" t="s">
        <v>218</v>
      </c>
      <c r="E308" s="17" t="n">
        <f aca="false">IF(A308="","",SUMIFS(Sales_Items!$H$2:$H$3001,Sales_Items!$A$2:$A$3001,A308))</f>
        <v>190</v>
      </c>
      <c r="F308" s="13" t="n">
        <v>10</v>
      </c>
      <c r="G308" s="17" t="n">
        <f aca="false">IF(A308="","",E308-N(F308))</f>
        <v>180</v>
      </c>
      <c r="H308" s="13" t="n">
        <v>180</v>
      </c>
      <c r="I308" s="17" t="n">
        <f aca="false">IF(A308="","",SUMIFS(Due_Payments!$C$2:$C$1001,Due_Payments!$B$2:$B$1001,A308))</f>
        <v>0</v>
      </c>
      <c r="J308" s="17" t="n">
        <f aca="false">IF(A308="","",G308-N(H308)-I308)</f>
        <v>0</v>
      </c>
      <c r="K308" s="7" t="s">
        <v>29</v>
      </c>
      <c r="L308" s="7" t="s">
        <v>447</v>
      </c>
      <c r="M308" s="7"/>
    </row>
    <row r="309" customFormat="false" ht="15" hidden="false" customHeight="true" outlineLevel="0" collapsed="false">
      <c r="A309" s="7" t="s">
        <v>706</v>
      </c>
      <c r="B309" s="15" t="n">
        <v>46275</v>
      </c>
      <c r="C309" s="7" t="s">
        <v>229</v>
      </c>
      <c r="D309" s="7" t="s">
        <v>230</v>
      </c>
      <c r="E309" s="17" t="n">
        <f aca="false">IF(A309="","",SUMIFS(Sales_Items!$H$2:$H$3001,Sales_Items!$A$2:$A$3001,A309))</f>
        <v>340</v>
      </c>
      <c r="F309" s="13" t="n">
        <v>0</v>
      </c>
      <c r="G309" s="17" t="n">
        <f aca="false">IF(A309="","",E309-N(F309))</f>
        <v>340</v>
      </c>
      <c r="H309" s="13" t="n">
        <v>340</v>
      </c>
      <c r="I309" s="17" t="n">
        <f aca="false">IF(A309="","",SUMIFS(Due_Payments!$C$2:$C$1001,Due_Payments!$B$2:$B$1001,A309))</f>
        <v>0</v>
      </c>
      <c r="J309" s="17" t="n">
        <f aca="false">IF(A309="","",G309-N(H309)-I309)</f>
        <v>0</v>
      </c>
      <c r="K309" s="7" t="s">
        <v>29</v>
      </c>
      <c r="L309" s="7" t="s">
        <v>237</v>
      </c>
      <c r="M309" s="7"/>
    </row>
    <row r="310" customFormat="false" ht="15" hidden="false" customHeight="true" outlineLevel="0" collapsed="false">
      <c r="A310" s="7" t="s">
        <v>707</v>
      </c>
      <c r="B310" s="15" t="n">
        <v>46275</v>
      </c>
      <c r="C310" s="7" t="s">
        <v>282</v>
      </c>
      <c r="D310" s="7" t="s">
        <v>283</v>
      </c>
      <c r="E310" s="17" t="n">
        <f aca="false">IF(A310="","",SUMIFS(Sales_Items!$H$2:$H$3001,Sales_Items!$A$2:$A$3001,A310))</f>
        <v>640</v>
      </c>
      <c r="F310" s="13" t="n">
        <v>0</v>
      </c>
      <c r="G310" s="17" t="n">
        <f aca="false">IF(A310="","",E310-N(F310))</f>
        <v>640</v>
      </c>
      <c r="H310" s="13" t="n">
        <v>640</v>
      </c>
      <c r="I310" s="17" t="n">
        <f aca="false">IF(A310="","",SUMIFS(Due_Payments!$C$2:$C$1001,Due_Payments!$B$2:$B$1001,A310))</f>
        <v>0</v>
      </c>
      <c r="J310" s="17" t="n">
        <f aca="false">IF(A310="","",G310-N(H310)-I310)</f>
        <v>0</v>
      </c>
      <c r="K310" s="7" t="s">
        <v>13</v>
      </c>
      <c r="L310" s="7" t="s">
        <v>708</v>
      </c>
      <c r="M310" s="7"/>
    </row>
    <row r="311" customFormat="false" ht="15" hidden="false" customHeight="true" outlineLevel="0" collapsed="false">
      <c r="A311" s="7" t="s">
        <v>709</v>
      </c>
      <c r="B311" s="15" t="n">
        <v>46275</v>
      </c>
      <c r="C311" s="7" t="s">
        <v>259</v>
      </c>
      <c r="D311" s="7" t="s">
        <v>260</v>
      </c>
      <c r="E311" s="17" t="n">
        <f aca="false">IF(A311="","",SUMIFS(Sales_Items!$H$2:$H$3001,Sales_Items!$A$2:$A$3001,A311))</f>
        <v>2740</v>
      </c>
      <c r="F311" s="13" t="n">
        <v>0</v>
      </c>
      <c r="G311" s="17" t="n">
        <f aca="false">IF(A311="","",E311-N(F311))</f>
        <v>2740</v>
      </c>
      <c r="H311" s="13" t="n">
        <v>2740</v>
      </c>
      <c r="I311" s="17" t="n">
        <f aca="false">IF(A311="","",SUMIFS(Due_Payments!$C$2:$C$1001,Due_Payments!$B$2:$B$1001,A311))</f>
        <v>0</v>
      </c>
      <c r="J311" s="17" t="n">
        <f aca="false">IF(A311="","",G311-N(H311)-I311)</f>
        <v>0</v>
      </c>
      <c r="K311" s="7" t="s">
        <v>13</v>
      </c>
      <c r="L311" s="7" t="s">
        <v>710</v>
      </c>
      <c r="M311" s="7"/>
    </row>
    <row r="312" customFormat="false" ht="15" hidden="false" customHeight="true" outlineLevel="0" collapsed="false">
      <c r="A312" s="7" t="s">
        <v>711</v>
      </c>
      <c r="B312" s="15" t="n">
        <v>46275</v>
      </c>
      <c r="C312" s="7" t="s">
        <v>369</v>
      </c>
      <c r="D312" s="7" t="s">
        <v>370</v>
      </c>
      <c r="E312" s="17" t="n">
        <f aca="false">IF(A312="","",SUMIFS(Sales_Items!$H$2:$H$3001,Sales_Items!$A$2:$A$3001,A312))</f>
        <v>2000</v>
      </c>
      <c r="F312" s="13" t="n">
        <v>60</v>
      </c>
      <c r="G312" s="17" t="n">
        <f aca="false">IF(A312="","",E312-N(F312))</f>
        <v>1940</v>
      </c>
      <c r="H312" s="13" t="n">
        <v>1120</v>
      </c>
      <c r="I312" s="17" t="n">
        <f aca="false">IF(A312="","",SUMIFS(Due_Payments!$C$2:$C$1001,Due_Payments!$B$2:$B$1001,A312))</f>
        <v>0</v>
      </c>
      <c r="J312" s="17" t="n">
        <f aca="false">IF(A312="","",G312-N(H312)-I312)</f>
        <v>820</v>
      </c>
      <c r="K312" s="7" t="s">
        <v>13</v>
      </c>
      <c r="L312" s="7" t="s">
        <v>712</v>
      </c>
      <c r="M312" s="7"/>
    </row>
    <row r="313" customFormat="false" ht="15" hidden="false" customHeight="true" outlineLevel="0" collapsed="false">
      <c r="A313" s="7" t="s">
        <v>713</v>
      </c>
      <c r="B313" s="15" t="n">
        <v>46275</v>
      </c>
      <c r="C313" s="7" t="s">
        <v>249</v>
      </c>
      <c r="D313" s="7" t="s">
        <v>250</v>
      </c>
      <c r="E313" s="17" t="n">
        <f aca="false">IF(A313="","",SUMIFS(Sales_Items!$H$2:$H$3001,Sales_Items!$A$2:$A$3001,A313))</f>
        <v>760</v>
      </c>
      <c r="F313" s="13" t="n">
        <v>0</v>
      </c>
      <c r="G313" s="17" t="n">
        <f aca="false">IF(A313="","",E313-N(F313))</f>
        <v>760</v>
      </c>
      <c r="H313" s="13" t="n">
        <v>760</v>
      </c>
      <c r="I313" s="17" t="n">
        <f aca="false">IF(A313="","",SUMIFS(Due_Payments!$C$2:$C$1001,Due_Payments!$B$2:$B$1001,A313))</f>
        <v>0</v>
      </c>
      <c r="J313" s="17" t="n">
        <f aca="false">IF(A313="","",G313-N(H313)-I313)</f>
        <v>0</v>
      </c>
      <c r="K313" s="7" t="s">
        <v>13</v>
      </c>
      <c r="L313" s="7" t="s">
        <v>517</v>
      </c>
      <c r="M313" s="7"/>
    </row>
    <row r="314" customFormat="false" ht="15" hidden="false" customHeight="true" outlineLevel="0" collapsed="false">
      <c r="A314" s="7" t="s">
        <v>714</v>
      </c>
      <c r="B314" s="15" t="n">
        <v>46275</v>
      </c>
      <c r="C314" s="7" t="s">
        <v>217</v>
      </c>
      <c r="D314" s="7" t="s">
        <v>218</v>
      </c>
      <c r="E314" s="17" t="n">
        <f aca="false">IF(A314="","",SUMIFS(Sales_Items!$H$2:$H$3001,Sales_Items!$A$2:$A$3001,A314))</f>
        <v>190</v>
      </c>
      <c r="F314" s="13" t="n">
        <v>0</v>
      </c>
      <c r="G314" s="17" t="n">
        <f aca="false">IF(A314="","",E314-N(F314))</f>
        <v>190</v>
      </c>
      <c r="H314" s="13" t="n">
        <v>190</v>
      </c>
      <c r="I314" s="17" t="n">
        <f aca="false">IF(A314="","",SUMIFS(Due_Payments!$C$2:$C$1001,Due_Payments!$B$2:$B$1001,A314))</f>
        <v>0</v>
      </c>
      <c r="J314" s="17" t="n">
        <f aca="false">IF(A314="","",G314-N(H314)-I314)</f>
        <v>0</v>
      </c>
      <c r="K314" s="7" t="s">
        <v>13</v>
      </c>
      <c r="L314" s="7" t="s">
        <v>342</v>
      </c>
      <c r="M314" s="7"/>
    </row>
    <row r="315" customFormat="false" ht="15" hidden="false" customHeight="true" outlineLevel="0" collapsed="false">
      <c r="A315" s="7" t="s">
        <v>715</v>
      </c>
      <c r="B315" s="15" t="n">
        <v>46275</v>
      </c>
      <c r="C315" s="7" t="s">
        <v>225</v>
      </c>
      <c r="D315" s="7" t="s">
        <v>226</v>
      </c>
      <c r="E315" s="17" t="n">
        <f aca="false">IF(A315="","",SUMIFS(Sales_Items!$H$2:$H$3001,Sales_Items!$A$2:$A$3001,A315))</f>
        <v>380</v>
      </c>
      <c r="F315" s="13" t="n">
        <v>50</v>
      </c>
      <c r="G315" s="17" t="n">
        <f aca="false">IF(A315="","",E315-N(F315))</f>
        <v>330</v>
      </c>
      <c r="H315" s="13" t="n">
        <v>330</v>
      </c>
      <c r="I315" s="17" t="n">
        <f aca="false">IF(A315="","",SUMIFS(Due_Payments!$C$2:$C$1001,Due_Payments!$B$2:$B$1001,A315))</f>
        <v>0</v>
      </c>
      <c r="J315" s="17" t="n">
        <f aca="false">IF(A315="","",G315-N(H315)-I315)</f>
        <v>0</v>
      </c>
      <c r="K315" s="7" t="s">
        <v>13</v>
      </c>
      <c r="L315" s="7" t="s">
        <v>215</v>
      </c>
      <c r="M315" s="7"/>
    </row>
    <row r="316" customFormat="false" ht="15" hidden="false" customHeight="true" outlineLevel="0" collapsed="false">
      <c r="A316" s="7" t="s">
        <v>716</v>
      </c>
      <c r="B316" s="15" t="n">
        <v>46277</v>
      </c>
      <c r="C316" s="7" t="s">
        <v>202</v>
      </c>
      <c r="D316" s="7" t="s">
        <v>203</v>
      </c>
      <c r="E316" s="17" t="n">
        <f aca="false">IF(A316="","",SUMIFS(Sales_Items!$H$2:$H$3001,Sales_Items!$A$2:$A$3001,A316))</f>
        <v>190</v>
      </c>
      <c r="F316" s="13" t="n">
        <v>0</v>
      </c>
      <c r="G316" s="17" t="n">
        <f aca="false">IF(A316="","",E316-N(F316))</f>
        <v>190</v>
      </c>
      <c r="H316" s="13" t="n">
        <v>190</v>
      </c>
      <c r="I316" s="17" t="n">
        <f aca="false">IF(A316="","",SUMIFS(Due_Payments!$C$2:$C$1001,Due_Payments!$B$2:$B$1001,A316))</f>
        <v>0</v>
      </c>
      <c r="J316" s="17" t="n">
        <f aca="false">IF(A316="","",G316-N(H316)-I316)</f>
        <v>0</v>
      </c>
      <c r="K316" s="7" t="s">
        <v>21</v>
      </c>
      <c r="L316" s="7" t="s">
        <v>342</v>
      </c>
      <c r="M316" s="7"/>
    </row>
    <row r="317" customFormat="false" ht="15" hidden="false" customHeight="true" outlineLevel="0" collapsed="false">
      <c r="A317" s="7" t="s">
        <v>717</v>
      </c>
      <c r="B317" s="15" t="n">
        <v>46277</v>
      </c>
      <c r="C317" s="7" t="s">
        <v>350</v>
      </c>
      <c r="D317" s="7" t="s">
        <v>351</v>
      </c>
      <c r="E317" s="17" t="n">
        <f aca="false">IF(A317="","",SUMIFS(Sales_Items!$H$2:$H$3001,Sales_Items!$A$2:$A$3001,A317))</f>
        <v>3740</v>
      </c>
      <c r="F317" s="13" t="n">
        <v>50</v>
      </c>
      <c r="G317" s="17" t="n">
        <f aca="false">IF(A317="","",E317-N(F317))</f>
        <v>3690</v>
      </c>
      <c r="H317" s="13" t="n">
        <v>3690</v>
      </c>
      <c r="I317" s="17" t="n">
        <f aca="false">IF(A317="","",SUMIFS(Due_Payments!$C$2:$C$1001,Due_Payments!$B$2:$B$1001,A317))</f>
        <v>0</v>
      </c>
      <c r="J317" s="17" t="n">
        <f aca="false">IF(A317="","",G317-N(H317)-I317)</f>
        <v>0</v>
      </c>
      <c r="K317" s="7" t="s">
        <v>13</v>
      </c>
      <c r="L317" s="7" t="s">
        <v>315</v>
      </c>
      <c r="M317" s="7"/>
    </row>
    <row r="318" customFormat="false" ht="15" hidden="false" customHeight="true" outlineLevel="0" collapsed="false">
      <c r="A318" s="7" t="s">
        <v>718</v>
      </c>
      <c r="B318" s="15" t="n">
        <v>46277</v>
      </c>
      <c r="C318" s="7" t="s">
        <v>259</v>
      </c>
      <c r="D318" s="7" t="s">
        <v>260</v>
      </c>
      <c r="E318" s="17" t="n">
        <f aca="false">IF(A318="","",SUMIFS(Sales_Items!$H$2:$H$3001,Sales_Items!$A$2:$A$3001,A318))</f>
        <v>1090</v>
      </c>
      <c r="F318" s="13" t="n">
        <v>30</v>
      </c>
      <c r="G318" s="17" t="n">
        <f aca="false">IF(A318="","",E318-N(F318))</f>
        <v>1060</v>
      </c>
      <c r="H318" s="13" t="n">
        <v>630</v>
      </c>
      <c r="I318" s="17" t="n">
        <f aca="false">IF(A318="","",SUMIFS(Due_Payments!$C$2:$C$1001,Due_Payments!$B$2:$B$1001,A318))</f>
        <v>220</v>
      </c>
      <c r="J318" s="17" t="n">
        <f aca="false">IF(A318="","",G318-N(H318)-I318)</f>
        <v>210</v>
      </c>
      <c r="K318" s="7" t="s">
        <v>13</v>
      </c>
      <c r="L318" s="7" t="s">
        <v>603</v>
      </c>
      <c r="M318" s="7"/>
    </row>
    <row r="319" customFormat="false" ht="15" hidden="false" customHeight="true" outlineLevel="0" collapsed="false">
      <c r="A319" s="7" t="s">
        <v>719</v>
      </c>
      <c r="B319" s="15" t="n">
        <v>46277</v>
      </c>
      <c r="C319" s="7" t="s">
        <v>263</v>
      </c>
      <c r="D319" s="7" t="s">
        <v>264</v>
      </c>
      <c r="E319" s="17" t="n">
        <f aca="false">IF(A319="","",SUMIFS(Sales_Items!$H$2:$H$3001,Sales_Items!$A$2:$A$3001,A319))</f>
        <v>570</v>
      </c>
      <c r="F319" s="13" t="n">
        <v>0</v>
      </c>
      <c r="G319" s="17" t="n">
        <f aca="false">IF(A319="","",E319-N(F319))</f>
        <v>570</v>
      </c>
      <c r="H319" s="13" t="n">
        <v>570</v>
      </c>
      <c r="I319" s="17" t="n">
        <f aca="false">IF(A319="","",SUMIFS(Due_Payments!$C$2:$C$1001,Due_Payments!$B$2:$B$1001,A319))</f>
        <v>0</v>
      </c>
      <c r="J319" s="17" t="n">
        <f aca="false">IF(A319="","",G319-N(H319)-I319)</f>
        <v>0</v>
      </c>
      <c r="K319" s="7" t="s">
        <v>29</v>
      </c>
      <c r="L319" s="7" t="s">
        <v>468</v>
      </c>
      <c r="M319" s="7"/>
    </row>
    <row r="320" customFormat="false" ht="15" hidden="false" customHeight="true" outlineLevel="0" collapsed="false">
      <c r="A320" s="7" t="s">
        <v>720</v>
      </c>
      <c r="B320" s="15" t="n">
        <v>46277</v>
      </c>
      <c r="C320" s="7" t="s">
        <v>369</v>
      </c>
      <c r="D320" s="7" t="s">
        <v>370</v>
      </c>
      <c r="E320" s="17" t="n">
        <f aca="false">IF(A320="","",SUMIFS(Sales_Items!$H$2:$H$3001,Sales_Items!$A$2:$A$3001,A320))</f>
        <v>970</v>
      </c>
      <c r="F320" s="13" t="n">
        <v>100</v>
      </c>
      <c r="G320" s="17" t="n">
        <f aca="false">IF(A320="","",E320-N(F320))</f>
        <v>870</v>
      </c>
      <c r="H320" s="13" t="n">
        <v>0</v>
      </c>
      <c r="I320" s="17" t="n">
        <f aca="false">IF(A320="","",SUMIFS(Due_Payments!$C$2:$C$1001,Due_Payments!$B$2:$B$1001,A320))</f>
        <v>440</v>
      </c>
      <c r="J320" s="17" t="n">
        <f aca="false">IF(A320="","",G320-N(H320)-I320)</f>
        <v>430</v>
      </c>
      <c r="K320" s="7" t="s">
        <v>13</v>
      </c>
      <c r="L320" s="7" t="s">
        <v>231</v>
      </c>
      <c r="M320" s="7"/>
    </row>
    <row r="321" customFormat="false" ht="15" hidden="false" customHeight="true" outlineLevel="0" collapsed="false">
      <c r="A321" s="7" t="s">
        <v>721</v>
      </c>
      <c r="B321" s="15" t="n">
        <v>46277</v>
      </c>
      <c r="C321" s="7" t="s">
        <v>300</v>
      </c>
      <c r="D321" s="7" t="s">
        <v>301</v>
      </c>
      <c r="E321" s="17" t="n">
        <f aca="false">IF(A321="","",SUMIFS(Sales_Items!$H$2:$H$3001,Sales_Items!$A$2:$A$3001,A321))</f>
        <v>2340</v>
      </c>
      <c r="F321" s="13" t="n">
        <v>0</v>
      </c>
      <c r="G321" s="17" t="n">
        <f aca="false">IF(A321="","",E321-N(F321))</f>
        <v>2340</v>
      </c>
      <c r="H321" s="13" t="n">
        <v>2340</v>
      </c>
      <c r="I321" s="17" t="n">
        <f aca="false">IF(A321="","",SUMIFS(Due_Payments!$C$2:$C$1001,Due_Payments!$B$2:$B$1001,A321))</f>
        <v>0</v>
      </c>
      <c r="J321" s="17" t="n">
        <f aca="false">IF(A321="","",G321-N(H321)-I321)</f>
        <v>0</v>
      </c>
      <c r="K321" s="7" t="s">
        <v>13</v>
      </c>
      <c r="L321" s="7" t="s">
        <v>511</v>
      </c>
      <c r="M321" s="7"/>
    </row>
    <row r="322" customFormat="false" ht="15" hidden="false" customHeight="true" outlineLevel="0" collapsed="false">
      <c r="A322" s="7" t="s">
        <v>722</v>
      </c>
      <c r="B322" s="15" t="n">
        <v>46277</v>
      </c>
      <c r="C322" s="7" t="s">
        <v>206</v>
      </c>
      <c r="D322" s="7" t="s">
        <v>207</v>
      </c>
      <c r="E322" s="17" t="n">
        <f aca="false">IF(A322="","",SUMIFS(Sales_Items!$H$2:$H$3001,Sales_Items!$A$2:$A$3001,A322))</f>
        <v>1040</v>
      </c>
      <c r="F322" s="13" t="n">
        <v>50</v>
      </c>
      <c r="G322" s="17" t="n">
        <f aca="false">IF(A322="","",E322-N(F322))</f>
        <v>990</v>
      </c>
      <c r="H322" s="13" t="n">
        <v>990</v>
      </c>
      <c r="I322" s="17" t="n">
        <f aca="false">IF(A322="","",SUMIFS(Due_Payments!$C$2:$C$1001,Due_Payments!$B$2:$B$1001,A322))</f>
        <v>0</v>
      </c>
      <c r="J322" s="17" t="n">
        <f aca="false">IF(A322="","",G322-N(H322)-I322)</f>
        <v>0</v>
      </c>
      <c r="K322" s="7" t="s">
        <v>13</v>
      </c>
      <c r="L322" s="7" t="s">
        <v>208</v>
      </c>
      <c r="M322" s="7"/>
    </row>
    <row r="323" customFormat="false" ht="15" hidden="false" customHeight="true" outlineLevel="0" collapsed="false">
      <c r="A323" s="7" t="s">
        <v>723</v>
      </c>
      <c r="B323" s="15" t="n">
        <v>46277</v>
      </c>
      <c r="C323" s="7" t="s">
        <v>217</v>
      </c>
      <c r="D323" s="7" t="s">
        <v>218</v>
      </c>
      <c r="E323" s="17" t="n">
        <f aca="false">IF(A323="","",SUMIFS(Sales_Items!$H$2:$H$3001,Sales_Items!$A$2:$A$3001,A323))</f>
        <v>480</v>
      </c>
      <c r="F323" s="13" t="n">
        <v>10</v>
      </c>
      <c r="G323" s="17" t="n">
        <f aca="false">IF(A323="","",E323-N(F323))</f>
        <v>470</v>
      </c>
      <c r="H323" s="13" t="n">
        <v>470</v>
      </c>
      <c r="I323" s="17" t="n">
        <f aca="false">IF(A323="","",SUMIFS(Due_Payments!$C$2:$C$1001,Due_Payments!$B$2:$B$1001,A323))</f>
        <v>0</v>
      </c>
      <c r="J323" s="17" t="n">
        <f aca="false">IF(A323="","",G323-N(H323)-I323)</f>
        <v>0</v>
      </c>
      <c r="K323" s="7" t="s">
        <v>13</v>
      </c>
      <c r="L323" s="7" t="s">
        <v>348</v>
      </c>
      <c r="M323" s="7"/>
    </row>
    <row r="324" customFormat="false" ht="15" hidden="false" customHeight="true" outlineLevel="0" collapsed="false">
      <c r="A324" s="7" t="s">
        <v>724</v>
      </c>
      <c r="B324" s="15" t="n">
        <v>46278</v>
      </c>
      <c r="C324" s="7" t="s">
        <v>378</v>
      </c>
      <c r="D324" s="7" t="s">
        <v>379</v>
      </c>
      <c r="E324" s="17" t="n">
        <f aca="false">IF(A324="","",SUMIFS(Sales_Items!$H$2:$H$3001,Sales_Items!$A$2:$A$3001,A324))</f>
        <v>1020</v>
      </c>
      <c r="F324" s="13" t="n">
        <v>0</v>
      </c>
      <c r="G324" s="17" t="n">
        <f aca="false">IF(A324="","",E324-N(F324))</f>
        <v>1020</v>
      </c>
      <c r="H324" s="13" t="n">
        <v>0</v>
      </c>
      <c r="I324" s="17" t="n">
        <f aca="false">IF(A324="","",SUMIFS(Due_Payments!$C$2:$C$1001,Due_Payments!$B$2:$B$1001,A324))</f>
        <v>1020</v>
      </c>
      <c r="J324" s="17" t="n">
        <f aca="false">IF(A324="","",G324-N(H324)-I324)</f>
        <v>0</v>
      </c>
      <c r="K324" s="7" t="s">
        <v>13</v>
      </c>
      <c r="L324" s="7" t="s">
        <v>493</v>
      </c>
      <c r="M324" s="7"/>
    </row>
    <row r="325" customFormat="false" ht="15" hidden="false" customHeight="true" outlineLevel="0" collapsed="false">
      <c r="A325" s="7" t="s">
        <v>725</v>
      </c>
      <c r="B325" s="15" t="n">
        <v>46278</v>
      </c>
      <c r="C325" s="7" t="s">
        <v>344</v>
      </c>
      <c r="D325" s="7" t="s">
        <v>345</v>
      </c>
      <c r="E325" s="17" t="n">
        <f aca="false">IF(A325="","",SUMIFS(Sales_Items!$H$2:$H$3001,Sales_Items!$A$2:$A$3001,A325))</f>
        <v>1260</v>
      </c>
      <c r="F325" s="13" t="n">
        <v>40</v>
      </c>
      <c r="G325" s="17" t="n">
        <f aca="false">IF(A325="","",E325-N(F325))</f>
        <v>1220</v>
      </c>
      <c r="H325" s="13" t="n">
        <v>1220</v>
      </c>
      <c r="I325" s="17" t="n">
        <f aca="false">IF(A325="","",SUMIFS(Due_Payments!$C$2:$C$1001,Due_Payments!$B$2:$B$1001,A325))</f>
        <v>0</v>
      </c>
      <c r="J325" s="17" t="n">
        <f aca="false">IF(A325="","",G325-N(H325)-I325)</f>
        <v>0</v>
      </c>
      <c r="K325" s="7" t="s">
        <v>21</v>
      </c>
      <c r="L325" s="7" t="s">
        <v>726</v>
      </c>
      <c r="M325" s="7"/>
    </row>
    <row r="326" customFormat="false" ht="15" hidden="false" customHeight="true" outlineLevel="0" collapsed="false">
      <c r="A326" s="7" t="s">
        <v>727</v>
      </c>
      <c r="B326" s="15" t="n">
        <v>46278</v>
      </c>
      <c r="C326" s="7" t="s">
        <v>241</v>
      </c>
      <c r="D326" s="7" t="s">
        <v>242</v>
      </c>
      <c r="E326" s="17" t="n">
        <f aca="false">IF(A326="","",SUMIFS(Sales_Items!$H$2:$H$3001,Sales_Items!$A$2:$A$3001,A326))</f>
        <v>1170</v>
      </c>
      <c r="F326" s="13" t="n">
        <v>0</v>
      </c>
      <c r="G326" s="17" t="n">
        <f aca="false">IF(A326="","",E326-N(F326))</f>
        <v>1170</v>
      </c>
      <c r="H326" s="13" t="n">
        <v>1170</v>
      </c>
      <c r="I326" s="17" t="n">
        <f aca="false">IF(A326="","",SUMIFS(Due_Payments!$C$2:$C$1001,Due_Payments!$B$2:$B$1001,A326))</f>
        <v>0</v>
      </c>
      <c r="J326" s="17" t="n">
        <f aca="false">IF(A326="","",G326-N(H326)-I326)</f>
        <v>0</v>
      </c>
      <c r="K326" s="7" t="s">
        <v>13</v>
      </c>
      <c r="L326" s="7" t="s">
        <v>635</v>
      </c>
      <c r="M326" s="7"/>
    </row>
    <row r="327" customFormat="false" ht="15" hidden="false" customHeight="true" outlineLevel="0" collapsed="false">
      <c r="A327" s="7" t="s">
        <v>728</v>
      </c>
      <c r="B327" s="15" t="n">
        <v>46278</v>
      </c>
      <c r="C327" s="7" t="s">
        <v>225</v>
      </c>
      <c r="D327" s="7" t="s">
        <v>226</v>
      </c>
      <c r="E327" s="17" t="n">
        <f aca="false">IF(A327="","",SUMIFS(Sales_Items!$H$2:$H$3001,Sales_Items!$A$2:$A$3001,A327))</f>
        <v>1290</v>
      </c>
      <c r="F327" s="13" t="n">
        <v>100</v>
      </c>
      <c r="G327" s="17" t="n">
        <f aca="false">IF(A327="","",E327-N(F327))</f>
        <v>1190</v>
      </c>
      <c r="H327" s="13" t="n">
        <v>810</v>
      </c>
      <c r="I327" s="17" t="n">
        <f aca="false">IF(A327="","",SUMIFS(Due_Payments!$C$2:$C$1001,Due_Payments!$B$2:$B$1001,A327))</f>
        <v>380</v>
      </c>
      <c r="J327" s="17" t="n">
        <f aca="false">IF(A327="","",G327-N(H327)-I327)</f>
        <v>0</v>
      </c>
      <c r="K327" s="7" t="s">
        <v>21</v>
      </c>
      <c r="L327" s="7" t="s">
        <v>245</v>
      </c>
      <c r="M327" s="7"/>
    </row>
    <row r="328" customFormat="false" ht="15" hidden="false" customHeight="true" outlineLevel="0" collapsed="false">
      <c r="A328" s="7" t="s">
        <v>729</v>
      </c>
      <c r="B328" s="15" t="n">
        <v>46278</v>
      </c>
      <c r="C328" s="7" t="s">
        <v>369</v>
      </c>
      <c r="D328" s="7" t="s">
        <v>370</v>
      </c>
      <c r="E328" s="17" t="n">
        <f aca="false">IF(A328="","",SUMIFS(Sales_Items!$H$2:$H$3001,Sales_Items!$A$2:$A$3001,A328))</f>
        <v>740</v>
      </c>
      <c r="F328" s="13" t="n">
        <v>100</v>
      </c>
      <c r="G328" s="17" t="n">
        <f aca="false">IF(A328="","",E328-N(F328))</f>
        <v>640</v>
      </c>
      <c r="H328" s="13" t="n">
        <v>640</v>
      </c>
      <c r="I328" s="17" t="n">
        <f aca="false">IF(A328="","",SUMIFS(Due_Payments!$C$2:$C$1001,Due_Payments!$B$2:$B$1001,A328))</f>
        <v>0</v>
      </c>
      <c r="J328" s="17" t="n">
        <f aca="false">IF(A328="","",G328-N(H328)-I328)</f>
        <v>0</v>
      </c>
      <c r="K328" s="7" t="s">
        <v>13</v>
      </c>
      <c r="L328" s="7" t="s">
        <v>708</v>
      </c>
      <c r="M328" s="7"/>
    </row>
    <row r="329" customFormat="false" ht="15" hidden="false" customHeight="true" outlineLevel="0" collapsed="false">
      <c r="A329" s="7" t="s">
        <v>730</v>
      </c>
      <c r="B329" s="15" t="n">
        <v>46278</v>
      </c>
      <c r="C329" s="7" t="s">
        <v>263</v>
      </c>
      <c r="D329" s="7" t="s">
        <v>264</v>
      </c>
      <c r="E329" s="17" t="n">
        <f aca="false">IF(A329="","",SUMIFS(Sales_Items!$H$2:$H$3001,Sales_Items!$A$2:$A$3001,A329))</f>
        <v>1710</v>
      </c>
      <c r="F329" s="13" t="n">
        <v>100</v>
      </c>
      <c r="G329" s="17" t="n">
        <f aca="false">IF(A329="","",E329-N(F329))</f>
        <v>1610</v>
      </c>
      <c r="H329" s="13" t="n">
        <v>0</v>
      </c>
      <c r="I329" s="17" t="n">
        <f aca="false">IF(A329="","",SUMIFS(Due_Payments!$C$2:$C$1001,Due_Payments!$B$2:$B$1001,A329))</f>
        <v>0</v>
      </c>
      <c r="J329" s="17" t="n">
        <f aca="false">IF(A329="","",G329-N(H329)-I329)</f>
        <v>1610</v>
      </c>
      <c r="K329" s="7" t="s">
        <v>13</v>
      </c>
      <c r="L329" s="7" t="s">
        <v>731</v>
      </c>
      <c r="M329" s="7"/>
    </row>
    <row r="330" customFormat="false" ht="15" hidden="false" customHeight="true" outlineLevel="0" collapsed="false">
      <c r="A330" s="7" t="s">
        <v>732</v>
      </c>
      <c r="B330" s="15" t="n">
        <v>46278</v>
      </c>
      <c r="C330" s="7" t="s">
        <v>217</v>
      </c>
      <c r="D330" s="7" t="s">
        <v>218</v>
      </c>
      <c r="E330" s="17" t="n">
        <f aca="false">IF(A330="","",SUMIFS(Sales_Items!$H$2:$H$3001,Sales_Items!$A$2:$A$3001,A330))</f>
        <v>560</v>
      </c>
      <c r="F330" s="13" t="n">
        <v>20</v>
      </c>
      <c r="G330" s="17" t="n">
        <f aca="false">IF(A330="","",E330-N(F330))</f>
        <v>540</v>
      </c>
      <c r="H330" s="13" t="n">
        <v>0</v>
      </c>
      <c r="I330" s="17" t="n">
        <f aca="false">IF(A330="","",SUMIFS(Due_Payments!$C$2:$C$1001,Due_Payments!$B$2:$B$1001,A330))</f>
        <v>0</v>
      </c>
      <c r="J330" s="17" t="n">
        <f aca="false">IF(A330="","",G330-N(H330)-I330)</f>
        <v>540</v>
      </c>
      <c r="K330" s="7" t="s">
        <v>13</v>
      </c>
      <c r="L330" s="7" t="s">
        <v>279</v>
      </c>
      <c r="M330" s="7"/>
    </row>
    <row r="331" customFormat="false" ht="15" hidden="false" customHeight="true" outlineLevel="0" collapsed="false">
      <c r="A331" s="7" t="s">
        <v>733</v>
      </c>
      <c r="B331" s="15" t="n">
        <v>46278</v>
      </c>
      <c r="C331" s="7" t="s">
        <v>213</v>
      </c>
      <c r="D331" s="7" t="s">
        <v>214</v>
      </c>
      <c r="E331" s="17" t="n">
        <f aca="false">IF(A331="","",SUMIFS(Sales_Items!$H$2:$H$3001,Sales_Items!$A$2:$A$3001,A331))</f>
        <v>2120</v>
      </c>
      <c r="F331" s="13" t="n">
        <v>100</v>
      </c>
      <c r="G331" s="17" t="n">
        <f aca="false">IF(A331="","",E331-N(F331))</f>
        <v>2020</v>
      </c>
      <c r="H331" s="13" t="n">
        <v>2020</v>
      </c>
      <c r="I331" s="17" t="n">
        <f aca="false">IF(A331="","",SUMIFS(Due_Payments!$C$2:$C$1001,Due_Payments!$B$2:$B$1001,A331))</f>
        <v>0</v>
      </c>
      <c r="J331" s="17" t="n">
        <f aca="false">IF(A331="","",G331-N(H331)-I331)</f>
        <v>0</v>
      </c>
      <c r="K331" s="7" t="s">
        <v>13</v>
      </c>
      <c r="L331" s="7" t="s">
        <v>734</v>
      </c>
      <c r="M331" s="7"/>
    </row>
    <row r="332" customFormat="false" ht="15" hidden="false" customHeight="true" outlineLevel="0" collapsed="false">
      <c r="A332" s="7" t="s">
        <v>735</v>
      </c>
      <c r="B332" s="15" t="n">
        <v>46278</v>
      </c>
      <c r="C332" s="7" t="s">
        <v>202</v>
      </c>
      <c r="D332" s="7" t="s">
        <v>203</v>
      </c>
      <c r="E332" s="17" t="n">
        <f aca="false">IF(A332="","",SUMIFS(Sales_Items!$H$2:$H$3001,Sales_Items!$A$2:$A$3001,A332))</f>
        <v>560</v>
      </c>
      <c r="F332" s="13" t="n">
        <v>50</v>
      </c>
      <c r="G332" s="17" t="n">
        <f aca="false">IF(A332="","",E332-N(F332))</f>
        <v>510</v>
      </c>
      <c r="H332" s="13" t="n">
        <v>0</v>
      </c>
      <c r="I332" s="17" t="n">
        <f aca="false">IF(A332="","",SUMIFS(Due_Payments!$C$2:$C$1001,Due_Payments!$B$2:$B$1001,A332))</f>
        <v>0</v>
      </c>
      <c r="J332" s="17" t="n">
        <f aca="false">IF(A332="","",G332-N(H332)-I332)</f>
        <v>510</v>
      </c>
      <c r="K332" s="7" t="s">
        <v>21</v>
      </c>
      <c r="L332" s="7" t="s">
        <v>461</v>
      </c>
      <c r="M332" s="7"/>
    </row>
    <row r="333" customFormat="false" ht="15" hidden="false" customHeight="true" outlineLevel="0" collapsed="false">
      <c r="A333" s="7" t="s">
        <v>736</v>
      </c>
      <c r="B333" s="15" t="n">
        <v>46278</v>
      </c>
      <c r="C333" s="7" t="s">
        <v>210</v>
      </c>
      <c r="D333" s="7" t="s">
        <v>211</v>
      </c>
      <c r="E333" s="17" t="n">
        <f aca="false">IF(A333="","",SUMIFS(Sales_Items!$H$2:$H$3001,Sales_Items!$A$2:$A$3001,A333))</f>
        <v>520</v>
      </c>
      <c r="F333" s="13" t="n">
        <v>0</v>
      </c>
      <c r="G333" s="17" t="n">
        <f aca="false">IF(A333="","",E333-N(F333))</f>
        <v>520</v>
      </c>
      <c r="H333" s="13" t="n">
        <v>520</v>
      </c>
      <c r="I333" s="17" t="n">
        <f aca="false">IF(A333="","",SUMIFS(Due_Payments!$C$2:$C$1001,Due_Payments!$B$2:$B$1001,A333))</f>
        <v>0</v>
      </c>
      <c r="J333" s="17" t="n">
        <f aca="false">IF(A333="","",G333-N(H333)-I333)</f>
        <v>0</v>
      </c>
      <c r="K333" s="7" t="s">
        <v>13</v>
      </c>
      <c r="L333" s="7" t="s">
        <v>323</v>
      </c>
      <c r="M333" s="7"/>
    </row>
    <row r="334" customFormat="false" ht="15" hidden="false" customHeight="true" outlineLevel="0" collapsed="false">
      <c r="A334" s="7" t="s">
        <v>737</v>
      </c>
      <c r="B334" s="15" t="n">
        <v>46278</v>
      </c>
      <c r="C334" s="7" t="s">
        <v>217</v>
      </c>
      <c r="D334" s="7" t="s">
        <v>218</v>
      </c>
      <c r="E334" s="17" t="n">
        <f aca="false">IF(A334="","",SUMIFS(Sales_Items!$H$2:$H$3001,Sales_Items!$A$2:$A$3001,A334))</f>
        <v>810</v>
      </c>
      <c r="F334" s="13" t="n">
        <v>0</v>
      </c>
      <c r="G334" s="17" t="n">
        <f aca="false">IF(A334="","",E334-N(F334))</f>
        <v>810</v>
      </c>
      <c r="H334" s="13" t="n">
        <v>810</v>
      </c>
      <c r="I334" s="17" t="n">
        <f aca="false">IF(A334="","",SUMIFS(Due_Payments!$C$2:$C$1001,Due_Payments!$B$2:$B$1001,A334))</f>
        <v>0</v>
      </c>
      <c r="J334" s="17" t="n">
        <f aca="false">IF(A334="","",G334-N(H334)-I334)</f>
        <v>0</v>
      </c>
      <c r="K334" s="7" t="s">
        <v>21</v>
      </c>
      <c r="L334" s="7" t="s">
        <v>233</v>
      </c>
      <c r="M334" s="7"/>
    </row>
    <row r="335" customFormat="false" ht="15" hidden="false" customHeight="true" outlineLevel="0" collapsed="false">
      <c r="A335" s="7" t="s">
        <v>738</v>
      </c>
      <c r="B335" s="15" t="n">
        <v>46278</v>
      </c>
      <c r="C335" s="7" t="s">
        <v>329</v>
      </c>
      <c r="D335" s="7" t="s">
        <v>330</v>
      </c>
      <c r="E335" s="17" t="n">
        <f aca="false">IF(A335="","",SUMIFS(Sales_Items!$H$2:$H$3001,Sales_Items!$A$2:$A$3001,A335))</f>
        <v>570</v>
      </c>
      <c r="F335" s="13" t="n">
        <v>0</v>
      </c>
      <c r="G335" s="17" t="n">
        <f aca="false">IF(A335="","",E335-N(F335))</f>
        <v>570</v>
      </c>
      <c r="H335" s="13" t="n">
        <v>570</v>
      </c>
      <c r="I335" s="17" t="n">
        <f aca="false">IF(A335="","",SUMIFS(Due_Payments!$C$2:$C$1001,Due_Payments!$B$2:$B$1001,A335))</f>
        <v>0</v>
      </c>
      <c r="J335" s="17" t="n">
        <f aca="false">IF(A335="","",G335-N(H335)-I335)</f>
        <v>0</v>
      </c>
      <c r="K335" s="7" t="s">
        <v>13</v>
      </c>
      <c r="L335" s="7" t="s">
        <v>468</v>
      </c>
      <c r="M335" s="7"/>
    </row>
    <row r="336" customFormat="false" ht="15" hidden="false" customHeight="true" outlineLevel="0" collapsed="false">
      <c r="A336" s="7" t="s">
        <v>739</v>
      </c>
      <c r="B336" s="15" t="n">
        <v>46279</v>
      </c>
      <c r="C336" s="7" t="s">
        <v>202</v>
      </c>
      <c r="D336" s="7" t="s">
        <v>203</v>
      </c>
      <c r="E336" s="17" t="n">
        <f aca="false">IF(A336="","",SUMIFS(Sales_Items!$H$2:$H$3001,Sales_Items!$A$2:$A$3001,A336))</f>
        <v>560</v>
      </c>
      <c r="F336" s="13" t="n">
        <v>20</v>
      </c>
      <c r="G336" s="17" t="n">
        <f aca="false">IF(A336="","",E336-N(F336))</f>
        <v>540</v>
      </c>
      <c r="H336" s="13" t="n">
        <v>0</v>
      </c>
      <c r="I336" s="17" t="n">
        <f aca="false">IF(A336="","",SUMIFS(Due_Payments!$C$2:$C$1001,Due_Payments!$B$2:$B$1001,A336))</f>
        <v>270</v>
      </c>
      <c r="J336" s="17" t="n">
        <f aca="false">IF(A336="","",G336-N(H336)-I336)</f>
        <v>270</v>
      </c>
      <c r="K336" s="7" t="s">
        <v>21</v>
      </c>
      <c r="L336" s="7" t="s">
        <v>279</v>
      </c>
      <c r="M336" s="7"/>
    </row>
    <row r="337" customFormat="false" ht="15" hidden="false" customHeight="true" outlineLevel="0" collapsed="false">
      <c r="A337" s="7" t="s">
        <v>740</v>
      </c>
      <c r="B337" s="15" t="n">
        <v>46279</v>
      </c>
      <c r="C337" s="7" t="s">
        <v>249</v>
      </c>
      <c r="D337" s="7" t="s">
        <v>250</v>
      </c>
      <c r="E337" s="17" t="n">
        <f aca="false">IF(A337="","",SUMIFS(Sales_Items!$H$2:$H$3001,Sales_Items!$A$2:$A$3001,A337))</f>
        <v>380</v>
      </c>
      <c r="F337" s="13" t="n">
        <v>0</v>
      </c>
      <c r="G337" s="17" t="n">
        <f aca="false">IF(A337="","",E337-N(F337))</f>
        <v>380</v>
      </c>
      <c r="H337" s="13" t="n">
        <v>380</v>
      </c>
      <c r="I337" s="17" t="n">
        <f aca="false">IF(A337="","",SUMIFS(Due_Payments!$C$2:$C$1001,Due_Payments!$B$2:$B$1001,A337))</f>
        <v>0</v>
      </c>
      <c r="J337" s="17" t="n">
        <f aca="false">IF(A337="","",G337-N(H337)-I337)</f>
        <v>0</v>
      </c>
      <c r="K337" s="7" t="s">
        <v>21</v>
      </c>
      <c r="L337" s="7" t="s">
        <v>223</v>
      </c>
      <c r="M337" s="7"/>
    </row>
    <row r="338" customFormat="false" ht="15" hidden="false" customHeight="true" outlineLevel="0" collapsed="false">
      <c r="A338" s="7" t="s">
        <v>741</v>
      </c>
      <c r="B338" s="15" t="n">
        <v>46279</v>
      </c>
      <c r="C338" s="7" t="s">
        <v>293</v>
      </c>
      <c r="D338" s="7" t="s">
        <v>294</v>
      </c>
      <c r="E338" s="17" t="n">
        <f aca="false">IF(A338="","",SUMIFS(Sales_Items!$H$2:$H$3001,Sales_Items!$A$2:$A$3001,A338))</f>
        <v>1620</v>
      </c>
      <c r="F338" s="13" t="n">
        <v>0</v>
      </c>
      <c r="G338" s="17" t="n">
        <f aca="false">IF(A338="","",E338-N(F338))</f>
        <v>1620</v>
      </c>
      <c r="H338" s="13" t="n">
        <v>0</v>
      </c>
      <c r="I338" s="17" t="n">
        <f aca="false">IF(A338="","",SUMIFS(Due_Payments!$C$2:$C$1001,Due_Payments!$B$2:$B$1001,A338))</f>
        <v>810</v>
      </c>
      <c r="J338" s="17" t="n">
        <f aca="false">IF(A338="","",G338-N(H338)-I338)</f>
        <v>810</v>
      </c>
      <c r="K338" s="7" t="s">
        <v>13</v>
      </c>
      <c r="L338" s="7" t="s">
        <v>742</v>
      </c>
      <c r="M338" s="7"/>
    </row>
    <row r="339" customFormat="false" ht="15" hidden="false" customHeight="true" outlineLevel="0" collapsed="false">
      <c r="A339" s="7" t="s">
        <v>743</v>
      </c>
      <c r="B339" s="15" t="n">
        <v>46279</v>
      </c>
      <c r="C339" s="7" t="s">
        <v>282</v>
      </c>
      <c r="D339" s="7" t="s">
        <v>283</v>
      </c>
      <c r="E339" s="17" t="n">
        <f aca="false">IF(A339="","",SUMIFS(Sales_Items!$H$2:$H$3001,Sales_Items!$A$2:$A$3001,A339))</f>
        <v>2080</v>
      </c>
      <c r="F339" s="13" t="n">
        <v>0</v>
      </c>
      <c r="G339" s="17" t="n">
        <f aca="false">IF(A339="","",E339-N(F339))</f>
        <v>2080</v>
      </c>
      <c r="H339" s="13" t="n">
        <v>2080</v>
      </c>
      <c r="I339" s="17" t="n">
        <f aca="false">IF(A339="","",SUMIFS(Due_Payments!$C$2:$C$1001,Due_Payments!$B$2:$B$1001,A339))</f>
        <v>0</v>
      </c>
      <c r="J339" s="17" t="n">
        <f aca="false">IF(A339="","",G339-N(H339)-I339)</f>
        <v>0</v>
      </c>
      <c r="K339" s="7" t="s">
        <v>21</v>
      </c>
      <c r="L339" s="7" t="s">
        <v>744</v>
      </c>
      <c r="M339" s="7"/>
    </row>
    <row r="340" customFormat="false" ht="15" hidden="false" customHeight="true" outlineLevel="0" collapsed="false">
      <c r="A340" s="7" t="s">
        <v>745</v>
      </c>
      <c r="B340" s="15" t="n">
        <v>46279</v>
      </c>
      <c r="C340" s="7" t="s">
        <v>285</v>
      </c>
      <c r="D340" s="7" t="s">
        <v>286</v>
      </c>
      <c r="E340" s="17" t="n">
        <f aca="false">IF(A340="","",SUMIFS(Sales_Items!$H$2:$H$3001,Sales_Items!$A$2:$A$3001,A340))</f>
        <v>680</v>
      </c>
      <c r="F340" s="13" t="n">
        <v>0</v>
      </c>
      <c r="G340" s="17" t="n">
        <f aca="false">IF(A340="","",E340-N(F340))</f>
        <v>680</v>
      </c>
      <c r="H340" s="13" t="n">
        <v>0</v>
      </c>
      <c r="I340" s="17" t="n">
        <f aca="false">IF(A340="","",SUMIFS(Due_Payments!$C$2:$C$1001,Due_Payments!$B$2:$B$1001,A340))</f>
        <v>680</v>
      </c>
      <c r="J340" s="17" t="n">
        <f aca="false">IF(A340="","",G340-N(H340)-I340)</f>
        <v>0</v>
      </c>
      <c r="K340" s="7" t="s">
        <v>13</v>
      </c>
      <c r="L340" s="7" t="s">
        <v>239</v>
      </c>
      <c r="M340" s="7"/>
    </row>
    <row r="341" customFormat="false" ht="15" hidden="false" customHeight="true" outlineLevel="0" collapsed="false">
      <c r="A341" s="7" t="s">
        <v>746</v>
      </c>
      <c r="B341" s="15" t="n">
        <v>46279</v>
      </c>
      <c r="C341" s="7" t="s">
        <v>225</v>
      </c>
      <c r="D341" s="7" t="s">
        <v>226</v>
      </c>
      <c r="E341" s="17" t="n">
        <f aca="false">IF(A341="","",SUMIFS(Sales_Items!$H$2:$H$3001,Sales_Items!$A$2:$A$3001,A341))</f>
        <v>2350</v>
      </c>
      <c r="F341" s="13" t="n">
        <v>50</v>
      </c>
      <c r="G341" s="17" t="n">
        <f aca="false">IF(A341="","",E341-N(F341))</f>
        <v>2300</v>
      </c>
      <c r="H341" s="13" t="n">
        <v>2300</v>
      </c>
      <c r="I341" s="17" t="n">
        <f aca="false">IF(A341="","",SUMIFS(Due_Payments!$C$2:$C$1001,Due_Payments!$B$2:$B$1001,A341))</f>
        <v>0</v>
      </c>
      <c r="J341" s="17" t="n">
        <f aca="false">IF(A341="","",G341-N(H341)-I341)</f>
        <v>0</v>
      </c>
      <c r="K341" s="7" t="s">
        <v>13</v>
      </c>
      <c r="L341" s="7" t="s">
        <v>747</v>
      </c>
      <c r="M341" s="7"/>
    </row>
    <row r="342" customFormat="false" ht="15" hidden="false" customHeight="true" outlineLevel="0" collapsed="false">
      <c r="A342" s="7" t="s">
        <v>748</v>
      </c>
      <c r="B342" s="15" t="n">
        <v>46279</v>
      </c>
      <c r="C342" s="7" t="s">
        <v>307</v>
      </c>
      <c r="D342" s="7" t="s">
        <v>308</v>
      </c>
      <c r="E342" s="17" t="n">
        <f aca="false">IF(A342="","",SUMIFS(Sales_Items!$H$2:$H$3001,Sales_Items!$A$2:$A$3001,A342))</f>
        <v>580</v>
      </c>
      <c r="F342" s="13" t="n">
        <v>100</v>
      </c>
      <c r="G342" s="17" t="n">
        <f aca="false">IF(A342="","",E342-N(F342))</f>
        <v>480</v>
      </c>
      <c r="H342" s="13" t="n">
        <v>250</v>
      </c>
      <c r="I342" s="17" t="n">
        <f aca="false">IF(A342="","",SUMIFS(Due_Payments!$C$2:$C$1001,Due_Payments!$B$2:$B$1001,A342))</f>
        <v>230</v>
      </c>
      <c r="J342" s="17" t="n">
        <f aca="false">IF(A342="","",G342-N(H342)-I342)</f>
        <v>0</v>
      </c>
      <c r="K342" s="7" t="s">
        <v>13</v>
      </c>
      <c r="L342" s="7" t="s">
        <v>254</v>
      </c>
      <c r="M342" s="7"/>
    </row>
    <row r="343" customFormat="false" ht="15" hidden="false" customHeight="true" outlineLevel="0" collapsed="false">
      <c r="A343" s="7" t="s">
        <v>749</v>
      </c>
      <c r="B343" s="15" t="n">
        <v>46280</v>
      </c>
      <c r="C343" s="7" t="s">
        <v>300</v>
      </c>
      <c r="D343" s="7" t="s">
        <v>301</v>
      </c>
      <c r="E343" s="17" t="n">
        <f aca="false">IF(A343="","",SUMIFS(Sales_Items!$H$2:$H$3001,Sales_Items!$A$2:$A$3001,A343))</f>
        <v>680</v>
      </c>
      <c r="F343" s="13" t="n">
        <v>0</v>
      </c>
      <c r="G343" s="17" t="n">
        <f aca="false">IF(A343="","",E343-N(F343))</f>
        <v>680</v>
      </c>
      <c r="H343" s="13" t="n">
        <v>680</v>
      </c>
      <c r="I343" s="17" t="n">
        <f aca="false">IF(A343="","",SUMIFS(Due_Payments!$C$2:$C$1001,Due_Payments!$B$2:$B$1001,A343))</f>
        <v>0</v>
      </c>
      <c r="J343" s="17" t="n">
        <f aca="false">IF(A343="","",G343-N(H343)-I343)</f>
        <v>0</v>
      </c>
      <c r="K343" s="7" t="s">
        <v>13</v>
      </c>
      <c r="L343" s="7" t="s">
        <v>239</v>
      </c>
      <c r="M343" s="7"/>
    </row>
    <row r="344" customFormat="false" ht="15" hidden="false" customHeight="true" outlineLevel="0" collapsed="false">
      <c r="A344" s="7" t="s">
        <v>750</v>
      </c>
      <c r="B344" s="15" t="n">
        <v>46280</v>
      </c>
      <c r="C344" s="7" t="s">
        <v>329</v>
      </c>
      <c r="D344" s="7" t="s">
        <v>330</v>
      </c>
      <c r="E344" s="17" t="n">
        <f aca="false">IF(A344="","",SUMIFS(Sales_Items!$H$2:$H$3001,Sales_Items!$A$2:$A$3001,A344))</f>
        <v>2870</v>
      </c>
      <c r="F344" s="13" t="n">
        <v>0</v>
      </c>
      <c r="G344" s="17" t="n">
        <f aca="false">IF(A344="","",E344-N(F344))</f>
        <v>2870</v>
      </c>
      <c r="H344" s="13" t="n">
        <v>1770</v>
      </c>
      <c r="I344" s="17" t="n">
        <f aca="false">IF(A344="","",SUMIFS(Due_Payments!$C$2:$C$1001,Due_Payments!$B$2:$B$1001,A344))</f>
        <v>0</v>
      </c>
      <c r="J344" s="17" t="n">
        <f aca="false">IF(A344="","",G344-N(H344)-I344)</f>
        <v>1100</v>
      </c>
      <c r="K344" s="7" t="s">
        <v>13</v>
      </c>
      <c r="L344" s="7" t="s">
        <v>751</v>
      </c>
      <c r="M344" s="7"/>
    </row>
    <row r="345" customFormat="false" ht="15" hidden="false" customHeight="true" outlineLevel="0" collapsed="false">
      <c r="A345" s="7" t="s">
        <v>752</v>
      </c>
      <c r="B345" s="15" t="n">
        <v>46280</v>
      </c>
      <c r="C345" s="7" t="s">
        <v>275</v>
      </c>
      <c r="D345" s="7" t="s">
        <v>276</v>
      </c>
      <c r="E345" s="17" t="n">
        <f aca="false">IF(A345="","",SUMIFS(Sales_Items!$H$2:$H$3001,Sales_Items!$A$2:$A$3001,A345))</f>
        <v>480</v>
      </c>
      <c r="F345" s="13" t="n">
        <v>100</v>
      </c>
      <c r="G345" s="17" t="n">
        <f aca="false">IF(A345="","",E345-N(F345))</f>
        <v>380</v>
      </c>
      <c r="H345" s="13" t="n">
        <v>380</v>
      </c>
      <c r="I345" s="17" t="n">
        <f aca="false">IF(A345="","",SUMIFS(Due_Payments!$C$2:$C$1001,Due_Payments!$B$2:$B$1001,A345))</f>
        <v>0</v>
      </c>
      <c r="J345" s="17" t="n">
        <f aca="false">IF(A345="","",G345-N(H345)-I345)</f>
        <v>0</v>
      </c>
      <c r="K345" s="7" t="s">
        <v>13</v>
      </c>
      <c r="L345" s="7" t="s">
        <v>223</v>
      </c>
      <c r="M345" s="7"/>
    </row>
    <row r="346" customFormat="false" ht="15" hidden="false" customHeight="true" outlineLevel="0" collapsed="false">
      <c r="A346" s="7" t="s">
        <v>753</v>
      </c>
      <c r="B346" s="15" t="n">
        <v>46280</v>
      </c>
      <c r="C346" s="7" t="s">
        <v>344</v>
      </c>
      <c r="D346" s="7" t="s">
        <v>345</v>
      </c>
      <c r="E346" s="17" t="n">
        <f aca="false">IF(A346="","",SUMIFS(Sales_Items!$H$2:$H$3001,Sales_Items!$A$2:$A$3001,A346))</f>
        <v>1160</v>
      </c>
      <c r="F346" s="13" t="n">
        <v>0</v>
      </c>
      <c r="G346" s="17" t="n">
        <f aca="false">IF(A346="","",E346-N(F346))</f>
        <v>1160</v>
      </c>
      <c r="H346" s="13" t="n">
        <v>1160</v>
      </c>
      <c r="I346" s="17" t="n">
        <f aca="false">IF(A346="","",SUMIFS(Due_Payments!$C$2:$C$1001,Due_Payments!$B$2:$B$1001,A346))</f>
        <v>0</v>
      </c>
      <c r="J346" s="17" t="n">
        <f aca="false">IF(A346="","",G346-N(H346)-I346)</f>
        <v>0</v>
      </c>
      <c r="K346" s="7" t="s">
        <v>13</v>
      </c>
      <c r="L346" s="7" t="s">
        <v>754</v>
      </c>
      <c r="M346" s="7"/>
    </row>
    <row r="347" customFormat="false" ht="15" hidden="false" customHeight="true" outlineLevel="0" collapsed="false">
      <c r="A347" s="7" t="s">
        <v>755</v>
      </c>
      <c r="B347" s="15" t="n">
        <v>46280</v>
      </c>
      <c r="C347" s="7" t="s">
        <v>210</v>
      </c>
      <c r="D347" s="7" t="s">
        <v>211</v>
      </c>
      <c r="E347" s="17" t="n">
        <f aca="false">IF(A347="","",SUMIFS(Sales_Items!$H$2:$H$3001,Sales_Items!$A$2:$A$3001,A347))</f>
        <v>680</v>
      </c>
      <c r="F347" s="13" t="n">
        <v>100</v>
      </c>
      <c r="G347" s="17" t="n">
        <f aca="false">IF(A347="","",E347-N(F347))</f>
        <v>580</v>
      </c>
      <c r="H347" s="13" t="n">
        <v>310</v>
      </c>
      <c r="I347" s="17" t="n">
        <f aca="false">IF(A347="","",SUMIFS(Due_Payments!$C$2:$C$1001,Due_Payments!$B$2:$B$1001,A347))</f>
        <v>0</v>
      </c>
      <c r="J347" s="17" t="n">
        <f aca="false">IF(A347="","",G347-N(H347)-I347)</f>
        <v>270</v>
      </c>
      <c r="K347" s="7" t="s">
        <v>13</v>
      </c>
      <c r="L347" s="7" t="s">
        <v>365</v>
      </c>
      <c r="M347" s="7"/>
    </row>
    <row r="348" customFormat="false" ht="15" hidden="false" customHeight="true" outlineLevel="0" collapsed="false">
      <c r="A348" s="7" t="s">
        <v>756</v>
      </c>
      <c r="B348" s="15" t="n">
        <v>46280</v>
      </c>
      <c r="C348" s="7" t="s">
        <v>300</v>
      </c>
      <c r="D348" s="7" t="s">
        <v>301</v>
      </c>
      <c r="E348" s="17" t="n">
        <f aca="false">IF(A348="","",SUMIFS(Sales_Items!$H$2:$H$3001,Sales_Items!$A$2:$A$3001,A348))</f>
        <v>1530</v>
      </c>
      <c r="F348" s="13" t="n">
        <v>0</v>
      </c>
      <c r="G348" s="17" t="n">
        <f aca="false">IF(A348="","",E348-N(F348))</f>
        <v>1530</v>
      </c>
      <c r="H348" s="13" t="n">
        <v>1530</v>
      </c>
      <c r="I348" s="17" t="n">
        <f aca="false">IF(A348="","",SUMIFS(Due_Payments!$C$2:$C$1001,Due_Payments!$B$2:$B$1001,A348))</f>
        <v>0</v>
      </c>
      <c r="J348" s="17" t="n">
        <f aca="false">IF(A348="","",G348-N(H348)-I348)</f>
        <v>0</v>
      </c>
      <c r="K348" s="7" t="s">
        <v>13</v>
      </c>
      <c r="L348" s="7" t="s">
        <v>757</v>
      </c>
      <c r="M348" s="7"/>
    </row>
    <row r="349" customFormat="false" ht="15" hidden="false" customHeight="true" outlineLevel="0" collapsed="false">
      <c r="A349" s="7" t="s">
        <v>758</v>
      </c>
      <c r="B349" s="15" t="n">
        <v>46280</v>
      </c>
      <c r="C349" s="7" t="s">
        <v>198</v>
      </c>
      <c r="D349" s="7" t="s">
        <v>199</v>
      </c>
      <c r="E349" s="17" t="n">
        <f aca="false">IF(A349="","",SUMIFS(Sales_Items!$H$2:$H$3001,Sales_Items!$A$2:$A$3001,A349))</f>
        <v>1980</v>
      </c>
      <c r="F349" s="13" t="n">
        <v>50</v>
      </c>
      <c r="G349" s="17" t="n">
        <f aca="false">IF(A349="","",E349-N(F349))</f>
        <v>1930</v>
      </c>
      <c r="H349" s="13" t="n">
        <v>1930</v>
      </c>
      <c r="I349" s="17" t="n">
        <f aca="false">IF(A349="","",SUMIFS(Due_Payments!$C$2:$C$1001,Due_Payments!$B$2:$B$1001,A349))</f>
        <v>0</v>
      </c>
      <c r="J349" s="17" t="n">
        <f aca="false">IF(A349="","",G349-N(H349)-I349)</f>
        <v>0</v>
      </c>
      <c r="K349" s="7" t="s">
        <v>13</v>
      </c>
      <c r="L349" s="7" t="s">
        <v>759</v>
      </c>
      <c r="M349" s="7"/>
    </row>
    <row r="350" customFormat="false" ht="15" hidden="false" customHeight="true" outlineLevel="0" collapsed="false">
      <c r="A350" s="7" t="s">
        <v>760</v>
      </c>
      <c r="B350" s="15" t="n">
        <v>46280</v>
      </c>
      <c r="C350" s="7" t="s">
        <v>307</v>
      </c>
      <c r="D350" s="7" t="s">
        <v>308</v>
      </c>
      <c r="E350" s="17" t="n">
        <f aca="false">IF(A350="","",SUMIFS(Sales_Items!$H$2:$H$3001,Sales_Items!$A$2:$A$3001,A350))</f>
        <v>1750</v>
      </c>
      <c r="F350" s="13" t="n">
        <v>0</v>
      </c>
      <c r="G350" s="17" t="n">
        <f aca="false">IF(A350="","",E350-N(F350))</f>
        <v>1750</v>
      </c>
      <c r="H350" s="13" t="n">
        <v>1750</v>
      </c>
      <c r="I350" s="17" t="n">
        <f aca="false">IF(A350="","",SUMIFS(Due_Payments!$C$2:$C$1001,Due_Payments!$B$2:$B$1001,A350))</f>
        <v>0</v>
      </c>
      <c r="J350" s="17" t="n">
        <f aca="false">IF(A350="","",G350-N(H350)-I350)</f>
        <v>0</v>
      </c>
      <c r="K350" s="7" t="s">
        <v>13</v>
      </c>
      <c r="L350" s="7" t="s">
        <v>354</v>
      </c>
      <c r="M350" s="7"/>
    </row>
    <row r="351" customFormat="false" ht="15" hidden="false" customHeight="true" outlineLevel="0" collapsed="false">
      <c r="A351" s="7" t="s">
        <v>761</v>
      </c>
      <c r="B351" s="15" t="n">
        <v>46280</v>
      </c>
      <c r="C351" s="7" t="s">
        <v>300</v>
      </c>
      <c r="D351" s="7" t="s">
        <v>301</v>
      </c>
      <c r="E351" s="17" t="n">
        <f aca="false">IF(A351="","",SUMIFS(Sales_Items!$H$2:$H$3001,Sales_Items!$A$2:$A$3001,A351))</f>
        <v>280</v>
      </c>
      <c r="F351" s="13" t="n">
        <v>100</v>
      </c>
      <c r="G351" s="17" t="n">
        <f aca="false">IF(A351="","",E351-N(F351))</f>
        <v>180</v>
      </c>
      <c r="H351" s="13" t="n">
        <v>80</v>
      </c>
      <c r="I351" s="17" t="n">
        <f aca="false">IF(A351="","",SUMIFS(Due_Payments!$C$2:$C$1001,Due_Payments!$B$2:$B$1001,A351))</f>
        <v>0</v>
      </c>
      <c r="J351" s="17" t="n">
        <f aca="false">IF(A351="","",G351-N(H351)-I351)</f>
        <v>100</v>
      </c>
      <c r="K351" s="7" t="s">
        <v>13</v>
      </c>
      <c r="L351" s="7" t="s">
        <v>447</v>
      </c>
      <c r="M351" s="7"/>
    </row>
    <row r="352" customFormat="false" ht="15" hidden="false" customHeight="true" outlineLevel="0" collapsed="false">
      <c r="A352" s="7" t="s">
        <v>762</v>
      </c>
      <c r="B352" s="15" t="n">
        <v>46280</v>
      </c>
      <c r="C352" s="7" t="s">
        <v>206</v>
      </c>
      <c r="D352" s="7" t="s">
        <v>207</v>
      </c>
      <c r="E352" s="17" t="n">
        <f aca="false">IF(A352="","",SUMIFS(Sales_Items!$H$2:$H$3001,Sales_Items!$A$2:$A$3001,A352))</f>
        <v>2820</v>
      </c>
      <c r="F352" s="13" t="n">
        <v>0</v>
      </c>
      <c r="G352" s="17" t="n">
        <f aca="false">IF(A352="","",E352-N(F352))</f>
        <v>2820</v>
      </c>
      <c r="H352" s="13" t="n">
        <v>2820</v>
      </c>
      <c r="I352" s="17" t="n">
        <f aca="false">IF(A352="","",SUMIFS(Due_Payments!$C$2:$C$1001,Due_Payments!$B$2:$B$1001,A352))</f>
        <v>0</v>
      </c>
      <c r="J352" s="17" t="n">
        <f aca="false">IF(A352="","",G352-N(H352)-I352)</f>
        <v>0</v>
      </c>
      <c r="K352" s="7" t="s">
        <v>21</v>
      </c>
      <c r="L352" s="7" t="s">
        <v>763</v>
      </c>
      <c r="M352" s="7"/>
    </row>
    <row r="353" customFormat="false" ht="15" hidden="false" customHeight="true" outlineLevel="0" collapsed="false">
      <c r="A353" s="7" t="s">
        <v>764</v>
      </c>
      <c r="B353" s="15" t="n">
        <v>46281</v>
      </c>
      <c r="C353" s="7" t="s">
        <v>307</v>
      </c>
      <c r="D353" s="7" t="s">
        <v>308</v>
      </c>
      <c r="E353" s="17" t="n">
        <f aca="false">IF(A353="","",SUMIFS(Sales_Items!$H$2:$H$3001,Sales_Items!$A$2:$A$3001,A353))</f>
        <v>190</v>
      </c>
      <c r="F353" s="13" t="n">
        <v>10</v>
      </c>
      <c r="G353" s="17" t="n">
        <f aca="false">IF(A353="","",E353-N(F353))</f>
        <v>180</v>
      </c>
      <c r="H353" s="13" t="n">
        <v>180</v>
      </c>
      <c r="I353" s="17" t="n">
        <f aca="false">IF(A353="","",SUMIFS(Due_Payments!$C$2:$C$1001,Due_Payments!$B$2:$B$1001,A353))</f>
        <v>0</v>
      </c>
      <c r="J353" s="17" t="n">
        <f aca="false">IF(A353="","",G353-N(H353)-I353)</f>
        <v>0</v>
      </c>
      <c r="K353" s="7" t="s">
        <v>21</v>
      </c>
      <c r="L353" s="7" t="s">
        <v>447</v>
      </c>
      <c r="M353" s="7"/>
    </row>
    <row r="354" customFormat="false" ht="15" hidden="false" customHeight="true" outlineLevel="0" collapsed="false">
      <c r="A354" s="7" t="s">
        <v>765</v>
      </c>
      <c r="B354" s="15" t="n">
        <v>46281</v>
      </c>
      <c r="C354" s="7" t="s">
        <v>378</v>
      </c>
      <c r="D354" s="7" t="s">
        <v>379</v>
      </c>
      <c r="E354" s="17" t="n">
        <f aca="false">IF(A354="","",SUMIFS(Sales_Items!$H$2:$H$3001,Sales_Items!$A$2:$A$3001,A354))</f>
        <v>780</v>
      </c>
      <c r="F354" s="13" t="n">
        <v>0</v>
      </c>
      <c r="G354" s="17" t="n">
        <f aca="false">IF(A354="","",E354-N(F354))</f>
        <v>780</v>
      </c>
      <c r="H354" s="13" t="n">
        <v>780</v>
      </c>
      <c r="I354" s="17" t="n">
        <f aca="false">IF(A354="","",SUMIFS(Due_Payments!$C$2:$C$1001,Due_Payments!$B$2:$B$1001,A354))</f>
        <v>0</v>
      </c>
      <c r="J354" s="17" t="n">
        <f aca="false">IF(A354="","",G354-N(H354)-I354)</f>
        <v>0</v>
      </c>
      <c r="K354" s="7" t="s">
        <v>13</v>
      </c>
      <c r="L354" s="7" t="s">
        <v>309</v>
      </c>
      <c r="M354" s="7"/>
    </row>
    <row r="355" customFormat="false" ht="15" hidden="false" customHeight="true" outlineLevel="0" collapsed="false">
      <c r="A355" s="7" t="s">
        <v>766</v>
      </c>
      <c r="B355" s="15" t="n">
        <v>46281</v>
      </c>
      <c r="C355" s="7" t="s">
        <v>282</v>
      </c>
      <c r="D355" s="7" t="s">
        <v>283</v>
      </c>
      <c r="E355" s="17" t="n">
        <f aca="false">IF(A355="","",SUMIFS(Sales_Items!$H$2:$H$3001,Sales_Items!$A$2:$A$3001,A355))</f>
        <v>1580</v>
      </c>
      <c r="F355" s="13" t="n">
        <v>100</v>
      </c>
      <c r="G355" s="17" t="n">
        <f aca="false">IF(A355="","",E355-N(F355))</f>
        <v>1480</v>
      </c>
      <c r="H355" s="13" t="n">
        <v>1480</v>
      </c>
      <c r="I355" s="17" t="n">
        <f aca="false">IF(A355="","",SUMIFS(Due_Payments!$C$2:$C$1001,Due_Payments!$B$2:$B$1001,A355))</f>
        <v>0</v>
      </c>
      <c r="J355" s="17" t="n">
        <f aca="false">IF(A355="","",G355-N(H355)-I355)</f>
        <v>0</v>
      </c>
      <c r="K355" s="7" t="s">
        <v>21</v>
      </c>
      <c r="L355" s="7" t="s">
        <v>767</v>
      </c>
      <c r="M355" s="7"/>
    </row>
    <row r="356" customFormat="false" ht="15" hidden="false" customHeight="true" outlineLevel="0" collapsed="false">
      <c r="A356" s="7" t="s">
        <v>768</v>
      </c>
      <c r="B356" s="15" t="n">
        <v>46281</v>
      </c>
      <c r="C356" s="7" t="s">
        <v>229</v>
      </c>
      <c r="D356" s="7" t="s">
        <v>230</v>
      </c>
      <c r="E356" s="17" t="n">
        <f aca="false">IF(A356="","",SUMIFS(Sales_Items!$H$2:$H$3001,Sales_Items!$A$2:$A$3001,A356))</f>
        <v>2460</v>
      </c>
      <c r="F356" s="13" t="n">
        <v>0</v>
      </c>
      <c r="G356" s="17" t="n">
        <f aca="false">IF(A356="","",E356-N(F356))</f>
        <v>2460</v>
      </c>
      <c r="H356" s="13" t="n">
        <v>2460</v>
      </c>
      <c r="I356" s="17" t="n">
        <f aca="false">IF(A356="","",SUMIFS(Due_Payments!$C$2:$C$1001,Due_Payments!$B$2:$B$1001,A356))</f>
        <v>0</v>
      </c>
      <c r="J356" s="17" t="n">
        <f aca="false">IF(A356="","",G356-N(H356)-I356)</f>
        <v>0</v>
      </c>
      <c r="K356" s="7" t="s">
        <v>13</v>
      </c>
      <c r="L356" s="7" t="s">
        <v>596</v>
      </c>
      <c r="M356" s="7"/>
    </row>
    <row r="357" customFormat="false" ht="15" hidden="false" customHeight="true" outlineLevel="0" collapsed="false">
      <c r="A357" s="7" t="s">
        <v>769</v>
      </c>
      <c r="B357" s="15" t="n">
        <v>46281</v>
      </c>
      <c r="C357" s="7" t="s">
        <v>225</v>
      </c>
      <c r="D357" s="7" t="s">
        <v>226</v>
      </c>
      <c r="E357" s="17" t="n">
        <f aca="false">IF(A357="","",SUMIFS(Sales_Items!$H$2:$H$3001,Sales_Items!$A$2:$A$3001,A357))</f>
        <v>240</v>
      </c>
      <c r="F357" s="13" t="n">
        <v>100</v>
      </c>
      <c r="G357" s="17" t="n">
        <f aca="false">IF(A357="","",E357-N(F357))</f>
        <v>140</v>
      </c>
      <c r="H357" s="13" t="n">
        <v>140</v>
      </c>
      <c r="I357" s="17" t="n">
        <f aca="false">IF(A357="","",SUMIFS(Due_Payments!$C$2:$C$1001,Due_Payments!$B$2:$B$1001,A357))</f>
        <v>0</v>
      </c>
      <c r="J357" s="17" t="n">
        <f aca="false">IF(A357="","",G357-N(H357)-I357)</f>
        <v>0</v>
      </c>
      <c r="K357" s="7" t="s">
        <v>13</v>
      </c>
      <c r="L357" s="7" t="s">
        <v>500</v>
      </c>
      <c r="M357" s="7"/>
    </row>
    <row r="358" customFormat="false" ht="15" hidden="false" customHeight="true" outlineLevel="0" collapsed="false">
      <c r="A358" s="7" t="s">
        <v>770</v>
      </c>
      <c r="B358" s="15" t="n">
        <v>46281</v>
      </c>
      <c r="C358" s="7" t="s">
        <v>285</v>
      </c>
      <c r="D358" s="7" t="s">
        <v>286</v>
      </c>
      <c r="E358" s="17" t="n">
        <f aca="false">IF(A358="","",SUMIFS(Sales_Items!$H$2:$H$3001,Sales_Items!$A$2:$A$3001,A358))</f>
        <v>570</v>
      </c>
      <c r="F358" s="13" t="n">
        <v>50</v>
      </c>
      <c r="G358" s="17" t="n">
        <f aca="false">IF(A358="","",E358-N(F358))</f>
        <v>520</v>
      </c>
      <c r="H358" s="13" t="n">
        <v>520</v>
      </c>
      <c r="I358" s="17" t="n">
        <f aca="false">IF(A358="","",SUMIFS(Due_Payments!$C$2:$C$1001,Due_Payments!$B$2:$B$1001,A358))</f>
        <v>0</v>
      </c>
      <c r="J358" s="17" t="n">
        <f aca="false">IF(A358="","",G358-N(H358)-I358)</f>
        <v>0</v>
      </c>
      <c r="K358" s="7" t="s">
        <v>13</v>
      </c>
      <c r="L358" s="7" t="s">
        <v>323</v>
      </c>
      <c r="M358" s="7"/>
    </row>
    <row r="359" customFormat="false" ht="15" hidden="false" customHeight="true" outlineLevel="0" collapsed="false">
      <c r="A359" s="7" t="s">
        <v>771</v>
      </c>
      <c r="B359" s="15" t="n">
        <v>46281</v>
      </c>
      <c r="C359" s="7" t="s">
        <v>300</v>
      </c>
      <c r="D359" s="7" t="s">
        <v>301</v>
      </c>
      <c r="E359" s="17" t="n">
        <f aca="false">IF(A359="","",SUMIFS(Sales_Items!$H$2:$H$3001,Sales_Items!$A$2:$A$3001,A359))</f>
        <v>1660</v>
      </c>
      <c r="F359" s="13" t="n">
        <v>0</v>
      </c>
      <c r="G359" s="17" t="n">
        <f aca="false">IF(A359="","",E359-N(F359))</f>
        <v>1660</v>
      </c>
      <c r="H359" s="13" t="n">
        <v>1660</v>
      </c>
      <c r="I359" s="17" t="n">
        <f aca="false">IF(A359="","",SUMIFS(Due_Payments!$C$2:$C$1001,Due_Payments!$B$2:$B$1001,A359))</f>
        <v>0</v>
      </c>
      <c r="J359" s="17" t="n">
        <f aca="false">IF(A359="","",G359-N(H359)-I359)</f>
        <v>0</v>
      </c>
      <c r="K359" s="7" t="s">
        <v>13</v>
      </c>
      <c r="L359" s="7" t="s">
        <v>532</v>
      </c>
      <c r="M359" s="7"/>
    </row>
    <row r="360" customFormat="false" ht="15" hidden="false" customHeight="true" outlineLevel="0" collapsed="false">
      <c r="A360" s="7" t="s">
        <v>772</v>
      </c>
      <c r="B360" s="15" t="n">
        <v>46281</v>
      </c>
      <c r="C360" s="7" t="s">
        <v>225</v>
      </c>
      <c r="D360" s="7" t="s">
        <v>226</v>
      </c>
      <c r="E360" s="17" t="n">
        <f aca="false">IF(A360="","",SUMIFS(Sales_Items!$H$2:$H$3001,Sales_Items!$A$2:$A$3001,A360))</f>
        <v>3010</v>
      </c>
      <c r="F360" s="13" t="n">
        <v>90</v>
      </c>
      <c r="G360" s="17" t="n">
        <f aca="false">IF(A360="","",E360-N(F360))</f>
        <v>2920</v>
      </c>
      <c r="H360" s="13" t="n">
        <v>2920</v>
      </c>
      <c r="I360" s="17" t="n">
        <f aca="false">IF(A360="","",SUMIFS(Due_Payments!$C$2:$C$1001,Due_Payments!$B$2:$B$1001,A360))</f>
        <v>0</v>
      </c>
      <c r="J360" s="17" t="n">
        <f aca="false">IF(A360="","",G360-N(H360)-I360)</f>
        <v>0</v>
      </c>
      <c r="K360" s="7" t="s">
        <v>21</v>
      </c>
      <c r="L360" s="7" t="s">
        <v>773</v>
      </c>
      <c r="M360" s="7"/>
    </row>
    <row r="361" customFormat="false" ht="15" hidden="false" customHeight="true" outlineLevel="0" collapsed="false">
      <c r="A361" s="7" t="s">
        <v>774</v>
      </c>
      <c r="B361" s="15" t="n">
        <v>46281</v>
      </c>
      <c r="C361" s="7" t="s">
        <v>350</v>
      </c>
      <c r="D361" s="7" t="s">
        <v>351</v>
      </c>
      <c r="E361" s="17" t="n">
        <f aca="false">IF(A361="","",SUMIFS(Sales_Items!$H$2:$H$3001,Sales_Items!$A$2:$A$3001,A361))</f>
        <v>2240</v>
      </c>
      <c r="F361" s="13" t="n">
        <v>0</v>
      </c>
      <c r="G361" s="17" t="n">
        <f aca="false">IF(A361="","",E361-N(F361))</f>
        <v>2240</v>
      </c>
      <c r="H361" s="13" t="n">
        <v>2240</v>
      </c>
      <c r="I361" s="17" t="n">
        <f aca="false">IF(A361="","",SUMIFS(Due_Payments!$C$2:$C$1001,Due_Payments!$B$2:$B$1001,A361))</f>
        <v>0</v>
      </c>
      <c r="J361" s="17" t="n">
        <f aca="false">IF(A361="","",G361-N(H361)-I361)</f>
        <v>0</v>
      </c>
      <c r="K361" s="7" t="s">
        <v>37</v>
      </c>
      <c r="L361" s="7" t="s">
        <v>489</v>
      </c>
      <c r="M361" s="7"/>
    </row>
    <row r="362" customFormat="false" ht="15" hidden="false" customHeight="true" outlineLevel="0" collapsed="false">
      <c r="A362" s="7" t="s">
        <v>775</v>
      </c>
      <c r="B362" s="15" t="n">
        <v>46281</v>
      </c>
      <c r="C362" s="7" t="s">
        <v>329</v>
      </c>
      <c r="D362" s="7" t="s">
        <v>330</v>
      </c>
      <c r="E362" s="17" t="n">
        <f aca="false">IF(A362="","",SUMIFS(Sales_Items!$H$2:$H$3001,Sales_Items!$A$2:$A$3001,A362))</f>
        <v>1090</v>
      </c>
      <c r="F362" s="13" t="n">
        <v>30</v>
      </c>
      <c r="G362" s="17" t="n">
        <f aca="false">IF(A362="","",E362-N(F362))</f>
        <v>1060</v>
      </c>
      <c r="H362" s="13" t="n">
        <v>1060</v>
      </c>
      <c r="I362" s="17" t="n">
        <f aca="false">IF(A362="","",SUMIFS(Due_Payments!$C$2:$C$1001,Due_Payments!$B$2:$B$1001,A362))</f>
        <v>0</v>
      </c>
      <c r="J362" s="17" t="n">
        <f aca="false">IF(A362="","",G362-N(H362)-I362)</f>
        <v>0</v>
      </c>
      <c r="K362" s="7" t="s">
        <v>13</v>
      </c>
      <c r="L362" s="7" t="s">
        <v>603</v>
      </c>
      <c r="M362" s="7"/>
    </row>
    <row r="363" customFormat="false" ht="15" hidden="false" customHeight="true" outlineLevel="0" collapsed="false">
      <c r="A363" s="7" t="s">
        <v>776</v>
      </c>
      <c r="B363" s="15" t="n">
        <v>46281</v>
      </c>
      <c r="C363" s="7" t="s">
        <v>282</v>
      </c>
      <c r="D363" s="7" t="s">
        <v>283</v>
      </c>
      <c r="E363" s="17" t="n">
        <f aca="false">IF(A363="","",SUMIFS(Sales_Items!$H$2:$H$3001,Sales_Items!$A$2:$A$3001,A363))</f>
        <v>3330</v>
      </c>
      <c r="F363" s="13" t="n">
        <v>50</v>
      </c>
      <c r="G363" s="17" t="n">
        <f aca="false">IF(A363="","",E363-N(F363))</f>
        <v>3280</v>
      </c>
      <c r="H363" s="13" t="n">
        <v>3280</v>
      </c>
      <c r="I363" s="17" t="n">
        <f aca="false">IF(A363="","",SUMIFS(Due_Payments!$C$2:$C$1001,Due_Payments!$B$2:$B$1001,A363))</f>
        <v>0</v>
      </c>
      <c r="J363" s="17" t="n">
        <f aca="false">IF(A363="","",G363-N(H363)-I363)</f>
        <v>0</v>
      </c>
      <c r="K363" s="7" t="s">
        <v>13</v>
      </c>
      <c r="L363" s="7" t="s">
        <v>777</v>
      </c>
      <c r="M363" s="7"/>
    </row>
    <row r="364" customFormat="false" ht="15" hidden="false" customHeight="true" outlineLevel="0" collapsed="false">
      <c r="A364" s="7" t="s">
        <v>778</v>
      </c>
      <c r="B364" s="15" t="n">
        <v>46282</v>
      </c>
      <c r="C364" s="7" t="s">
        <v>329</v>
      </c>
      <c r="D364" s="7" t="s">
        <v>330</v>
      </c>
      <c r="E364" s="17" t="n">
        <f aca="false">IF(A364="","",SUMIFS(Sales_Items!$H$2:$H$3001,Sales_Items!$A$2:$A$3001,A364))</f>
        <v>1040</v>
      </c>
      <c r="F364" s="13" t="n">
        <v>30</v>
      </c>
      <c r="G364" s="17" t="n">
        <f aca="false">IF(A364="","",E364-N(F364))</f>
        <v>1010</v>
      </c>
      <c r="H364" s="13" t="n">
        <v>1010</v>
      </c>
      <c r="I364" s="17" t="n">
        <f aca="false">IF(A364="","",SUMIFS(Due_Payments!$C$2:$C$1001,Due_Payments!$B$2:$B$1001,A364))</f>
        <v>0</v>
      </c>
      <c r="J364" s="17" t="n">
        <f aca="false">IF(A364="","",G364-N(H364)-I364)</f>
        <v>0</v>
      </c>
      <c r="K364" s="7" t="s">
        <v>13</v>
      </c>
      <c r="L364" s="7" t="s">
        <v>779</v>
      </c>
      <c r="M364" s="7"/>
    </row>
    <row r="365" customFormat="false" ht="15" hidden="false" customHeight="true" outlineLevel="0" collapsed="false">
      <c r="A365" s="7" t="s">
        <v>780</v>
      </c>
      <c r="B365" s="15" t="n">
        <v>46282</v>
      </c>
      <c r="C365" s="7" t="s">
        <v>344</v>
      </c>
      <c r="D365" s="7" t="s">
        <v>345</v>
      </c>
      <c r="E365" s="17" t="n">
        <f aca="false">IF(A365="","",SUMIFS(Sales_Items!$H$2:$H$3001,Sales_Items!$A$2:$A$3001,A365))</f>
        <v>470</v>
      </c>
      <c r="F365" s="13" t="n">
        <v>50</v>
      </c>
      <c r="G365" s="17" t="n">
        <f aca="false">IF(A365="","",E365-N(F365))</f>
        <v>420</v>
      </c>
      <c r="H365" s="13" t="n">
        <v>420</v>
      </c>
      <c r="I365" s="17" t="n">
        <f aca="false">IF(A365="","",SUMIFS(Due_Payments!$C$2:$C$1001,Due_Payments!$B$2:$B$1001,A365))</f>
        <v>0</v>
      </c>
      <c r="J365" s="17" t="n">
        <f aca="false">IF(A365="","",G365-N(H365)-I365)</f>
        <v>0</v>
      </c>
      <c r="K365" s="7" t="s">
        <v>37</v>
      </c>
      <c r="L365" s="7" t="s">
        <v>411</v>
      </c>
      <c r="M365" s="7"/>
    </row>
    <row r="366" customFormat="false" ht="15" hidden="false" customHeight="true" outlineLevel="0" collapsed="false">
      <c r="A366" s="7" t="s">
        <v>781</v>
      </c>
      <c r="B366" s="15" t="n">
        <v>46282</v>
      </c>
      <c r="C366" s="7" t="s">
        <v>198</v>
      </c>
      <c r="D366" s="7" t="s">
        <v>199</v>
      </c>
      <c r="E366" s="17" t="n">
        <f aca="false">IF(A366="","",SUMIFS(Sales_Items!$H$2:$H$3001,Sales_Items!$A$2:$A$3001,A366))</f>
        <v>270</v>
      </c>
      <c r="F366" s="13" t="n">
        <v>0</v>
      </c>
      <c r="G366" s="17" t="n">
        <f aca="false">IF(A366="","",E366-N(F366))</f>
        <v>270</v>
      </c>
      <c r="H366" s="13" t="n">
        <v>270</v>
      </c>
      <c r="I366" s="17" t="n">
        <f aca="false">IF(A366="","",SUMIFS(Due_Payments!$C$2:$C$1001,Due_Payments!$B$2:$B$1001,A366))</f>
        <v>0</v>
      </c>
      <c r="J366" s="17" t="n">
        <f aca="false">IF(A366="","",G366-N(H366)-I366)</f>
        <v>0</v>
      </c>
      <c r="K366" s="7" t="s">
        <v>21</v>
      </c>
      <c r="L366" s="7" t="s">
        <v>337</v>
      </c>
      <c r="M366" s="7"/>
    </row>
    <row r="367" customFormat="false" ht="15" hidden="false" customHeight="true" outlineLevel="0" collapsed="false">
      <c r="A367" s="7" t="s">
        <v>782</v>
      </c>
      <c r="B367" s="15" t="n">
        <v>46282</v>
      </c>
      <c r="C367" s="7" t="s">
        <v>282</v>
      </c>
      <c r="D367" s="7" t="s">
        <v>283</v>
      </c>
      <c r="E367" s="17" t="n">
        <f aca="false">IF(A367="","",SUMIFS(Sales_Items!$H$2:$H$3001,Sales_Items!$A$2:$A$3001,A367))</f>
        <v>3110</v>
      </c>
      <c r="F367" s="13" t="n">
        <v>0</v>
      </c>
      <c r="G367" s="17" t="n">
        <f aca="false">IF(A367="","",E367-N(F367))</f>
        <v>3110</v>
      </c>
      <c r="H367" s="13" t="n">
        <v>3110</v>
      </c>
      <c r="I367" s="17" t="n">
        <f aca="false">IF(A367="","",SUMIFS(Due_Payments!$C$2:$C$1001,Due_Payments!$B$2:$B$1001,A367))</f>
        <v>0</v>
      </c>
      <c r="J367" s="17" t="n">
        <f aca="false">IF(A367="","",G367-N(H367)-I367)</f>
        <v>0</v>
      </c>
      <c r="K367" s="7" t="s">
        <v>21</v>
      </c>
      <c r="L367" s="7" t="s">
        <v>783</v>
      </c>
      <c r="M367" s="7"/>
    </row>
    <row r="368" customFormat="false" ht="15" hidden="false" customHeight="true" outlineLevel="0" collapsed="false">
      <c r="A368" s="7" t="s">
        <v>784</v>
      </c>
      <c r="B368" s="15" t="n">
        <v>46282</v>
      </c>
      <c r="C368" s="7" t="s">
        <v>329</v>
      </c>
      <c r="D368" s="7" t="s">
        <v>330</v>
      </c>
      <c r="E368" s="17" t="n">
        <f aca="false">IF(A368="","",SUMIFS(Sales_Items!$H$2:$H$3001,Sales_Items!$A$2:$A$3001,A368))</f>
        <v>740</v>
      </c>
      <c r="F368" s="13" t="n">
        <v>0</v>
      </c>
      <c r="G368" s="17" t="n">
        <f aca="false">IF(A368="","",E368-N(F368))</f>
        <v>740</v>
      </c>
      <c r="H368" s="13" t="n">
        <v>740</v>
      </c>
      <c r="I368" s="17" t="n">
        <f aca="false">IF(A368="","",SUMIFS(Due_Payments!$C$2:$C$1001,Due_Payments!$B$2:$B$1001,A368))</f>
        <v>0</v>
      </c>
      <c r="J368" s="17" t="n">
        <f aca="false">IF(A368="","",G368-N(H368)-I368)</f>
        <v>0</v>
      </c>
      <c r="K368" s="7" t="s">
        <v>13</v>
      </c>
      <c r="L368" s="7" t="s">
        <v>567</v>
      </c>
      <c r="M368" s="7"/>
    </row>
    <row r="369" customFormat="false" ht="15" hidden="false" customHeight="true" outlineLevel="0" collapsed="false">
      <c r="A369" s="7" t="s">
        <v>785</v>
      </c>
      <c r="B369" s="15" t="n">
        <v>46282</v>
      </c>
      <c r="C369" s="7" t="s">
        <v>350</v>
      </c>
      <c r="D369" s="7" t="s">
        <v>351</v>
      </c>
      <c r="E369" s="17" t="n">
        <f aca="false">IF(A369="","",SUMIFS(Sales_Items!$H$2:$H$3001,Sales_Items!$A$2:$A$3001,A369))</f>
        <v>340</v>
      </c>
      <c r="F369" s="13" t="n">
        <v>0</v>
      </c>
      <c r="G369" s="17" t="n">
        <f aca="false">IF(A369="","",E369-N(F369))</f>
        <v>340</v>
      </c>
      <c r="H369" s="13" t="n">
        <v>340</v>
      </c>
      <c r="I369" s="17" t="n">
        <f aca="false">IF(A369="","",SUMIFS(Due_Payments!$C$2:$C$1001,Due_Payments!$B$2:$B$1001,A369))</f>
        <v>0</v>
      </c>
      <c r="J369" s="17" t="n">
        <f aca="false">IF(A369="","",G369-N(H369)-I369)</f>
        <v>0</v>
      </c>
      <c r="K369" s="7" t="s">
        <v>13</v>
      </c>
      <c r="L369" s="7" t="s">
        <v>237</v>
      </c>
      <c r="M369" s="7"/>
    </row>
    <row r="370" customFormat="false" ht="15" hidden="false" customHeight="true" outlineLevel="0" collapsed="false">
      <c r="A370" s="7" t="s">
        <v>786</v>
      </c>
      <c r="B370" s="15" t="n">
        <v>46282</v>
      </c>
      <c r="C370" s="7" t="s">
        <v>213</v>
      </c>
      <c r="D370" s="7" t="s">
        <v>214</v>
      </c>
      <c r="E370" s="17" t="n">
        <f aca="false">IF(A370="","",SUMIFS(Sales_Items!$H$2:$H$3001,Sales_Items!$A$2:$A$3001,A370))</f>
        <v>3520</v>
      </c>
      <c r="F370" s="13" t="n">
        <v>110</v>
      </c>
      <c r="G370" s="17" t="n">
        <f aca="false">IF(A370="","",E370-N(F370))</f>
        <v>3410</v>
      </c>
      <c r="H370" s="13" t="n">
        <v>2180</v>
      </c>
      <c r="I370" s="17" t="n">
        <f aca="false">IF(A370="","",SUMIFS(Due_Payments!$C$2:$C$1001,Due_Payments!$B$2:$B$1001,A370))</f>
        <v>0</v>
      </c>
      <c r="J370" s="17" t="n">
        <f aca="false">IF(A370="","",G370-N(H370)-I370)</f>
        <v>1230</v>
      </c>
      <c r="K370" s="7" t="s">
        <v>13</v>
      </c>
      <c r="L370" s="7" t="s">
        <v>787</v>
      </c>
      <c r="M370" s="7"/>
    </row>
    <row r="371" customFormat="false" ht="15" hidden="false" customHeight="true" outlineLevel="0" collapsed="false">
      <c r="A371" s="7" t="s">
        <v>788</v>
      </c>
      <c r="B371" s="15" t="n">
        <v>46282</v>
      </c>
      <c r="C371" s="7" t="s">
        <v>329</v>
      </c>
      <c r="D371" s="7" t="s">
        <v>330</v>
      </c>
      <c r="E371" s="17" t="n">
        <f aca="false">IF(A371="","",SUMIFS(Sales_Items!$H$2:$H$3001,Sales_Items!$A$2:$A$3001,A371))</f>
        <v>2100</v>
      </c>
      <c r="F371" s="13" t="n">
        <v>0</v>
      </c>
      <c r="G371" s="17" t="n">
        <f aca="false">IF(A371="","",E371-N(F371))</f>
        <v>2100</v>
      </c>
      <c r="H371" s="13" t="n">
        <v>2100</v>
      </c>
      <c r="I371" s="17" t="n">
        <f aca="false">IF(A371="","",SUMIFS(Due_Payments!$C$2:$C$1001,Due_Payments!$B$2:$B$1001,A371))</f>
        <v>0</v>
      </c>
      <c r="J371" s="17" t="n">
        <f aca="false">IF(A371="","",G371-N(H371)-I371)</f>
        <v>0</v>
      </c>
      <c r="K371" s="7" t="s">
        <v>13</v>
      </c>
      <c r="L371" s="7" t="s">
        <v>789</v>
      </c>
      <c r="M371" s="7"/>
    </row>
    <row r="372" customFormat="false" ht="15" hidden="false" customHeight="true" outlineLevel="0" collapsed="false">
      <c r="A372" s="7" t="s">
        <v>790</v>
      </c>
      <c r="B372" s="15" t="n">
        <v>46282</v>
      </c>
      <c r="C372" s="7" t="s">
        <v>329</v>
      </c>
      <c r="D372" s="7" t="s">
        <v>330</v>
      </c>
      <c r="E372" s="17" t="n">
        <f aca="false">IF(A372="","",SUMIFS(Sales_Items!$H$2:$H$3001,Sales_Items!$A$2:$A$3001,A372))</f>
        <v>960</v>
      </c>
      <c r="F372" s="13" t="n">
        <v>0</v>
      </c>
      <c r="G372" s="17" t="n">
        <f aca="false">IF(A372="","",E372-N(F372))</f>
        <v>960</v>
      </c>
      <c r="H372" s="13" t="n">
        <v>960</v>
      </c>
      <c r="I372" s="17" t="n">
        <f aca="false">IF(A372="","",SUMIFS(Due_Payments!$C$2:$C$1001,Due_Payments!$B$2:$B$1001,A372))</f>
        <v>0</v>
      </c>
      <c r="J372" s="17" t="n">
        <f aca="false">IF(A372="","",G372-N(H372)-I372)</f>
        <v>0</v>
      </c>
      <c r="K372" s="7" t="s">
        <v>21</v>
      </c>
      <c r="L372" s="7" t="s">
        <v>513</v>
      </c>
      <c r="M372" s="7"/>
    </row>
    <row r="373" customFormat="false" ht="15" hidden="false" customHeight="true" outlineLevel="0" collapsed="false">
      <c r="A373" s="7" t="s">
        <v>791</v>
      </c>
      <c r="B373" s="15" t="n">
        <v>46284</v>
      </c>
      <c r="C373" s="7" t="s">
        <v>229</v>
      </c>
      <c r="D373" s="7" t="s">
        <v>230</v>
      </c>
      <c r="E373" s="17" t="n">
        <f aca="false">IF(A373="","",SUMIFS(Sales_Items!$H$2:$H$3001,Sales_Items!$A$2:$A$3001,A373))</f>
        <v>1980</v>
      </c>
      <c r="F373" s="13" t="n">
        <v>60</v>
      </c>
      <c r="G373" s="17" t="n">
        <f aca="false">IF(A373="","",E373-N(F373))</f>
        <v>1920</v>
      </c>
      <c r="H373" s="13" t="n">
        <v>0</v>
      </c>
      <c r="I373" s="17" t="n">
        <f aca="false">IF(A373="","",SUMIFS(Due_Payments!$C$2:$C$1001,Due_Payments!$B$2:$B$1001,A373))</f>
        <v>960</v>
      </c>
      <c r="J373" s="17" t="n">
        <f aca="false">IF(A373="","",G373-N(H373)-I373)</f>
        <v>960</v>
      </c>
      <c r="K373" s="7" t="s">
        <v>13</v>
      </c>
      <c r="L373" s="7" t="s">
        <v>792</v>
      </c>
      <c r="M373" s="7"/>
    </row>
    <row r="374" customFormat="false" ht="15" hidden="false" customHeight="true" outlineLevel="0" collapsed="false">
      <c r="A374" s="7" t="s">
        <v>793</v>
      </c>
      <c r="B374" s="15" t="n">
        <v>46284</v>
      </c>
      <c r="C374" s="7" t="s">
        <v>229</v>
      </c>
      <c r="D374" s="7" t="s">
        <v>230</v>
      </c>
      <c r="E374" s="17" t="n">
        <f aca="false">IF(A374="","",SUMIFS(Sales_Items!$H$2:$H$3001,Sales_Items!$A$2:$A$3001,A374))</f>
        <v>1020</v>
      </c>
      <c r="F374" s="13" t="n">
        <v>0</v>
      </c>
      <c r="G374" s="17" t="n">
        <f aca="false">IF(A374="","",E374-N(F374))</f>
        <v>1020</v>
      </c>
      <c r="H374" s="13" t="n">
        <v>710</v>
      </c>
      <c r="I374" s="17" t="n">
        <f aca="false">IF(A374="","",SUMIFS(Due_Payments!$C$2:$C$1001,Due_Payments!$B$2:$B$1001,A374))</f>
        <v>0</v>
      </c>
      <c r="J374" s="17" t="n">
        <f aca="false">IF(A374="","",G374-N(H374)-I374)</f>
        <v>310</v>
      </c>
      <c r="K374" s="7" t="s">
        <v>29</v>
      </c>
      <c r="L374" s="7" t="s">
        <v>493</v>
      </c>
      <c r="M374" s="7"/>
    </row>
    <row r="375" customFormat="false" ht="15" hidden="false" customHeight="true" outlineLevel="0" collapsed="false">
      <c r="A375" s="7" t="s">
        <v>794</v>
      </c>
      <c r="B375" s="15" t="n">
        <v>46284</v>
      </c>
      <c r="C375" s="7" t="s">
        <v>256</v>
      </c>
      <c r="D375" s="7" t="s">
        <v>257</v>
      </c>
      <c r="E375" s="17" t="n">
        <f aca="false">IF(A375="","",SUMIFS(Sales_Items!$H$2:$H$3001,Sales_Items!$A$2:$A$3001,A375))</f>
        <v>520</v>
      </c>
      <c r="F375" s="13" t="n">
        <v>50</v>
      </c>
      <c r="G375" s="17" t="n">
        <f aca="false">IF(A375="","",E375-N(F375))</f>
        <v>470</v>
      </c>
      <c r="H375" s="13" t="n">
        <v>470</v>
      </c>
      <c r="I375" s="17" t="n">
        <f aca="false">IF(A375="","",SUMIFS(Due_Payments!$C$2:$C$1001,Due_Payments!$B$2:$B$1001,A375))</f>
        <v>0</v>
      </c>
      <c r="J375" s="17" t="n">
        <f aca="false">IF(A375="","",G375-N(H375)-I375)</f>
        <v>0</v>
      </c>
      <c r="K375" s="7" t="s">
        <v>13</v>
      </c>
      <c r="L375" s="7" t="s">
        <v>348</v>
      </c>
      <c r="M375" s="7"/>
    </row>
    <row r="376" customFormat="false" ht="15" hidden="false" customHeight="true" outlineLevel="0" collapsed="false">
      <c r="A376" s="7" t="s">
        <v>795</v>
      </c>
      <c r="B376" s="15" t="n">
        <v>46284</v>
      </c>
      <c r="C376" s="7" t="s">
        <v>217</v>
      </c>
      <c r="D376" s="7" t="s">
        <v>218</v>
      </c>
      <c r="E376" s="17" t="n">
        <f aca="false">IF(A376="","",SUMIFS(Sales_Items!$H$2:$H$3001,Sales_Items!$A$2:$A$3001,A376))</f>
        <v>990</v>
      </c>
      <c r="F376" s="13" t="n">
        <v>0</v>
      </c>
      <c r="G376" s="17" t="n">
        <f aca="false">IF(A376="","",E376-N(F376))</f>
        <v>990</v>
      </c>
      <c r="H376" s="13" t="n">
        <v>990</v>
      </c>
      <c r="I376" s="17" t="n">
        <f aca="false">IF(A376="","",SUMIFS(Due_Payments!$C$2:$C$1001,Due_Payments!$B$2:$B$1001,A376))</f>
        <v>0</v>
      </c>
      <c r="J376" s="17" t="n">
        <f aca="false">IF(A376="","",G376-N(H376)-I376)</f>
        <v>0</v>
      </c>
      <c r="K376" s="7" t="s">
        <v>13</v>
      </c>
      <c r="L376" s="7" t="s">
        <v>208</v>
      </c>
      <c r="M376" s="7"/>
    </row>
    <row r="377" customFormat="false" ht="15" hidden="false" customHeight="true" outlineLevel="0" collapsed="false">
      <c r="A377" s="7" t="s">
        <v>796</v>
      </c>
      <c r="B377" s="15" t="n">
        <v>46284</v>
      </c>
      <c r="C377" s="7" t="s">
        <v>300</v>
      </c>
      <c r="D377" s="7" t="s">
        <v>301</v>
      </c>
      <c r="E377" s="17" t="n">
        <f aca="false">IF(A377="","",SUMIFS(Sales_Items!$H$2:$H$3001,Sales_Items!$A$2:$A$3001,A377))</f>
        <v>800</v>
      </c>
      <c r="F377" s="13" t="n">
        <v>50</v>
      </c>
      <c r="G377" s="17" t="n">
        <f aca="false">IF(A377="","",E377-N(F377))</f>
        <v>750</v>
      </c>
      <c r="H377" s="13" t="n">
        <v>750</v>
      </c>
      <c r="I377" s="17" t="n">
        <f aca="false">IF(A377="","",SUMIFS(Due_Payments!$C$2:$C$1001,Due_Payments!$B$2:$B$1001,A377))</f>
        <v>0</v>
      </c>
      <c r="J377" s="17" t="n">
        <f aca="false">IF(A377="","",G377-N(H377)-I377)</f>
        <v>0</v>
      </c>
      <c r="K377" s="7" t="s">
        <v>13</v>
      </c>
      <c r="L377" s="7" t="s">
        <v>797</v>
      </c>
      <c r="M377" s="7"/>
    </row>
    <row r="378" customFormat="false" ht="15" hidden="false" customHeight="true" outlineLevel="0" collapsed="false">
      <c r="A378" s="7" t="s">
        <v>798</v>
      </c>
      <c r="B378" s="15" t="n">
        <v>46284</v>
      </c>
      <c r="C378" s="7" t="s">
        <v>259</v>
      </c>
      <c r="D378" s="7" t="s">
        <v>260</v>
      </c>
      <c r="E378" s="17" t="n">
        <f aca="false">IF(A378="","",SUMIFS(Sales_Items!$H$2:$H$3001,Sales_Items!$A$2:$A$3001,A378))</f>
        <v>1240</v>
      </c>
      <c r="F378" s="13" t="n">
        <v>0</v>
      </c>
      <c r="G378" s="17" t="n">
        <f aca="false">IF(A378="","",E378-N(F378))</f>
        <v>1240</v>
      </c>
      <c r="H378" s="13" t="n">
        <v>1240</v>
      </c>
      <c r="I378" s="17" t="n">
        <f aca="false">IF(A378="","",SUMIFS(Due_Payments!$C$2:$C$1001,Due_Payments!$B$2:$B$1001,A378))</f>
        <v>0</v>
      </c>
      <c r="J378" s="17" t="n">
        <f aca="false">IF(A378="","",G378-N(H378)-I378)</f>
        <v>0</v>
      </c>
      <c r="K378" s="7" t="s">
        <v>21</v>
      </c>
      <c r="L378" s="7" t="s">
        <v>335</v>
      </c>
      <c r="M378" s="7"/>
    </row>
    <row r="379" customFormat="false" ht="15" hidden="false" customHeight="true" outlineLevel="0" collapsed="false">
      <c r="A379" s="7" t="s">
        <v>799</v>
      </c>
      <c r="B379" s="15" t="n">
        <v>46284</v>
      </c>
      <c r="C379" s="7" t="s">
        <v>259</v>
      </c>
      <c r="D379" s="7" t="s">
        <v>260</v>
      </c>
      <c r="E379" s="17" t="n">
        <f aca="false">IF(A379="","",SUMIFS(Sales_Items!$H$2:$H$3001,Sales_Items!$A$2:$A$3001,A379))</f>
        <v>430</v>
      </c>
      <c r="F379" s="13" t="n">
        <v>0</v>
      </c>
      <c r="G379" s="17" t="n">
        <f aca="false">IF(A379="","",E379-N(F379))</f>
        <v>430</v>
      </c>
      <c r="H379" s="13" t="n">
        <v>430</v>
      </c>
      <c r="I379" s="17" t="n">
        <f aca="false">IF(A379="","",SUMIFS(Due_Payments!$C$2:$C$1001,Due_Payments!$B$2:$B$1001,A379))</f>
        <v>0</v>
      </c>
      <c r="J379" s="17" t="n">
        <f aca="false">IF(A379="","",G379-N(H379)-I379)</f>
        <v>0</v>
      </c>
      <c r="K379" s="7" t="s">
        <v>13</v>
      </c>
      <c r="L379" s="7" t="s">
        <v>666</v>
      </c>
      <c r="M379" s="7"/>
    </row>
    <row r="380" customFormat="false" ht="15" hidden="false" customHeight="true" outlineLevel="0" collapsed="false">
      <c r="A380" s="7" t="s">
        <v>800</v>
      </c>
      <c r="B380" s="15" t="n">
        <v>46284</v>
      </c>
      <c r="C380" s="7" t="s">
        <v>293</v>
      </c>
      <c r="D380" s="7" t="s">
        <v>294</v>
      </c>
      <c r="E380" s="17" t="n">
        <f aca="false">IF(A380="","",SUMIFS(Sales_Items!$H$2:$H$3001,Sales_Items!$A$2:$A$3001,A380))</f>
        <v>450</v>
      </c>
      <c r="F380" s="13" t="n">
        <v>10</v>
      </c>
      <c r="G380" s="17" t="n">
        <f aca="false">IF(A380="","",E380-N(F380))</f>
        <v>440</v>
      </c>
      <c r="H380" s="13" t="n">
        <v>440</v>
      </c>
      <c r="I380" s="17" t="n">
        <f aca="false">IF(A380="","",SUMIFS(Due_Payments!$C$2:$C$1001,Due_Payments!$B$2:$B$1001,A380))</f>
        <v>0</v>
      </c>
      <c r="J380" s="17" t="n">
        <f aca="false">IF(A380="","",G380-N(H380)-I380)</f>
        <v>0</v>
      </c>
      <c r="K380" s="7" t="s">
        <v>13</v>
      </c>
      <c r="L380" s="7" t="s">
        <v>801</v>
      </c>
      <c r="M380" s="7"/>
    </row>
    <row r="381" customFormat="false" ht="15" hidden="false" customHeight="true" outlineLevel="0" collapsed="false">
      <c r="A381" s="7" t="s">
        <v>802</v>
      </c>
      <c r="B381" s="15" t="n">
        <v>46284</v>
      </c>
      <c r="C381" s="7" t="s">
        <v>263</v>
      </c>
      <c r="D381" s="7" t="s">
        <v>264</v>
      </c>
      <c r="E381" s="17" t="n">
        <f aca="false">IF(A381="","",SUMIFS(Sales_Items!$H$2:$H$3001,Sales_Items!$A$2:$A$3001,A381))</f>
        <v>990</v>
      </c>
      <c r="F381" s="13" t="n">
        <v>30</v>
      </c>
      <c r="G381" s="17" t="n">
        <f aca="false">IF(A381="","",E381-N(F381))</f>
        <v>960</v>
      </c>
      <c r="H381" s="13" t="n">
        <v>960</v>
      </c>
      <c r="I381" s="17" t="n">
        <f aca="false">IF(A381="","",SUMIFS(Due_Payments!$C$2:$C$1001,Due_Payments!$B$2:$B$1001,A381))</f>
        <v>0</v>
      </c>
      <c r="J381" s="17" t="n">
        <f aca="false">IF(A381="","",G381-N(H381)-I381)</f>
        <v>0</v>
      </c>
      <c r="K381" s="7" t="s">
        <v>21</v>
      </c>
      <c r="L381" s="7" t="s">
        <v>513</v>
      </c>
      <c r="M381" s="7"/>
    </row>
    <row r="382" customFormat="false" ht="15" hidden="false" customHeight="true" outlineLevel="0" collapsed="false">
      <c r="A382" s="7" t="s">
        <v>803</v>
      </c>
      <c r="B382" s="15" t="n">
        <v>46284</v>
      </c>
      <c r="C382" s="7" t="s">
        <v>282</v>
      </c>
      <c r="D382" s="7" t="s">
        <v>283</v>
      </c>
      <c r="E382" s="17" t="n">
        <f aca="false">IF(A382="","",SUMIFS(Sales_Items!$H$2:$H$3001,Sales_Items!$A$2:$A$3001,A382))</f>
        <v>720</v>
      </c>
      <c r="F382" s="13" t="n">
        <v>0</v>
      </c>
      <c r="G382" s="17" t="n">
        <f aca="false">IF(A382="","",E382-N(F382))</f>
        <v>720</v>
      </c>
      <c r="H382" s="13" t="n">
        <v>0</v>
      </c>
      <c r="I382" s="17" t="n">
        <f aca="false">IF(A382="","",SUMIFS(Due_Payments!$C$2:$C$1001,Due_Payments!$B$2:$B$1001,A382))</f>
        <v>360</v>
      </c>
      <c r="J382" s="17" t="n">
        <f aca="false">IF(A382="","",G382-N(H382)-I382)</f>
        <v>360</v>
      </c>
      <c r="K382" s="7" t="s">
        <v>13</v>
      </c>
      <c r="L382" s="7" t="s">
        <v>427</v>
      </c>
      <c r="M382" s="7"/>
    </row>
    <row r="383" customFormat="false" ht="15" hidden="false" customHeight="true" outlineLevel="0" collapsed="false">
      <c r="A383" s="7" t="s">
        <v>804</v>
      </c>
      <c r="B383" s="15" t="n">
        <v>46284</v>
      </c>
      <c r="C383" s="7" t="s">
        <v>344</v>
      </c>
      <c r="D383" s="7" t="s">
        <v>345</v>
      </c>
      <c r="E383" s="17" t="n">
        <f aca="false">IF(A383="","",SUMIFS(Sales_Items!$H$2:$H$3001,Sales_Items!$A$2:$A$3001,A383))</f>
        <v>340</v>
      </c>
      <c r="F383" s="13" t="n">
        <v>0</v>
      </c>
      <c r="G383" s="17" t="n">
        <f aca="false">IF(A383="","",E383-N(F383))</f>
        <v>340</v>
      </c>
      <c r="H383" s="13" t="n">
        <v>340</v>
      </c>
      <c r="I383" s="17" t="n">
        <f aca="false">IF(A383="","",SUMIFS(Due_Payments!$C$2:$C$1001,Due_Payments!$B$2:$B$1001,A383))</f>
        <v>0</v>
      </c>
      <c r="J383" s="17" t="n">
        <f aca="false">IF(A383="","",G383-N(H383)-I383)</f>
        <v>0</v>
      </c>
      <c r="K383" s="7" t="s">
        <v>37</v>
      </c>
      <c r="L383" s="7" t="s">
        <v>237</v>
      </c>
      <c r="M383" s="7"/>
    </row>
    <row r="384" customFormat="false" ht="15" hidden="false" customHeight="true" outlineLevel="0" collapsed="false">
      <c r="A384" s="7" t="s">
        <v>805</v>
      </c>
      <c r="B384" s="15" t="n">
        <v>46285</v>
      </c>
      <c r="C384" s="7" t="s">
        <v>259</v>
      </c>
      <c r="D384" s="7" t="s">
        <v>260</v>
      </c>
      <c r="E384" s="17" t="n">
        <f aca="false">IF(A384="","",SUMIFS(Sales_Items!$H$2:$H$3001,Sales_Items!$A$2:$A$3001,A384))</f>
        <v>260</v>
      </c>
      <c r="F384" s="13" t="n">
        <v>100</v>
      </c>
      <c r="G384" s="17" t="n">
        <f aca="false">IF(A384="","",E384-N(F384))</f>
        <v>160</v>
      </c>
      <c r="H384" s="13" t="n">
        <v>160</v>
      </c>
      <c r="I384" s="17" t="n">
        <f aca="false">IF(A384="","",SUMIFS(Due_Payments!$C$2:$C$1001,Due_Payments!$B$2:$B$1001,A384))</f>
        <v>0</v>
      </c>
      <c r="J384" s="17" t="n">
        <f aca="false">IF(A384="","",G384-N(H384)-I384)</f>
        <v>0</v>
      </c>
      <c r="K384" s="7" t="s">
        <v>13</v>
      </c>
      <c r="L384" s="7" t="s">
        <v>806</v>
      </c>
      <c r="M384" s="7"/>
    </row>
    <row r="385" customFormat="false" ht="15" hidden="false" customHeight="true" outlineLevel="0" collapsed="false">
      <c r="A385" s="7" t="s">
        <v>807</v>
      </c>
      <c r="B385" s="15" t="n">
        <v>46285</v>
      </c>
      <c r="C385" s="7" t="s">
        <v>285</v>
      </c>
      <c r="D385" s="7" t="s">
        <v>286</v>
      </c>
      <c r="E385" s="17" t="n">
        <f aca="false">IF(A385="","",SUMIFS(Sales_Items!$H$2:$H$3001,Sales_Items!$A$2:$A$3001,A385))</f>
        <v>340</v>
      </c>
      <c r="F385" s="13" t="n">
        <v>100</v>
      </c>
      <c r="G385" s="17" t="n">
        <f aca="false">IF(A385="","",E385-N(F385))</f>
        <v>240</v>
      </c>
      <c r="H385" s="13" t="n">
        <v>240</v>
      </c>
      <c r="I385" s="17" t="n">
        <f aca="false">IF(A385="","",SUMIFS(Due_Payments!$C$2:$C$1001,Due_Payments!$B$2:$B$1001,A385))</f>
        <v>0</v>
      </c>
      <c r="J385" s="17" t="n">
        <f aca="false">IF(A385="","",G385-N(H385)-I385)</f>
        <v>0</v>
      </c>
      <c r="K385" s="7" t="s">
        <v>21</v>
      </c>
      <c r="L385" s="7" t="s">
        <v>261</v>
      </c>
      <c r="M385" s="7"/>
    </row>
    <row r="386" customFormat="false" ht="15" hidden="false" customHeight="true" outlineLevel="0" collapsed="false">
      <c r="A386" s="7" t="s">
        <v>808</v>
      </c>
      <c r="B386" s="15" t="n">
        <v>46285</v>
      </c>
      <c r="C386" s="7" t="s">
        <v>300</v>
      </c>
      <c r="D386" s="7" t="s">
        <v>301</v>
      </c>
      <c r="E386" s="17" t="n">
        <f aca="false">IF(A386="","",SUMIFS(Sales_Items!$H$2:$H$3001,Sales_Items!$A$2:$A$3001,A386))</f>
        <v>1460</v>
      </c>
      <c r="F386" s="13" t="n">
        <v>50</v>
      </c>
      <c r="G386" s="17" t="n">
        <f aca="false">IF(A386="","",E386-N(F386))</f>
        <v>1410</v>
      </c>
      <c r="H386" s="13" t="n">
        <v>1410</v>
      </c>
      <c r="I386" s="17" t="n">
        <f aca="false">IF(A386="","",SUMIFS(Due_Payments!$C$2:$C$1001,Due_Payments!$B$2:$B$1001,A386))</f>
        <v>0</v>
      </c>
      <c r="J386" s="17" t="n">
        <f aca="false">IF(A386="","",G386-N(H386)-I386)</f>
        <v>0</v>
      </c>
      <c r="K386" s="7" t="s">
        <v>13</v>
      </c>
      <c r="L386" s="7" t="s">
        <v>809</v>
      </c>
      <c r="M386" s="7"/>
    </row>
    <row r="387" customFormat="false" ht="15" hidden="false" customHeight="true" outlineLevel="0" collapsed="false">
      <c r="A387" s="7" t="s">
        <v>810</v>
      </c>
      <c r="B387" s="15" t="n">
        <v>46285</v>
      </c>
      <c r="C387" s="7" t="s">
        <v>350</v>
      </c>
      <c r="D387" s="7" t="s">
        <v>351</v>
      </c>
      <c r="E387" s="17" t="n">
        <f aca="false">IF(A387="","",SUMIFS(Sales_Items!$H$2:$H$3001,Sales_Items!$A$2:$A$3001,A387))</f>
        <v>680</v>
      </c>
      <c r="F387" s="13" t="n">
        <v>50</v>
      </c>
      <c r="G387" s="17" t="n">
        <f aca="false">IF(A387="","",E387-N(F387))</f>
        <v>630</v>
      </c>
      <c r="H387" s="13" t="n">
        <v>630</v>
      </c>
      <c r="I387" s="17" t="n">
        <f aca="false">IF(A387="","",SUMIFS(Due_Payments!$C$2:$C$1001,Due_Payments!$B$2:$B$1001,A387))</f>
        <v>0</v>
      </c>
      <c r="J387" s="17" t="n">
        <f aca="false">IF(A387="","",G387-N(H387)-I387)</f>
        <v>0</v>
      </c>
      <c r="K387" s="7" t="s">
        <v>21</v>
      </c>
      <c r="L387" s="7" t="s">
        <v>219</v>
      </c>
      <c r="M387" s="7"/>
    </row>
    <row r="388" customFormat="false" ht="15" hidden="false" customHeight="true" outlineLevel="0" collapsed="false">
      <c r="A388" s="7" t="s">
        <v>811</v>
      </c>
      <c r="B388" s="15" t="n">
        <v>46285</v>
      </c>
      <c r="C388" s="7" t="s">
        <v>275</v>
      </c>
      <c r="D388" s="7" t="s">
        <v>276</v>
      </c>
      <c r="E388" s="17" t="n">
        <f aca="false">IF(A388="","",SUMIFS(Sales_Items!$H$2:$H$3001,Sales_Items!$A$2:$A$3001,A388))</f>
        <v>1920</v>
      </c>
      <c r="F388" s="13" t="n">
        <v>0</v>
      </c>
      <c r="G388" s="17" t="n">
        <f aca="false">IF(A388="","",E388-N(F388))</f>
        <v>1920</v>
      </c>
      <c r="H388" s="13" t="n">
        <v>1920</v>
      </c>
      <c r="I388" s="17" t="n">
        <f aca="false">IF(A388="","",SUMIFS(Due_Payments!$C$2:$C$1001,Due_Payments!$B$2:$B$1001,A388))</f>
        <v>0</v>
      </c>
      <c r="J388" s="17" t="n">
        <f aca="false">IF(A388="","",G388-N(H388)-I388)</f>
        <v>0</v>
      </c>
      <c r="K388" s="7" t="s">
        <v>13</v>
      </c>
      <c r="L388" s="7" t="s">
        <v>792</v>
      </c>
      <c r="M388" s="7"/>
    </row>
    <row r="389" customFormat="false" ht="15" hidden="false" customHeight="true" outlineLevel="0" collapsed="false">
      <c r="A389" s="7" t="s">
        <v>812</v>
      </c>
      <c r="B389" s="15" t="n">
        <v>46285</v>
      </c>
      <c r="C389" s="7" t="s">
        <v>293</v>
      </c>
      <c r="D389" s="7" t="s">
        <v>294</v>
      </c>
      <c r="E389" s="17" t="n">
        <f aca="false">IF(A389="","",SUMIFS(Sales_Items!$H$2:$H$3001,Sales_Items!$A$2:$A$3001,A389))</f>
        <v>380</v>
      </c>
      <c r="F389" s="13" t="n">
        <v>0</v>
      </c>
      <c r="G389" s="17" t="n">
        <f aca="false">IF(A389="","",E389-N(F389))</f>
        <v>380</v>
      </c>
      <c r="H389" s="13" t="n">
        <v>380</v>
      </c>
      <c r="I389" s="17" t="n">
        <f aca="false">IF(A389="","",SUMIFS(Due_Payments!$C$2:$C$1001,Due_Payments!$B$2:$B$1001,A389))</f>
        <v>0</v>
      </c>
      <c r="J389" s="17" t="n">
        <f aca="false">IF(A389="","",G389-N(H389)-I389)</f>
        <v>0</v>
      </c>
      <c r="K389" s="7" t="s">
        <v>13</v>
      </c>
      <c r="L389" s="7" t="s">
        <v>223</v>
      </c>
      <c r="M389" s="7"/>
    </row>
    <row r="390" customFormat="false" ht="15" hidden="false" customHeight="true" outlineLevel="0" collapsed="false">
      <c r="A390" s="7" t="s">
        <v>813</v>
      </c>
      <c r="B390" s="15" t="n">
        <v>46285</v>
      </c>
      <c r="C390" s="7" t="s">
        <v>300</v>
      </c>
      <c r="D390" s="7" t="s">
        <v>301</v>
      </c>
      <c r="E390" s="17" t="n">
        <f aca="false">IF(A390="","",SUMIFS(Sales_Items!$H$2:$H$3001,Sales_Items!$A$2:$A$3001,A390))</f>
        <v>1260</v>
      </c>
      <c r="F390" s="13" t="n">
        <v>0</v>
      </c>
      <c r="G390" s="17" t="n">
        <f aca="false">IF(A390="","",E390-N(F390))</f>
        <v>1260</v>
      </c>
      <c r="H390" s="13" t="n">
        <v>1260</v>
      </c>
      <c r="I390" s="17" t="n">
        <f aca="false">IF(A390="","",SUMIFS(Due_Payments!$C$2:$C$1001,Due_Payments!$B$2:$B$1001,A390))</f>
        <v>0</v>
      </c>
      <c r="J390" s="17" t="n">
        <f aca="false">IF(A390="","",G390-N(H390)-I390)</f>
        <v>0</v>
      </c>
      <c r="K390" s="7" t="s">
        <v>21</v>
      </c>
      <c r="L390" s="7" t="s">
        <v>289</v>
      </c>
      <c r="M390" s="7"/>
    </row>
    <row r="391" customFormat="false" ht="15" hidden="false" customHeight="true" outlineLevel="0" collapsed="false">
      <c r="A391" s="7" t="s">
        <v>814</v>
      </c>
      <c r="B391" s="15" t="n">
        <v>46285</v>
      </c>
      <c r="C391" s="7" t="s">
        <v>225</v>
      </c>
      <c r="D391" s="7" t="s">
        <v>226</v>
      </c>
      <c r="E391" s="17" t="n">
        <f aca="false">IF(A391="","",SUMIFS(Sales_Items!$H$2:$H$3001,Sales_Items!$A$2:$A$3001,A391))</f>
        <v>540</v>
      </c>
      <c r="F391" s="13" t="n">
        <v>0</v>
      </c>
      <c r="G391" s="17" t="n">
        <f aca="false">IF(A391="","",E391-N(F391))</f>
        <v>540</v>
      </c>
      <c r="H391" s="13" t="n">
        <v>540</v>
      </c>
      <c r="I391" s="17" t="n">
        <f aca="false">IF(A391="","",SUMIFS(Due_Payments!$C$2:$C$1001,Due_Payments!$B$2:$B$1001,A391))</f>
        <v>0</v>
      </c>
      <c r="J391" s="17" t="n">
        <f aca="false">IF(A391="","",G391-N(H391)-I391)</f>
        <v>0</v>
      </c>
      <c r="K391" s="7" t="s">
        <v>13</v>
      </c>
      <c r="L391" s="7" t="s">
        <v>279</v>
      </c>
      <c r="M391" s="7"/>
    </row>
    <row r="392" customFormat="false" ht="15" hidden="false" customHeight="true" outlineLevel="0" collapsed="false">
      <c r="A392" s="7" t="s">
        <v>815</v>
      </c>
      <c r="B392" s="15" t="n">
        <v>46286</v>
      </c>
      <c r="C392" s="7" t="s">
        <v>198</v>
      </c>
      <c r="D392" s="7" t="s">
        <v>199</v>
      </c>
      <c r="E392" s="17" t="n">
        <f aca="false">IF(A392="","",SUMIFS(Sales_Items!$H$2:$H$3001,Sales_Items!$A$2:$A$3001,A392))</f>
        <v>240</v>
      </c>
      <c r="F392" s="13" t="n">
        <v>0</v>
      </c>
      <c r="G392" s="17" t="n">
        <f aca="false">IF(A392="","",E392-N(F392))</f>
        <v>240</v>
      </c>
      <c r="H392" s="13" t="n">
        <v>240</v>
      </c>
      <c r="I392" s="17" t="n">
        <f aca="false">IF(A392="","",SUMIFS(Due_Payments!$C$2:$C$1001,Due_Payments!$B$2:$B$1001,A392))</f>
        <v>0</v>
      </c>
      <c r="J392" s="17" t="n">
        <f aca="false">IF(A392="","",G392-N(H392)-I392)</f>
        <v>0</v>
      </c>
      <c r="K392" s="7" t="s">
        <v>13</v>
      </c>
      <c r="L392" s="7" t="s">
        <v>261</v>
      </c>
      <c r="M392" s="7"/>
    </row>
    <row r="393" customFormat="false" ht="15" hidden="false" customHeight="true" outlineLevel="0" collapsed="false">
      <c r="A393" s="7" t="s">
        <v>816</v>
      </c>
      <c r="B393" s="15" t="n">
        <v>46286</v>
      </c>
      <c r="C393" s="7" t="s">
        <v>307</v>
      </c>
      <c r="D393" s="7" t="s">
        <v>308</v>
      </c>
      <c r="E393" s="17" t="n">
        <f aca="false">IF(A393="","",SUMIFS(Sales_Items!$H$2:$H$3001,Sales_Items!$A$2:$A$3001,A393))</f>
        <v>570</v>
      </c>
      <c r="F393" s="13" t="n">
        <v>0</v>
      </c>
      <c r="G393" s="17" t="n">
        <f aca="false">IF(A393="","",E393-N(F393))</f>
        <v>570</v>
      </c>
      <c r="H393" s="13" t="n">
        <v>570</v>
      </c>
      <c r="I393" s="17" t="n">
        <f aca="false">IF(A393="","",SUMIFS(Due_Payments!$C$2:$C$1001,Due_Payments!$B$2:$B$1001,A393))</f>
        <v>0</v>
      </c>
      <c r="J393" s="17" t="n">
        <f aca="false">IF(A393="","",G393-N(H393)-I393)</f>
        <v>0</v>
      </c>
      <c r="K393" s="7" t="s">
        <v>21</v>
      </c>
      <c r="L393" s="7" t="s">
        <v>468</v>
      </c>
      <c r="M393" s="7"/>
    </row>
    <row r="394" customFormat="false" ht="15" hidden="false" customHeight="true" outlineLevel="0" collapsed="false">
      <c r="A394" s="7" t="s">
        <v>817</v>
      </c>
      <c r="B394" s="15" t="n">
        <v>46286</v>
      </c>
      <c r="C394" s="7" t="s">
        <v>300</v>
      </c>
      <c r="D394" s="7" t="s">
        <v>301</v>
      </c>
      <c r="E394" s="17" t="n">
        <f aca="false">IF(A394="","",SUMIFS(Sales_Items!$H$2:$H$3001,Sales_Items!$A$2:$A$3001,A394))</f>
        <v>1190</v>
      </c>
      <c r="F394" s="13" t="n">
        <v>0</v>
      </c>
      <c r="G394" s="17" t="n">
        <f aca="false">IF(A394="","",E394-N(F394))</f>
        <v>1190</v>
      </c>
      <c r="H394" s="13" t="n">
        <v>1190</v>
      </c>
      <c r="I394" s="17" t="n">
        <f aca="false">IF(A394="","",SUMIFS(Due_Payments!$C$2:$C$1001,Due_Payments!$B$2:$B$1001,A394))</f>
        <v>0</v>
      </c>
      <c r="J394" s="17" t="n">
        <f aca="false">IF(A394="","",G394-N(H394)-I394)</f>
        <v>0</v>
      </c>
      <c r="K394" s="7" t="s">
        <v>13</v>
      </c>
      <c r="L394" s="7" t="s">
        <v>245</v>
      </c>
      <c r="M394" s="7"/>
    </row>
    <row r="395" customFormat="false" ht="15" hidden="false" customHeight="true" outlineLevel="0" collapsed="false">
      <c r="A395" s="7" t="s">
        <v>818</v>
      </c>
      <c r="B395" s="15" t="n">
        <v>46286</v>
      </c>
      <c r="C395" s="7" t="s">
        <v>198</v>
      </c>
      <c r="D395" s="7" t="s">
        <v>199</v>
      </c>
      <c r="E395" s="17" t="n">
        <f aca="false">IF(A395="","",SUMIFS(Sales_Items!$H$2:$H$3001,Sales_Items!$A$2:$A$3001,A395))</f>
        <v>380</v>
      </c>
      <c r="F395" s="13" t="n">
        <v>0</v>
      </c>
      <c r="G395" s="17" t="n">
        <f aca="false">IF(A395="","",E395-N(F395))</f>
        <v>380</v>
      </c>
      <c r="H395" s="13" t="n">
        <v>380</v>
      </c>
      <c r="I395" s="17" t="n">
        <f aca="false">IF(A395="","",SUMIFS(Due_Payments!$C$2:$C$1001,Due_Payments!$B$2:$B$1001,A395))</f>
        <v>0</v>
      </c>
      <c r="J395" s="17" t="n">
        <f aca="false">IF(A395="","",G395-N(H395)-I395)</f>
        <v>0</v>
      </c>
      <c r="K395" s="7" t="s">
        <v>21</v>
      </c>
      <c r="L395" s="7" t="s">
        <v>223</v>
      </c>
      <c r="M395" s="7"/>
    </row>
    <row r="396" customFormat="false" ht="15" hidden="false" customHeight="true" outlineLevel="0" collapsed="false">
      <c r="A396" s="7" t="s">
        <v>819</v>
      </c>
      <c r="B396" s="15" t="n">
        <v>46286</v>
      </c>
      <c r="C396" s="7" t="s">
        <v>300</v>
      </c>
      <c r="D396" s="7" t="s">
        <v>301</v>
      </c>
      <c r="E396" s="17" t="n">
        <f aca="false">IF(A396="","",SUMIFS(Sales_Items!$H$2:$H$3001,Sales_Items!$A$2:$A$3001,A396))</f>
        <v>240</v>
      </c>
      <c r="F396" s="13" t="n">
        <v>0</v>
      </c>
      <c r="G396" s="17" t="n">
        <f aca="false">IF(A396="","",E396-N(F396))</f>
        <v>240</v>
      </c>
      <c r="H396" s="13" t="n">
        <v>240</v>
      </c>
      <c r="I396" s="17" t="n">
        <f aca="false">IF(A396="","",SUMIFS(Due_Payments!$C$2:$C$1001,Due_Payments!$B$2:$B$1001,A396))</f>
        <v>0</v>
      </c>
      <c r="J396" s="17" t="n">
        <f aca="false">IF(A396="","",G396-N(H396)-I396)</f>
        <v>0</v>
      </c>
      <c r="K396" s="7" t="s">
        <v>21</v>
      </c>
      <c r="L396" s="7" t="s">
        <v>261</v>
      </c>
      <c r="M396" s="7"/>
    </row>
    <row r="397" customFormat="false" ht="15" hidden="false" customHeight="true" outlineLevel="0" collapsed="false">
      <c r="A397" s="7" t="s">
        <v>820</v>
      </c>
      <c r="B397" s="15" t="n">
        <v>46286</v>
      </c>
      <c r="C397" s="7" t="s">
        <v>350</v>
      </c>
      <c r="D397" s="7" t="s">
        <v>351</v>
      </c>
      <c r="E397" s="17" t="n">
        <f aca="false">IF(A397="","",SUMIFS(Sales_Items!$H$2:$H$3001,Sales_Items!$A$2:$A$3001,A397))</f>
        <v>710</v>
      </c>
      <c r="F397" s="13" t="n">
        <v>20</v>
      </c>
      <c r="G397" s="17" t="n">
        <f aca="false">IF(A397="","",E397-N(F397))</f>
        <v>690</v>
      </c>
      <c r="H397" s="13" t="n">
        <v>0</v>
      </c>
      <c r="I397" s="17" t="n">
        <f aca="false">IF(A397="","",SUMIFS(Due_Payments!$C$2:$C$1001,Due_Payments!$B$2:$B$1001,A397))</f>
        <v>0</v>
      </c>
      <c r="J397" s="17" t="n">
        <f aca="false">IF(A397="","",G397-N(H397)-I397)</f>
        <v>690</v>
      </c>
      <c r="K397" s="7" t="s">
        <v>13</v>
      </c>
      <c r="L397" s="7" t="s">
        <v>387</v>
      </c>
      <c r="M397" s="7"/>
    </row>
    <row r="398" customFormat="false" ht="15" hidden="false" customHeight="true" outlineLevel="0" collapsed="false">
      <c r="A398" s="7" t="s">
        <v>821</v>
      </c>
      <c r="B398" s="15" t="n">
        <v>46286</v>
      </c>
      <c r="C398" s="7" t="s">
        <v>206</v>
      </c>
      <c r="D398" s="7" t="s">
        <v>207</v>
      </c>
      <c r="E398" s="17" t="n">
        <f aca="false">IF(A398="","",SUMIFS(Sales_Items!$H$2:$H$3001,Sales_Items!$A$2:$A$3001,A398))</f>
        <v>480</v>
      </c>
      <c r="F398" s="13" t="n">
        <v>10</v>
      </c>
      <c r="G398" s="17" t="n">
        <f aca="false">IF(A398="","",E398-N(F398))</f>
        <v>470</v>
      </c>
      <c r="H398" s="13" t="n">
        <v>470</v>
      </c>
      <c r="I398" s="17" t="n">
        <f aca="false">IF(A398="","",SUMIFS(Due_Payments!$C$2:$C$1001,Due_Payments!$B$2:$B$1001,A398))</f>
        <v>0</v>
      </c>
      <c r="J398" s="17" t="n">
        <f aca="false">IF(A398="","",G398-N(H398)-I398)</f>
        <v>0</v>
      </c>
      <c r="K398" s="7" t="s">
        <v>13</v>
      </c>
      <c r="L398" s="7" t="s">
        <v>348</v>
      </c>
      <c r="M398" s="7"/>
    </row>
    <row r="399" customFormat="false" ht="15" hidden="false" customHeight="true" outlineLevel="0" collapsed="false">
      <c r="A399" s="7" t="s">
        <v>822</v>
      </c>
      <c r="B399" s="15" t="n">
        <v>46286</v>
      </c>
      <c r="C399" s="7" t="s">
        <v>213</v>
      </c>
      <c r="D399" s="7" t="s">
        <v>214</v>
      </c>
      <c r="E399" s="17" t="n">
        <f aca="false">IF(A399="","",SUMIFS(Sales_Items!$H$2:$H$3001,Sales_Items!$A$2:$A$3001,A399))</f>
        <v>2240</v>
      </c>
      <c r="F399" s="13" t="n">
        <v>0</v>
      </c>
      <c r="G399" s="17" t="n">
        <f aca="false">IF(A399="","",E399-N(F399))</f>
        <v>2240</v>
      </c>
      <c r="H399" s="13" t="n">
        <v>0</v>
      </c>
      <c r="I399" s="17" t="n">
        <f aca="false">IF(A399="","",SUMIFS(Due_Payments!$C$2:$C$1001,Due_Payments!$B$2:$B$1001,A399))</f>
        <v>0</v>
      </c>
      <c r="J399" s="17" t="n">
        <f aca="false">IF(A399="","",G399-N(H399)-I399)</f>
        <v>2240</v>
      </c>
      <c r="K399" s="7" t="s">
        <v>21</v>
      </c>
      <c r="L399" s="7" t="s">
        <v>489</v>
      </c>
      <c r="M399" s="7"/>
    </row>
    <row r="400" customFormat="false" ht="15" hidden="false" customHeight="true" outlineLevel="0" collapsed="false">
      <c r="A400" s="7" t="s">
        <v>823</v>
      </c>
      <c r="B400" s="15" t="n">
        <v>46286</v>
      </c>
      <c r="C400" s="7" t="s">
        <v>259</v>
      </c>
      <c r="D400" s="7" t="s">
        <v>260</v>
      </c>
      <c r="E400" s="17" t="n">
        <f aca="false">IF(A400="","",SUMIFS(Sales_Items!$H$2:$H$3001,Sales_Items!$A$2:$A$3001,A400))</f>
        <v>520</v>
      </c>
      <c r="F400" s="13" t="n">
        <v>50</v>
      </c>
      <c r="G400" s="17" t="n">
        <f aca="false">IF(A400="","",E400-N(F400))</f>
        <v>470</v>
      </c>
      <c r="H400" s="13" t="n">
        <v>470</v>
      </c>
      <c r="I400" s="17" t="n">
        <f aca="false">IF(A400="","",SUMIFS(Due_Payments!$C$2:$C$1001,Due_Payments!$B$2:$B$1001,A400))</f>
        <v>0</v>
      </c>
      <c r="J400" s="17" t="n">
        <f aca="false">IF(A400="","",G400-N(H400)-I400)</f>
        <v>0</v>
      </c>
      <c r="K400" s="7" t="s">
        <v>21</v>
      </c>
      <c r="L400" s="7" t="s">
        <v>348</v>
      </c>
      <c r="M400" s="7"/>
    </row>
    <row r="401" customFormat="false" ht="15" hidden="false" customHeight="true" outlineLevel="0" collapsed="false">
      <c r="A401" s="7" t="s">
        <v>824</v>
      </c>
      <c r="B401" s="15" t="n">
        <v>46287</v>
      </c>
      <c r="C401" s="7" t="s">
        <v>217</v>
      </c>
      <c r="D401" s="7" t="s">
        <v>218</v>
      </c>
      <c r="E401" s="17" t="n">
        <f aca="false">IF(A401="","",SUMIFS(Sales_Items!$H$2:$H$3001,Sales_Items!$A$2:$A$3001,A401))</f>
        <v>1050</v>
      </c>
      <c r="F401" s="13" t="n">
        <v>0</v>
      </c>
      <c r="G401" s="17" t="n">
        <f aca="false">IF(A401="","",E401-N(F401))</f>
        <v>1050</v>
      </c>
      <c r="H401" s="13" t="n">
        <v>1050</v>
      </c>
      <c r="I401" s="17" t="n">
        <f aca="false">IF(A401="","",SUMIFS(Due_Payments!$C$2:$C$1001,Due_Payments!$B$2:$B$1001,A401))</f>
        <v>0</v>
      </c>
      <c r="J401" s="17" t="n">
        <f aca="false">IF(A401="","",G401-N(H401)-I401)</f>
        <v>0</v>
      </c>
      <c r="K401" s="7" t="s">
        <v>21</v>
      </c>
      <c r="L401" s="7" t="s">
        <v>397</v>
      </c>
      <c r="M401" s="7"/>
    </row>
    <row r="402" customFormat="false" ht="15" hidden="false" customHeight="true" outlineLevel="0" collapsed="false">
      <c r="A402" s="7" t="s">
        <v>825</v>
      </c>
      <c r="B402" s="15" t="n">
        <v>46287</v>
      </c>
      <c r="C402" s="7" t="s">
        <v>225</v>
      </c>
      <c r="D402" s="7" t="s">
        <v>226</v>
      </c>
      <c r="E402" s="17" t="n">
        <f aca="false">IF(A402="","",SUMIFS(Sales_Items!$H$2:$H$3001,Sales_Items!$A$2:$A$3001,A402))</f>
        <v>570</v>
      </c>
      <c r="F402" s="13" t="n">
        <v>100</v>
      </c>
      <c r="G402" s="17" t="n">
        <f aca="false">IF(A402="","",E402-N(F402))</f>
        <v>470</v>
      </c>
      <c r="H402" s="13" t="n">
        <v>470</v>
      </c>
      <c r="I402" s="17" t="n">
        <f aca="false">IF(A402="","",SUMIFS(Due_Payments!$C$2:$C$1001,Due_Payments!$B$2:$B$1001,A402))</f>
        <v>0</v>
      </c>
      <c r="J402" s="17" t="n">
        <f aca="false">IF(A402="","",G402-N(H402)-I402)</f>
        <v>0</v>
      </c>
      <c r="K402" s="7" t="s">
        <v>13</v>
      </c>
      <c r="L402" s="7" t="s">
        <v>348</v>
      </c>
      <c r="M402" s="7"/>
    </row>
    <row r="403" customFormat="false" ht="15" hidden="false" customHeight="true" outlineLevel="0" collapsed="false">
      <c r="A403" s="7" t="s">
        <v>826</v>
      </c>
      <c r="B403" s="15" t="n">
        <v>46287</v>
      </c>
      <c r="C403" s="7" t="s">
        <v>221</v>
      </c>
      <c r="D403" s="7" t="s">
        <v>222</v>
      </c>
      <c r="E403" s="17" t="n">
        <f aca="false">IF(A403="","",SUMIFS(Sales_Items!$H$2:$H$3001,Sales_Items!$A$2:$A$3001,A403))</f>
        <v>1020</v>
      </c>
      <c r="F403" s="13" t="n">
        <v>0</v>
      </c>
      <c r="G403" s="17" t="n">
        <f aca="false">IF(A403="","",E403-N(F403))</f>
        <v>1020</v>
      </c>
      <c r="H403" s="13" t="n">
        <v>1020</v>
      </c>
      <c r="I403" s="17" t="n">
        <f aca="false">IF(A403="","",SUMIFS(Due_Payments!$C$2:$C$1001,Due_Payments!$B$2:$B$1001,A403))</f>
        <v>0</v>
      </c>
      <c r="J403" s="17" t="n">
        <f aca="false">IF(A403="","",G403-N(H403)-I403)</f>
        <v>0</v>
      </c>
      <c r="K403" s="7" t="s">
        <v>13</v>
      </c>
      <c r="L403" s="7" t="s">
        <v>493</v>
      </c>
      <c r="M403" s="7"/>
    </row>
    <row r="404" customFormat="false" ht="15" hidden="false" customHeight="true" outlineLevel="0" collapsed="false">
      <c r="A404" s="7" t="s">
        <v>827</v>
      </c>
      <c r="B404" s="15" t="n">
        <v>46287</v>
      </c>
      <c r="C404" s="7" t="s">
        <v>285</v>
      </c>
      <c r="D404" s="7" t="s">
        <v>286</v>
      </c>
      <c r="E404" s="17" t="n">
        <f aca="false">IF(A404="","",SUMIFS(Sales_Items!$H$2:$H$3001,Sales_Items!$A$2:$A$3001,A404))</f>
        <v>480</v>
      </c>
      <c r="F404" s="13" t="n">
        <v>0</v>
      </c>
      <c r="G404" s="17" t="n">
        <f aca="false">IF(A404="","",E404-N(F404))</f>
        <v>480</v>
      </c>
      <c r="H404" s="13" t="n">
        <v>0</v>
      </c>
      <c r="I404" s="17" t="n">
        <f aca="false">IF(A404="","",SUMIFS(Due_Payments!$C$2:$C$1001,Due_Payments!$B$2:$B$1001,A404))</f>
        <v>240</v>
      </c>
      <c r="J404" s="17" t="n">
        <f aca="false">IF(A404="","",G404-N(H404)-I404)</f>
        <v>240</v>
      </c>
      <c r="K404" s="7" t="s">
        <v>21</v>
      </c>
      <c r="L404" s="7" t="s">
        <v>254</v>
      </c>
      <c r="M404" s="7"/>
    </row>
    <row r="405" customFormat="false" ht="15" hidden="false" customHeight="true" outlineLevel="0" collapsed="false">
      <c r="A405" s="7" t="s">
        <v>828</v>
      </c>
      <c r="B405" s="15" t="n">
        <v>46287</v>
      </c>
      <c r="C405" s="7" t="s">
        <v>282</v>
      </c>
      <c r="D405" s="7" t="s">
        <v>283</v>
      </c>
      <c r="E405" s="17" t="n">
        <f aca="false">IF(A405="","",SUMIFS(Sales_Items!$H$2:$H$3001,Sales_Items!$A$2:$A$3001,A405))</f>
        <v>4690</v>
      </c>
      <c r="F405" s="13" t="n">
        <v>0</v>
      </c>
      <c r="G405" s="17" t="n">
        <f aca="false">IF(A405="","",E405-N(F405))</f>
        <v>4690</v>
      </c>
      <c r="H405" s="13" t="n">
        <v>4690</v>
      </c>
      <c r="I405" s="17" t="n">
        <f aca="false">IF(A405="","",SUMIFS(Due_Payments!$C$2:$C$1001,Due_Payments!$B$2:$B$1001,A405))</f>
        <v>0</v>
      </c>
      <c r="J405" s="17" t="n">
        <f aca="false">IF(A405="","",G405-N(H405)-I405)</f>
        <v>0</v>
      </c>
      <c r="K405" s="7" t="s">
        <v>21</v>
      </c>
      <c r="L405" s="7" t="s">
        <v>829</v>
      </c>
      <c r="M405" s="7"/>
    </row>
    <row r="406" customFormat="false" ht="15" hidden="false" customHeight="true" outlineLevel="0" collapsed="false">
      <c r="A406" s="7" t="s">
        <v>830</v>
      </c>
      <c r="B406" s="15" t="n">
        <v>46287</v>
      </c>
      <c r="C406" s="7" t="s">
        <v>229</v>
      </c>
      <c r="D406" s="7" t="s">
        <v>230</v>
      </c>
      <c r="E406" s="17" t="n">
        <f aca="false">IF(A406="","",SUMIFS(Sales_Items!$H$2:$H$3001,Sales_Items!$A$2:$A$3001,A406))</f>
        <v>3540</v>
      </c>
      <c r="F406" s="13" t="n">
        <v>0</v>
      </c>
      <c r="G406" s="17" t="n">
        <f aca="false">IF(A406="","",E406-N(F406))</f>
        <v>3540</v>
      </c>
      <c r="H406" s="13" t="n">
        <v>3540</v>
      </c>
      <c r="I406" s="17" t="n">
        <f aca="false">IF(A406="","",SUMIFS(Due_Payments!$C$2:$C$1001,Due_Payments!$B$2:$B$1001,A406))</f>
        <v>0</v>
      </c>
      <c r="J406" s="17" t="n">
        <f aca="false">IF(A406="","",G406-N(H406)-I406)</f>
        <v>0</v>
      </c>
      <c r="K406" s="7" t="s">
        <v>13</v>
      </c>
      <c r="L406" s="7" t="s">
        <v>831</v>
      </c>
      <c r="M406" s="7"/>
    </row>
    <row r="407" customFormat="false" ht="15" hidden="false" customHeight="true" outlineLevel="0" collapsed="false">
      <c r="A407" s="7" t="s">
        <v>832</v>
      </c>
      <c r="B407" s="15" t="n">
        <v>46287</v>
      </c>
      <c r="C407" s="7" t="s">
        <v>217</v>
      </c>
      <c r="D407" s="7" t="s">
        <v>218</v>
      </c>
      <c r="E407" s="17" t="n">
        <f aca="false">IF(A407="","",SUMIFS(Sales_Items!$H$2:$H$3001,Sales_Items!$A$2:$A$3001,A407))</f>
        <v>580</v>
      </c>
      <c r="F407" s="13" t="n">
        <v>50</v>
      </c>
      <c r="G407" s="17" t="n">
        <f aca="false">IF(A407="","",E407-N(F407))</f>
        <v>530</v>
      </c>
      <c r="H407" s="13" t="n">
        <v>530</v>
      </c>
      <c r="I407" s="17" t="n">
        <f aca="false">IF(A407="","",SUMIFS(Due_Payments!$C$2:$C$1001,Due_Payments!$B$2:$B$1001,A407))</f>
        <v>0</v>
      </c>
      <c r="J407" s="17" t="n">
        <f aca="false">IF(A407="","",G407-N(H407)-I407)</f>
        <v>0</v>
      </c>
      <c r="K407" s="7" t="s">
        <v>13</v>
      </c>
      <c r="L407" s="7" t="s">
        <v>484</v>
      </c>
      <c r="M407" s="7"/>
    </row>
    <row r="408" customFormat="false" ht="15" hidden="false" customHeight="true" outlineLevel="0" collapsed="false">
      <c r="A408" s="7" t="s">
        <v>833</v>
      </c>
      <c r="B408" s="15" t="n">
        <v>46287</v>
      </c>
      <c r="C408" s="7" t="s">
        <v>206</v>
      </c>
      <c r="D408" s="7" t="s">
        <v>207</v>
      </c>
      <c r="E408" s="17" t="n">
        <f aca="false">IF(A408="","",SUMIFS(Sales_Items!$H$2:$H$3001,Sales_Items!$A$2:$A$3001,A408))</f>
        <v>340</v>
      </c>
      <c r="F408" s="13" t="n">
        <v>0</v>
      </c>
      <c r="G408" s="17" t="n">
        <f aca="false">IF(A408="","",E408-N(F408))</f>
        <v>340</v>
      </c>
      <c r="H408" s="13" t="n">
        <v>340</v>
      </c>
      <c r="I408" s="17" t="n">
        <f aca="false">IF(A408="","",SUMIFS(Due_Payments!$C$2:$C$1001,Due_Payments!$B$2:$B$1001,A408))</f>
        <v>0</v>
      </c>
      <c r="J408" s="17" t="n">
        <f aca="false">IF(A408="","",G408-N(H408)-I408)</f>
        <v>0</v>
      </c>
      <c r="K408" s="7" t="s">
        <v>21</v>
      </c>
      <c r="L408" s="7" t="s">
        <v>237</v>
      </c>
      <c r="M408" s="7"/>
    </row>
    <row r="409" customFormat="false" ht="15" hidden="false" customHeight="true" outlineLevel="0" collapsed="false">
      <c r="A409" s="7" t="s">
        <v>834</v>
      </c>
      <c r="B409" s="15" t="n">
        <v>46287</v>
      </c>
      <c r="C409" s="7" t="s">
        <v>344</v>
      </c>
      <c r="D409" s="7" t="s">
        <v>345</v>
      </c>
      <c r="E409" s="17" t="n">
        <f aca="false">IF(A409="","",SUMIFS(Sales_Items!$H$2:$H$3001,Sales_Items!$A$2:$A$3001,A409))</f>
        <v>480</v>
      </c>
      <c r="F409" s="13" t="n">
        <v>0</v>
      </c>
      <c r="G409" s="17" t="n">
        <f aca="false">IF(A409="","",E409-N(F409))</f>
        <v>480</v>
      </c>
      <c r="H409" s="13" t="n">
        <v>480</v>
      </c>
      <c r="I409" s="17" t="n">
        <f aca="false">IF(A409="","",SUMIFS(Due_Payments!$C$2:$C$1001,Due_Payments!$B$2:$B$1001,A409))</f>
        <v>0</v>
      </c>
      <c r="J409" s="17" t="n">
        <f aca="false">IF(A409="","",G409-N(H409)-I409)</f>
        <v>0</v>
      </c>
      <c r="K409" s="7" t="s">
        <v>21</v>
      </c>
      <c r="L409" s="7" t="s">
        <v>254</v>
      </c>
      <c r="M409" s="7"/>
    </row>
    <row r="410" customFormat="false" ht="15" hidden="false" customHeight="true" outlineLevel="0" collapsed="false">
      <c r="A410" s="7" t="s">
        <v>835</v>
      </c>
      <c r="B410" s="15" t="n">
        <v>46287</v>
      </c>
      <c r="C410" s="7" t="s">
        <v>249</v>
      </c>
      <c r="D410" s="7" t="s">
        <v>250</v>
      </c>
      <c r="E410" s="17" t="n">
        <f aca="false">IF(A410="","",SUMIFS(Sales_Items!$H$2:$H$3001,Sales_Items!$A$2:$A$3001,A410))</f>
        <v>570</v>
      </c>
      <c r="F410" s="13" t="n">
        <v>0</v>
      </c>
      <c r="G410" s="17" t="n">
        <f aca="false">IF(A410="","",E410-N(F410))</f>
        <v>570</v>
      </c>
      <c r="H410" s="13" t="n">
        <v>260</v>
      </c>
      <c r="I410" s="17" t="n">
        <f aca="false">IF(A410="","",SUMIFS(Due_Payments!$C$2:$C$1001,Due_Payments!$B$2:$B$1001,A410))</f>
        <v>160</v>
      </c>
      <c r="J410" s="17" t="n">
        <f aca="false">IF(A410="","",G410-N(H410)-I410)</f>
        <v>150</v>
      </c>
      <c r="K410" s="7" t="s">
        <v>13</v>
      </c>
      <c r="L410" s="7" t="s">
        <v>468</v>
      </c>
      <c r="M410" s="7"/>
    </row>
    <row r="411" customFormat="false" ht="15" hidden="false" customHeight="true" outlineLevel="0" collapsed="false">
      <c r="A411" s="7" t="s">
        <v>836</v>
      </c>
      <c r="B411" s="15" t="n">
        <v>46287</v>
      </c>
      <c r="C411" s="7" t="s">
        <v>350</v>
      </c>
      <c r="D411" s="7" t="s">
        <v>351</v>
      </c>
      <c r="E411" s="17" t="n">
        <f aca="false">IF(A411="","",SUMIFS(Sales_Items!$H$2:$H$3001,Sales_Items!$A$2:$A$3001,A411))</f>
        <v>1320</v>
      </c>
      <c r="F411" s="13" t="n">
        <v>40</v>
      </c>
      <c r="G411" s="17" t="n">
        <f aca="false">IF(A411="","",E411-N(F411))</f>
        <v>1280</v>
      </c>
      <c r="H411" s="13" t="n">
        <v>1280</v>
      </c>
      <c r="I411" s="17" t="n">
        <f aca="false">IF(A411="","",SUMIFS(Due_Payments!$C$2:$C$1001,Due_Payments!$B$2:$B$1001,A411))</f>
        <v>0</v>
      </c>
      <c r="J411" s="17" t="n">
        <f aca="false">IF(A411="","",G411-N(H411)-I411)</f>
        <v>0</v>
      </c>
      <c r="K411" s="7" t="s">
        <v>13</v>
      </c>
      <c r="L411" s="7" t="s">
        <v>837</v>
      </c>
      <c r="M411" s="7"/>
    </row>
    <row r="412" customFormat="false" ht="15" hidden="false" customHeight="true" outlineLevel="0" collapsed="false">
      <c r="A412" s="7" t="s">
        <v>838</v>
      </c>
      <c r="B412" s="15" t="n">
        <v>46287</v>
      </c>
      <c r="C412" s="7" t="s">
        <v>202</v>
      </c>
      <c r="D412" s="7" t="s">
        <v>203</v>
      </c>
      <c r="E412" s="17" t="n">
        <f aca="false">IF(A412="","",SUMIFS(Sales_Items!$H$2:$H$3001,Sales_Items!$A$2:$A$3001,A412))</f>
        <v>680</v>
      </c>
      <c r="F412" s="13" t="n">
        <v>100</v>
      </c>
      <c r="G412" s="17" t="n">
        <f aca="false">IF(A412="","",E412-N(F412))</f>
        <v>580</v>
      </c>
      <c r="H412" s="13" t="n">
        <v>580</v>
      </c>
      <c r="I412" s="17" t="n">
        <f aca="false">IF(A412="","",SUMIFS(Due_Payments!$C$2:$C$1001,Due_Payments!$B$2:$B$1001,A412))</f>
        <v>0</v>
      </c>
      <c r="J412" s="17" t="n">
        <f aca="false">IF(A412="","",G412-N(H412)-I412)</f>
        <v>0</v>
      </c>
      <c r="K412" s="7" t="s">
        <v>13</v>
      </c>
      <c r="L412" s="7" t="s">
        <v>365</v>
      </c>
      <c r="M412" s="7"/>
    </row>
    <row r="413" customFormat="false" ht="15" hidden="false" customHeight="true" outlineLevel="0" collapsed="false">
      <c r="A413" s="7" t="s">
        <v>839</v>
      </c>
      <c r="B413" s="15" t="n">
        <v>46288</v>
      </c>
      <c r="C413" s="7" t="s">
        <v>249</v>
      </c>
      <c r="D413" s="7" t="s">
        <v>250</v>
      </c>
      <c r="E413" s="17" t="n">
        <f aca="false">IF(A413="","",SUMIFS(Sales_Items!$H$2:$H$3001,Sales_Items!$A$2:$A$3001,A413))</f>
        <v>2340</v>
      </c>
      <c r="F413" s="13" t="n">
        <v>0</v>
      </c>
      <c r="G413" s="17" t="n">
        <f aca="false">IF(A413="","",E413-N(F413))</f>
        <v>2340</v>
      </c>
      <c r="H413" s="13" t="n">
        <v>2340</v>
      </c>
      <c r="I413" s="17" t="n">
        <f aca="false">IF(A413="","",SUMIFS(Due_Payments!$C$2:$C$1001,Due_Payments!$B$2:$B$1001,A413))</f>
        <v>0</v>
      </c>
      <c r="J413" s="17" t="n">
        <f aca="false">IF(A413="","",G413-N(H413)-I413)</f>
        <v>0</v>
      </c>
      <c r="K413" s="7" t="s">
        <v>13</v>
      </c>
      <c r="L413" s="7" t="s">
        <v>511</v>
      </c>
      <c r="M413" s="7"/>
    </row>
    <row r="414" customFormat="false" ht="15" hidden="false" customHeight="true" outlineLevel="0" collapsed="false">
      <c r="A414" s="7" t="s">
        <v>840</v>
      </c>
      <c r="B414" s="15" t="n">
        <v>46288</v>
      </c>
      <c r="C414" s="7" t="s">
        <v>241</v>
      </c>
      <c r="D414" s="7" t="s">
        <v>242</v>
      </c>
      <c r="E414" s="17" t="n">
        <f aca="false">IF(A414="","",SUMIFS(Sales_Items!$H$2:$H$3001,Sales_Items!$A$2:$A$3001,A414))</f>
        <v>240</v>
      </c>
      <c r="F414" s="13" t="n">
        <v>10</v>
      </c>
      <c r="G414" s="17" t="n">
        <f aca="false">IF(A414="","",E414-N(F414))</f>
        <v>230</v>
      </c>
      <c r="H414" s="13" t="n">
        <v>230</v>
      </c>
      <c r="I414" s="17" t="n">
        <f aca="false">IF(A414="","",SUMIFS(Due_Payments!$C$2:$C$1001,Due_Payments!$B$2:$B$1001,A414))</f>
        <v>0</v>
      </c>
      <c r="J414" s="17" t="n">
        <f aca="false">IF(A414="","",G414-N(H414)-I414)</f>
        <v>0</v>
      </c>
      <c r="K414" s="7" t="s">
        <v>13</v>
      </c>
      <c r="L414" s="7" t="s">
        <v>440</v>
      </c>
      <c r="M414" s="7"/>
    </row>
    <row r="415" customFormat="false" ht="15" hidden="false" customHeight="true" outlineLevel="0" collapsed="false">
      <c r="A415" s="7" t="s">
        <v>841</v>
      </c>
      <c r="B415" s="15" t="n">
        <v>46288</v>
      </c>
      <c r="C415" s="7" t="s">
        <v>198</v>
      </c>
      <c r="D415" s="7" t="s">
        <v>199</v>
      </c>
      <c r="E415" s="17" t="n">
        <f aca="false">IF(A415="","",SUMIFS(Sales_Items!$H$2:$H$3001,Sales_Items!$A$2:$A$3001,A415))</f>
        <v>680</v>
      </c>
      <c r="F415" s="13" t="n">
        <v>100</v>
      </c>
      <c r="G415" s="17" t="n">
        <f aca="false">IF(A415="","",E415-N(F415))</f>
        <v>580</v>
      </c>
      <c r="H415" s="13" t="n">
        <v>580</v>
      </c>
      <c r="I415" s="17" t="n">
        <f aca="false">IF(A415="","",SUMIFS(Due_Payments!$C$2:$C$1001,Due_Payments!$B$2:$B$1001,A415))</f>
        <v>0</v>
      </c>
      <c r="J415" s="17" t="n">
        <f aca="false">IF(A415="","",G415-N(H415)-I415)</f>
        <v>0</v>
      </c>
      <c r="K415" s="7" t="s">
        <v>13</v>
      </c>
      <c r="L415" s="7" t="s">
        <v>365</v>
      </c>
      <c r="M415" s="7"/>
    </row>
    <row r="416" customFormat="false" ht="15" hidden="false" customHeight="true" outlineLevel="0" collapsed="false">
      <c r="A416" s="7" t="s">
        <v>842</v>
      </c>
      <c r="B416" s="15" t="n">
        <v>46288</v>
      </c>
      <c r="C416" s="7" t="s">
        <v>249</v>
      </c>
      <c r="D416" s="7" t="s">
        <v>250</v>
      </c>
      <c r="E416" s="17" t="n">
        <f aca="false">IF(A416="","",SUMIFS(Sales_Items!$H$2:$H$3001,Sales_Items!$A$2:$A$3001,A416))</f>
        <v>190</v>
      </c>
      <c r="F416" s="13" t="n">
        <v>0</v>
      </c>
      <c r="G416" s="17" t="n">
        <f aca="false">IF(A416="","",E416-N(F416))</f>
        <v>190</v>
      </c>
      <c r="H416" s="13" t="n">
        <v>190</v>
      </c>
      <c r="I416" s="17" t="n">
        <f aca="false">IF(A416="","",SUMIFS(Due_Payments!$C$2:$C$1001,Due_Payments!$B$2:$B$1001,A416))</f>
        <v>0</v>
      </c>
      <c r="J416" s="17" t="n">
        <f aca="false">IF(A416="","",G416-N(H416)-I416)</f>
        <v>0</v>
      </c>
      <c r="K416" s="7" t="s">
        <v>13</v>
      </c>
      <c r="L416" s="7" t="s">
        <v>342</v>
      </c>
      <c r="M416" s="7"/>
    </row>
    <row r="417" customFormat="false" ht="15" hidden="false" customHeight="true" outlineLevel="0" collapsed="false">
      <c r="A417" s="7" t="s">
        <v>843</v>
      </c>
      <c r="B417" s="15" t="n">
        <v>46288</v>
      </c>
      <c r="C417" s="7" t="s">
        <v>344</v>
      </c>
      <c r="D417" s="7" t="s">
        <v>345</v>
      </c>
      <c r="E417" s="17" t="n">
        <f aca="false">IF(A417="","",SUMIFS(Sales_Items!$H$2:$H$3001,Sales_Items!$A$2:$A$3001,A417))</f>
        <v>1020</v>
      </c>
      <c r="F417" s="13" t="n">
        <v>0</v>
      </c>
      <c r="G417" s="17" t="n">
        <f aca="false">IF(A417="","",E417-N(F417))</f>
        <v>1020</v>
      </c>
      <c r="H417" s="13" t="n">
        <v>1020</v>
      </c>
      <c r="I417" s="17" t="n">
        <f aca="false">IF(A417="","",SUMIFS(Due_Payments!$C$2:$C$1001,Due_Payments!$B$2:$B$1001,A417))</f>
        <v>0</v>
      </c>
      <c r="J417" s="17" t="n">
        <f aca="false">IF(A417="","",G417-N(H417)-I417)</f>
        <v>0</v>
      </c>
      <c r="K417" s="7" t="s">
        <v>13</v>
      </c>
      <c r="L417" s="7" t="s">
        <v>493</v>
      </c>
      <c r="M417" s="7"/>
    </row>
    <row r="418" customFormat="false" ht="15" hidden="false" customHeight="true" outlineLevel="0" collapsed="false">
      <c r="A418" s="7" t="s">
        <v>844</v>
      </c>
      <c r="B418" s="15" t="n">
        <v>46288</v>
      </c>
      <c r="C418" s="7" t="s">
        <v>241</v>
      </c>
      <c r="D418" s="7" t="s">
        <v>242</v>
      </c>
      <c r="E418" s="17" t="n">
        <f aca="false">IF(A418="","",SUMIFS(Sales_Items!$H$2:$H$3001,Sales_Items!$A$2:$A$3001,A418))</f>
        <v>820</v>
      </c>
      <c r="F418" s="13" t="n">
        <v>100</v>
      </c>
      <c r="G418" s="17" t="n">
        <f aca="false">IF(A418="","",E418-N(F418))</f>
        <v>720</v>
      </c>
      <c r="H418" s="13" t="n">
        <v>720</v>
      </c>
      <c r="I418" s="17" t="n">
        <f aca="false">IF(A418="","",SUMIFS(Due_Payments!$C$2:$C$1001,Due_Payments!$B$2:$B$1001,A418))</f>
        <v>0</v>
      </c>
      <c r="J418" s="17" t="n">
        <f aca="false">IF(A418="","",G418-N(H418)-I418)</f>
        <v>0</v>
      </c>
      <c r="K418" s="7" t="s">
        <v>29</v>
      </c>
      <c r="L418" s="7" t="s">
        <v>427</v>
      </c>
      <c r="M418" s="7"/>
    </row>
    <row r="419" customFormat="false" ht="15" hidden="false" customHeight="true" outlineLevel="0" collapsed="false">
      <c r="A419" s="7" t="s">
        <v>845</v>
      </c>
      <c r="B419" s="15" t="n">
        <v>46288</v>
      </c>
      <c r="C419" s="7" t="s">
        <v>249</v>
      </c>
      <c r="D419" s="7" t="s">
        <v>250</v>
      </c>
      <c r="E419" s="17" t="n">
        <f aca="false">IF(A419="","",SUMIFS(Sales_Items!$H$2:$H$3001,Sales_Items!$A$2:$A$3001,A419))</f>
        <v>190</v>
      </c>
      <c r="F419" s="13" t="n">
        <v>0</v>
      </c>
      <c r="G419" s="17" t="n">
        <f aca="false">IF(A419="","",E419-N(F419))</f>
        <v>190</v>
      </c>
      <c r="H419" s="13" t="n">
        <v>120</v>
      </c>
      <c r="I419" s="17" t="n">
        <f aca="false">IF(A419="","",SUMIFS(Due_Payments!$C$2:$C$1001,Due_Payments!$B$2:$B$1001,A419))</f>
        <v>0</v>
      </c>
      <c r="J419" s="17" t="n">
        <f aca="false">IF(A419="","",G419-N(H419)-I419)</f>
        <v>70</v>
      </c>
      <c r="K419" s="7" t="s">
        <v>13</v>
      </c>
      <c r="L419" s="7" t="s">
        <v>342</v>
      </c>
      <c r="M419" s="7"/>
    </row>
    <row r="420" customFormat="false" ht="15" hidden="false" customHeight="true" outlineLevel="0" collapsed="false">
      <c r="A420" s="7" t="s">
        <v>846</v>
      </c>
      <c r="B420" s="15" t="n">
        <v>46288</v>
      </c>
      <c r="C420" s="7" t="s">
        <v>275</v>
      </c>
      <c r="D420" s="7" t="s">
        <v>276</v>
      </c>
      <c r="E420" s="17" t="n">
        <f aca="false">IF(A420="","",SUMIFS(Sales_Items!$H$2:$H$3001,Sales_Items!$A$2:$A$3001,A420))</f>
        <v>1020</v>
      </c>
      <c r="F420" s="13" t="n">
        <v>0</v>
      </c>
      <c r="G420" s="17" t="n">
        <f aca="false">IF(A420="","",E420-N(F420))</f>
        <v>1020</v>
      </c>
      <c r="H420" s="13" t="n">
        <v>0</v>
      </c>
      <c r="I420" s="17" t="n">
        <f aca="false">IF(A420="","",SUMIFS(Due_Payments!$C$2:$C$1001,Due_Payments!$B$2:$B$1001,A420))</f>
        <v>1020</v>
      </c>
      <c r="J420" s="17" t="n">
        <f aca="false">IF(A420="","",G420-N(H420)-I420)</f>
        <v>0</v>
      </c>
      <c r="K420" s="7" t="s">
        <v>13</v>
      </c>
      <c r="L420" s="7" t="s">
        <v>493</v>
      </c>
      <c r="M420" s="7"/>
    </row>
    <row r="421" customFormat="false" ht="15" hidden="false" customHeight="true" outlineLevel="0" collapsed="false">
      <c r="A421" s="7" t="s">
        <v>847</v>
      </c>
      <c r="B421" s="15" t="n">
        <v>46288</v>
      </c>
      <c r="C421" s="7" t="s">
        <v>217</v>
      </c>
      <c r="D421" s="7" t="s">
        <v>218</v>
      </c>
      <c r="E421" s="17" t="n">
        <f aca="false">IF(A421="","",SUMIFS(Sales_Items!$H$2:$H$3001,Sales_Items!$A$2:$A$3001,A421))</f>
        <v>1610</v>
      </c>
      <c r="F421" s="13" t="n">
        <v>0</v>
      </c>
      <c r="G421" s="17" t="n">
        <f aca="false">IF(A421="","",E421-N(F421))</f>
        <v>1610</v>
      </c>
      <c r="H421" s="13" t="n">
        <v>1610</v>
      </c>
      <c r="I421" s="17" t="n">
        <f aca="false">IF(A421="","",SUMIFS(Due_Payments!$C$2:$C$1001,Due_Payments!$B$2:$B$1001,A421))</f>
        <v>0</v>
      </c>
      <c r="J421" s="17" t="n">
        <f aca="false">IF(A421="","",G421-N(H421)-I421)</f>
        <v>0</v>
      </c>
      <c r="K421" s="7" t="s">
        <v>13</v>
      </c>
      <c r="L421" s="7" t="s">
        <v>731</v>
      </c>
      <c r="M421" s="7"/>
    </row>
    <row r="422" customFormat="false" ht="15" hidden="false" customHeight="true" outlineLevel="0" collapsed="false">
      <c r="A422" s="7" t="s">
        <v>848</v>
      </c>
      <c r="B422" s="15" t="n">
        <v>46288</v>
      </c>
      <c r="C422" s="7" t="s">
        <v>307</v>
      </c>
      <c r="D422" s="7" t="s">
        <v>308</v>
      </c>
      <c r="E422" s="17" t="n">
        <f aca="false">IF(A422="","",SUMIFS(Sales_Items!$H$2:$H$3001,Sales_Items!$A$2:$A$3001,A422))</f>
        <v>270</v>
      </c>
      <c r="F422" s="13" t="n">
        <v>0</v>
      </c>
      <c r="G422" s="17" t="n">
        <f aca="false">IF(A422="","",E422-N(F422))</f>
        <v>270</v>
      </c>
      <c r="H422" s="13" t="n">
        <v>0</v>
      </c>
      <c r="I422" s="17" t="n">
        <f aca="false">IF(A422="","",SUMIFS(Due_Payments!$C$2:$C$1001,Due_Payments!$B$2:$B$1001,A422))</f>
        <v>0</v>
      </c>
      <c r="J422" s="17" t="n">
        <f aca="false">IF(A422="","",G422-N(H422)-I422)</f>
        <v>270</v>
      </c>
      <c r="K422" s="7" t="s">
        <v>29</v>
      </c>
      <c r="L422" s="7" t="s">
        <v>337</v>
      </c>
      <c r="M422" s="7"/>
    </row>
    <row r="423" customFormat="false" ht="15" hidden="false" customHeight="true" outlineLevel="0" collapsed="false">
      <c r="A423" s="7" t="s">
        <v>849</v>
      </c>
      <c r="B423" s="15" t="n">
        <v>46289</v>
      </c>
      <c r="C423" s="7" t="s">
        <v>217</v>
      </c>
      <c r="D423" s="7" t="s">
        <v>218</v>
      </c>
      <c r="E423" s="17" t="n">
        <f aca="false">IF(A423="","",SUMIFS(Sales_Items!$H$2:$H$3001,Sales_Items!$A$2:$A$3001,A423))</f>
        <v>1180</v>
      </c>
      <c r="F423" s="13" t="n">
        <v>50</v>
      </c>
      <c r="G423" s="17" t="n">
        <f aca="false">IF(A423="","",E423-N(F423))</f>
        <v>1130</v>
      </c>
      <c r="H423" s="13" t="n">
        <v>0</v>
      </c>
      <c r="I423" s="17" t="n">
        <f aca="false">IF(A423="","",SUMIFS(Due_Payments!$C$2:$C$1001,Due_Payments!$B$2:$B$1001,A423))</f>
        <v>1130</v>
      </c>
      <c r="J423" s="17" t="n">
        <f aca="false">IF(A423="","",G423-N(H423)-I423)</f>
        <v>0</v>
      </c>
      <c r="K423" s="7" t="s">
        <v>29</v>
      </c>
      <c r="L423" s="7" t="s">
        <v>553</v>
      </c>
      <c r="M423" s="7"/>
    </row>
    <row r="424" customFormat="false" ht="15" hidden="false" customHeight="true" outlineLevel="0" collapsed="false">
      <c r="A424" s="7" t="s">
        <v>850</v>
      </c>
      <c r="B424" s="15" t="n">
        <v>46289</v>
      </c>
      <c r="C424" s="7" t="s">
        <v>282</v>
      </c>
      <c r="D424" s="7" t="s">
        <v>283</v>
      </c>
      <c r="E424" s="17" t="n">
        <f aca="false">IF(A424="","",SUMIFS(Sales_Items!$H$2:$H$3001,Sales_Items!$A$2:$A$3001,A424))</f>
        <v>1140</v>
      </c>
      <c r="F424" s="13" t="n">
        <v>30</v>
      </c>
      <c r="G424" s="17" t="n">
        <f aca="false">IF(A424="","",E424-N(F424))</f>
        <v>1110</v>
      </c>
      <c r="H424" s="13" t="n">
        <v>1110</v>
      </c>
      <c r="I424" s="17" t="n">
        <f aca="false">IF(A424="","",SUMIFS(Due_Payments!$C$2:$C$1001,Due_Payments!$B$2:$B$1001,A424))</f>
        <v>0</v>
      </c>
      <c r="J424" s="17" t="n">
        <f aca="false">IF(A424="","",G424-N(H424)-I424)</f>
        <v>0</v>
      </c>
      <c r="K424" s="7" t="s">
        <v>21</v>
      </c>
      <c r="L424" s="7" t="s">
        <v>395</v>
      </c>
      <c r="M424" s="7"/>
    </row>
    <row r="425" customFormat="false" ht="15" hidden="false" customHeight="true" outlineLevel="0" collapsed="false">
      <c r="A425" s="7" t="s">
        <v>851</v>
      </c>
      <c r="B425" s="15" t="n">
        <v>46289</v>
      </c>
      <c r="C425" s="7" t="s">
        <v>229</v>
      </c>
      <c r="D425" s="7" t="s">
        <v>230</v>
      </c>
      <c r="E425" s="17" t="n">
        <f aca="false">IF(A425="","",SUMIFS(Sales_Items!$H$2:$H$3001,Sales_Items!$A$2:$A$3001,A425))</f>
        <v>190</v>
      </c>
      <c r="F425" s="13" t="n">
        <v>0</v>
      </c>
      <c r="G425" s="17" t="n">
        <f aca="false">IF(A425="","",E425-N(F425))</f>
        <v>190</v>
      </c>
      <c r="H425" s="13" t="n">
        <v>190</v>
      </c>
      <c r="I425" s="17" t="n">
        <f aca="false">IF(A425="","",SUMIFS(Due_Payments!$C$2:$C$1001,Due_Payments!$B$2:$B$1001,A425))</f>
        <v>0</v>
      </c>
      <c r="J425" s="17" t="n">
        <f aca="false">IF(A425="","",G425-N(H425)-I425)</f>
        <v>0</v>
      </c>
      <c r="K425" s="7" t="s">
        <v>21</v>
      </c>
      <c r="L425" s="7" t="s">
        <v>342</v>
      </c>
      <c r="M425" s="7"/>
    </row>
    <row r="426" customFormat="false" ht="15" hidden="false" customHeight="true" outlineLevel="0" collapsed="false">
      <c r="A426" s="7" t="s">
        <v>852</v>
      </c>
      <c r="B426" s="15" t="n">
        <v>46289</v>
      </c>
      <c r="C426" s="7" t="s">
        <v>249</v>
      </c>
      <c r="D426" s="7" t="s">
        <v>250</v>
      </c>
      <c r="E426" s="17" t="n">
        <f aca="false">IF(A426="","",SUMIFS(Sales_Items!$H$2:$H$3001,Sales_Items!$A$2:$A$3001,A426))</f>
        <v>1690</v>
      </c>
      <c r="F426" s="13" t="n">
        <v>50</v>
      </c>
      <c r="G426" s="17" t="n">
        <f aca="false">IF(A426="","",E426-N(F426))</f>
        <v>1640</v>
      </c>
      <c r="H426" s="13" t="n">
        <v>1640</v>
      </c>
      <c r="I426" s="17" t="n">
        <f aca="false">IF(A426="","",SUMIFS(Due_Payments!$C$2:$C$1001,Due_Payments!$B$2:$B$1001,A426))</f>
        <v>0</v>
      </c>
      <c r="J426" s="17" t="n">
        <f aca="false">IF(A426="","",G426-N(H426)-I426)</f>
        <v>0</v>
      </c>
      <c r="K426" s="7" t="s">
        <v>13</v>
      </c>
      <c r="L426" s="7" t="s">
        <v>853</v>
      </c>
      <c r="M426" s="7"/>
    </row>
    <row r="427" customFormat="false" ht="15" hidden="false" customHeight="true" outlineLevel="0" collapsed="false">
      <c r="A427" s="7" t="s">
        <v>854</v>
      </c>
      <c r="B427" s="15" t="n">
        <v>46289</v>
      </c>
      <c r="C427" s="7" t="s">
        <v>378</v>
      </c>
      <c r="D427" s="7" t="s">
        <v>379</v>
      </c>
      <c r="E427" s="17" t="n">
        <f aca="false">IF(A427="","",SUMIFS(Sales_Items!$H$2:$H$3001,Sales_Items!$A$2:$A$3001,A427))</f>
        <v>3510</v>
      </c>
      <c r="F427" s="13" t="n">
        <v>0</v>
      </c>
      <c r="G427" s="17" t="n">
        <f aca="false">IF(A427="","",E427-N(F427))</f>
        <v>3510</v>
      </c>
      <c r="H427" s="13" t="n">
        <v>3510</v>
      </c>
      <c r="I427" s="17" t="n">
        <f aca="false">IF(A427="","",SUMIFS(Due_Payments!$C$2:$C$1001,Due_Payments!$B$2:$B$1001,A427))</f>
        <v>0</v>
      </c>
      <c r="J427" s="17" t="n">
        <f aca="false">IF(A427="","",G427-N(H427)-I427)</f>
        <v>0</v>
      </c>
      <c r="K427" s="7" t="s">
        <v>37</v>
      </c>
      <c r="L427" s="7" t="s">
        <v>855</v>
      </c>
      <c r="M427" s="7"/>
    </row>
    <row r="428" customFormat="false" ht="15" hidden="false" customHeight="true" outlineLevel="0" collapsed="false">
      <c r="A428" s="7" t="s">
        <v>856</v>
      </c>
      <c r="B428" s="15" t="n">
        <v>46289</v>
      </c>
      <c r="C428" s="7" t="s">
        <v>307</v>
      </c>
      <c r="D428" s="7" t="s">
        <v>308</v>
      </c>
      <c r="E428" s="17" t="n">
        <f aca="false">IF(A428="","",SUMIFS(Sales_Items!$H$2:$H$3001,Sales_Items!$A$2:$A$3001,A428))</f>
        <v>380</v>
      </c>
      <c r="F428" s="13" t="n">
        <v>0</v>
      </c>
      <c r="G428" s="17" t="n">
        <f aca="false">IF(A428="","",E428-N(F428))</f>
        <v>380</v>
      </c>
      <c r="H428" s="13" t="n">
        <v>380</v>
      </c>
      <c r="I428" s="17" t="n">
        <f aca="false">IF(A428="","",SUMIFS(Due_Payments!$C$2:$C$1001,Due_Payments!$B$2:$B$1001,A428))</f>
        <v>0</v>
      </c>
      <c r="J428" s="17" t="n">
        <f aca="false">IF(A428="","",G428-N(H428)-I428)</f>
        <v>0</v>
      </c>
      <c r="K428" s="7" t="s">
        <v>13</v>
      </c>
      <c r="L428" s="7" t="s">
        <v>223</v>
      </c>
      <c r="M428" s="7"/>
    </row>
    <row r="429" customFormat="false" ht="15" hidden="false" customHeight="true" outlineLevel="0" collapsed="false">
      <c r="A429" s="7" t="s">
        <v>857</v>
      </c>
      <c r="B429" s="15" t="n">
        <v>46289</v>
      </c>
      <c r="C429" s="7" t="s">
        <v>221</v>
      </c>
      <c r="D429" s="7" t="s">
        <v>222</v>
      </c>
      <c r="E429" s="17" t="n">
        <f aca="false">IF(A429="","",SUMIFS(Sales_Items!$H$2:$H$3001,Sales_Items!$A$2:$A$3001,A429))</f>
        <v>3490</v>
      </c>
      <c r="F429" s="13" t="n">
        <v>0</v>
      </c>
      <c r="G429" s="17" t="n">
        <f aca="false">IF(A429="","",E429-N(F429))</f>
        <v>3490</v>
      </c>
      <c r="H429" s="13" t="n">
        <v>3490</v>
      </c>
      <c r="I429" s="17" t="n">
        <f aca="false">IF(A429="","",SUMIFS(Due_Payments!$C$2:$C$1001,Due_Payments!$B$2:$B$1001,A429))</f>
        <v>0</v>
      </c>
      <c r="J429" s="17" t="n">
        <f aca="false">IF(A429="","",G429-N(H429)-I429)</f>
        <v>0</v>
      </c>
      <c r="K429" s="7" t="s">
        <v>13</v>
      </c>
      <c r="L429" s="7" t="s">
        <v>858</v>
      </c>
      <c r="M429" s="7"/>
    </row>
    <row r="430" customFormat="false" ht="15" hidden="false" customHeight="true" outlineLevel="0" collapsed="false">
      <c r="A430" s="7" t="s">
        <v>859</v>
      </c>
      <c r="B430" s="15" t="n">
        <v>46289</v>
      </c>
      <c r="C430" s="7" t="s">
        <v>213</v>
      </c>
      <c r="D430" s="7" t="s">
        <v>214</v>
      </c>
      <c r="E430" s="17" t="n">
        <f aca="false">IF(A430="","",SUMIFS(Sales_Items!$H$2:$H$3001,Sales_Items!$A$2:$A$3001,A430))</f>
        <v>560</v>
      </c>
      <c r="F430" s="13" t="n">
        <v>50</v>
      </c>
      <c r="G430" s="17" t="n">
        <f aca="false">IF(A430="","",E430-N(F430))</f>
        <v>510</v>
      </c>
      <c r="H430" s="13" t="n">
        <v>510</v>
      </c>
      <c r="I430" s="17" t="n">
        <f aca="false">IF(A430="","",SUMIFS(Due_Payments!$C$2:$C$1001,Due_Payments!$B$2:$B$1001,A430))</f>
        <v>0</v>
      </c>
      <c r="J430" s="17" t="n">
        <f aca="false">IF(A430="","",G430-N(H430)-I430)</f>
        <v>0</v>
      </c>
      <c r="K430" s="7" t="s">
        <v>13</v>
      </c>
      <c r="L430" s="7" t="s">
        <v>461</v>
      </c>
      <c r="M430" s="7"/>
    </row>
    <row r="431" customFormat="false" ht="15" hidden="false" customHeight="true" outlineLevel="0" collapsed="false">
      <c r="A431" s="7" t="s">
        <v>860</v>
      </c>
      <c r="B431" s="15" t="n">
        <v>46289</v>
      </c>
      <c r="C431" s="7" t="s">
        <v>241</v>
      </c>
      <c r="D431" s="7" t="s">
        <v>242</v>
      </c>
      <c r="E431" s="17" t="n">
        <f aca="false">IF(A431="","",SUMIFS(Sales_Items!$H$2:$H$3001,Sales_Items!$A$2:$A$3001,A431))</f>
        <v>1530</v>
      </c>
      <c r="F431" s="13" t="n">
        <v>0</v>
      </c>
      <c r="G431" s="17" t="n">
        <f aca="false">IF(A431="","",E431-N(F431))</f>
        <v>1530</v>
      </c>
      <c r="H431" s="13" t="n">
        <v>1530</v>
      </c>
      <c r="I431" s="17" t="n">
        <f aca="false">IF(A431="","",SUMIFS(Due_Payments!$C$2:$C$1001,Due_Payments!$B$2:$B$1001,A431))</f>
        <v>0</v>
      </c>
      <c r="J431" s="17" t="n">
        <f aca="false">IF(A431="","",G431-N(H431)-I431)</f>
        <v>0</v>
      </c>
      <c r="K431" s="7" t="s">
        <v>13</v>
      </c>
      <c r="L431" s="7" t="s">
        <v>757</v>
      </c>
      <c r="M431" s="7"/>
    </row>
    <row r="432" customFormat="false" ht="15" hidden="false" customHeight="true" outlineLevel="0" collapsed="false">
      <c r="A432" s="7" t="s">
        <v>861</v>
      </c>
      <c r="B432" s="15" t="n">
        <v>46291</v>
      </c>
      <c r="C432" s="7" t="s">
        <v>249</v>
      </c>
      <c r="D432" s="7" t="s">
        <v>250</v>
      </c>
      <c r="E432" s="17" t="n">
        <f aca="false">IF(A432="","",SUMIFS(Sales_Items!$H$2:$H$3001,Sales_Items!$A$2:$A$3001,A432))</f>
        <v>540</v>
      </c>
      <c r="F432" s="13" t="n">
        <v>20</v>
      </c>
      <c r="G432" s="17" t="n">
        <f aca="false">IF(A432="","",E432-N(F432))</f>
        <v>520</v>
      </c>
      <c r="H432" s="13" t="n">
        <v>520</v>
      </c>
      <c r="I432" s="17" t="n">
        <f aca="false">IF(A432="","",SUMIFS(Due_Payments!$C$2:$C$1001,Due_Payments!$B$2:$B$1001,A432))</f>
        <v>0</v>
      </c>
      <c r="J432" s="17" t="n">
        <f aca="false">IF(A432="","",G432-N(H432)-I432)</f>
        <v>0</v>
      </c>
      <c r="K432" s="7" t="s">
        <v>21</v>
      </c>
      <c r="L432" s="7" t="s">
        <v>323</v>
      </c>
      <c r="M432" s="7"/>
    </row>
    <row r="433" customFormat="false" ht="15" hidden="false" customHeight="true" outlineLevel="0" collapsed="false">
      <c r="A433" s="7" t="s">
        <v>862</v>
      </c>
      <c r="B433" s="15" t="n">
        <v>46291</v>
      </c>
      <c r="C433" s="7" t="s">
        <v>225</v>
      </c>
      <c r="D433" s="7" t="s">
        <v>226</v>
      </c>
      <c r="E433" s="17" t="n">
        <f aca="false">IF(A433="","",SUMIFS(Sales_Items!$H$2:$H$3001,Sales_Items!$A$2:$A$3001,A433))</f>
        <v>480</v>
      </c>
      <c r="F433" s="13" t="n">
        <v>0</v>
      </c>
      <c r="G433" s="17" t="n">
        <f aca="false">IF(A433="","",E433-N(F433))</f>
        <v>480</v>
      </c>
      <c r="H433" s="13" t="n">
        <v>480</v>
      </c>
      <c r="I433" s="17" t="n">
        <f aca="false">IF(A433="","",SUMIFS(Due_Payments!$C$2:$C$1001,Due_Payments!$B$2:$B$1001,A433))</f>
        <v>0</v>
      </c>
      <c r="J433" s="17" t="n">
        <f aca="false">IF(A433="","",G433-N(H433)-I433)</f>
        <v>0</v>
      </c>
      <c r="K433" s="7" t="s">
        <v>13</v>
      </c>
      <c r="L433" s="7" t="s">
        <v>254</v>
      </c>
      <c r="M433" s="7"/>
    </row>
    <row r="434" customFormat="false" ht="15" hidden="false" customHeight="true" outlineLevel="0" collapsed="false">
      <c r="A434" s="7" t="s">
        <v>863</v>
      </c>
      <c r="B434" s="15" t="n">
        <v>46291</v>
      </c>
      <c r="C434" s="7" t="s">
        <v>256</v>
      </c>
      <c r="D434" s="7" t="s">
        <v>257</v>
      </c>
      <c r="E434" s="17" t="n">
        <f aca="false">IF(A434="","",SUMIFS(Sales_Items!$H$2:$H$3001,Sales_Items!$A$2:$A$3001,A434))</f>
        <v>810</v>
      </c>
      <c r="F434" s="13" t="n">
        <v>50</v>
      </c>
      <c r="G434" s="17" t="n">
        <f aca="false">IF(A434="","",E434-N(F434))</f>
        <v>760</v>
      </c>
      <c r="H434" s="13" t="n">
        <v>760</v>
      </c>
      <c r="I434" s="17" t="n">
        <f aca="false">IF(A434="","",SUMIFS(Due_Payments!$C$2:$C$1001,Due_Payments!$B$2:$B$1001,A434))</f>
        <v>0</v>
      </c>
      <c r="J434" s="17" t="n">
        <f aca="false">IF(A434="","",G434-N(H434)-I434)</f>
        <v>0</v>
      </c>
      <c r="K434" s="7" t="s">
        <v>13</v>
      </c>
      <c r="L434" s="7" t="s">
        <v>517</v>
      </c>
      <c r="M434" s="7"/>
    </row>
    <row r="435" customFormat="false" ht="15" hidden="false" customHeight="true" outlineLevel="0" collapsed="false">
      <c r="A435" s="7" t="s">
        <v>864</v>
      </c>
      <c r="B435" s="15" t="n">
        <v>46291</v>
      </c>
      <c r="C435" s="7" t="s">
        <v>198</v>
      </c>
      <c r="D435" s="7" t="s">
        <v>199</v>
      </c>
      <c r="E435" s="17" t="n">
        <f aca="false">IF(A435="","",SUMIFS(Sales_Items!$H$2:$H$3001,Sales_Items!$A$2:$A$3001,A435))</f>
        <v>2240</v>
      </c>
      <c r="F435" s="13" t="n">
        <v>0</v>
      </c>
      <c r="G435" s="17" t="n">
        <f aca="false">IF(A435="","",E435-N(F435))</f>
        <v>2240</v>
      </c>
      <c r="H435" s="13" t="n">
        <v>2240</v>
      </c>
      <c r="I435" s="17" t="n">
        <f aca="false">IF(A435="","",SUMIFS(Due_Payments!$C$2:$C$1001,Due_Payments!$B$2:$B$1001,A435))</f>
        <v>0</v>
      </c>
      <c r="J435" s="17" t="n">
        <f aca="false">IF(A435="","",G435-N(H435)-I435)</f>
        <v>0</v>
      </c>
      <c r="K435" s="7" t="s">
        <v>13</v>
      </c>
      <c r="L435" s="7" t="s">
        <v>489</v>
      </c>
      <c r="M435" s="7"/>
    </row>
    <row r="436" customFormat="false" ht="15" hidden="false" customHeight="true" outlineLevel="0" collapsed="false">
      <c r="A436" s="7" t="s">
        <v>865</v>
      </c>
      <c r="B436" s="15" t="n">
        <v>46291</v>
      </c>
      <c r="C436" s="7" t="s">
        <v>198</v>
      </c>
      <c r="D436" s="7" t="s">
        <v>199</v>
      </c>
      <c r="E436" s="17" t="n">
        <f aca="false">IF(A436="","",SUMIFS(Sales_Items!$H$2:$H$3001,Sales_Items!$A$2:$A$3001,A436))</f>
        <v>690</v>
      </c>
      <c r="F436" s="13" t="n">
        <v>50</v>
      </c>
      <c r="G436" s="17" t="n">
        <f aca="false">IF(A436="","",E436-N(F436))</f>
        <v>640</v>
      </c>
      <c r="H436" s="13" t="n">
        <v>640</v>
      </c>
      <c r="I436" s="17" t="n">
        <f aca="false">IF(A436="","",SUMIFS(Due_Payments!$C$2:$C$1001,Due_Payments!$B$2:$B$1001,A436))</f>
        <v>0</v>
      </c>
      <c r="J436" s="17" t="n">
        <f aca="false">IF(A436="","",G436-N(H436)-I436)</f>
        <v>0</v>
      </c>
      <c r="K436" s="7" t="s">
        <v>13</v>
      </c>
      <c r="L436" s="7" t="s">
        <v>708</v>
      </c>
      <c r="M436" s="7"/>
    </row>
    <row r="437" customFormat="false" ht="15" hidden="false" customHeight="true" outlineLevel="0" collapsed="false">
      <c r="A437" s="7" t="s">
        <v>866</v>
      </c>
      <c r="B437" s="15" t="n">
        <v>46291</v>
      </c>
      <c r="C437" s="7" t="s">
        <v>282</v>
      </c>
      <c r="D437" s="7" t="s">
        <v>283</v>
      </c>
      <c r="E437" s="17" t="n">
        <f aca="false">IF(A437="","",SUMIFS(Sales_Items!$H$2:$H$3001,Sales_Items!$A$2:$A$3001,A437))</f>
        <v>840</v>
      </c>
      <c r="F437" s="13" t="n">
        <v>0</v>
      </c>
      <c r="G437" s="17" t="n">
        <f aca="false">IF(A437="","",E437-N(F437))</f>
        <v>840</v>
      </c>
      <c r="H437" s="13" t="n">
        <v>580</v>
      </c>
      <c r="I437" s="17" t="n">
        <f aca="false">IF(A437="","",SUMIFS(Due_Payments!$C$2:$C$1001,Due_Payments!$B$2:$B$1001,A437))</f>
        <v>0</v>
      </c>
      <c r="J437" s="17" t="n">
        <f aca="false">IF(A437="","",G437-N(H437)-I437)</f>
        <v>260</v>
      </c>
      <c r="K437" s="7" t="s">
        <v>21</v>
      </c>
      <c r="L437" s="7" t="s">
        <v>243</v>
      </c>
      <c r="M437" s="7"/>
    </row>
    <row r="438" customFormat="false" ht="15" hidden="false" customHeight="true" outlineLevel="0" collapsed="false">
      <c r="A438" s="7" t="s">
        <v>867</v>
      </c>
      <c r="B438" s="15" t="n">
        <v>46291</v>
      </c>
      <c r="C438" s="7" t="s">
        <v>249</v>
      </c>
      <c r="D438" s="7" t="s">
        <v>250</v>
      </c>
      <c r="E438" s="17" t="n">
        <f aca="false">IF(A438="","",SUMIFS(Sales_Items!$H$2:$H$3001,Sales_Items!$A$2:$A$3001,A438))</f>
        <v>270</v>
      </c>
      <c r="F438" s="13" t="n">
        <v>0</v>
      </c>
      <c r="G438" s="17" t="n">
        <f aca="false">IF(A438="","",E438-N(F438))</f>
        <v>270</v>
      </c>
      <c r="H438" s="13" t="n">
        <v>270</v>
      </c>
      <c r="I438" s="17" t="n">
        <f aca="false">IF(A438="","",SUMIFS(Due_Payments!$C$2:$C$1001,Due_Payments!$B$2:$B$1001,A438))</f>
        <v>0</v>
      </c>
      <c r="J438" s="17" t="n">
        <f aca="false">IF(A438="","",G438-N(H438)-I438)</f>
        <v>0</v>
      </c>
      <c r="K438" s="7" t="s">
        <v>29</v>
      </c>
      <c r="L438" s="7" t="s">
        <v>337</v>
      </c>
      <c r="M438" s="7"/>
    </row>
    <row r="439" customFormat="false" ht="15" hidden="false" customHeight="true" outlineLevel="0" collapsed="false">
      <c r="A439" s="7" t="s">
        <v>868</v>
      </c>
      <c r="B439" s="15" t="n">
        <v>46291</v>
      </c>
      <c r="C439" s="7" t="s">
        <v>378</v>
      </c>
      <c r="D439" s="7" t="s">
        <v>379</v>
      </c>
      <c r="E439" s="17" t="n">
        <f aca="false">IF(A439="","",SUMIFS(Sales_Items!$H$2:$H$3001,Sales_Items!$A$2:$A$3001,A439))</f>
        <v>2530</v>
      </c>
      <c r="F439" s="13" t="n">
        <v>100</v>
      </c>
      <c r="G439" s="17" t="n">
        <f aca="false">IF(A439="","",E439-N(F439))</f>
        <v>2430</v>
      </c>
      <c r="H439" s="13" t="n">
        <v>2430</v>
      </c>
      <c r="I439" s="17" t="n">
        <f aca="false">IF(A439="","",SUMIFS(Due_Payments!$C$2:$C$1001,Due_Payments!$B$2:$B$1001,A439))</f>
        <v>0</v>
      </c>
      <c r="J439" s="17" t="n">
        <f aca="false">IF(A439="","",G439-N(H439)-I439)</f>
        <v>0</v>
      </c>
      <c r="K439" s="7" t="s">
        <v>13</v>
      </c>
      <c r="L439" s="7" t="s">
        <v>869</v>
      </c>
      <c r="M439" s="7"/>
    </row>
    <row r="440" customFormat="false" ht="15" hidden="false" customHeight="true" outlineLevel="0" collapsed="false">
      <c r="A440" s="7" t="s">
        <v>870</v>
      </c>
      <c r="B440" s="15" t="n">
        <v>46291</v>
      </c>
      <c r="C440" s="7" t="s">
        <v>210</v>
      </c>
      <c r="D440" s="7" t="s">
        <v>211</v>
      </c>
      <c r="E440" s="17" t="n">
        <f aca="false">IF(A440="","",SUMIFS(Sales_Items!$H$2:$H$3001,Sales_Items!$A$2:$A$3001,A440))</f>
        <v>190</v>
      </c>
      <c r="F440" s="13" t="n">
        <v>0</v>
      </c>
      <c r="G440" s="17" t="n">
        <f aca="false">IF(A440="","",E440-N(F440))</f>
        <v>190</v>
      </c>
      <c r="H440" s="13" t="n">
        <v>190</v>
      </c>
      <c r="I440" s="17" t="n">
        <f aca="false">IF(A440="","",SUMIFS(Due_Payments!$C$2:$C$1001,Due_Payments!$B$2:$B$1001,A440))</f>
        <v>0</v>
      </c>
      <c r="J440" s="17" t="n">
        <f aca="false">IF(A440="","",G440-N(H440)-I440)</f>
        <v>0</v>
      </c>
      <c r="K440" s="7" t="s">
        <v>13</v>
      </c>
      <c r="L440" s="7" t="s">
        <v>342</v>
      </c>
      <c r="M440" s="7"/>
    </row>
    <row r="441" customFormat="false" ht="15" hidden="false" customHeight="true" outlineLevel="0" collapsed="false">
      <c r="A441" s="7" t="s">
        <v>871</v>
      </c>
      <c r="B441" s="15" t="n">
        <v>46291</v>
      </c>
      <c r="C441" s="7" t="s">
        <v>206</v>
      </c>
      <c r="D441" s="7" t="s">
        <v>207</v>
      </c>
      <c r="E441" s="17" t="n">
        <f aca="false">IF(A441="","",SUMIFS(Sales_Items!$H$2:$H$3001,Sales_Items!$A$2:$A$3001,A441))</f>
        <v>790</v>
      </c>
      <c r="F441" s="13" t="n">
        <v>0</v>
      </c>
      <c r="G441" s="17" t="n">
        <f aca="false">IF(A441="","",E441-N(F441))</f>
        <v>790</v>
      </c>
      <c r="H441" s="13" t="n">
        <v>790</v>
      </c>
      <c r="I441" s="17" t="n">
        <f aca="false">IF(A441="","",SUMIFS(Due_Payments!$C$2:$C$1001,Due_Payments!$B$2:$B$1001,A441))</f>
        <v>0</v>
      </c>
      <c r="J441" s="17" t="n">
        <f aca="false">IF(A441="","",G441-N(H441)-I441)</f>
        <v>0</v>
      </c>
      <c r="K441" s="7" t="s">
        <v>13</v>
      </c>
      <c r="L441" s="7" t="s">
        <v>393</v>
      </c>
      <c r="M441" s="7"/>
    </row>
    <row r="442" customFormat="false" ht="15" hidden="false" customHeight="true" outlineLevel="0" collapsed="false">
      <c r="A442" s="7" t="s">
        <v>872</v>
      </c>
      <c r="B442" s="15" t="n">
        <v>46291</v>
      </c>
      <c r="C442" s="7" t="s">
        <v>275</v>
      </c>
      <c r="D442" s="7" t="s">
        <v>276</v>
      </c>
      <c r="E442" s="17" t="n">
        <f aca="false">IF(A442="","",SUMIFS(Sales_Items!$H$2:$H$3001,Sales_Items!$A$2:$A$3001,A442))</f>
        <v>780</v>
      </c>
      <c r="F442" s="13" t="n">
        <v>20</v>
      </c>
      <c r="G442" s="17" t="n">
        <f aca="false">IF(A442="","",E442-N(F442))</f>
        <v>760</v>
      </c>
      <c r="H442" s="13" t="n">
        <v>760</v>
      </c>
      <c r="I442" s="17" t="n">
        <f aca="false">IF(A442="","",SUMIFS(Due_Payments!$C$2:$C$1001,Due_Payments!$B$2:$B$1001,A442))</f>
        <v>0</v>
      </c>
      <c r="J442" s="17" t="n">
        <f aca="false">IF(A442="","",G442-N(H442)-I442)</f>
        <v>0</v>
      </c>
      <c r="K442" s="7" t="s">
        <v>13</v>
      </c>
      <c r="L442" s="7" t="s">
        <v>517</v>
      </c>
      <c r="M442" s="7"/>
    </row>
    <row r="443" customFormat="false" ht="15" hidden="false" customHeight="true" outlineLevel="0" collapsed="false">
      <c r="A443" s="7" t="s">
        <v>873</v>
      </c>
      <c r="B443" s="15" t="n">
        <v>46291</v>
      </c>
      <c r="C443" s="7" t="s">
        <v>378</v>
      </c>
      <c r="D443" s="7" t="s">
        <v>379</v>
      </c>
      <c r="E443" s="17" t="n">
        <f aca="false">IF(A443="","",SUMIFS(Sales_Items!$H$2:$H$3001,Sales_Items!$A$2:$A$3001,A443))</f>
        <v>860</v>
      </c>
      <c r="F443" s="13" t="n">
        <v>0</v>
      </c>
      <c r="G443" s="17" t="n">
        <f aca="false">IF(A443="","",E443-N(F443))</f>
        <v>860</v>
      </c>
      <c r="H443" s="13" t="n">
        <v>860</v>
      </c>
      <c r="I443" s="17" t="n">
        <f aca="false">IF(A443="","",SUMIFS(Due_Payments!$C$2:$C$1001,Due_Payments!$B$2:$B$1001,A443))</f>
        <v>0</v>
      </c>
      <c r="J443" s="17" t="n">
        <f aca="false">IF(A443="","",G443-N(H443)-I443)</f>
        <v>0</v>
      </c>
      <c r="K443" s="7" t="s">
        <v>13</v>
      </c>
      <c r="L443" s="7" t="s">
        <v>277</v>
      </c>
      <c r="M443" s="7"/>
    </row>
    <row r="444" customFormat="false" ht="15" hidden="false" customHeight="true" outlineLevel="0" collapsed="false">
      <c r="A444" s="7" t="s">
        <v>874</v>
      </c>
      <c r="B444" s="15" t="n">
        <v>46292</v>
      </c>
      <c r="C444" s="7" t="s">
        <v>293</v>
      </c>
      <c r="D444" s="7" t="s">
        <v>294</v>
      </c>
      <c r="E444" s="17" t="n">
        <f aca="false">IF(A444="","",SUMIFS(Sales_Items!$H$2:$H$3001,Sales_Items!$A$2:$A$3001,A444))</f>
        <v>520</v>
      </c>
      <c r="F444" s="13" t="n">
        <v>20</v>
      </c>
      <c r="G444" s="17" t="n">
        <f aca="false">IF(A444="","",E444-N(F444))</f>
        <v>500</v>
      </c>
      <c r="H444" s="13" t="n">
        <v>500</v>
      </c>
      <c r="I444" s="17" t="n">
        <f aca="false">IF(A444="","",SUMIFS(Due_Payments!$C$2:$C$1001,Due_Payments!$B$2:$B$1001,A444))</f>
        <v>0</v>
      </c>
      <c r="J444" s="17" t="n">
        <f aca="false">IF(A444="","",G444-N(H444)-I444)</f>
        <v>0</v>
      </c>
      <c r="K444" s="7" t="s">
        <v>21</v>
      </c>
      <c r="L444" s="7" t="s">
        <v>687</v>
      </c>
      <c r="M444" s="7"/>
    </row>
    <row r="445" customFormat="false" ht="15" hidden="false" customHeight="true" outlineLevel="0" collapsed="false">
      <c r="A445" s="7" t="s">
        <v>875</v>
      </c>
      <c r="B445" s="15" t="n">
        <v>46292</v>
      </c>
      <c r="C445" s="7" t="s">
        <v>249</v>
      </c>
      <c r="D445" s="7" t="s">
        <v>250</v>
      </c>
      <c r="E445" s="17" t="n">
        <f aca="false">IF(A445="","",SUMIFS(Sales_Items!$H$2:$H$3001,Sales_Items!$A$2:$A$3001,A445))</f>
        <v>1710</v>
      </c>
      <c r="F445" s="13" t="n">
        <v>0</v>
      </c>
      <c r="G445" s="17" t="n">
        <f aca="false">IF(A445="","",E445-N(F445))</f>
        <v>1710</v>
      </c>
      <c r="H445" s="13" t="n">
        <v>1710</v>
      </c>
      <c r="I445" s="17" t="n">
        <f aca="false">IF(A445="","",SUMIFS(Due_Payments!$C$2:$C$1001,Due_Payments!$B$2:$B$1001,A445))</f>
        <v>0</v>
      </c>
      <c r="J445" s="17" t="n">
        <f aca="false">IF(A445="","",G445-N(H445)-I445)</f>
        <v>0</v>
      </c>
      <c r="K445" s="7" t="s">
        <v>13</v>
      </c>
      <c r="L445" s="7" t="s">
        <v>876</v>
      </c>
      <c r="M445" s="7"/>
    </row>
    <row r="446" customFormat="false" ht="15" hidden="false" customHeight="true" outlineLevel="0" collapsed="false">
      <c r="A446" s="7" t="s">
        <v>877</v>
      </c>
      <c r="B446" s="15" t="n">
        <v>46292</v>
      </c>
      <c r="C446" s="7" t="s">
        <v>256</v>
      </c>
      <c r="D446" s="7" t="s">
        <v>257</v>
      </c>
      <c r="E446" s="17" t="n">
        <f aca="false">IF(A446="","",SUMIFS(Sales_Items!$H$2:$H$3001,Sales_Items!$A$2:$A$3001,A446))</f>
        <v>780</v>
      </c>
      <c r="F446" s="13" t="n">
        <v>0</v>
      </c>
      <c r="G446" s="17" t="n">
        <f aca="false">IF(A446="","",E446-N(F446))</f>
        <v>780</v>
      </c>
      <c r="H446" s="13" t="n">
        <v>780</v>
      </c>
      <c r="I446" s="17" t="n">
        <f aca="false">IF(A446="","",SUMIFS(Due_Payments!$C$2:$C$1001,Due_Payments!$B$2:$B$1001,A446))</f>
        <v>0</v>
      </c>
      <c r="J446" s="17" t="n">
        <f aca="false">IF(A446="","",G446-N(H446)-I446)</f>
        <v>0</v>
      </c>
      <c r="K446" s="7" t="s">
        <v>13</v>
      </c>
      <c r="L446" s="7" t="s">
        <v>309</v>
      </c>
      <c r="M446" s="7"/>
    </row>
    <row r="447" customFormat="false" ht="15" hidden="false" customHeight="true" outlineLevel="0" collapsed="false">
      <c r="A447" s="7" t="s">
        <v>878</v>
      </c>
      <c r="B447" s="15" t="n">
        <v>46292</v>
      </c>
      <c r="C447" s="7" t="s">
        <v>263</v>
      </c>
      <c r="D447" s="7" t="s">
        <v>264</v>
      </c>
      <c r="E447" s="17" t="n">
        <f aca="false">IF(A447="","",SUMIFS(Sales_Items!$H$2:$H$3001,Sales_Items!$A$2:$A$3001,A447))</f>
        <v>820</v>
      </c>
      <c r="F447" s="13" t="n">
        <v>0</v>
      </c>
      <c r="G447" s="17" t="n">
        <f aca="false">IF(A447="","",E447-N(F447))</f>
        <v>820</v>
      </c>
      <c r="H447" s="13" t="n">
        <v>820</v>
      </c>
      <c r="I447" s="17" t="n">
        <f aca="false">IF(A447="","",SUMIFS(Due_Payments!$C$2:$C$1001,Due_Payments!$B$2:$B$1001,A447))</f>
        <v>0</v>
      </c>
      <c r="J447" s="17" t="n">
        <f aca="false">IF(A447="","",G447-N(H447)-I447)</f>
        <v>0</v>
      </c>
      <c r="K447" s="7" t="s">
        <v>21</v>
      </c>
      <c r="L447" s="7" t="s">
        <v>529</v>
      </c>
      <c r="M447" s="7"/>
    </row>
    <row r="448" customFormat="false" ht="15" hidden="false" customHeight="true" outlineLevel="0" collapsed="false">
      <c r="A448" s="7" t="s">
        <v>879</v>
      </c>
      <c r="B448" s="15" t="n">
        <v>46292</v>
      </c>
      <c r="C448" s="7" t="s">
        <v>378</v>
      </c>
      <c r="D448" s="7" t="s">
        <v>379</v>
      </c>
      <c r="E448" s="17" t="n">
        <f aca="false">IF(A448="","",SUMIFS(Sales_Items!$H$2:$H$3001,Sales_Items!$A$2:$A$3001,A448))</f>
        <v>3410</v>
      </c>
      <c r="F448" s="13" t="n">
        <v>0</v>
      </c>
      <c r="G448" s="17" t="n">
        <f aca="false">IF(A448="","",E448-N(F448))</f>
        <v>3410</v>
      </c>
      <c r="H448" s="13" t="n">
        <v>3410</v>
      </c>
      <c r="I448" s="17" t="n">
        <f aca="false">IF(A448="","",SUMIFS(Due_Payments!$C$2:$C$1001,Due_Payments!$B$2:$B$1001,A448))</f>
        <v>0</v>
      </c>
      <c r="J448" s="17" t="n">
        <f aca="false">IF(A448="","",G448-N(H448)-I448)</f>
        <v>0</v>
      </c>
      <c r="K448" s="7" t="s">
        <v>13</v>
      </c>
      <c r="L448" s="7" t="s">
        <v>787</v>
      </c>
      <c r="M448" s="7"/>
    </row>
    <row r="449" customFormat="false" ht="15" hidden="false" customHeight="true" outlineLevel="0" collapsed="false">
      <c r="A449" s="7" t="s">
        <v>880</v>
      </c>
      <c r="B449" s="15" t="n">
        <v>46292</v>
      </c>
      <c r="C449" s="7" t="s">
        <v>350</v>
      </c>
      <c r="D449" s="7" t="s">
        <v>351</v>
      </c>
      <c r="E449" s="17" t="n">
        <f aca="false">IF(A449="","",SUMIFS(Sales_Items!$H$2:$H$3001,Sales_Items!$A$2:$A$3001,A449))</f>
        <v>480</v>
      </c>
      <c r="F449" s="13" t="n">
        <v>100</v>
      </c>
      <c r="G449" s="17" t="n">
        <f aca="false">IF(A449="","",E449-N(F449))</f>
        <v>380</v>
      </c>
      <c r="H449" s="13" t="n">
        <v>0</v>
      </c>
      <c r="I449" s="17" t="n">
        <f aca="false">IF(A449="","",SUMIFS(Due_Payments!$C$2:$C$1001,Due_Payments!$B$2:$B$1001,A449))</f>
        <v>380</v>
      </c>
      <c r="J449" s="17" t="n">
        <f aca="false">IF(A449="","",G449-N(H449)-I449)</f>
        <v>0</v>
      </c>
      <c r="K449" s="7" t="s">
        <v>21</v>
      </c>
      <c r="L449" s="7" t="s">
        <v>223</v>
      </c>
      <c r="M449" s="7"/>
    </row>
    <row r="450" customFormat="false" ht="15" hidden="false" customHeight="true" outlineLevel="0" collapsed="false">
      <c r="A450" s="7" t="s">
        <v>881</v>
      </c>
      <c r="B450" s="15" t="n">
        <v>46292</v>
      </c>
      <c r="C450" s="7" t="s">
        <v>213</v>
      </c>
      <c r="D450" s="7" t="s">
        <v>214</v>
      </c>
      <c r="E450" s="17" t="n">
        <f aca="false">IF(A450="","",SUMIFS(Sales_Items!$H$2:$H$3001,Sales_Items!$A$2:$A$3001,A450))</f>
        <v>270</v>
      </c>
      <c r="F450" s="13" t="n">
        <v>50</v>
      </c>
      <c r="G450" s="17" t="n">
        <f aca="false">IF(A450="","",E450-N(F450))</f>
        <v>220</v>
      </c>
      <c r="H450" s="13" t="n">
        <v>220</v>
      </c>
      <c r="I450" s="17" t="n">
        <f aca="false">IF(A450="","",SUMIFS(Due_Payments!$C$2:$C$1001,Due_Payments!$B$2:$B$1001,A450))</f>
        <v>0</v>
      </c>
      <c r="J450" s="17" t="n">
        <f aca="false">IF(A450="","",G450-N(H450)-I450)</f>
        <v>0</v>
      </c>
      <c r="K450" s="7" t="s">
        <v>21</v>
      </c>
      <c r="L450" s="7" t="s">
        <v>882</v>
      </c>
      <c r="M450" s="7"/>
    </row>
    <row r="451" customFormat="false" ht="15" hidden="false" customHeight="true" outlineLevel="0" collapsed="false">
      <c r="A451" s="7" t="s">
        <v>883</v>
      </c>
      <c r="B451" s="15" t="n">
        <v>46292</v>
      </c>
      <c r="C451" s="7" t="s">
        <v>202</v>
      </c>
      <c r="D451" s="7" t="s">
        <v>203</v>
      </c>
      <c r="E451" s="17" t="n">
        <f aca="false">IF(A451="","",SUMIFS(Sales_Items!$H$2:$H$3001,Sales_Items!$A$2:$A$3001,A451))</f>
        <v>380</v>
      </c>
      <c r="F451" s="13" t="n">
        <v>0</v>
      </c>
      <c r="G451" s="17" t="n">
        <f aca="false">IF(A451="","",E451-N(F451))</f>
        <v>380</v>
      </c>
      <c r="H451" s="13" t="n">
        <v>380</v>
      </c>
      <c r="I451" s="17" t="n">
        <f aca="false">IF(A451="","",SUMIFS(Due_Payments!$C$2:$C$1001,Due_Payments!$B$2:$B$1001,A451))</f>
        <v>0</v>
      </c>
      <c r="J451" s="17" t="n">
        <f aca="false">IF(A451="","",G451-N(H451)-I451)</f>
        <v>0</v>
      </c>
      <c r="K451" s="7" t="s">
        <v>21</v>
      </c>
      <c r="L451" s="7" t="s">
        <v>223</v>
      </c>
      <c r="M451" s="7"/>
    </row>
    <row r="452" customFormat="false" ht="15" hidden="false" customHeight="true" outlineLevel="0" collapsed="false">
      <c r="A452" s="7" t="s">
        <v>884</v>
      </c>
      <c r="B452" s="15" t="n">
        <v>46292</v>
      </c>
      <c r="C452" s="7" t="s">
        <v>282</v>
      </c>
      <c r="D452" s="7" t="s">
        <v>283</v>
      </c>
      <c r="E452" s="17" t="n">
        <f aca="false">IF(A452="","",SUMIFS(Sales_Items!$H$2:$H$3001,Sales_Items!$A$2:$A$3001,A452))</f>
        <v>910</v>
      </c>
      <c r="F452" s="13" t="n">
        <v>100</v>
      </c>
      <c r="G452" s="17" t="n">
        <f aca="false">IF(A452="","",E452-N(F452))</f>
        <v>810</v>
      </c>
      <c r="H452" s="13" t="n">
        <v>330</v>
      </c>
      <c r="I452" s="17" t="n">
        <f aca="false">IF(A452="","",SUMIFS(Due_Payments!$C$2:$C$1001,Due_Payments!$B$2:$B$1001,A452))</f>
        <v>240</v>
      </c>
      <c r="J452" s="17" t="n">
        <f aca="false">IF(A452="","",G452-N(H452)-I452)</f>
        <v>240</v>
      </c>
      <c r="K452" s="7" t="s">
        <v>13</v>
      </c>
      <c r="L452" s="7" t="s">
        <v>233</v>
      </c>
      <c r="M452" s="7"/>
    </row>
    <row r="453" customFormat="false" ht="15" hidden="false" customHeight="true" outlineLevel="0" collapsed="false">
      <c r="A453" s="7" t="s">
        <v>885</v>
      </c>
      <c r="B453" s="15" t="n">
        <v>46292</v>
      </c>
      <c r="C453" s="7" t="s">
        <v>221</v>
      </c>
      <c r="D453" s="7" t="s">
        <v>222</v>
      </c>
      <c r="E453" s="17" t="n">
        <f aca="false">IF(A453="","",SUMIFS(Sales_Items!$H$2:$H$3001,Sales_Items!$A$2:$A$3001,A453))</f>
        <v>840</v>
      </c>
      <c r="F453" s="13" t="n">
        <v>0</v>
      </c>
      <c r="G453" s="17" t="n">
        <f aca="false">IF(A453="","",E453-N(F453))</f>
        <v>840</v>
      </c>
      <c r="H453" s="13" t="n">
        <v>0</v>
      </c>
      <c r="I453" s="17" t="n">
        <f aca="false">IF(A453="","",SUMIFS(Due_Payments!$C$2:$C$1001,Due_Payments!$B$2:$B$1001,A453))</f>
        <v>840</v>
      </c>
      <c r="J453" s="17" t="n">
        <f aca="false">IF(A453="","",G453-N(H453)-I453)</f>
        <v>0</v>
      </c>
      <c r="K453" s="7" t="s">
        <v>29</v>
      </c>
      <c r="L453" s="7" t="s">
        <v>243</v>
      </c>
      <c r="M453" s="7"/>
    </row>
    <row r="454" customFormat="false" ht="15" hidden="false" customHeight="true" outlineLevel="0" collapsed="false">
      <c r="A454" s="7" t="s">
        <v>886</v>
      </c>
      <c r="B454" s="15" t="n">
        <v>46292</v>
      </c>
      <c r="C454" s="7" t="s">
        <v>329</v>
      </c>
      <c r="D454" s="7" t="s">
        <v>330</v>
      </c>
      <c r="E454" s="17" t="n">
        <f aca="false">IF(A454="","",SUMIFS(Sales_Items!$H$2:$H$3001,Sales_Items!$A$2:$A$3001,A454))</f>
        <v>2350</v>
      </c>
      <c r="F454" s="13" t="n">
        <v>0</v>
      </c>
      <c r="G454" s="17" t="n">
        <f aca="false">IF(A454="","",E454-N(F454))</f>
        <v>2350</v>
      </c>
      <c r="H454" s="13" t="n">
        <v>2350</v>
      </c>
      <c r="I454" s="17" t="n">
        <f aca="false">IF(A454="","",SUMIFS(Due_Payments!$C$2:$C$1001,Due_Payments!$B$2:$B$1001,A454))</f>
        <v>0</v>
      </c>
      <c r="J454" s="17" t="n">
        <f aca="false">IF(A454="","",G454-N(H454)-I454)</f>
        <v>0</v>
      </c>
      <c r="K454" s="7" t="s">
        <v>13</v>
      </c>
      <c r="L454" s="7" t="s">
        <v>227</v>
      </c>
      <c r="M454" s="7"/>
    </row>
    <row r="455" customFormat="false" ht="15" hidden="false" customHeight="true" outlineLevel="0" collapsed="false">
      <c r="A455" s="7" t="s">
        <v>887</v>
      </c>
      <c r="B455" s="15" t="n">
        <v>46293</v>
      </c>
      <c r="C455" s="7" t="s">
        <v>275</v>
      </c>
      <c r="D455" s="7" t="s">
        <v>276</v>
      </c>
      <c r="E455" s="17" t="n">
        <f aca="false">IF(A455="","",SUMIFS(Sales_Items!$H$2:$H$3001,Sales_Items!$A$2:$A$3001,A455))</f>
        <v>840</v>
      </c>
      <c r="F455" s="13" t="n">
        <v>0</v>
      </c>
      <c r="G455" s="17" t="n">
        <f aca="false">IF(A455="","",E455-N(F455))</f>
        <v>840</v>
      </c>
      <c r="H455" s="13" t="n">
        <v>840</v>
      </c>
      <c r="I455" s="17" t="n">
        <f aca="false">IF(A455="","",SUMIFS(Due_Payments!$C$2:$C$1001,Due_Payments!$B$2:$B$1001,A455))</f>
        <v>0</v>
      </c>
      <c r="J455" s="17" t="n">
        <f aca="false">IF(A455="","",G455-N(H455)-I455)</f>
        <v>0</v>
      </c>
      <c r="K455" s="7" t="s">
        <v>13</v>
      </c>
      <c r="L455" s="7" t="s">
        <v>243</v>
      </c>
      <c r="M455" s="7"/>
    </row>
    <row r="456" customFormat="false" ht="15" hidden="false" customHeight="true" outlineLevel="0" collapsed="false">
      <c r="A456" s="7" t="s">
        <v>888</v>
      </c>
      <c r="B456" s="15" t="n">
        <v>46293</v>
      </c>
      <c r="C456" s="7" t="s">
        <v>369</v>
      </c>
      <c r="D456" s="7" t="s">
        <v>370</v>
      </c>
      <c r="E456" s="17" t="n">
        <f aca="false">IF(A456="","",SUMIFS(Sales_Items!$H$2:$H$3001,Sales_Items!$A$2:$A$3001,A456))</f>
        <v>820</v>
      </c>
      <c r="F456" s="13" t="n">
        <v>0</v>
      </c>
      <c r="G456" s="17" t="n">
        <f aca="false">IF(A456="","",E456-N(F456))</f>
        <v>820</v>
      </c>
      <c r="H456" s="13" t="n">
        <v>820</v>
      </c>
      <c r="I456" s="17" t="n">
        <f aca="false">IF(A456="","",SUMIFS(Due_Payments!$C$2:$C$1001,Due_Payments!$B$2:$B$1001,A456))</f>
        <v>0</v>
      </c>
      <c r="J456" s="17" t="n">
        <f aca="false">IF(A456="","",G456-N(H456)-I456)</f>
        <v>0</v>
      </c>
      <c r="K456" s="7" t="s">
        <v>13</v>
      </c>
      <c r="L456" s="7" t="s">
        <v>529</v>
      </c>
      <c r="M456" s="7"/>
    </row>
    <row r="457" customFormat="false" ht="15" hidden="false" customHeight="true" outlineLevel="0" collapsed="false">
      <c r="A457" s="7" t="s">
        <v>889</v>
      </c>
      <c r="B457" s="15" t="n">
        <v>46293</v>
      </c>
      <c r="C457" s="7" t="s">
        <v>198</v>
      </c>
      <c r="D457" s="7" t="s">
        <v>199</v>
      </c>
      <c r="E457" s="17" t="n">
        <f aca="false">IF(A457="","",SUMIFS(Sales_Items!$H$2:$H$3001,Sales_Items!$A$2:$A$3001,A457))</f>
        <v>680</v>
      </c>
      <c r="F457" s="13" t="n">
        <v>0</v>
      </c>
      <c r="G457" s="17" t="n">
        <f aca="false">IF(A457="","",E457-N(F457))</f>
        <v>680</v>
      </c>
      <c r="H457" s="13" t="n">
        <v>680</v>
      </c>
      <c r="I457" s="17" t="n">
        <f aca="false">IF(A457="","",SUMIFS(Due_Payments!$C$2:$C$1001,Due_Payments!$B$2:$B$1001,A457))</f>
        <v>0</v>
      </c>
      <c r="J457" s="17" t="n">
        <f aca="false">IF(A457="","",G457-N(H457)-I457)</f>
        <v>0</v>
      </c>
      <c r="K457" s="7" t="s">
        <v>13</v>
      </c>
      <c r="L457" s="7" t="s">
        <v>239</v>
      </c>
      <c r="M457" s="7"/>
    </row>
    <row r="458" customFormat="false" ht="15" hidden="false" customHeight="true" outlineLevel="0" collapsed="false">
      <c r="A458" s="7" t="s">
        <v>890</v>
      </c>
      <c r="B458" s="15" t="n">
        <v>46293</v>
      </c>
      <c r="C458" s="7" t="s">
        <v>221</v>
      </c>
      <c r="D458" s="7" t="s">
        <v>222</v>
      </c>
      <c r="E458" s="17" t="n">
        <f aca="false">IF(A458="","",SUMIFS(Sales_Items!$H$2:$H$3001,Sales_Items!$A$2:$A$3001,A458))</f>
        <v>2760</v>
      </c>
      <c r="F458" s="13" t="n">
        <v>0</v>
      </c>
      <c r="G458" s="17" t="n">
        <f aca="false">IF(A458="","",E458-N(F458))</f>
        <v>2760</v>
      </c>
      <c r="H458" s="13" t="n">
        <v>2760</v>
      </c>
      <c r="I458" s="17" t="n">
        <f aca="false">IF(A458="","",SUMIFS(Due_Payments!$C$2:$C$1001,Due_Payments!$B$2:$B$1001,A458))</f>
        <v>0</v>
      </c>
      <c r="J458" s="17" t="n">
        <f aca="false">IF(A458="","",G458-N(H458)-I458)</f>
        <v>0</v>
      </c>
      <c r="K458" s="7" t="s">
        <v>13</v>
      </c>
      <c r="L458" s="7" t="s">
        <v>891</v>
      </c>
      <c r="M458" s="7"/>
    </row>
    <row r="459" customFormat="false" ht="15" hidden="false" customHeight="true" outlineLevel="0" collapsed="false">
      <c r="A459" s="7" t="s">
        <v>892</v>
      </c>
      <c r="B459" s="15" t="n">
        <v>46293</v>
      </c>
      <c r="C459" s="7" t="s">
        <v>259</v>
      </c>
      <c r="D459" s="7" t="s">
        <v>260</v>
      </c>
      <c r="E459" s="17" t="n">
        <f aca="false">IF(A459="","",SUMIFS(Sales_Items!$H$2:$H$3001,Sales_Items!$A$2:$A$3001,A459))</f>
        <v>530</v>
      </c>
      <c r="F459" s="13" t="n">
        <v>0</v>
      </c>
      <c r="G459" s="17" t="n">
        <f aca="false">IF(A459="","",E459-N(F459))</f>
        <v>530</v>
      </c>
      <c r="H459" s="13" t="n">
        <v>530</v>
      </c>
      <c r="I459" s="17" t="n">
        <f aca="false">IF(A459="","",SUMIFS(Due_Payments!$C$2:$C$1001,Due_Payments!$B$2:$B$1001,A459))</f>
        <v>0</v>
      </c>
      <c r="J459" s="17" t="n">
        <f aca="false">IF(A459="","",G459-N(H459)-I459)</f>
        <v>0</v>
      </c>
      <c r="K459" s="7" t="s">
        <v>13</v>
      </c>
      <c r="L459" s="7" t="s">
        <v>484</v>
      </c>
      <c r="M459" s="7"/>
    </row>
    <row r="460" customFormat="false" ht="15" hidden="false" customHeight="true" outlineLevel="0" collapsed="false">
      <c r="A460" s="7" t="s">
        <v>893</v>
      </c>
      <c r="B460" s="15" t="n">
        <v>46293</v>
      </c>
      <c r="C460" s="7" t="s">
        <v>213</v>
      </c>
      <c r="D460" s="7" t="s">
        <v>214</v>
      </c>
      <c r="E460" s="17" t="n">
        <f aca="false">IF(A460="","",SUMIFS(Sales_Items!$H$2:$H$3001,Sales_Items!$A$2:$A$3001,A460))</f>
        <v>960</v>
      </c>
      <c r="F460" s="13" t="n">
        <v>50</v>
      </c>
      <c r="G460" s="17" t="n">
        <f aca="false">IF(A460="","",E460-N(F460))</f>
        <v>910</v>
      </c>
      <c r="H460" s="13" t="n">
        <v>910</v>
      </c>
      <c r="I460" s="17" t="n">
        <f aca="false">IF(A460="","",SUMIFS(Due_Payments!$C$2:$C$1001,Due_Payments!$B$2:$B$1001,A460))</f>
        <v>0</v>
      </c>
      <c r="J460" s="17" t="n">
        <f aca="false">IF(A460="","",G460-N(H460)-I460)</f>
        <v>0</v>
      </c>
      <c r="K460" s="7" t="s">
        <v>29</v>
      </c>
      <c r="L460" s="7" t="s">
        <v>675</v>
      </c>
      <c r="M460" s="7"/>
    </row>
    <row r="461" customFormat="false" ht="15" hidden="false" customHeight="true" outlineLevel="0" collapsed="false">
      <c r="A461" s="7" t="s">
        <v>894</v>
      </c>
      <c r="B461" s="15" t="n">
        <v>46293</v>
      </c>
      <c r="C461" s="7" t="s">
        <v>350</v>
      </c>
      <c r="D461" s="7" t="s">
        <v>351</v>
      </c>
      <c r="E461" s="17" t="n">
        <f aca="false">IF(A461="","",SUMIFS(Sales_Items!$H$2:$H$3001,Sales_Items!$A$2:$A$3001,A461))</f>
        <v>1020</v>
      </c>
      <c r="F461" s="13" t="n">
        <v>0</v>
      </c>
      <c r="G461" s="17" t="n">
        <f aca="false">IF(A461="","",E461-N(F461))</f>
        <v>1020</v>
      </c>
      <c r="H461" s="13" t="n">
        <v>1020</v>
      </c>
      <c r="I461" s="17" t="n">
        <f aca="false">IF(A461="","",SUMIFS(Due_Payments!$C$2:$C$1001,Due_Payments!$B$2:$B$1001,A461))</f>
        <v>0</v>
      </c>
      <c r="J461" s="17" t="n">
        <f aca="false">IF(A461="","",G461-N(H461)-I461)</f>
        <v>0</v>
      </c>
      <c r="K461" s="7" t="s">
        <v>13</v>
      </c>
      <c r="L461" s="7" t="s">
        <v>493</v>
      </c>
      <c r="M461" s="7"/>
    </row>
    <row r="462" customFormat="false" ht="15" hidden="false" customHeight="true" outlineLevel="0" collapsed="false">
      <c r="A462" s="7" t="s">
        <v>895</v>
      </c>
      <c r="B462" s="15" t="n">
        <v>46293</v>
      </c>
      <c r="C462" s="7" t="s">
        <v>293</v>
      </c>
      <c r="D462" s="7" t="s">
        <v>294</v>
      </c>
      <c r="E462" s="17" t="n">
        <f aca="false">IF(A462="","",SUMIFS(Sales_Items!$H$2:$H$3001,Sales_Items!$A$2:$A$3001,A462))</f>
        <v>2240</v>
      </c>
      <c r="F462" s="13" t="n">
        <v>70</v>
      </c>
      <c r="G462" s="17" t="n">
        <f aca="false">IF(A462="","",E462-N(F462))</f>
        <v>2170</v>
      </c>
      <c r="H462" s="13" t="n">
        <v>0</v>
      </c>
      <c r="I462" s="17" t="n">
        <f aca="false">IF(A462="","",SUMIFS(Due_Payments!$C$2:$C$1001,Due_Payments!$B$2:$B$1001,A462))</f>
        <v>0</v>
      </c>
      <c r="J462" s="17" t="n">
        <f aca="false">IF(A462="","",G462-N(H462)-I462)</f>
        <v>2170</v>
      </c>
      <c r="K462" s="7" t="s">
        <v>21</v>
      </c>
      <c r="L462" s="7" t="s">
        <v>896</v>
      </c>
      <c r="M462" s="7"/>
    </row>
    <row r="463" customFormat="false" ht="15" hidden="false" customHeight="true" outlineLevel="0" collapsed="false">
      <c r="A463" s="7" t="s">
        <v>897</v>
      </c>
      <c r="B463" s="15" t="n">
        <v>46293</v>
      </c>
      <c r="C463" s="7" t="s">
        <v>241</v>
      </c>
      <c r="D463" s="7" t="s">
        <v>242</v>
      </c>
      <c r="E463" s="17" t="n">
        <f aca="false">IF(A463="","",SUMIFS(Sales_Items!$H$2:$H$3001,Sales_Items!$A$2:$A$3001,A463))</f>
        <v>1890</v>
      </c>
      <c r="F463" s="13" t="n">
        <v>60</v>
      </c>
      <c r="G463" s="17" t="n">
        <f aca="false">IF(A463="","",E463-N(F463))</f>
        <v>1830</v>
      </c>
      <c r="H463" s="13" t="n">
        <v>1830</v>
      </c>
      <c r="I463" s="17" t="n">
        <f aca="false">IF(A463="","",SUMIFS(Due_Payments!$C$2:$C$1001,Due_Payments!$B$2:$B$1001,A463))</f>
        <v>0</v>
      </c>
      <c r="J463" s="17" t="n">
        <f aca="false">IF(A463="","",G463-N(H463)-I463)</f>
        <v>0</v>
      </c>
      <c r="K463" s="7" t="s">
        <v>21</v>
      </c>
      <c r="L463" s="7" t="s">
        <v>504</v>
      </c>
      <c r="M463" s="7"/>
    </row>
    <row r="464" customFormat="false" ht="15" hidden="false" customHeight="true" outlineLevel="0" collapsed="false">
      <c r="A464" s="7" t="s">
        <v>898</v>
      </c>
      <c r="B464" s="15" t="n">
        <v>46294</v>
      </c>
      <c r="C464" s="7" t="s">
        <v>293</v>
      </c>
      <c r="D464" s="7" t="s">
        <v>294</v>
      </c>
      <c r="E464" s="17" t="n">
        <f aca="false">IF(A464="","",SUMIFS(Sales_Items!$H$2:$H$3001,Sales_Items!$A$2:$A$3001,A464))</f>
        <v>240</v>
      </c>
      <c r="F464" s="13" t="n">
        <v>0</v>
      </c>
      <c r="G464" s="17" t="n">
        <f aca="false">IF(A464="","",E464-N(F464))</f>
        <v>240</v>
      </c>
      <c r="H464" s="13" t="n">
        <v>240</v>
      </c>
      <c r="I464" s="17" t="n">
        <f aca="false">IF(A464="","",SUMIFS(Due_Payments!$C$2:$C$1001,Due_Payments!$B$2:$B$1001,A464))</f>
        <v>0</v>
      </c>
      <c r="J464" s="17" t="n">
        <f aca="false">IF(A464="","",G464-N(H464)-I464)</f>
        <v>0</v>
      </c>
      <c r="K464" s="7" t="s">
        <v>13</v>
      </c>
      <c r="L464" s="7" t="s">
        <v>261</v>
      </c>
      <c r="M464" s="7"/>
    </row>
    <row r="465" customFormat="false" ht="15" hidden="false" customHeight="true" outlineLevel="0" collapsed="false">
      <c r="A465" s="7" t="s">
        <v>899</v>
      </c>
      <c r="B465" s="15" t="n">
        <v>46294</v>
      </c>
      <c r="C465" s="7" t="s">
        <v>259</v>
      </c>
      <c r="D465" s="7" t="s">
        <v>260</v>
      </c>
      <c r="E465" s="17" t="n">
        <f aca="false">IF(A465="","",SUMIFS(Sales_Items!$H$2:$H$3001,Sales_Items!$A$2:$A$3001,A465))</f>
        <v>380</v>
      </c>
      <c r="F465" s="13" t="n">
        <v>0</v>
      </c>
      <c r="G465" s="17" t="n">
        <f aca="false">IF(A465="","",E465-N(F465))</f>
        <v>380</v>
      </c>
      <c r="H465" s="13" t="n">
        <v>380</v>
      </c>
      <c r="I465" s="17" t="n">
        <f aca="false">IF(A465="","",SUMIFS(Due_Payments!$C$2:$C$1001,Due_Payments!$B$2:$B$1001,A465))</f>
        <v>0</v>
      </c>
      <c r="J465" s="17" t="n">
        <f aca="false">IF(A465="","",G465-N(H465)-I465)</f>
        <v>0</v>
      </c>
      <c r="K465" s="7" t="s">
        <v>13</v>
      </c>
      <c r="L465" s="7" t="s">
        <v>223</v>
      </c>
      <c r="M465" s="7"/>
    </row>
    <row r="466" customFormat="false" ht="15" hidden="false" customHeight="true" outlineLevel="0" collapsed="false">
      <c r="A466" s="7" t="s">
        <v>900</v>
      </c>
      <c r="B466" s="15" t="n">
        <v>46294</v>
      </c>
      <c r="C466" s="7" t="s">
        <v>307</v>
      </c>
      <c r="D466" s="7" t="s">
        <v>308</v>
      </c>
      <c r="E466" s="17" t="n">
        <f aca="false">IF(A466="","",SUMIFS(Sales_Items!$H$2:$H$3001,Sales_Items!$A$2:$A$3001,A466))</f>
        <v>520</v>
      </c>
      <c r="F466" s="13" t="n">
        <v>100</v>
      </c>
      <c r="G466" s="17" t="n">
        <f aca="false">IF(A466="","",E466-N(F466))</f>
        <v>420</v>
      </c>
      <c r="H466" s="13" t="n">
        <v>420</v>
      </c>
      <c r="I466" s="17" t="n">
        <f aca="false">IF(A466="","",SUMIFS(Due_Payments!$C$2:$C$1001,Due_Payments!$B$2:$B$1001,A466))</f>
        <v>0</v>
      </c>
      <c r="J466" s="17" t="n">
        <f aca="false">IF(A466="","",G466-N(H466)-I466)</f>
        <v>0</v>
      </c>
      <c r="K466" s="7" t="s">
        <v>13</v>
      </c>
      <c r="L466" s="7" t="s">
        <v>411</v>
      </c>
      <c r="M466" s="7"/>
    </row>
    <row r="467" customFormat="false" ht="15" hidden="false" customHeight="true" outlineLevel="0" collapsed="false">
      <c r="A467" s="7" t="s">
        <v>901</v>
      </c>
      <c r="B467" s="15" t="n">
        <v>46294</v>
      </c>
      <c r="C467" s="7" t="s">
        <v>256</v>
      </c>
      <c r="D467" s="7" t="s">
        <v>257</v>
      </c>
      <c r="E467" s="17" t="n">
        <f aca="false">IF(A467="","",SUMIFS(Sales_Items!$H$2:$H$3001,Sales_Items!$A$2:$A$3001,A467))</f>
        <v>1340</v>
      </c>
      <c r="F467" s="13" t="n">
        <v>0</v>
      </c>
      <c r="G467" s="17" t="n">
        <f aca="false">IF(A467="","",E467-N(F467))</f>
        <v>1340</v>
      </c>
      <c r="H467" s="13" t="n">
        <v>1340</v>
      </c>
      <c r="I467" s="17" t="n">
        <f aca="false">IF(A467="","",SUMIFS(Due_Payments!$C$2:$C$1001,Due_Payments!$B$2:$B$1001,A467))</f>
        <v>0</v>
      </c>
      <c r="J467" s="17" t="n">
        <f aca="false">IF(A467="","",G467-N(H467)-I467)</f>
        <v>0</v>
      </c>
      <c r="K467" s="7" t="s">
        <v>13</v>
      </c>
      <c r="L467" s="7" t="s">
        <v>478</v>
      </c>
      <c r="M467" s="7"/>
    </row>
    <row r="468" customFormat="false" ht="15" hidden="false" customHeight="true" outlineLevel="0" collapsed="false">
      <c r="A468" s="7" t="s">
        <v>902</v>
      </c>
      <c r="B468" s="15" t="n">
        <v>46294</v>
      </c>
      <c r="C468" s="7" t="s">
        <v>202</v>
      </c>
      <c r="D468" s="7" t="s">
        <v>203</v>
      </c>
      <c r="E468" s="17" t="n">
        <f aca="false">IF(A468="","",SUMIFS(Sales_Items!$H$2:$H$3001,Sales_Items!$A$2:$A$3001,A468))</f>
        <v>380</v>
      </c>
      <c r="F468" s="13" t="n">
        <v>0</v>
      </c>
      <c r="G468" s="17" t="n">
        <f aca="false">IF(A468="","",E468-N(F468))</f>
        <v>380</v>
      </c>
      <c r="H468" s="13" t="n">
        <v>380</v>
      </c>
      <c r="I468" s="17" t="n">
        <f aca="false">IF(A468="","",SUMIFS(Due_Payments!$C$2:$C$1001,Due_Payments!$B$2:$B$1001,A468))</f>
        <v>0</v>
      </c>
      <c r="J468" s="17" t="n">
        <f aca="false">IF(A468="","",G468-N(H468)-I468)</f>
        <v>0</v>
      </c>
      <c r="K468" s="7" t="s">
        <v>13</v>
      </c>
      <c r="L468" s="7" t="s">
        <v>223</v>
      </c>
      <c r="M468" s="7"/>
    </row>
    <row r="469" customFormat="false" ht="15" hidden="false" customHeight="true" outlineLevel="0" collapsed="false">
      <c r="A469" s="7" t="s">
        <v>903</v>
      </c>
      <c r="B469" s="15" t="n">
        <v>46294</v>
      </c>
      <c r="C469" s="7" t="s">
        <v>221</v>
      </c>
      <c r="D469" s="7" t="s">
        <v>222</v>
      </c>
      <c r="E469" s="17" t="n">
        <f aca="false">IF(A469="","",SUMIFS(Sales_Items!$H$2:$H$3001,Sales_Items!$A$2:$A$3001,A469))</f>
        <v>620</v>
      </c>
      <c r="F469" s="13" t="n">
        <v>0</v>
      </c>
      <c r="G469" s="17" t="n">
        <f aca="false">IF(A469="","",E469-N(F469))</f>
        <v>620</v>
      </c>
      <c r="H469" s="13" t="n">
        <v>620</v>
      </c>
      <c r="I469" s="17" t="n">
        <f aca="false">IF(A469="","",SUMIFS(Due_Payments!$C$2:$C$1001,Due_Payments!$B$2:$B$1001,A469))</f>
        <v>0</v>
      </c>
      <c r="J469" s="17" t="n">
        <f aca="false">IF(A469="","",G469-N(H469)-I469)</f>
        <v>0</v>
      </c>
      <c r="K469" s="7" t="s">
        <v>13</v>
      </c>
      <c r="L469" s="7" t="s">
        <v>425</v>
      </c>
      <c r="M469" s="7"/>
    </row>
    <row r="470" customFormat="false" ht="15" hidden="false" customHeight="true" outlineLevel="0" collapsed="false">
      <c r="A470" s="7" t="s">
        <v>904</v>
      </c>
      <c r="B470" s="15" t="n">
        <v>46294</v>
      </c>
      <c r="C470" s="7" t="s">
        <v>241</v>
      </c>
      <c r="D470" s="7" t="s">
        <v>242</v>
      </c>
      <c r="E470" s="17" t="n">
        <f aca="false">IF(A470="","",SUMIFS(Sales_Items!$H$2:$H$3001,Sales_Items!$A$2:$A$3001,A470))</f>
        <v>1100</v>
      </c>
      <c r="F470" s="13" t="n">
        <v>0</v>
      </c>
      <c r="G470" s="17" t="n">
        <f aca="false">IF(A470="","",E470-N(F470))</f>
        <v>1100</v>
      </c>
      <c r="H470" s="13" t="n">
        <v>1100</v>
      </c>
      <c r="I470" s="17" t="n">
        <f aca="false">IF(A470="","",SUMIFS(Due_Payments!$C$2:$C$1001,Due_Payments!$B$2:$B$1001,A470))</f>
        <v>0</v>
      </c>
      <c r="J470" s="17" t="n">
        <f aca="false">IF(A470="","",G470-N(H470)-I470)</f>
        <v>0</v>
      </c>
      <c r="K470" s="7" t="s">
        <v>13</v>
      </c>
      <c r="L470" s="7" t="s">
        <v>376</v>
      </c>
      <c r="M470" s="7"/>
    </row>
    <row r="471" customFormat="false" ht="15" hidden="false" customHeight="true" outlineLevel="0" collapsed="false">
      <c r="A471" s="7" t="s">
        <v>905</v>
      </c>
      <c r="B471" s="15" t="n">
        <v>46294</v>
      </c>
      <c r="C471" s="7" t="s">
        <v>206</v>
      </c>
      <c r="D471" s="7" t="s">
        <v>207</v>
      </c>
      <c r="E471" s="17" t="n">
        <f aca="false">IF(A471="","",SUMIFS(Sales_Items!$H$2:$H$3001,Sales_Items!$A$2:$A$3001,A471))</f>
        <v>480</v>
      </c>
      <c r="F471" s="13" t="n">
        <v>0</v>
      </c>
      <c r="G471" s="17" t="n">
        <f aca="false">IF(A471="","",E471-N(F471))</f>
        <v>480</v>
      </c>
      <c r="H471" s="13" t="n">
        <v>480</v>
      </c>
      <c r="I471" s="17" t="n">
        <f aca="false">IF(A471="","",SUMIFS(Due_Payments!$C$2:$C$1001,Due_Payments!$B$2:$B$1001,A471))</f>
        <v>0</v>
      </c>
      <c r="J471" s="17" t="n">
        <f aca="false">IF(A471="","",G471-N(H471)-I471)</f>
        <v>0</v>
      </c>
      <c r="K471" s="7" t="s">
        <v>13</v>
      </c>
      <c r="L471" s="7" t="s">
        <v>254</v>
      </c>
      <c r="M471" s="7"/>
    </row>
    <row r="472" customFormat="false" ht="15" hidden="false" customHeight="true" outlineLevel="0" collapsed="false">
      <c r="A472" s="7" t="s">
        <v>906</v>
      </c>
      <c r="B472" s="15" t="n">
        <v>46294</v>
      </c>
      <c r="C472" s="7" t="s">
        <v>256</v>
      </c>
      <c r="D472" s="7" t="s">
        <v>257</v>
      </c>
      <c r="E472" s="17" t="n">
        <f aca="false">IF(A472="","",SUMIFS(Sales_Items!$H$2:$H$3001,Sales_Items!$A$2:$A$3001,A472))</f>
        <v>280</v>
      </c>
      <c r="F472" s="13" t="n">
        <v>100</v>
      </c>
      <c r="G472" s="17" t="n">
        <f aca="false">IF(A472="","",E472-N(F472))</f>
        <v>180</v>
      </c>
      <c r="H472" s="13" t="n">
        <v>180</v>
      </c>
      <c r="I472" s="17" t="n">
        <f aca="false">IF(A472="","",SUMIFS(Due_Payments!$C$2:$C$1001,Due_Payments!$B$2:$B$1001,A472))</f>
        <v>0</v>
      </c>
      <c r="J472" s="17" t="n">
        <f aca="false">IF(A472="","",G472-N(H472)-I472)</f>
        <v>0</v>
      </c>
      <c r="K472" s="7" t="s">
        <v>13</v>
      </c>
      <c r="L472" s="7" t="s">
        <v>447</v>
      </c>
      <c r="M472" s="7"/>
    </row>
    <row r="473" customFormat="false" ht="15" hidden="false" customHeight="true" outlineLevel="0" collapsed="false">
      <c r="A473" s="7" t="s">
        <v>907</v>
      </c>
      <c r="B473" s="15" t="n">
        <v>46294</v>
      </c>
      <c r="C473" s="7" t="s">
        <v>256</v>
      </c>
      <c r="D473" s="7" t="s">
        <v>257</v>
      </c>
      <c r="E473" s="17" t="n">
        <f aca="false">IF(A473="","",SUMIFS(Sales_Items!$H$2:$H$3001,Sales_Items!$A$2:$A$3001,A473))</f>
        <v>480</v>
      </c>
      <c r="F473" s="13" t="n">
        <v>0</v>
      </c>
      <c r="G473" s="17" t="n">
        <f aca="false">IF(A473="","",E473-N(F473))</f>
        <v>480</v>
      </c>
      <c r="H473" s="13" t="n">
        <v>0</v>
      </c>
      <c r="I473" s="17" t="n">
        <f aca="false">IF(A473="","",SUMIFS(Due_Payments!$C$2:$C$1001,Due_Payments!$B$2:$B$1001,A473))</f>
        <v>240</v>
      </c>
      <c r="J473" s="17" t="n">
        <f aca="false">IF(A473="","",G473-N(H473)-I473)</f>
        <v>240</v>
      </c>
      <c r="K473" s="7" t="s">
        <v>21</v>
      </c>
      <c r="L473" s="7" t="s">
        <v>254</v>
      </c>
      <c r="M473" s="7"/>
    </row>
    <row r="474" customFormat="false" ht="15" hidden="false" customHeight="true" outlineLevel="0" collapsed="false">
      <c r="A474" s="7" t="s">
        <v>908</v>
      </c>
      <c r="B474" s="15" t="n">
        <v>46294</v>
      </c>
      <c r="C474" s="7" t="s">
        <v>378</v>
      </c>
      <c r="D474" s="7" t="s">
        <v>379</v>
      </c>
      <c r="E474" s="17" t="n">
        <f aca="false">IF(A474="","",SUMIFS(Sales_Items!$H$2:$H$3001,Sales_Items!$A$2:$A$3001,A474))</f>
        <v>840</v>
      </c>
      <c r="F474" s="13" t="n">
        <v>100</v>
      </c>
      <c r="G474" s="17" t="n">
        <f aca="false">IF(A474="","",E474-N(F474))</f>
        <v>740</v>
      </c>
      <c r="H474" s="13" t="n">
        <v>740</v>
      </c>
      <c r="I474" s="17" t="n">
        <f aca="false">IF(A474="","",SUMIFS(Due_Payments!$C$2:$C$1001,Due_Payments!$B$2:$B$1001,A474))</f>
        <v>0</v>
      </c>
      <c r="J474" s="17" t="n">
        <f aca="false">IF(A474="","",G474-N(H474)-I474)</f>
        <v>0</v>
      </c>
      <c r="K474" s="7" t="s">
        <v>21</v>
      </c>
      <c r="L474" s="7" t="s">
        <v>567</v>
      </c>
      <c r="M474" s="7"/>
    </row>
    <row r="475" customFormat="false" ht="15" hidden="false" customHeight="true" outlineLevel="0" collapsed="false">
      <c r="A475" s="7" t="s">
        <v>909</v>
      </c>
      <c r="B475" s="15" t="n">
        <v>46295</v>
      </c>
      <c r="C475" s="7" t="s">
        <v>241</v>
      </c>
      <c r="D475" s="7" t="s">
        <v>242</v>
      </c>
      <c r="E475" s="17" t="n">
        <f aca="false">IF(A475="","",SUMIFS(Sales_Items!$H$2:$H$3001,Sales_Items!$A$2:$A$3001,A475))</f>
        <v>280</v>
      </c>
      <c r="F475" s="13" t="n">
        <v>0</v>
      </c>
      <c r="G475" s="17" t="n">
        <f aca="false">IF(A475="","",E475-N(F475))</f>
        <v>280</v>
      </c>
      <c r="H475" s="13" t="n">
        <v>280</v>
      </c>
      <c r="I475" s="17" t="n">
        <f aca="false">IF(A475="","",SUMIFS(Due_Payments!$C$2:$C$1001,Due_Payments!$B$2:$B$1001,A475))</f>
        <v>0</v>
      </c>
      <c r="J475" s="17" t="n">
        <f aca="false">IF(A475="","",G475-N(H475)-I475)</f>
        <v>0</v>
      </c>
      <c r="K475" s="7" t="s">
        <v>37</v>
      </c>
      <c r="L475" s="7" t="s">
        <v>235</v>
      </c>
      <c r="M475" s="7"/>
    </row>
    <row r="476" customFormat="false" ht="15" hidden="false" customHeight="true" outlineLevel="0" collapsed="false">
      <c r="A476" s="7" t="s">
        <v>910</v>
      </c>
      <c r="B476" s="15" t="n">
        <v>46295</v>
      </c>
      <c r="C476" s="7" t="s">
        <v>217</v>
      </c>
      <c r="D476" s="7" t="s">
        <v>218</v>
      </c>
      <c r="E476" s="17" t="n">
        <f aca="false">IF(A476="","",SUMIFS(Sales_Items!$H$2:$H$3001,Sales_Items!$A$2:$A$3001,A476))</f>
        <v>540</v>
      </c>
      <c r="F476" s="13" t="n">
        <v>20</v>
      </c>
      <c r="G476" s="17" t="n">
        <f aca="false">IF(A476="","",E476-N(F476))</f>
        <v>520</v>
      </c>
      <c r="H476" s="13" t="n">
        <v>520</v>
      </c>
      <c r="I476" s="17" t="n">
        <f aca="false">IF(A476="","",SUMIFS(Due_Payments!$C$2:$C$1001,Due_Payments!$B$2:$B$1001,A476))</f>
        <v>0</v>
      </c>
      <c r="J476" s="17" t="n">
        <f aca="false">IF(A476="","",G476-N(H476)-I476)</f>
        <v>0</v>
      </c>
      <c r="K476" s="7" t="s">
        <v>13</v>
      </c>
      <c r="L476" s="7" t="s">
        <v>323</v>
      </c>
      <c r="M476" s="7"/>
    </row>
    <row r="477" customFormat="false" ht="15" hidden="false" customHeight="true" outlineLevel="0" collapsed="false">
      <c r="A477" s="7" t="s">
        <v>911</v>
      </c>
      <c r="B477" s="15" t="n">
        <v>46295</v>
      </c>
      <c r="C477" s="7" t="s">
        <v>300</v>
      </c>
      <c r="D477" s="7" t="s">
        <v>301</v>
      </c>
      <c r="E477" s="17" t="n">
        <f aca="false">IF(A477="","",SUMIFS(Sales_Items!$H$2:$H$3001,Sales_Items!$A$2:$A$3001,A477))</f>
        <v>1980</v>
      </c>
      <c r="F477" s="13" t="n">
        <v>0</v>
      </c>
      <c r="G477" s="17" t="n">
        <f aca="false">IF(A477="","",E477-N(F477))</f>
        <v>1980</v>
      </c>
      <c r="H477" s="13" t="n">
        <v>1380</v>
      </c>
      <c r="I477" s="17" t="n">
        <f aca="false">IF(A477="","",SUMIFS(Due_Payments!$C$2:$C$1001,Due_Payments!$B$2:$B$1001,A477))</f>
        <v>0</v>
      </c>
      <c r="J477" s="17" t="n">
        <f aca="false">IF(A477="","",G477-N(H477)-I477)</f>
        <v>600</v>
      </c>
      <c r="K477" s="7" t="s">
        <v>13</v>
      </c>
      <c r="L477" s="7" t="s">
        <v>305</v>
      </c>
      <c r="M477" s="7"/>
    </row>
    <row r="478" customFormat="false" ht="15" hidden="false" customHeight="true" outlineLevel="0" collapsed="false">
      <c r="A478" s="7" t="s">
        <v>912</v>
      </c>
      <c r="B478" s="15" t="n">
        <v>46295</v>
      </c>
      <c r="C478" s="7" t="s">
        <v>344</v>
      </c>
      <c r="D478" s="7" t="s">
        <v>345</v>
      </c>
      <c r="E478" s="17" t="n">
        <f aca="false">IF(A478="","",SUMIFS(Sales_Items!$H$2:$H$3001,Sales_Items!$A$2:$A$3001,A478))</f>
        <v>2850</v>
      </c>
      <c r="F478" s="13" t="n">
        <v>0</v>
      </c>
      <c r="G478" s="17" t="n">
        <f aca="false">IF(A478="","",E478-N(F478))</f>
        <v>2850</v>
      </c>
      <c r="H478" s="13" t="n">
        <v>2850</v>
      </c>
      <c r="I478" s="17" t="n">
        <f aca="false">IF(A478="","",SUMIFS(Due_Payments!$C$2:$C$1001,Due_Payments!$B$2:$B$1001,A478))</f>
        <v>0</v>
      </c>
      <c r="J478" s="17" t="n">
        <f aca="false">IF(A478="","",G478-N(H478)-I478)</f>
        <v>0</v>
      </c>
      <c r="K478" s="7" t="s">
        <v>37</v>
      </c>
      <c r="L478" s="7" t="s">
        <v>385</v>
      </c>
      <c r="M478" s="7"/>
    </row>
    <row r="479" customFormat="false" ht="15" hidden="false" customHeight="true" outlineLevel="0" collapsed="false">
      <c r="A479" s="7" t="s">
        <v>913</v>
      </c>
      <c r="B479" s="15" t="n">
        <v>46295</v>
      </c>
      <c r="C479" s="7" t="s">
        <v>210</v>
      </c>
      <c r="D479" s="7" t="s">
        <v>211</v>
      </c>
      <c r="E479" s="17" t="n">
        <f aca="false">IF(A479="","",SUMIFS(Sales_Items!$H$2:$H$3001,Sales_Items!$A$2:$A$3001,A479))</f>
        <v>3590</v>
      </c>
      <c r="F479" s="13" t="n">
        <v>0</v>
      </c>
      <c r="G479" s="17" t="n">
        <f aca="false">IF(A479="","",E479-N(F479))</f>
        <v>3590</v>
      </c>
      <c r="H479" s="13" t="n">
        <v>3590</v>
      </c>
      <c r="I479" s="17" t="n">
        <f aca="false">IF(A479="","",SUMIFS(Due_Payments!$C$2:$C$1001,Due_Payments!$B$2:$B$1001,A479))</f>
        <v>0</v>
      </c>
      <c r="J479" s="17" t="n">
        <f aca="false">IF(A479="","",G479-N(H479)-I479)</f>
        <v>0</v>
      </c>
      <c r="K479" s="7" t="s">
        <v>13</v>
      </c>
      <c r="L479" s="7" t="s">
        <v>914</v>
      </c>
      <c r="M479" s="7"/>
    </row>
    <row r="480" customFormat="false" ht="15" hidden="false" customHeight="true" outlineLevel="0" collapsed="false">
      <c r="A480" s="7" t="s">
        <v>915</v>
      </c>
      <c r="B480" s="15" t="n">
        <v>46295</v>
      </c>
      <c r="C480" s="7" t="s">
        <v>293</v>
      </c>
      <c r="D480" s="7" t="s">
        <v>294</v>
      </c>
      <c r="E480" s="17" t="n">
        <f aca="false">IF(A480="","",SUMIFS(Sales_Items!$H$2:$H$3001,Sales_Items!$A$2:$A$3001,A480))</f>
        <v>740</v>
      </c>
      <c r="F480" s="13" t="n">
        <v>0</v>
      </c>
      <c r="G480" s="17" t="n">
        <f aca="false">IF(A480="","",E480-N(F480))</f>
        <v>740</v>
      </c>
      <c r="H480" s="13" t="n">
        <v>0</v>
      </c>
      <c r="I480" s="17" t="n">
        <f aca="false">IF(A480="","",SUMIFS(Due_Payments!$C$2:$C$1001,Due_Payments!$B$2:$B$1001,A480))</f>
        <v>370</v>
      </c>
      <c r="J480" s="17" t="n">
        <f aca="false">IF(A480="","",G480-N(H480)-I480)</f>
        <v>370</v>
      </c>
      <c r="K480" s="7" t="s">
        <v>21</v>
      </c>
      <c r="L480" s="7" t="s">
        <v>567</v>
      </c>
      <c r="M480" s="7"/>
    </row>
    <row r="481" customFormat="false" ht="15" hidden="false" customHeight="true" outlineLevel="0" collapsed="false">
      <c r="A481" s="7" t="s">
        <v>916</v>
      </c>
      <c r="B481" s="15" t="n">
        <v>46295</v>
      </c>
      <c r="C481" s="7" t="s">
        <v>225</v>
      </c>
      <c r="D481" s="7" t="s">
        <v>226</v>
      </c>
      <c r="E481" s="17" t="n">
        <f aca="false">IF(A481="","",SUMIFS(Sales_Items!$H$2:$H$3001,Sales_Items!$A$2:$A$3001,A481))</f>
        <v>1670</v>
      </c>
      <c r="F481" s="13" t="n">
        <v>0</v>
      </c>
      <c r="G481" s="17" t="n">
        <f aca="false">IF(A481="","",E481-N(F481))</f>
        <v>1670</v>
      </c>
      <c r="H481" s="13" t="n">
        <v>1670</v>
      </c>
      <c r="I481" s="17" t="n">
        <f aca="false">IF(A481="","",SUMIFS(Due_Payments!$C$2:$C$1001,Due_Payments!$B$2:$B$1001,A481))</f>
        <v>0</v>
      </c>
      <c r="J481" s="17" t="n">
        <f aca="false">IF(A481="","",G481-N(H481)-I481)</f>
        <v>0</v>
      </c>
      <c r="K481" s="7" t="s">
        <v>13</v>
      </c>
      <c r="L481" s="7" t="s">
        <v>917</v>
      </c>
      <c r="M481" s="7"/>
    </row>
    <row r="482" customFormat="false" ht="15" hidden="false" customHeight="true" outlineLevel="0" collapsed="false">
      <c r="A482" s="7" t="s">
        <v>918</v>
      </c>
      <c r="B482" s="15" t="n">
        <v>46295</v>
      </c>
      <c r="C482" s="7" t="s">
        <v>217</v>
      </c>
      <c r="D482" s="7" t="s">
        <v>218</v>
      </c>
      <c r="E482" s="17" t="n">
        <f aca="false">IF(A482="","",SUMIFS(Sales_Items!$H$2:$H$3001,Sales_Items!$A$2:$A$3001,A482))</f>
        <v>240</v>
      </c>
      <c r="F482" s="13" t="n">
        <v>10</v>
      </c>
      <c r="G482" s="17" t="n">
        <f aca="false">IF(A482="","",E482-N(F482))</f>
        <v>230</v>
      </c>
      <c r="H482" s="13" t="n">
        <v>230</v>
      </c>
      <c r="I482" s="17" t="n">
        <f aca="false">IF(A482="","",SUMIFS(Due_Payments!$C$2:$C$1001,Due_Payments!$B$2:$B$1001,A482))</f>
        <v>0</v>
      </c>
      <c r="J482" s="17" t="n">
        <f aca="false">IF(A482="","",G482-N(H482)-I482)</f>
        <v>0</v>
      </c>
      <c r="K482" s="7" t="s">
        <v>29</v>
      </c>
      <c r="L482" s="7" t="s">
        <v>440</v>
      </c>
      <c r="M482" s="7"/>
    </row>
    <row r="483" customFormat="false" ht="15" hidden="false" customHeight="true" outlineLevel="0" collapsed="false">
      <c r="A483" s="7" t="s">
        <v>919</v>
      </c>
      <c r="B483" s="15" t="n">
        <v>46296</v>
      </c>
      <c r="C483" s="7" t="s">
        <v>229</v>
      </c>
      <c r="D483" s="7" t="s">
        <v>230</v>
      </c>
      <c r="E483" s="17" t="n">
        <f aca="false">IF(A483="","",SUMIFS(Sales_Items!$H$2:$H$3001,Sales_Items!$A$2:$A$3001,A483))</f>
        <v>720</v>
      </c>
      <c r="F483" s="13" t="n">
        <v>100</v>
      </c>
      <c r="G483" s="17" t="n">
        <f aca="false">IF(A483="","",E483-N(F483))</f>
        <v>620</v>
      </c>
      <c r="H483" s="13" t="n">
        <v>620</v>
      </c>
      <c r="I483" s="17" t="n">
        <f aca="false">IF(A483="","",SUMIFS(Due_Payments!$C$2:$C$1001,Due_Payments!$B$2:$B$1001,A483))</f>
        <v>0</v>
      </c>
      <c r="J483" s="17" t="n">
        <f aca="false">IF(A483="","",G483-N(H483)-I483)</f>
        <v>0</v>
      </c>
      <c r="K483" s="7" t="s">
        <v>21</v>
      </c>
      <c r="L483" s="7" t="s">
        <v>425</v>
      </c>
      <c r="M483" s="7"/>
    </row>
    <row r="484" customFormat="false" ht="15" hidden="false" customHeight="true" outlineLevel="0" collapsed="false">
      <c r="A484" s="7" t="s">
        <v>920</v>
      </c>
      <c r="B484" s="15" t="n">
        <v>46296</v>
      </c>
      <c r="C484" s="7" t="s">
        <v>350</v>
      </c>
      <c r="D484" s="7" t="s">
        <v>351</v>
      </c>
      <c r="E484" s="17" t="n">
        <f aca="false">IF(A484="","",SUMIFS(Sales_Items!$H$2:$H$3001,Sales_Items!$A$2:$A$3001,A484))</f>
        <v>960</v>
      </c>
      <c r="F484" s="13" t="n">
        <v>50</v>
      </c>
      <c r="G484" s="17" t="n">
        <f aca="false">IF(A484="","",E484-N(F484))</f>
        <v>910</v>
      </c>
      <c r="H484" s="13" t="n">
        <v>910</v>
      </c>
      <c r="I484" s="17" t="n">
        <f aca="false">IF(A484="","",SUMIFS(Due_Payments!$C$2:$C$1001,Due_Payments!$B$2:$B$1001,A484))</f>
        <v>0</v>
      </c>
      <c r="J484" s="17" t="n">
        <f aca="false">IF(A484="","",G484-N(H484)-I484)</f>
        <v>0</v>
      </c>
      <c r="K484" s="7" t="s">
        <v>13</v>
      </c>
      <c r="L484" s="7" t="s">
        <v>675</v>
      </c>
      <c r="M484" s="7"/>
    </row>
    <row r="485" customFormat="false" ht="15" hidden="false" customHeight="true" outlineLevel="0" collapsed="false">
      <c r="A485" s="7" t="s">
        <v>921</v>
      </c>
      <c r="B485" s="15" t="n">
        <v>46296</v>
      </c>
      <c r="C485" s="7" t="s">
        <v>275</v>
      </c>
      <c r="D485" s="7" t="s">
        <v>276</v>
      </c>
      <c r="E485" s="17" t="n">
        <f aca="false">IF(A485="","",SUMIFS(Sales_Items!$H$2:$H$3001,Sales_Items!$A$2:$A$3001,A485))</f>
        <v>270</v>
      </c>
      <c r="F485" s="13" t="n">
        <v>0</v>
      </c>
      <c r="G485" s="17" t="n">
        <f aca="false">IF(A485="","",E485-N(F485))</f>
        <v>270</v>
      </c>
      <c r="H485" s="13" t="n">
        <v>160</v>
      </c>
      <c r="I485" s="17" t="n">
        <f aca="false">IF(A485="","",SUMIFS(Due_Payments!$C$2:$C$1001,Due_Payments!$B$2:$B$1001,A485))</f>
        <v>110</v>
      </c>
      <c r="J485" s="17" t="n">
        <f aca="false">IF(A485="","",G485-N(H485)-I485)</f>
        <v>0</v>
      </c>
      <c r="K485" s="7" t="s">
        <v>21</v>
      </c>
      <c r="L485" s="7" t="s">
        <v>337</v>
      </c>
      <c r="M485" s="7"/>
    </row>
    <row r="486" customFormat="false" ht="15" hidden="false" customHeight="true" outlineLevel="0" collapsed="false">
      <c r="A486" s="7" t="s">
        <v>922</v>
      </c>
      <c r="B486" s="15" t="n">
        <v>46296</v>
      </c>
      <c r="C486" s="7" t="s">
        <v>259</v>
      </c>
      <c r="D486" s="7" t="s">
        <v>260</v>
      </c>
      <c r="E486" s="17" t="n">
        <f aca="false">IF(A486="","",SUMIFS(Sales_Items!$H$2:$H$3001,Sales_Items!$A$2:$A$3001,A486))</f>
        <v>3610</v>
      </c>
      <c r="F486" s="13" t="n">
        <v>0</v>
      </c>
      <c r="G486" s="17" t="n">
        <f aca="false">IF(A486="","",E486-N(F486))</f>
        <v>3610</v>
      </c>
      <c r="H486" s="13" t="n">
        <v>3610</v>
      </c>
      <c r="I486" s="17" t="n">
        <f aca="false">IF(A486="","",SUMIFS(Due_Payments!$C$2:$C$1001,Due_Payments!$B$2:$B$1001,A486))</f>
        <v>0</v>
      </c>
      <c r="J486" s="17" t="n">
        <f aca="false">IF(A486="","",G486-N(H486)-I486)</f>
        <v>0</v>
      </c>
      <c r="K486" s="7" t="s">
        <v>21</v>
      </c>
      <c r="L486" s="7" t="s">
        <v>923</v>
      </c>
      <c r="M486" s="7"/>
    </row>
    <row r="487" customFormat="false" ht="15" hidden="false" customHeight="true" outlineLevel="0" collapsed="false">
      <c r="A487" s="7" t="s">
        <v>924</v>
      </c>
      <c r="B487" s="15" t="n">
        <v>46296</v>
      </c>
      <c r="C487" s="7" t="s">
        <v>263</v>
      </c>
      <c r="D487" s="7" t="s">
        <v>264</v>
      </c>
      <c r="E487" s="17" t="n">
        <f aca="false">IF(A487="","",SUMIFS(Sales_Items!$H$2:$H$3001,Sales_Items!$A$2:$A$3001,A487))</f>
        <v>570</v>
      </c>
      <c r="F487" s="13" t="n">
        <v>0</v>
      </c>
      <c r="G487" s="17" t="n">
        <f aca="false">IF(A487="","",E487-N(F487))</f>
        <v>570</v>
      </c>
      <c r="H487" s="13" t="n">
        <v>570</v>
      </c>
      <c r="I487" s="17" t="n">
        <f aca="false">IF(A487="","",SUMIFS(Due_Payments!$C$2:$C$1001,Due_Payments!$B$2:$B$1001,A487))</f>
        <v>0</v>
      </c>
      <c r="J487" s="17" t="n">
        <f aca="false">IF(A487="","",G487-N(H487)-I487)</f>
        <v>0</v>
      </c>
      <c r="K487" s="7" t="s">
        <v>13</v>
      </c>
      <c r="L487" s="7" t="s">
        <v>468</v>
      </c>
      <c r="M487" s="7"/>
    </row>
    <row r="488" customFormat="false" ht="15" hidden="false" customHeight="true" outlineLevel="0" collapsed="false">
      <c r="A488" s="7" t="s">
        <v>925</v>
      </c>
      <c r="B488" s="15" t="n">
        <v>46296</v>
      </c>
      <c r="C488" s="7" t="s">
        <v>198</v>
      </c>
      <c r="D488" s="7" t="s">
        <v>199</v>
      </c>
      <c r="E488" s="17" t="n">
        <f aca="false">IF(A488="","",SUMIFS(Sales_Items!$H$2:$H$3001,Sales_Items!$A$2:$A$3001,A488))</f>
        <v>1530</v>
      </c>
      <c r="F488" s="13" t="n">
        <v>100</v>
      </c>
      <c r="G488" s="17" t="n">
        <f aca="false">IF(A488="","",E488-N(F488))</f>
        <v>1430</v>
      </c>
      <c r="H488" s="13" t="n">
        <v>1430</v>
      </c>
      <c r="I488" s="17" t="n">
        <f aca="false">IF(A488="","",SUMIFS(Due_Payments!$C$2:$C$1001,Due_Payments!$B$2:$B$1001,A488))</f>
        <v>0</v>
      </c>
      <c r="J488" s="17" t="n">
        <f aca="false">IF(A488="","",G488-N(H488)-I488)</f>
        <v>0</v>
      </c>
      <c r="K488" s="7" t="s">
        <v>13</v>
      </c>
      <c r="L488" s="7" t="s">
        <v>926</v>
      </c>
      <c r="M488" s="7"/>
    </row>
    <row r="489" customFormat="false" ht="15" hidden="false" customHeight="true" outlineLevel="0" collapsed="false">
      <c r="A489" s="7" t="s">
        <v>927</v>
      </c>
      <c r="B489" s="15" t="n">
        <v>46296</v>
      </c>
      <c r="C489" s="7" t="s">
        <v>378</v>
      </c>
      <c r="D489" s="7" t="s">
        <v>379</v>
      </c>
      <c r="E489" s="17" t="n">
        <f aca="false">IF(A489="","",SUMIFS(Sales_Items!$H$2:$H$3001,Sales_Items!$A$2:$A$3001,A489))</f>
        <v>780</v>
      </c>
      <c r="F489" s="13" t="n">
        <v>0</v>
      </c>
      <c r="G489" s="17" t="n">
        <f aca="false">IF(A489="","",E489-N(F489))</f>
        <v>780</v>
      </c>
      <c r="H489" s="13" t="n">
        <v>780</v>
      </c>
      <c r="I489" s="17" t="n">
        <f aca="false">IF(A489="","",SUMIFS(Due_Payments!$C$2:$C$1001,Due_Payments!$B$2:$B$1001,A489))</f>
        <v>0</v>
      </c>
      <c r="J489" s="17" t="n">
        <f aca="false">IF(A489="","",G489-N(H489)-I489)</f>
        <v>0</v>
      </c>
      <c r="K489" s="7" t="s">
        <v>13</v>
      </c>
      <c r="L489" s="7" t="s">
        <v>309</v>
      </c>
      <c r="M489" s="7"/>
    </row>
    <row r="490" customFormat="false" ht="15" hidden="false" customHeight="true" outlineLevel="0" collapsed="false">
      <c r="A490" s="7" t="s">
        <v>928</v>
      </c>
      <c r="B490" s="15" t="n">
        <v>46296</v>
      </c>
      <c r="C490" s="7" t="s">
        <v>210</v>
      </c>
      <c r="D490" s="7" t="s">
        <v>211</v>
      </c>
      <c r="E490" s="17" t="n">
        <f aca="false">IF(A490="","",SUMIFS(Sales_Items!$H$2:$H$3001,Sales_Items!$A$2:$A$3001,A490))</f>
        <v>1300</v>
      </c>
      <c r="F490" s="13" t="n">
        <v>0</v>
      </c>
      <c r="G490" s="17" t="n">
        <f aca="false">IF(A490="","",E490-N(F490))</f>
        <v>1300</v>
      </c>
      <c r="H490" s="13" t="n">
        <v>1300</v>
      </c>
      <c r="I490" s="17" t="n">
        <f aca="false">IF(A490="","",SUMIFS(Due_Payments!$C$2:$C$1001,Due_Payments!$B$2:$B$1001,A490))</f>
        <v>0</v>
      </c>
      <c r="J490" s="17" t="n">
        <f aca="false">IF(A490="","",G490-N(H490)-I490)</f>
        <v>0</v>
      </c>
      <c r="K490" s="7" t="s">
        <v>21</v>
      </c>
      <c r="L490" s="7" t="s">
        <v>929</v>
      </c>
      <c r="M490" s="7"/>
    </row>
    <row r="491" customFormat="false" ht="15" hidden="false" customHeight="true" outlineLevel="0" collapsed="false">
      <c r="A491" s="7" t="s">
        <v>930</v>
      </c>
      <c r="B491" s="15" t="n">
        <v>46296</v>
      </c>
      <c r="C491" s="7" t="s">
        <v>293</v>
      </c>
      <c r="D491" s="7" t="s">
        <v>294</v>
      </c>
      <c r="E491" s="17" t="n">
        <f aca="false">IF(A491="","",SUMIFS(Sales_Items!$H$2:$H$3001,Sales_Items!$A$2:$A$3001,A491))</f>
        <v>570</v>
      </c>
      <c r="F491" s="13" t="n">
        <v>0</v>
      </c>
      <c r="G491" s="17" t="n">
        <f aca="false">IF(A491="","",E491-N(F491))</f>
        <v>570</v>
      </c>
      <c r="H491" s="13" t="n">
        <v>570</v>
      </c>
      <c r="I491" s="17" t="n">
        <f aca="false">IF(A491="","",SUMIFS(Due_Payments!$C$2:$C$1001,Due_Payments!$B$2:$B$1001,A491))</f>
        <v>0</v>
      </c>
      <c r="J491" s="17" t="n">
        <f aca="false">IF(A491="","",G491-N(H491)-I491)</f>
        <v>0</v>
      </c>
      <c r="K491" s="7" t="s">
        <v>13</v>
      </c>
      <c r="L491" s="7" t="s">
        <v>468</v>
      </c>
      <c r="M491" s="7"/>
    </row>
    <row r="492" customFormat="false" ht="15" hidden="false" customHeight="true" outlineLevel="0" collapsed="false">
      <c r="A492" s="7" t="s">
        <v>931</v>
      </c>
      <c r="B492" s="15" t="n">
        <v>46296</v>
      </c>
      <c r="C492" s="7" t="s">
        <v>202</v>
      </c>
      <c r="D492" s="7" t="s">
        <v>203</v>
      </c>
      <c r="E492" s="17" t="n">
        <f aca="false">IF(A492="","",SUMIFS(Sales_Items!$H$2:$H$3001,Sales_Items!$A$2:$A$3001,A492))</f>
        <v>280</v>
      </c>
      <c r="F492" s="13" t="n">
        <v>0</v>
      </c>
      <c r="G492" s="17" t="n">
        <f aca="false">IF(A492="","",E492-N(F492))</f>
        <v>280</v>
      </c>
      <c r="H492" s="13" t="n">
        <v>170</v>
      </c>
      <c r="I492" s="17" t="n">
        <f aca="false">IF(A492="","",SUMIFS(Due_Payments!$C$2:$C$1001,Due_Payments!$B$2:$B$1001,A492))</f>
        <v>110</v>
      </c>
      <c r="J492" s="17" t="n">
        <f aca="false">IF(A492="","",G492-N(H492)-I492)</f>
        <v>0</v>
      </c>
      <c r="K492" s="7" t="s">
        <v>13</v>
      </c>
      <c r="L492" s="7" t="s">
        <v>235</v>
      </c>
      <c r="M492" s="7"/>
    </row>
    <row r="493" customFormat="false" ht="15" hidden="false" customHeight="true" outlineLevel="0" collapsed="false">
      <c r="A493" s="7" t="s">
        <v>932</v>
      </c>
      <c r="B493" s="15" t="n">
        <v>46298</v>
      </c>
      <c r="C493" s="7" t="s">
        <v>307</v>
      </c>
      <c r="D493" s="7" t="s">
        <v>308</v>
      </c>
      <c r="E493" s="17" t="n">
        <f aca="false">IF(A493="","",SUMIFS(Sales_Items!$H$2:$H$3001,Sales_Items!$A$2:$A$3001,A493))</f>
        <v>810</v>
      </c>
      <c r="F493" s="13" t="n">
        <v>0</v>
      </c>
      <c r="G493" s="17" t="n">
        <f aca="false">IF(A493="","",E493-N(F493))</f>
        <v>810</v>
      </c>
      <c r="H493" s="13" t="n">
        <v>550</v>
      </c>
      <c r="I493" s="17" t="n">
        <f aca="false">IF(A493="","",SUMIFS(Due_Payments!$C$2:$C$1001,Due_Payments!$B$2:$B$1001,A493))</f>
        <v>0</v>
      </c>
      <c r="J493" s="17" t="n">
        <f aca="false">IF(A493="","",G493-N(H493)-I493)</f>
        <v>260</v>
      </c>
      <c r="K493" s="7" t="s">
        <v>13</v>
      </c>
      <c r="L493" s="7" t="s">
        <v>233</v>
      </c>
      <c r="M493" s="7"/>
    </row>
    <row r="494" customFormat="false" ht="15" hidden="false" customHeight="true" outlineLevel="0" collapsed="false">
      <c r="A494" s="7" t="s">
        <v>933</v>
      </c>
      <c r="B494" s="15" t="n">
        <v>46298</v>
      </c>
      <c r="C494" s="7" t="s">
        <v>256</v>
      </c>
      <c r="D494" s="7" t="s">
        <v>257</v>
      </c>
      <c r="E494" s="17" t="n">
        <f aca="false">IF(A494="","",SUMIFS(Sales_Items!$H$2:$H$3001,Sales_Items!$A$2:$A$3001,A494))</f>
        <v>2580</v>
      </c>
      <c r="F494" s="13" t="n">
        <v>100</v>
      </c>
      <c r="G494" s="17" t="n">
        <f aca="false">IF(A494="","",E494-N(F494))</f>
        <v>2480</v>
      </c>
      <c r="H494" s="13" t="n">
        <v>2480</v>
      </c>
      <c r="I494" s="17" t="n">
        <f aca="false">IF(A494="","",SUMIFS(Due_Payments!$C$2:$C$1001,Due_Payments!$B$2:$B$1001,A494))</f>
        <v>0</v>
      </c>
      <c r="J494" s="17" t="n">
        <f aca="false">IF(A494="","",G494-N(H494)-I494)</f>
        <v>0</v>
      </c>
      <c r="K494" s="7" t="s">
        <v>21</v>
      </c>
      <c r="L494" s="7" t="s">
        <v>363</v>
      </c>
      <c r="M494" s="7"/>
    </row>
    <row r="495" customFormat="false" ht="15" hidden="false" customHeight="true" outlineLevel="0" collapsed="false">
      <c r="A495" s="7" t="s">
        <v>934</v>
      </c>
      <c r="B495" s="15" t="n">
        <v>46298</v>
      </c>
      <c r="C495" s="7" t="s">
        <v>378</v>
      </c>
      <c r="D495" s="7" t="s">
        <v>379</v>
      </c>
      <c r="E495" s="17" t="n">
        <f aca="false">IF(A495="","",SUMIFS(Sales_Items!$H$2:$H$3001,Sales_Items!$A$2:$A$3001,A495))</f>
        <v>480</v>
      </c>
      <c r="F495" s="13" t="n">
        <v>10</v>
      </c>
      <c r="G495" s="17" t="n">
        <f aca="false">IF(A495="","",E495-N(F495))</f>
        <v>470</v>
      </c>
      <c r="H495" s="13" t="n">
        <v>260</v>
      </c>
      <c r="I495" s="17" t="n">
        <f aca="false">IF(A495="","",SUMIFS(Due_Payments!$C$2:$C$1001,Due_Payments!$B$2:$B$1001,A495))</f>
        <v>210</v>
      </c>
      <c r="J495" s="17" t="n">
        <f aca="false">IF(A495="","",G495-N(H495)-I495)</f>
        <v>0</v>
      </c>
      <c r="K495" s="7" t="s">
        <v>13</v>
      </c>
      <c r="L495" s="7" t="s">
        <v>348</v>
      </c>
      <c r="M495" s="7"/>
    </row>
    <row r="496" customFormat="false" ht="15" hidden="false" customHeight="true" outlineLevel="0" collapsed="false">
      <c r="A496" s="7" t="s">
        <v>935</v>
      </c>
      <c r="B496" s="15" t="n">
        <v>46298</v>
      </c>
      <c r="C496" s="7" t="s">
        <v>378</v>
      </c>
      <c r="D496" s="7" t="s">
        <v>379</v>
      </c>
      <c r="E496" s="17" t="n">
        <f aca="false">IF(A496="","",SUMIFS(Sales_Items!$H$2:$H$3001,Sales_Items!$A$2:$A$3001,A496))</f>
        <v>280</v>
      </c>
      <c r="F496" s="13" t="n">
        <v>0</v>
      </c>
      <c r="G496" s="17" t="n">
        <f aca="false">IF(A496="","",E496-N(F496))</f>
        <v>280</v>
      </c>
      <c r="H496" s="13" t="n">
        <v>280</v>
      </c>
      <c r="I496" s="17" t="n">
        <f aca="false">IF(A496="","",SUMIFS(Due_Payments!$C$2:$C$1001,Due_Payments!$B$2:$B$1001,A496))</f>
        <v>0</v>
      </c>
      <c r="J496" s="17" t="n">
        <f aca="false">IF(A496="","",G496-N(H496)-I496)</f>
        <v>0</v>
      </c>
      <c r="K496" s="7" t="s">
        <v>21</v>
      </c>
      <c r="L496" s="7" t="s">
        <v>235</v>
      </c>
      <c r="M496" s="7"/>
    </row>
    <row r="497" customFormat="false" ht="15" hidden="false" customHeight="true" outlineLevel="0" collapsed="false">
      <c r="A497" s="7" t="s">
        <v>936</v>
      </c>
      <c r="B497" s="15" t="n">
        <v>46298</v>
      </c>
      <c r="C497" s="7" t="s">
        <v>202</v>
      </c>
      <c r="D497" s="7" t="s">
        <v>203</v>
      </c>
      <c r="E497" s="17" t="n">
        <f aca="false">IF(A497="","",SUMIFS(Sales_Items!$H$2:$H$3001,Sales_Items!$A$2:$A$3001,A497))</f>
        <v>3360</v>
      </c>
      <c r="F497" s="13" t="n">
        <v>100</v>
      </c>
      <c r="G497" s="17" t="n">
        <f aca="false">IF(A497="","",E497-N(F497))</f>
        <v>3260</v>
      </c>
      <c r="H497" s="13" t="n">
        <v>3260</v>
      </c>
      <c r="I497" s="17" t="n">
        <f aca="false">IF(A497="","",SUMIFS(Due_Payments!$C$2:$C$1001,Due_Payments!$B$2:$B$1001,A497))</f>
        <v>0</v>
      </c>
      <c r="J497" s="17" t="n">
        <f aca="false">IF(A497="","",G497-N(H497)-I497)</f>
        <v>0</v>
      </c>
      <c r="K497" s="7" t="s">
        <v>29</v>
      </c>
      <c r="L497" s="7" t="s">
        <v>937</v>
      </c>
      <c r="M497" s="7"/>
    </row>
    <row r="498" customFormat="false" ht="15" hidden="false" customHeight="true" outlineLevel="0" collapsed="false">
      <c r="A498" s="7" t="s">
        <v>938</v>
      </c>
      <c r="B498" s="15" t="n">
        <v>46298</v>
      </c>
      <c r="C498" s="7" t="s">
        <v>350</v>
      </c>
      <c r="D498" s="7" t="s">
        <v>351</v>
      </c>
      <c r="E498" s="17" t="n">
        <f aca="false">IF(A498="","",SUMIFS(Sales_Items!$H$2:$H$3001,Sales_Items!$A$2:$A$3001,A498))</f>
        <v>540</v>
      </c>
      <c r="F498" s="13" t="n">
        <v>0</v>
      </c>
      <c r="G498" s="17" t="n">
        <f aca="false">IF(A498="","",E498-N(F498))</f>
        <v>540</v>
      </c>
      <c r="H498" s="13" t="n">
        <v>540</v>
      </c>
      <c r="I498" s="17" t="n">
        <f aca="false">IF(A498="","",SUMIFS(Due_Payments!$C$2:$C$1001,Due_Payments!$B$2:$B$1001,A498))</f>
        <v>0</v>
      </c>
      <c r="J498" s="17" t="n">
        <f aca="false">IF(A498="","",G498-N(H498)-I498)</f>
        <v>0</v>
      </c>
      <c r="K498" s="7" t="s">
        <v>13</v>
      </c>
      <c r="L498" s="7" t="s">
        <v>279</v>
      </c>
      <c r="M498" s="7"/>
    </row>
    <row r="499" customFormat="false" ht="15" hidden="false" customHeight="true" outlineLevel="0" collapsed="false">
      <c r="A499" s="7" t="s">
        <v>939</v>
      </c>
      <c r="B499" s="15" t="n">
        <v>46298</v>
      </c>
      <c r="C499" s="7" t="s">
        <v>256</v>
      </c>
      <c r="D499" s="7" t="s">
        <v>257</v>
      </c>
      <c r="E499" s="17" t="n">
        <f aca="false">IF(A499="","",SUMIFS(Sales_Items!$H$2:$H$3001,Sales_Items!$A$2:$A$3001,A499))</f>
        <v>1750</v>
      </c>
      <c r="F499" s="13" t="n">
        <v>100</v>
      </c>
      <c r="G499" s="17" t="n">
        <f aca="false">IF(A499="","",E499-N(F499))</f>
        <v>1650</v>
      </c>
      <c r="H499" s="13" t="n">
        <v>1650</v>
      </c>
      <c r="I499" s="17" t="n">
        <f aca="false">IF(A499="","",SUMIFS(Due_Payments!$C$2:$C$1001,Due_Payments!$B$2:$B$1001,A499))</f>
        <v>0</v>
      </c>
      <c r="J499" s="17" t="n">
        <f aca="false">IF(A499="","",G499-N(H499)-I499)</f>
        <v>0</v>
      </c>
      <c r="K499" s="7" t="s">
        <v>21</v>
      </c>
      <c r="L499" s="7" t="s">
        <v>389</v>
      </c>
      <c r="M499" s="7"/>
    </row>
    <row r="500" customFormat="false" ht="15" hidden="false" customHeight="true" outlineLevel="0" collapsed="false">
      <c r="A500" s="7" t="s">
        <v>940</v>
      </c>
      <c r="B500" s="15" t="n">
        <v>46298</v>
      </c>
      <c r="C500" s="7" t="s">
        <v>369</v>
      </c>
      <c r="D500" s="7" t="s">
        <v>370</v>
      </c>
      <c r="E500" s="17" t="n">
        <f aca="false">IF(A500="","",SUMIFS(Sales_Items!$H$2:$H$3001,Sales_Items!$A$2:$A$3001,A500))</f>
        <v>190</v>
      </c>
      <c r="F500" s="13" t="n">
        <v>0</v>
      </c>
      <c r="G500" s="17" t="n">
        <f aca="false">IF(A500="","",E500-N(F500))</f>
        <v>190</v>
      </c>
      <c r="H500" s="13" t="n">
        <v>190</v>
      </c>
      <c r="I500" s="17" t="n">
        <f aca="false">IF(A500="","",SUMIFS(Due_Payments!$C$2:$C$1001,Due_Payments!$B$2:$B$1001,A500))</f>
        <v>0</v>
      </c>
      <c r="J500" s="17" t="n">
        <f aca="false">IF(A500="","",G500-N(H500)-I500)</f>
        <v>0</v>
      </c>
      <c r="K500" s="7" t="s">
        <v>13</v>
      </c>
      <c r="L500" s="7" t="s">
        <v>342</v>
      </c>
      <c r="M500" s="7"/>
    </row>
    <row r="501" customFormat="false" ht="15" hidden="false" customHeight="true" outlineLevel="0" collapsed="false">
      <c r="A501" s="7" t="s">
        <v>941</v>
      </c>
      <c r="B501" s="15" t="n">
        <v>46298</v>
      </c>
      <c r="C501" s="7" t="s">
        <v>249</v>
      </c>
      <c r="D501" s="7" t="s">
        <v>250</v>
      </c>
      <c r="E501" s="17" t="n">
        <f aca="false">IF(A501="","",SUMIFS(Sales_Items!$H$2:$H$3001,Sales_Items!$A$2:$A$3001,A501))</f>
        <v>1160</v>
      </c>
      <c r="F501" s="13" t="n">
        <v>0</v>
      </c>
      <c r="G501" s="17" t="n">
        <f aca="false">IF(A501="","",E501-N(F501))</f>
        <v>1160</v>
      </c>
      <c r="H501" s="13" t="n">
        <v>650</v>
      </c>
      <c r="I501" s="17" t="n">
        <f aca="false">IF(A501="","",SUMIFS(Due_Payments!$C$2:$C$1001,Due_Payments!$B$2:$B$1001,A501))</f>
        <v>260</v>
      </c>
      <c r="J501" s="17" t="n">
        <f aca="false">IF(A501="","",G501-N(H501)-I501)</f>
        <v>250</v>
      </c>
      <c r="K501" s="7" t="s">
        <v>13</v>
      </c>
      <c r="L501" s="7" t="s">
        <v>754</v>
      </c>
      <c r="M501" s="7"/>
    </row>
    <row r="502" customFormat="false" ht="15" hidden="false" customHeight="true" outlineLevel="0" collapsed="false">
      <c r="A502" s="7" t="s">
        <v>942</v>
      </c>
      <c r="B502" s="15" t="n">
        <v>46298</v>
      </c>
      <c r="C502" s="7" t="s">
        <v>378</v>
      </c>
      <c r="D502" s="7" t="s">
        <v>379</v>
      </c>
      <c r="E502" s="17" t="n">
        <f aca="false">IF(A502="","",SUMIFS(Sales_Items!$H$2:$H$3001,Sales_Items!$A$2:$A$3001,A502))</f>
        <v>260</v>
      </c>
      <c r="F502" s="13" t="n">
        <v>0</v>
      </c>
      <c r="G502" s="17" t="n">
        <f aca="false">IF(A502="","",E502-N(F502))</f>
        <v>260</v>
      </c>
      <c r="H502" s="13" t="n">
        <v>260</v>
      </c>
      <c r="I502" s="17" t="n">
        <f aca="false">IF(A502="","",SUMIFS(Due_Payments!$C$2:$C$1001,Due_Payments!$B$2:$B$1001,A502))</f>
        <v>0</v>
      </c>
      <c r="J502" s="17" t="n">
        <f aca="false">IF(A502="","",G502-N(H502)-I502)</f>
        <v>0</v>
      </c>
      <c r="K502" s="7" t="s">
        <v>29</v>
      </c>
      <c r="L502" s="7" t="s">
        <v>265</v>
      </c>
      <c r="M502" s="7"/>
    </row>
    <row r="503" customFormat="false" ht="15" hidden="false" customHeight="true" outlineLevel="0" collapsed="false">
      <c r="A503" s="7" t="s">
        <v>943</v>
      </c>
      <c r="B503" s="15" t="n">
        <v>46298</v>
      </c>
      <c r="C503" s="7" t="s">
        <v>263</v>
      </c>
      <c r="D503" s="7" t="s">
        <v>264</v>
      </c>
      <c r="E503" s="17" t="n">
        <f aca="false">IF(A503="","",SUMIFS(Sales_Items!$H$2:$H$3001,Sales_Items!$A$2:$A$3001,A503))</f>
        <v>260</v>
      </c>
      <c r="F503" s="13" t="n">
        <v>50</v>
      </c>
      <c r="G503" s="17" t="n">
        <f aca="false">IF(A503="","",E503-N(F503))</f>
        <v>210</v>
      </c>
      <c r="H503" s="13" t="n">
        <v>0</v>
      </c>
      <c r="I503" s="17" t="n">
        <f aca="false">IF(A503="","",SUMIFS(Due_Payments!$C$2:$C$1001,Due_Payments!$B$2:$B$1001,A503))</f>
        <v>0</v>
      </c>
      <c r="J503" s="17" t="n">
        <f aca="false">IF(A503="","",G503-N(H503)-I503)</f>
        <v>210</v>
      </c>
      <c r="K503" s="7" t="s">
        <v>29</v>
      </c>
      <c r="L503" s="7" t="s">
        <v>317</v>
      </c>
      <c r="M503" s="7"/>
    </row>
    <row r="504" customFormat="false" ht="15" hidden="false" customHeight="true" outlineLevel="0" collapsed="false">
      <c r="A504" s="7" t="s">
        <v>944</v>
      </c>
      <c r="B504" s="15" t="n">
        <v>46299</v>
      </c>
      <c r="C504" s="7" t="s">
        <v>249</v>
      </c>
      <c r="D504" s="7" t="s">
        <v>250</v>
      </c>
      <c r="E504" s="17" t="n">
        <f aca="false">IF(A504="","",SUMIFS(Sales_Items!$H$2:$H$3001,Sales_Items!$A$2:$A$3001,A504))</f>
        <v>270</v>
      </c>
      <c r="F504" s="13" t="n">
        <v>0</v>
      </c>
      <c r="G504" s="17" t="n">
        <f aca="false">IF(A504="","",E504-N(F504))</f>
        <v>270</v>
      </c>
      <c r="H504" s="13" t="n">
        <v>270</v>
      </c>
      <c r="I504" s="17" t="n">
        <f aca="false">IF(A504="","",SUMIFS(Due_Payments!$C$2:$C$1001,Due_Payments!$B$2:$B$1001,A504))</f>
        <v>0</v>
      </c>
      <c r="J504" s="17" t="n">
        <f aca="false">IF(A504="","",G504-N(H504)-I504)</f>
        <v>0</v>
      </c>
      <c r="K504" s="7" t="s">
        <v>21</v>
      </c>
      <c r="L504" s="7" t="s">
        <v>337</v>
      </c>
      <c r="M504" s="7"/>
    </row>
    <row r="505" customFormat="false" ht="15" hidden="false" customHeight="true" outlineLevel="0" collapsed="false">
      <c r="A505" s="7" t="s">
        <v>945</v>
      </c>
      <c r="B505" s="15" t="n">
        <v>46299</v>
      </c>
      <c r="C505" s="7" t="s">
        <v>225</v>
      </c>
      <c r="D505" s="7" t="s">
        <v>226</v>
      </c>
      <c r="E505" s="17" t="n">
        <f aca="false">IF(A505="","",SUMIFS(Sales_Items!$H$2:$H$3001,Sales_Items!$A$2:$A$3001,A505))</f>
        <v>540</v>
      </c>
      <c r="F505" s="13" t="n">
        <v>0</v>
      </c>
      <c r="G505" s="17" t="n">
        <f aca="false">IF(A505="","",E505-N(F505))</f>
        <v>540</v>
      </c>
      <c r="H505" s="13" t="n">
        <v>540</v>
      </c>
      <c r="I505" s="17" t="n">
        <f aca="false">IF(A505="","",SUMIFS(Due_Payments!$C$2:$C$1001,Due_Payments!$B$2:$B$1001,A505))</f>
        <v>0</v>
      </c>
      <c r="J505" s="17" t="n">
        <f aca="false">IF(A505="","",G505-N(H505)-I505)</f>
        <v>0</v>
      </c>
      <c r="K505" s="7" t="s">
        <v>13</v>
      </c>
      <c r="L505" s="7" t="s">
        <v>279</v>
      </c>
      <c r="M505" s="7"/>
    </row>
    <row r="506" customFormat="false" ht="15" hidden="false" customHeight="true" outlineLevel="0" collapsed="false">
      <c r="A506" s="7" t="s">
        <v>946</v>
      </c>
      <c r="B506" s="15" t="n">
        <v>46299</v>
      </c>
      <c r="C506" s="7" t="s">
        <v>198</v>
      </c>
      <c r="D506" s="7" t="s">
        <v>199</v>
      </c>
      <c r="E506" s="17" t="n">
        <f aca="false">IF(A506="","",SUMIFS(Sales_Items!$H$2:$H$3001,Sales_Items!$A$2:$A$3001,A506))</f>
        <v>1370</v>
      </c>
      <c r="F506" s="13" t="n">
        <v>0</v>
      </c>
      <c r="G506" s="17" t="n">
        <f aca="false">IF(A506="","",E506-N(F506))</f>
        <v>1370</v>
      </c>
      <c r="H506" s="13" t="n">
        <v>660</v>
      </c>
      <c r="I506" s="17" t="n">
        <f aca="false">IF(A506="","",SUMIFS(Due_Payments!$C$2:$C$1001,Due_Payments!$B$2:$B$1001,A506))</f>
        <v>360</v>
      </c>
      <c r="J506" s="17" t="n">
        <f aca="false">IF(A506="","",G506-N(H506)-I506)</f>
        <v>350</v>
      </c>
      <c r="K506" s="7" t="s">
        <v>21</v>
      </c>
      <c r="L506" s="7" t="s">
        <v>311</v>
      </c>
      <c r="M506" s="7"/>
    </row>
    <row r="507" customFormat="false" ht="15" hidden="false" customHeight="true" outlineLevel="0" collapsed="false">
      <c r="A507" s="7" t="s">
        <v>947</v>
      </c>
      <c r="B507" s="15" t="n">
        <v>46299</v>
      </c>
      <c r="C507" s="7" t="s">
        <v>221</v>
      </c>
      <c r="D507" s="7" t="s">
        <v>222</v>
      </c>
      <c r="E507" s="17" t="n">
        <f aca="false">IF(A507="","",SUMIFS(Sales_Items!$H$2:$H$3001,Sales_Items!$A$2:$A$3001,A507))</f>
        <v>480</v>
      </c>
      <c r="F507" s="13" t="n">
        <v>50</v>
      </c>
      <c r="G507" s="17" t="n">
        <f aca="false">IF(A507="","",E507-N(F507))</f>
        <v>430</v>
      </c>
      <c r="H507" s="13" t="n">
        <v>430</v>
      </c>
      <c r="I507" s="17" t="n">
        <f aca="false">IF(A507="","",SUMIFS(Due_Payments!$C$2:$C$1001,Due_Payments!$B$2:$B$1001,A507))</f>
        <v>0</v>
      </c>
      <c r="J507" s="17" t="n">
        <f aca="false">IF(A507="","",G507-N(H507)-I507)</f>
        <v>0</v>
      </c>
      <c r="K507" s="7" t="s">
        <v>13</v>
      </c>
      <c r="L507" s="7" t="s">
        <v>666</v>
      </c>
      <c r="M507" s="7"/>
    </row>
    <row r="508" customFormat="false" ht="15" hidden="false" customHeight="true" outlineLevel="0" collapsed="false">
      <c r="A508" s="7" t="s">
        <v>948</v>
      </c>
      <c r="B508" s="15" t="n">
        <v>46299</v>
      </c>
      <c r="C508" s="7" t="s">
        <v>241</v>
      </c>
      <c r="D508" s="7" t="s">
        <v>242</v>
      </c>
      <c r="E508" s="17" t="n">
        <f aca="false">IF(A508="","",SUMIFS(Sales_Items!$H$2:$H$3001,Sales_Items!$A$2:$A$3001,A508))</f>
        <v>1160</v>
      </c>
      <c r="F508" s="13" t="n">
        <v>0</v>
      </c>
      <c r="G508" s="17" t="n">
        <f aca="false">IF(A508="","",E508-N(F508))</f>
        <v>1160</v>
      </c>
      <c r="H508" s="13" t="n">
        <v>1160</v>
      </c>
      <c r="I508" s="17" t="n">
        <f aca="false">IF(A508="","",SUMIFS(Due_Payments!$C$2:$C$1001,Due_Payments!$B$2:$B$1001,A508))</f>
        <v>0</v>
      </c>
      <c r="J508" s="17" t="n">
        <f aca="false">IF(A508="","",G508-N(H508)-I508)</f>
        <v>0</v>
      </c>
      <c r="K508" s="7" t="s">
        <v>13</v>
      </c>
      <c r="L508" s="7" t="s">
        <v>754</v>
      </c>
      <c r="M508" s="7"/>
    </row>
    <row r="509" customFormat="false" ht="15" hidden="false" customHeight="true" outlineLevel="0" collapsed="false">
      <c r="A509" s="7" t="s">
        <v>949</v>
      </c>
      <c r="B509" s="15" t="n">
        <v>46299</v>
      </c>
      <c r="C509" s="7" t="s">
        <v>217</v>
      </c>
      <c r="D509" s="7" t="s">
        <v>218</v>
      </c>
      <c r="E509" s="17" t="n">
        <f aca="false">IF(A509="","",SUMIFS(Sales_Items!$H$2:$H$3001,Sales_Items!$A$2:$A$3001,A509))</f>
        <v>920</v>
      </c>
      <c r="F509" s="13" t="n">
        <v>0</v>
      </c>
      <c r="G509" s="17" t="n">
        <f aca="false">IF(A509="","",E509-N(F509))</f>
        <v>920</v>
      </c>
      <c r="H509" s="13" t="n">
        <v>920</v>
      </c>
      <c r="I509" s="17" t="n">
        <f aca="false">IF(A509="","",SUMIFS(Due_Payments!$C$2:$C$1001,Due_Payments!$B$2:$B$1001,A509))</f>
        <v>0</v>
      </c>
      <c r="J509" s="17" t="n">
        <f aca="false">IF(A509="","",G509-N(H509)-I509)</f>
        <v>0</v>
      </c>
      <c r="K509" s="7" t="s">
        <v>21</v>
      </c>
      <c r="L509" s="7" t="s">
        <v>367</v>
      </c>
      <c r="M509" s="7"/>
    </row>
    <row r="510" customFormat="false" ht="15" hidden="false" customHeight="true" outlineLevel="0" collapsed="false">
      <c r="A510" s="7" t="s">
        <v>950</v>
      </c>
      <c r="B510" s="15" t="n">
        <v>46299</v>
      </c>
      <c r="C510" s="7" t="s">
        <v>293</v>
      </c>
      <c r="D510" s="7" t="s">
        <v>294</v>
      </c>
      <c r="E510" s="17" t="n">
        <f aca="false">IF(A510="","",SUMIFS(Sales_Items!$H$2:$H$3001,Sales_Items!$A$2:$A$3001,A510))</f>
        <v>280</v>
      </c>
      <c r="F510" s="13" t="n">
        <v>0</v>
      </c>
      <c r="G510" s="17" t="n">
        <f aca="false">IF(A510="","",E510-N(F510))</f>
        <v>280</v>
      </c>
      <c r="H510" s="13" t="n">
        <v>280</v>
      </c>
      <c r="I510" s="17" t="n">
        <f aca="false">IF(A510="","",SUMIFS(Due_Payments!$C$2:$C$1001,Due_Payments!$B$2:$B$1001,A510))</f>
        <v>0</v>
      </c>
      <c r="J510" s="17" t="n">
        <f aca="false">IF(A510="","",G510-N(H510)-I510)</f>
        <v>0</v>
      </c>
      <c r="K510" s="7" t="s">
        <v>13</v>
      </c>
      <c r="L510" s="7" t="s">
        <v>235</v>
      </c>
      <c r="M510" s="7"/>
    </row>
    <row r="511" customFormat="false" ht="15" hidden="false" customHeight="true" outlineLevel="0" collapsed="false">
      <c r="A511" s="7" t="s">
        <v>951</v>
      </c>
      <c r="B511" s="15" t="n">
        <v>46299</v>
      </c>
      <c r="C511" s="7" t="s">
        <v>198</v>
      </c>
      <c r="D511" s="7" t="s">
        <v>199</v>
      </c>
      <c r="E511" s="17" t="n">
        <f aca="false">IF(A511="","",SUMIFS(Sales_Items!$H$2:$H$3001,Sales_Items!$A$2:$A$3001,A511))</f>
        <v>530</v>
      </c>
      <c r="F511" s="13" t="n">
        <v>0</v>
      </c>
      <c r="G511" s="17" t="n">
        <f aca="false">IF(A511="","",E511-N(F511))</f>
        <v>530</v>
      </c>
      <c r="H511" s="13" t="n">
        <v>530</v>
      </c>
      <c r="I511" s="17" t="n">
        <f aca="false">IF(A511="","",SUMIFS(Due_Payments!$C$2:$C$1001,Due_Payments!$B$2:$B$1001,A511))</f>
        <v>0</v>
      </c>
      <c r="J511" s="17" t="n">
        <f aca="false">IF(A511="","",G511-N(H511)-I511)</f>
        <v>0</v>
      </c>
      <c r="K511" s="7" t="s">
        <v>21</v>
      </c>
      <c r="L511" s="7" t="s">
        <v>484</v>
      </c>
      <c r="M511" s="7"/>
    </row>
    <row r="512" customFormat="false" ht="15" hidden="false" customHeight="true" outlineLevel="0" collapsed="false">
      <c r="A512" s="7" t="s">
        <v>952</v>
      </c>
      <c r="B512" s="15" t="n">
        <v>46299</v>
      </c>
      <c r="C512" s="7" t="s">
        <v>198</v>
      </c>
      <c r="D512" s="7" t="s">
        <v>199</v>
      </c>
      <c r="E512" s="17" t="n">
        <f aca="false">IF(A512="","",SUMIFS(Sales_Items!$H$2:$H$3001,Sales_Items!$A$2:$A$3001,A512))</f>
        <v>480</v>
      </c>
      <c r="F512" s="13" t="n">
        <v>0</v>
      </c>
      <c r="G512" s="17" t="n">
        <f aca="false">IF(A512="","",E512-N(F512))</f>
        <v>480</v>
      </c>
      <c r="H512" s="13" t="n">
        <v>480</v>
      </c>
      <c r="I512" s="17" t="n">
        <f aca="false">IF(A512="","",SUMIFS(Due_Payments!$C$2:$C$1001,Due_Payments!$B$2:$B$1001,A512))</f>
        <v>0</v>
      </c>
      <c r="J512" s="17" t="n">
        <f aca="false">IF(A512="","",G512-N(H512)-I512)</f>
        <v>0</v>
      </c>
      <c r="K512" s="7" t="s">
        <v>13</v>
      </c>
      <c r="L512" s="7" t="s">
        <v>254</v>
      </c>
      <c r="M512" s="7"/>
    </row>
    <row r="513" customFormat="false" ht="15" hidden="false" customHeight="true" outlineLevel="0" collapsed="false">
      <c r="A513" s="7" t="s">
        <v>953</v>
      </c>
      <c r="B513" s="15" t="n">
        <v>46299</v>
      </c>
      <c r="C513" s="7" t="s">
        <v>344</v>
      </c>
      <c r="D513" s="7" t="s">
        <v>345</v>
      </c>
      <c r="E513" s="17" t="n">
        <f aca="false">IF(A513="","",SUMIFS(Sales_Items!$H$2:$H$3001,Sales_Items!$A$2:$A$3001,A513))</f>
        <v>550</v>
      </c>
      <c r="F513" s="13" t="n">
        <v>0</v>
      </c>
      <c r="G513" s="17" t="n">
        <f aca="false">IF(A513="","",E513-N(F513))</f>
        <v>550</v>
      </c>
      <c r="H513" s="13" t="n">
        <v>550</v>
      </c>
      <c r="I513" s="17" t="n">
        <f aca="false">IF(A513="","",SUMIFS(Due_Payments!$C$2:$C$1001,Due_Payments!$B$2:$B$1001,A513))</f>
        <v>0</v>
      </c>
      <c r="J513" s="17" t="n">
        <f aca="false">IF(A513="","",G513-N(H513)-I513)</f>
        <v>0</v>
      </c>
      <c r="K513" s="7" t="s">
        <v>13</v>
      </c>
      <c r="L513" s="7" t="s">
        <v>954</v>
      </c>
      <c r="M513" s="7"/>
    </row>
    <row r="514" customFormat="false" ht="15" hidden="false" customHeight="true" outlineLevel="0" collapsed="false">
      <c r="A514" s="7" t="s">
        <v>955</v>
      </c>
      <c r="B514" s="15" t="n">
        <v>46300</v>
      </c>
      <c r="C514" s="7" t="s">
        <v>249</v>
      </c>
      <c r="D514" s="7" t="s">
        <v>250</v>
      </c>
      <c r="E514" s="17" t="n">
        <f aca="false">IF(A514="","",SUMIFS(Sales_Items!$H$2:$H$3001,Sales_Items!$A$2:$A$3001,A514))</f>
        <v>1080</v>
      </c>
      <c r="F514" s="13" t="n">
        <v>30</v>
      </c>
      <c r="G514" s="17" t="n">
        <f aca="false">IF(A514="","",E514-N(F514))</f>
        <v>1050</v>
      </c>
      <c r="H514" s="13" t="n">
        <v>1050</v>
      </c>
      <c r="I514" s="17" t="n">
        <f aca="false">IF(A514="","",SUMIFS(Due_Payments!$C$2:$C$1001,Due_Payments!$B$2:$B$1001,A514))</f>
        <v>0</v>
      </c>
      <c r="J514" s="17" t="n">
        <f aca="false">IF(A514="","",G514-N(H514)-I514)</f>
        <v>0</v>
      </c>
      <c r="K514" s="7" t="s">
        <v>21</v>
      </c>
      <c r="L514" s="7" t="s">
        <v>397</v>
      </c>
      <c r="M514" s="7"/>
    </row>
    <row r="515" customFormat="false" ht="15" hidden="false" customHeight="true" outlineLevel="0" collapsed="false">
      <c r="A515" s="7" t="s">
        <v>956</v>
      </c>
      <c r="B515" s="15" t="n">
        <v>46300</v>
      </c>
      <c r="C515" s="7" t="s">
        <v>221</v>
      </c>
      <c r="D515" s="7" t="s">
        <v>222</v>
      </c>
      <c r="E515" s="17" t="n">
        <f aca="false">IF(A515="","",SUMIFS(Sales_Items!$H$2:$H$3001,Sales_Items!$A$2:$A$3001,A515))</f>
        <v>240</v>
      </c>
      <c r="F515" s="13" t="n">
        <v>100</v>
      </c>
      <c r="G515" s="17" t="n">
        <f aca="false">IF(A515="","",E515-N(F515))</f>
        <v>140</v>
      </c>
      <c r="H515" s="13" t="n">
        <v>80</v>
      </c>
      <c r="I515" s="17" t="n">
        <f aca="false">IF(A515="","",SUMIFS(Due_Payments!$C$2:$C$1001,Due_Payments!$B$2:$B$1001,A515))</f>
        <v>60</v>
      </c>
      <c r="J515" s="17" t="n">
        <f aca="false">IF(A515="","",G515-N(H515)-I515)</f>
        <v>0</v>
      </c>
      <c r="K515" s="7" t="s">
        <v>21</v>
      </c>
      <c r="L515" s="7" t="s">
        <v>500</v>
      </c>
      <c r="M515" s="7"/>
    </row>
    <row r="516" customFormat="false" ht="15" hidden="false" customHeight="true" outlineLevel="0" collapsed="false">
      <c r="A516" s="7" t="s">
        <v>957</v>
      </c>
      <c r="B516" s="15" t="n">
        <v>46300</v>
      </c>
      <c r="C516" s="7" t="s">
        <v>229</v>
      </c>
      <c r="D516" s="7" t="s">
        <v>230</v>
      </c>
      <c r="E516" s="17" t="n">
        <f aca="false">IF(A516="","",SUMIFS(Sales_Items!$H$2:$H$3001,Sales_Items!$A$2:$A$3001,A516))</f>
        <v>1750</v>
      </c>
      <c r="F516" s="13" t="n">
        <v>0</v>
      </c>
      <c r="G516" s="17" t="n">
        <f aca="false">IF(A516="","",E516-N(F516))</f>
        <v>1750</v>
      </c>
      <c r="H516" s="13" t="n">
        <v>1090</v>
      </c>
      <c r="I516" s="17" t="n">
        <f aca="false">IF(A516="","",SUMIFS(Due_Payments!$C$2:$C$1001,Due_Payments!$B$2:$B$1001,A516))</f>
        <v>330</v>
      </c>
      <c r="J516" s="17" t="n">
        <f aca="false">IF(A516="","",G516-N(H516)-I516)</f>
        <v>330</v>
      </c>
      <c r="K516" s="7" t="s">
        <v>29</v>
      </c>
      <c r="L516" s="7" t="s">
        <v>354</v>
      </c>
      <c r="M516" s="7"/>
    </row>
    <row r="517" customFormat="false" ht="15" hidden="false" customHeight="true" outlineLevel="0" collapsed="false">
      <c r="A517" s="7" t="s">
        <v>958</v>
      </c>
      <c r="B517" s="15" t="n">
        <v>46300</v>
      </c>
      <c r="C517" s="7" t="s">
        <v>213</v>
      </c>
      <c r="D517" s="7" t="s">
        <v>214</v>
      </c>
      <c r="E517" s="17" t="n">
        <f aca="false">IF(A517="","",SUMIFS(Sales_Items!$H$2:$H$3001,Sales_Items!$A$2:$A$3001,A517))</f>
        <v>240</v>
      </c>
      <c r="F517" s="13" t="n">
        <v>100</v>
      </c>
      <c r="G517" s="17" t="n">
        <f aca="false">IF(A517="","",E517-N(F517))</f>
        <v>140</v>
      </c>
      <c r="H517" s="13" t="n">
        <v>140</v>
      </c>
      <c r="I517" s="17" t="n">
        <f aca="false">IF(A517="","",SUMIFS(Due_Payments!$C$2:$C$1001,Due_Payments!$B$2:$B$1001,A517))</f>
        <v>0</v>
      </c>
      <c r="J517" s="17" t="n">
        <f aca="false">IF(A517="","",G517-N(H517)-I517)</f>
        <v>0</v>
      </c>
      <c r="K517" s="7" t="s">
        <v>13</v>
      </c>
      <c r="L517" s="7" t="s">
        <v>500</v>
      </c>
      <c r="M517" s="7"/>
    </row>
    <row r="518" customFormat="false" ht="15" hidden="false" customHeight="true" outlineLevel="0" collapsed="false">
      <c r="A518" s="7" t="s">
        <v>959</v>
      </c>
      <c r="B518" s="15" t="n">
        <v>46300</v>
      </c>
      <c r="C518" s="7" t="s">
        <v>256</v>
      </c>
      <c r="D518" s="7" t="s">
        <v>257</v>
      </c>
      <c r="E518" s="17" t="n">
        <f aca="false">IF(A518="","",SUMIFS(Sales_Items!$H$2:$H$3001,Sales_Items!$A$2:$A$3001,A518))</f>
        <v>1010</v>
      </c>
      <c r="F518" s="13" t="n">
        <v>50</v>
      </c>
      <c r="G518" s="17" t="n">
        <f aca="false">IF(A518="","",E518-N(F518))</f>
        <v>960</v>
      </c>
      <c r="H518" s="13" t="n">
        <v>960</v>
      </c>
      <c r="I518" s="17" t="n">
        <f aca="false">IF(A518="","",SUMIFS(Due_Payments!$C$2:$C$1001,Due_Payments!$B$2:$B$1001,A518))</f>
        <v>0</v>
      </c>
      <c r="J518" s="17" t="n">
        <f aca="false">IF(A518="","",G518-N(H518)-I518)</f>
        <v>0</v>
      </c>
      <c r="K518" s="7" t="s">
        <v>21</v>
      </c>
      <c r="L518" s="7" t="s">
        <v>513</v>
      </c>
      <c r="M518" s="7"/>
    </row>
    <row r="519" customFormat="false" ht="15" hidden="false" customHeight="true" outlineLevel="0" collapsed="false">
      <c r="A519" s="7" t="s">
        <v>960</v>
      </c>
      <c r="B519" s="15" t="n">
        <v>46300</v>
      </c>
      <c r="C519" s="7" t="s">
        <v>198</v>
      </c>
      <c r="D519" s="7" t="s">
        <v>199</v>
      </c>
      <c r="E519" s="17" t="n">
        <f aca="false">IF(A519="","",SUMIFS(Sales_Items!$H$2:$H$3001,Sales_Items!$A$2:$A$3001,A519))</f>
        <v>1080</v>
      </c>
      <c r="F519" s="13" t="n">
        <v>0</v>
      </c>
      <c r="G519" s="17" t="n">
        <f aca="false">IF(A519="","",E519-N(F519))</f>
        <v>1080</v>
      </c>
      <c r="H519" s="13" t="n">
        <v>1080</v>
      </c>
      <c r="I519" s="17" t="n">
        <f aca="false">IF(A519="","",SUMIFS(Due_Payments!$C$2:$C$1001,Due_Payments!$B$2:$B$1001,A519))</f>
        <v>0</v>
      </c>
      <c r="J519" s="17" t="n">
        <f aca="false">IF(A519="","",G519-N(H519)-I519)</f>
        <v>0</v>
      </c>
      <c r="K519" s="7" t="s">
        <v>13</v>
      </c>
      <c r="L519" s="7" t="s">
        <v>961</v>
      </c>
      <c r="M519" s="7"/>
    </row>
    <row r="520" customFormat="false" ht="15" hidden="false" customHeight="true" outlineLevel="0" collapsed="false">
      <c r="A520" s="7" t="s">
        <v>962</v>
      </c>
      <c r="B520" s="15" t="n">
        <v>46300</v>
      </c>
      <c r="C520" s="7" t="s">
        <v>263</v>
      </c>
      <c r="D520" s="7" t="s">
        <v>264</v>
      </c>
      <c r="E520" s="17" t="n">
        <f aca="false">IF(A520="","",SUMIFS(Sales_Items!$H$2:$H$3001,Sales_Items!$A$2:$A$3001,A520))</f>
        <v>480</v>
      </c>
      <c r="F520" s="13" t="n">
        <v>0</v>
      </c>
      <c r="G520" s="17" t="n">
        <f aca="false">IF(A520="","",E520-N(F520))</f>
        <v>480</v>
      </c>
      <c r="H520" s="13" t="n">
        <v>480</v>
      </c>
      <c r="I520" s="17" t="n">
        <f aca="false">IF(A520="","",SUMIFS(Due_Payments!$C$2:$C$1001,Due_Payments!$B$2:$B$1001,A520))</f>
        <v>0</v>
      </c>
      <c r="J520" s="17" t="n">
        <f aca="false">IF(A520="","",G520-N(H520)-I520)</f>
        <v>0</v>
      </c>
      <c r="K520" s="7" t="s">
        <v>13</v>
      </c>
      <c r="L520" s="7" t="s">
        <v>254</v>
      </c>
      <c r="M520" s="7"/>
    </row>
    <row r="521" customFormat="false" ht="15" hidden="false" customHeight="true" outlineLevel="0" collapsed="false">
      <c r="A521" s="7" t="s">
        <v>963</v>
      </c>
      <c r="B521" s="15" t="n">
        <v>46300</v>
      </c>
      <c r="C521" s="7" t="s">
        <v>307</v>
      </c>
      <c r="D521" s="7" t="s">
        <v>308</v>
      </c>
      <c r="E521" s="17" t="n">
        <f aca="false">IF(A521="","",SUMIFS(Sales_Items!$H$2:$H$3001,Sales_Items!$A$2:$A$3001,A521))</f>
        <v>190</v>
      </c>
      <c r="F521" s="13" t="n">
        <v>0</v>
      </c>
      <c r="G521" s="17" t="n">
        <f aca="false">IF(A521="","",E521-N(F521))</f>
        <v>190</v>
      </c>
      <c r="H521" s="13" t="n">
        <v>190</v>
      </c>
      <c r="I521" s="17" t="n">
        <f aca="false">IF(A521="","",SUMIFS(Due_Payments!$C$2:$C$1001,Due_Payments!$B$2:$B$1001,A521))</f>
        <v>0</v>
      </c>
      <c r="J521" s="17" t="n">
        <f aca="false">IF(A521="","",G521-N(H521)-I521)</f>
        <v>0</v>
      </c>
      <c r="K521" s="7" t="s">
        <v>21</v>
      </c>
      <c r="L521" s="7" t="s">
        <v>342</v>
      </c>
      <c r="M521" s="7"/>
    </row>
    <row r="522" customFormat="false" ht="15" hidden="false" customHeight="true" outlineLevel="0" collapsed="false">
      <c r="A522" s="7" t="s">
        <v>964</v>
      </c>
      <c r="B522" s="15" t="n">
        <v>46300</v>
      </c>
      <c r="C522" s="7" t="s">
        <v>300</v>
      </c>
      <c r="D522" s="7" t="s">
        <v>301</v>
      </c>
      <c r="E522" s="17" t="n">
        <f aca="false">IF(A522="","",SUMIFS(Sales_Items!$H$2:$H$3001,Sales_Items!$A$2:$A$3001,A522))</f>
        <v>480</v>
      </c>
      <c r="F522" s="13" t="n">
        <v>50</v>
      </c>
      <c r="G522" s="17" t="n">
        <f aca="false">IF(A522="","",E522-N(F522))</f>
        <v>430</v>
      </c>
      <c r="H522" s="13" t="n">
        <v>430</v>
      </c>
      <c r="I522" s="17" t="n">
        <f aca="false">IF(A522="","",SUMIFS(Due_Payments!$C$2:$C$1001,Due_Payments!$B$2:$B$1001,A522))</f>
        <v>0</v>
      </c>
      <c r="J522" s="17" t="n">
        <f aca="false">IF(A522="","",G522-N(H522)-I522)</f>
        <v>0</v>
      </c>
      <c r="K522" s="7" t="s">
        <v>13</v>
      </c>
      <c r="L522" s="7" t="s">
        <v>666</v>
      </c>
      <c r="M522" s="7"/>
    </row>
    <row r="523" customFormat="false" ht="15" hidden="false" customHeight="true" outlineLevel="0" collapsed="false">
      <c r="A523" s="7" t="s">
        <v>965</v>
      </c>
      <c r="B523" s="15" t="n">
        <v>46300</v>
      </c>
      <c r="C523" s="7" t="s">
        <v>275</v>
      </c>
      <c r="D523" s="7" t="s">
        <v>276</v>
      </c>
      <c r="E523" s="17" t="n">
        <f aca="false">IF(A523="","",SUMIFS(Sales_Items!$H$2:$H$3001,Sales_Items!$A$2:$A$3001,A523))</f>
        <v>3450</v>
      </c>
      <c r="F523" s="13" t="n">
        <v>0</v>
      </c>
      <c r="G523" s="17" t="n">
        <f aca="false">IF(A523="","",E523-N(F523))</f>
        <v>3450</v>
      </c>
      <c r="H523" s="13" t="n">
        <v>3450</v>
      </c>
      <c r="I523" s="17" t="n">
        <f aca="false">IF(A523="","",SUMIFS(Due_Payments!$C$2:$C$1001,Due_Payments!$B$2:$B$1001,A523))</f>
        <v>0</v>
      </c>
      <c r="J523" s="17" t="n">
        <f aca="false">IF(A523="","",G523-N(H523)-I523)</f>
        <v>0</v>
      </c>
      <c r="K523" s="7" t="s">
        <v>21</v>
      </c>
      <c r="L523" s="7" t="s">
        <v>966</v>
      </c>
      <c r="M523" s="7"/>
    </row>
    <row r="524" customFormat="false" ht="15" hidden="false" customHeight="true" outlineLevel="0" collapsed="false">
      <c r="A524" s="7" t="s">
        <v>967</v>
      </c>
      <c r="B524" s="15" t="n">
        <v>46301</v>
      </c>
      <c r="C524" s="7" t="s">
        <v>293</v>
      </c>
      <c r="D524" s="7" t="s">
        <v>294</v>
      </c>
      <c r="E524" s="17" t="n">
        <f aca="false">IF(A524="","",SUMIFS(Sales_Items!$H$2:$H$3001,Sales_Items!$A$2:$A$3001,A524))</f>
        <v>570</v>
      </c>
      <c r="F524" s="13" t="n">
        <v>50</v>
      </c>
      <c r="G524" s="17" t="n">
        <f aca="false">IF(A524="","",E524-N(F524))</f>
        <v>520</v>
      </c>
      <c r="H524" s="13" t="n">
        <v>520</v>
      </c>
      <c r="I524" s="17" t="n">
        <f aca="false">IF(A524="","",SUMIFS(Due_Payments!$C$2:$C$1001,Due_Payments!$B$2:$B$1001,A524))</f>
        <v>0</v>
      </c>
      <c r="J524" s="17" t="n">
        <f aca="false">IF(A524="","",G524-N(H524)-I524)</f>
        <v>0</v>
      </c>
      <c r="K524" s="7" t="s">
        <v>21</v>
      </c>
      <c r="L524" s="7" t="s">
        <v>323</v>
      </c>
      <c r="M524" s="7"/>
    </row>
    <row r="525" customFormat="false" ht="15" hidden="false" customHeight="true" outlineLevel="0" collapsed="false">
      <c r="A525" s="7" t="s">
        <v>968</v>
      </c>
      <c r="B525" s="15" t="n">
        <v>46301</v>
      </c>
      <c r="C525" s="7" t="s">
        <v>217</v>
      </c>
      <c r="D525" s="7" t="s">
        <v>218</v>
      </c>
      <c r="E525" s="17" t="n">
        <f aca="false">IF(A525="","",SUMIFS(Sales_Items!$H$2:$H$3001,Sales_Items!$A$2:$A$3001,A525))</f>
        <v>620</v>
      </c>
      <c r="F525" s="13" t="n">
        <v>50</v>
      </c>
      <c r="G525" s="17" t="n">
        <f aca="false">IF(A525="","",E525-N(F525))</f>
        <v>570</v>
      </c>
      <c r="H525" s="13" t="n">
        <v>570</v>
      </c>
      <c r="I525" s="17" t="n">
        <f aca="false">IF(A525="","",SUMIFS(Due_Payments!$C$2:$C$1001,Due_Payments!$B$2:$B$1001,A525))</f>
        <v>0</v>
      </c>
      <c r="J525" s="17" t="n">
        <f aca="false">IF(A525="","",G525-N(H525)-I525)</f>
        <v>0</v>
      </c>
      <c r="K525" s="7" t="s">
        <v>13</v>
      </c>
      <c r="L525" s="7" t="s">
        <v>468</v>
      </c>
      <c r="M525" s="7"/>
    </row>
    <row r="526" customFormat="false" ht="15" hidden="false" customHeight="true" outlineLevel="0" collapsed="false">
      <c r="A526" s="7" t="s">
        <v>969</v>
      </c>
      <c r="B526" s="15" t="n">
        <v>46301</v>
      </c>
      <c r="C526" s="7" t="s">
        <v>213</v>
      </c>
      <c r="D526" s="7" t="s">
        <v>214</v>
      </c>
      <c r="E526" s="17" t="n">
        <f aca="false">IF(A526="","",SUMIFS(Sales_Items!$H$2:$H$3001,Sales_Items!$A$2:$A$3001,A526))</f>
        <v>270</v>
      </c>
      <c r="F526" s="13" t="n">
        <v>10</v>
      </c>
      <c r="G526" s="17" t="n">
        <f aca="false">IF(A526="","",E526-N(F526))</f>
        <v>260</v>
      </c>
      <c r="H526" s="13" t="n">
        <v>260</v>
      </c>
      <c r="I526" s="17" t="n">
        <f aca="false">IF(A526="","",SUMIFS(Due_Payments!$C$2:$C$1001,Due_Payments!$B$2:$B$1001,A526))</f>
        <v>0</v>
      </c>
      <c r="J526" s="17" t="n">
        <f aca="false">IF(A526="","",G526-N(H526)-I526)</f>
        <v>0</v>
      </c>
      <c r="K526" s="7" t="s">
        <v>13</v>
      </c>
      <c r="L526" s="7" t="s">
        <v>265</v>
      </c>
      <c r="M526" s="7"/>
    </row>
    <row r="527" customFormat="false" ht="15" hidden="false" customHeight="true" outlineLevel="0" collapsed="false">
      <c r="A527" s="7" t="s">
        <v>970</v>
      </c>
      <c r="B527" s="15" t="n">
        <v>46301</v>
      </c>
      <c r="C527" s="7" t="s">
        <v>225</v>
      </c>
      <c r="D527" s="7" t="s">
        <v>226</v>
      </c>
      <c r="E527" s="17" t="n">
        <f aca="false">IF(A527="","",SUMIFS(Sales_Items!$H$2:$H$3001,Sales_Items!$A$2:$A$3001,A527))</f>
        <v>510</v>
      </c>
      <c r="F527" s="13" t="n">
        <v>50</v>
      </c>
      <c r="G527" s="17" t="n">
        <f aca="false">IF(A527="","",E527-N(F527))</f>
        <v>460</v>
      </c>
      <c r="H527" s="13" t="n">
        <v>460</v>
      </c>
      <c r="I527" s="17" t="n">
        <f aca="false">IF(A527="","",SUMIFS(Due_Payments!$C$2:$C$1001,Due_Payments!$B$2:$B$1001,A527))</f>
        <v>0</v>
      </c>
      <c r="J527" s="17" t="n">
        <f aca="false">IF(A527="","",G527-N(H527)-I527)</f>
        <v>0</v>
      </c>
      <c r="K527" s="7" t="s">
        <v>13</v>
      </c>
      <c r="L527" s="7" t="s">
        <v>575</v>
      </c>
      <c r="M527" s="7"/>
    </row>
    <row r="528" customFormat="false" ht="15" hidden="false" customHeight="true" outlineLevel="0" collapsed="false">
      <c r="A528" s="7" t="s">
        <v>971</v>
      </c>
      <c r="B528" s="15" t="n">
        <v>46301</v>
      </c>
      <c r="C528" s="7" t="s">
        <v>198</v>
      </c>
      <c r="D528" s="7" t="s">
        <v>199</v>
      </c>
      <c r="E528" s="17" t="n">
        <f aca="false">IF(A528="","",SUMIFS(Sales_Items!$H$2:$H$3001,Sales_Items!$A$2:$A$3001,A528))</f>
        <v>790</v>
      </c>
      <c r="F528" s="13" t="n">
        <v>100</v>
      </c>
      <c r="G528" s="17" t="n">
        <f aca="false">IF(A528="","",E528-N(F528))</f>
        <v>690</v>
      </c>
      <c r="H528" s="13" t="n">
        <v>690</v>
      </c>
      <c r="I528" s="17" t="n">
        <f aca="false">IF(A528="","",SUMIFS(Due_Payments!$C$2:$C$1001,Due_Payments!$B$2:$B$1001,A528))</f>
        <v>0</v>
      </c>
      <c r="J528" s="17" t="n">
        <f aca="false">IF(A528="","",G528-N(H528)-I528)</f>
        <v>0</v>
      </c>
      <c r="K528" s="7" t="s">
        <v>13</v>
      </c>
      <c r="L528" s="7" t="s">
        <v>387</v>
      </c>
      <c r="M528" s="7"/>
    </row>
    <row r="529" customFormat="false" ht="15" hidden="false" customHeight="true" outlineLevel="0" collapsed="false">
      <c r="A529" s="7" t="s">
        <v>972</v>
      </c>
      <c r="B529" s="15" t="n">
        <v>46301</v>
      </c>
      <c r="C529" s="7" t="s">
        <v>307</v>
      </c>
      <c r="D529" s="7" t="s">
        <v>308</v>
      </c>
      <c r="E529" s="17" t="n">
        <f aca="false">IF(A529="","",SUMIFS(Sales_Items!$H$2:$H$3001,Sales_Items!$A$2:$A$3001,A529))</f>
        <v>810</v>
      </c>
      <c r="F529" s="13" t="n">
        <v>0</v>
      </c>
      <c r="G529" s="17" t="n">
        <f aca="false">IF(A529="","",E529-N(F529))</f>
        <v>810</v>
      </c>
      <c r="H529" s="13" t="n">
        <v>810</v>
      </c>
      <c r="I529" s="17" t="n">
        <f aca="false">IF(A529="","",SUMIFS(Due_Payments!$C$2:$C$1001,Due_Payments!$B$2:$B$1001,A529))</f>
        <v>0</v>
      </c>
      <c r="J529" s="17" t="n">
        <f aca="false">IF(A529="","",G529-N(H529)-I529)</f>
        <v>0</v>
      </c>
      <c r="K529" s="7" t="s">
        <v>21</v>
      </c>
      <c r="L529" s="7" t="s">
        <v>233</v>
      </c>
      <c r="M529" s="7"/>
    </row>
    <row r="530" customFormat="false" ht="15" hidden="false" customHeight="true" outlineLevel="0" collapsed="false">
      <c r="A530" s="7" t="s">
        <v>973</v>
      </c>
      <c r="B530" s="15" t="n">
        <v>46301</v>
      </c>
      <c r="C530" s="7" t="s">
        <v>293</v>
      </c>
      <c r="D530" s="7" t="s">
        <v>294</v>
      </c>
      <c r="E530" s="17" t="n">
        <f aca="false">IF(A530="","",SUMIFS(Sales_Items!$H$2:$H$3001,Sales_Items!$A$2:$A$3001,A530))</f>
        <v>860</v>
      </c>
      <c r="F530" s="13" t="n">
        <v>0</v>
      </c>
      <c r="G530" s="17" t="n">
        <f aca="false">IF(A530="","",E530-N(F530))</f>
        <v>860</v>
      </c>
      <c r="H530" s="13" t="n">
        <v>590</v>
      </c>
      <c r="I530" s="17" t="n">
        <f aca="false">IF(A530="","",SUMIFS(Due_Payments!$C$2:$C$1001,Due_Payments!$B$2:$B$1001,A530))</f>
        <v>140</v>
      </c>
      <c r="J530" s="17" t="n">
        <f aca="false">IF(A530="","",G530-N(H530)-I530)</f>
        <v>130</v>
      </c>
      <c r="K530" s="7" t="s">
        <v>13</v>
      </c>
      <c r="L530" s="7" t="s">
        <v>277</v>
      </c>
      <c r="M530" s="7"/>
    </row>
    <row r="531" customFormat="false" ht="15" hidden="false" customHeight="true" outlineLevel="0" collapsed="false">
      <c r="A531" s="7" t="s">
        <v>974</v>
      </c>
      <c r="B531" s="15" t="n">
        <v>46302</v>
      </c>
      <c r="C531" s="7" t="s">
        <v>282</v>
      </c>
      <c r="D531" s="7" t="s">
        <v>283</v>
      </c>
      <c r="E531" s="17" t="n">
        <f aca="false">IF(A531="","",SUMIFS(Sales_Items!$H$2:$H$3001,Sales_Items!$A$2:$A$3001,A531))</f>
        <v>190</v>
      </c>
      <c r="F531" s="13" t="n">
        <v>10</v>
      </c>
      <c r="G531" s="17" t="n">
        <f aca="false">IF(A531="","",E531-N(F531))</f>
        <v>180</v>
      </c>
      <c r="H531" s="13" t="n">
        <v>180</v>
      </c>
      <c r="I531" s="17" t="n">
        <f aca="false">IF(A531="","",SUMIFS(Due_Payments!$C$2:$C$1001,Due_Payments!$B$2:$B$1001,A531))</f>
        <v>0</v>
      </c>
      <c r="J531" s="17" t="n">
        <f aca="false">IF(A531="","",G531-N(H531)-I531)</f>
        <v>0</v>
      </c>
      <c r="K531" s="7" t="s">
        <v>13</v>
      </c>
      <c r="L531" s="7" t="s">
        <v>447</v>
      </c>
      <c r="M531" s="7"/>
    </row>
    <row r="532" customFormat="false" ht="15" hidden="false" customHeight="true" outlineLevel="0" collapsed="false">
      <c r="A532" s="7" t="s">
        <v>975</v>
      </c>
      <c r="B532" s="15" t="n">
        <v>46302</v>
      </c>
      <c r="C532" s="7" t="s">
        <v>256</v>
      </c>
      <c r="D532" s="7" t="s">
        <v>257</v>
      </c>
      <c r="E532" s="17" t="n">
        <f aca="false">IF(A532="","",SUMIFS(Sales_Items!$H$2:$H$3001,Sales_Items!$A$2:$A$3001,A532))</f>
        <v>990</v>
      </c>
      <c r="F532" s="13" t="n">
        <v>50</v>
      </c>
      <c r="G532" s="17" t="n">
        <f aca="false">IF(A532="","",E532-N(F532))</f>
        <v>940</v>
      </c>
      <c r="H532" s="13" t="n">
        <v>940</v>
      </c>
      <c r="I532" s="17" t="n">
        <f aca="false">IF(A532="","",SUMIFS(Due_Payments!$C$2:$C$1001,Due_Payments!$B$2:$B$1001,A532))</f>
        <v>0</v>
      </c>
      <c r="J532" s="17" t="n">
        <f aca="false">IF(A532="","",G532-N(H532)-I532)</f>
        <v>0</v>
      </c>
      <c r="K532" s="7" t="s">
        <v>21</v>
      </c>
      <c r="L532" s="7" t="s">
        <v>200</v>
      </c>
      <c r="M532" s="7"/>
    </row>
    <row r="533" customFormat="false" ht="15" hidden="false" customHeight="true" outlineLevel="0" collapsed="false">
      <c r="A533" s="7" t="s">
        <v>976</v>
      </c>
      <c r="B533" s="15" t="n">
        <v>46302</v>
      </c>
      <c r="C533" s="7" t="s">
        <v>198</v>
      </c>
      <c r="D533" s="7" t="s">
        <v>199</v>
      </c>
      <c r="E533" s="17" t="n">
        <f aca="false">IF(A533="","",SUMIFS(Sales_Items!$H$2:$H$3001,Sales_Items!$A$2:$A$3001,A533))</f>
        <v>1300</v>
      </c>
      <c r="F533" s="13" t="n">
        <v>50</v>
      </c>
      <c r="G533" s="17" t="n">
        <f aca="false">IF(A533="","",E533-N(F533))</f>
        <v>1250</v>
      </c>
      <c r="H533" s="13" t="n">
        <v>1250</v>
      </c>
      <c r="I533" s="17" t="n">
        <f aca="false">IF(A533="","",SUMIFS(Due_Payments!$C$2:$C$1001,Due_Payments!$B$2:$B$1001,A533))</f>
        <v>0</v>
      </c>
      <c r="J533" s="17" t="n">
        <f aca="false">IF(A533="","",G533-N(H533)-I533)</f>
        <v>0</v>
      </c>
      <c r="K533" s="7" t="s">
        <v>13</v>
      </c>
      <c r="L533" s="7" t="s">
        <v>977</v>
      </c>
      <c r="M533" s="7"/>
    </row>
    <row r="534" customFormat="false" ht="15" hidden="false" customHeight="true" outlineLevel="0" collapsed="false">
      <c r="A534" s="7" t="s">
        <v>978</v>
      </c>
      <c r="B534" s="15" t="n">
        <v>46302</v>
      </c>
      <c r="C534" s="7" t="s">
        <v>263</v>
      </c>
      <c r="D534" s="7" t="s">
        <v>264</v>
      </c>
      <c r="E534" s="17" t="n">
        <f aca="false">IF(A534="","",SUMIFS(Sales_Items!$H$2:$H$3001,Sales_Items!$A$2:$A$3001,A534))</f>
        <v>480</v>
      </c>
      <c r="F534" s="13" t="n">
        <v>50</v>
      </c>
      <c r="G534" s="17" t="n">
        <f aca="false">IF(A534="","",E534-N(F534))</f>
        <v>430</v>
      </c>
      <c r="H534" s="13" t="n">
        <v>430</v>
      </c>
      <c r="I534" s="17" t="n">
        <f aca="false">IF(A534="","",SUMIFS(Due_Payments!$C$2:$C$1001,Due_Payments!$B$2:$B$1001,A534))</f>
        <v>0</v>
      </c>
      <c r="J534" s="17" t="n">
        <f aca="false">IF(A534="","",G534-N(H534)-I534)</f>
        <v>0</v>
      </c>
      <c r="K534" s="7" t="s">
        <v>21</v>
      </c>
      <c r="L534" s="7" t="s">
        <v>666</v>
      </c>
      <c r="M534" s="7"/>
    </row>
    <row r="535" customFormat="false" ht="15" hidden="false" customHeight="true" outlineLevel="0" collapsed="false">
      <c r="A535" s="7" t="s">
        <v>979</v>
      </c>
      <c r="B535" s="15" t="n">
        <v>46302</v>
      </c>
      <c r="C535" s="7" t="s">
        <v>275</v>
      </c>
      <c r="D535" s="7" t="s">
        <v>276</v>
      </c>
      <c r="E535" s="17" t="n">
        <f aca="false">IF(A535="","",SUMIFS(Sales_Items!$H$2:$H$3001,Sales_Items!$A$2:$A$3001,A535))</f>
        <v>520</v>
      </c>
      <c r="F535" s="13" t="n">
        <v>0</v>
      </c>
      <c r="G535" s="17" t="n">
        <f aca="false">IF(A535="","",E535-N(F535))</f>
        <v>520</v>
      </c>
      <c r="H535" s="13" t="n">
        <v>520</v>
      </c>
      <c r="I535" s="17" t="n">
        <f aca="false">IF(A535="","",SUMIFS(Due_Payments!$C$2:$C$1001,Due_Payments!$B$2:$B$1001,A535))</f>
        <v>0</v>
      </c>
      <c r="J535" s="17" t="n">
        <f aca="false">IF(A535="","",G535-N(H535)-I535)</f>
        <v>0</v>
      </c>
      <c r="K535" s="7" t="s">
        <v>21</v>
      </c>
      <c r="L535" s="7" t="s">
        <v>323</v>
      </c>
      <c r="M535" s="7"/>
    </row>
    <row r="536" customFormat="false" ht="15" hidden="false" customHeight="true" outlineLevel="0" collapsed="false">
      <c r="A536" s="7" t="s">
        <v>980</v>
      </c>
      <c r="B536" s="15" t="n">
        <v>46302</v>
      </c>
      <c r="C536" s="7" t="s">
        <v>282</v>
      </c>
      <c r="D536" s="7" t="s">
        <v>283</v>
      </c>
      <c r="E536" s="17" t="n">
        <f aca="false">IF(A536="","",SUMIFS(Sales_Items!$H$2:$H$3001,Sales_Items!$A$2:$A$3001,A536))</f>
        <v>840</v>
      </c>
      <c r="F536" s="13" t="n">
        <v>50</v>
      </c>
      <c r="G536" s="17" t="n">
        <f aca="false">IF(A536="","",E536-N(F536))</f>
        <v>790</v>
      </c>
      <c r="H536" s="13" t="n">
        <v>0</v>
      </c>
      <c r="I536" s="17" t="n">
        <f aca="false">IF(A536="","",SUMIFS(Due_Payments!$C$2:$C$1001,Due_Payments!$B$2:$B$1001,A536))</f>
        <v>790</v>
      </c>
      <c r="J536" s="17" t="n">
        <f aca="false">IF(A536="","",G536-N(H536)-I536)</f>
        <v>0</v>
      </c>
      <c r="K536" s="7" t="s">
        <v>21</v>
      </c>
      <c r="L536" s="7" t="s">
        <v>393</v>
      </c>
      <c r="M536" s="7"/>
    </row>
    <row r="537" customFormat="false" ht="15" hidden="false" customHeight="true" outlineLevel="0" collapsed="false">
      <c r="A537" s="7" t="s">
        <v>981</v>
      </c>
      <c r="B537" s="15" t="n">
        <v>46302</v>
      </c>
      <c r="C537" s="7" t="s">
        <v>202</v>
      </c>
      <c r="D537" s="7" t="s">
        <v>203</v>
      </c>
      <c r="E537" s="17" t="n">
        <f aca="false">IF(A537="","",SUMIFS(Sales_Items!$H$2:$H$3001,Sales_Items!$A$2:$A$3001,A537))</f>
        <v>270</v>
      </c>
      <c r="F537" s="13" t="n">
        <v>10</v>
      </c>
      <c r="G537" s="17" t="n">
        <f aca="false">IF(A537="","",E537-N(F537))</f>
        <v>260</v>
      </c>
      <c r="H537" s="13" t="n">
        <v>260</v>
      </c>
      <c r="I537" s="17" t="n">
        <f aca="false">IF(A537="","",SUMIFS(Due_Payments!$C$2:$C$1001,Due_Payments!$B$2:$B$1001,A537))</f>
        <v>0</v>
      </c>
      <c r="J537" s="17" t="n">
        <f aca="false">IF(A537="","",G537-N(H537)-I537)</f>
        <v>0</v>
      </c>
      <c r="K537" s="7" t="s">
        <v>37</v>
      </c>
      <c r="L537" s="7" t="s">
        <v>265</v>
      </c>
      <c r="M537" s="7"/>
    </row>
    <row r="538" customFormat="false" ht="15" hidden="false" customHeight="true" outlineLevel="0" collapsed="false">
      <c r="A538" s="7" t="s">
        <v>982</v>
      </c>
      <c r="B538" s="15" t="n">
        <v>46302</v>
      </c>
      <c r="C538" s="7" t="s">
        <v>249</v>
      </c>
      <c r="D538" s="7" t="s">
        <v>250</v>
      </c>
      <c r="E538" s="17" t="n">
        <f aca="false">IF(A538="","",SUMIFS(Sales_Items!$H$2:$H$3001,Sales_Items!$A$2:$A$3001,A538))</f>
        <v>1590</v>
      </c>
      <c r="F538" s="13" t="n">
        <v>0</v>
      </c>
      <c r="G538" s="17" t="n">
        <f aca="false">IF(A538="","",E538-N(F538))</f>
        <v>1590</v>
      </c>
      <c r="H538" s="13" t="n">
        <v>1590</v>
      </c>
      <c r="I538" s="17" t="n">
        <f aca="false">IF(A538="","",SUMIFS(Due_Payments!$C$2:$C$1001,Due_Payments!$B$2:$B$1001,A538))</f>
        <v>0</v>
      </c>
      <c r="J538" s="17" t="n">
        <f aca="false">IF(A538="","",G538-N(H538)-I538)</f>
        <v>0</v>
      </c>
      <c r="K538" s="7" t="s">
        <v>21</v>
      </c>
      <c r="L538" s="7" t="s">
        <v>321</v>
      </c>
      <c r="M538" s="7"/>
    </row>
    <row r="539" customFormat="false" ht="15" hidden="false" customHeight="true" outlineLevel="0" collapsed="false">
      <c r="A539" s="7" t="s">
        <v>983</v>
      </c>
      <c r="B539" s="15" t="n">
        <v>46302</v>
      </c>
      <c r="C539" s="7" t="s">
        <v>285</v>
      </c>
      <c r="D539" s="7" t="s">
        <v>286</v>
      </c>
      <c r="E539" s="17" t="n">
        <f aca="false">IF(A539="","",SUMIFS(Sales_Items!$H$2:$H$3001,Sales_Items!$A$2:$A$3001,A539))</f>
        <v>680</v>
      </c>
      <c r="F539" s="13" t="n">
        <v>100</v>
      </c>
      <c r="G539" s="17" t="n">
        <f aca="false">IF(A539="","",E539-N(F539))</f>
        <v>580</v>
      </c>
      <c r="H539" s="13" t="n">
        <v>580</v>
      </c>
      <c r="I539" s="17" t="n">
        <f aca="false">IF(A539="","",SUMIFS(Due_Payments!$C$2:$C$1001,Due_Payments!$B$2:$B$1001,A539))</f>
        <v>0</v>
      </c>
      <c r="J539" s="17" t="n">
        <f aca="false">IF(A539="","",G539-N(H539)-I539)</f>
        <v>0</v>
      </c>
      <c r="K539" s="7" t="s">
        <v>13</v>
      </c>
      <c r="L539" s="7" t="s">
        <v>365</v>
      </c>
      <c r="M539" s="7"/>
    </row>
    <row r="540" customFormat="false" ht="15" hidden="false" customHeight="true" outlineLevel="0" collapsed="false">
      <c r="A540" s="7" t="s">
        <v>984</v>
      </c>
      <c r="B540" s="15" t="n">
        <v>46302</v>
      </c>
      <c r="C540" s="7" t="s">
        <v>350</v>
      </c>
      <c r="D540" s="7" t="s">
        <v>351</v>
      </c>
      <c r="E540" s="17" t="n">
        <f aca="false">IF(A540="","",SUMIFS(Sales_Items!$H$2:$H$3001,Sales_Items!$A$2:$A$3001,A540))</f>
        <v>190</v>
      </c>
      <c r="F540" s="13" t="n">
        <v>0</v>
      </c>
      <c r="G540" s="17" t="n">
        <f aca="false">IF(A540="","",E540-N(F540))</f>
        <v>190</v>
      </c>
      <c r="H540" s="13" t="n">
        <v>90</v>
      </c>
      <c r="I540" s="17" t="n">
        <f aca="false">IF(A540="","",SUMIFS(Due_Payments!$C$2:$C$1001,Due_Payments!$B$2:$B$1001,A540))</f>
        <v>100</v>
      </c>
      <c r="J540" s="17" t="n">
        <f aca="false">IF(A540="","",G540-N(H540)-I540)</f>
        <v>0</v>
      </c>
      <c r="K540" s="7" t="s">
        <v>13</v>
      </c>
      <c r="L540" s="7" t="s">
        <v>342</v>
      </c>
      <c r="M540" s="7"/>
    </row>
    <row r="541" customFormat="false" ht="15" hidden="false" customHeight="true" outlineLevel="0" collapsed="false">
      <c r="A541" s="7" t="s">
        <v>985</v>
      </c>
      <c r="B541" s="15" t="n">
        <v>46303</v>
      </c>
      <c r="C541" s="7" t="s">
        <v>225</v>
      </c>
      <c r="D541" s="7" t="s">
        <v>226</v>
      </c>
      <c r="E541" s="17" t="n">
        <f aca="false">IF(A541="","",SUMIFS(Sales_Items!$H$2:$H$3001,Sales_Items!$A$2:$A$3001,A541))</f>
        <v>940</v>
      </c>
      <c r="F541" s="13" t="n">
        <v>0</v>
      </c>
      <c r="G541" s="17" t="n">
        <f aca="false">IF(A541="","",E541-N(F541))</f>
        <v>940</v>
      </c>
      <c r="H541" s="13" t="n">
        <v>480</v>
      </c>
      <c r="I541" s="17" t="n">
        <f aca="false">IF(A541="","",SUMIFS(Due_Payments!$C$2:$C$1001,Due_Payments!$B$2:$B$1001,A541))</f>
        <v>0</v>
      </c>
      <c r="J541" s="17" t="n">
        <f aca="false">IF(A541="","",G541-N(H541)-I541)</f>
        <v>460</v>
      </c>
      <c r="K541" s="7" t="s">
        <v>13</v>
      </c>
      <c r="L541" s="7" t="s">
        <v>200</v>
      </c>
      <c r="M541" s="7"/>
    </row>
    <row r="542" customFormat="false" ht="15" hidden="false" customHeight="true" outlineLevel="0" collapsed="false">
      <c r="A542" s="7" t="s">
        <v>986</v>
      </c>
      <c r="B542" s="15" t="n">
        <v>46303</v>
      </c>
      <c r="C542" s="7" t="s">
        <v>198</v>
      </c>
      <c r="D542" s="7" t="s">
        <v>199</v>
      </c>
      <c r="E542" s="17" t="n">
        <f aca="false">IF(A542="","",SUMIFS(Sales_Items!$H$2:$H$3001,Sales_Items!$A$2:$A$3001,A542))</f>
        <v>2280</v>
      </c>
      <c r="F542" s="13" t="n">
        <v>50</v>
      </c>
      <c r="G542" s="17" t="n">
        <f aca="false">IF(A542="","",E542-N(F542))</f>
        <v>2230</v>
      </c>
      <c r="H542" s="13" t="n">
        <v>2230</v>
      </c>
      <c r="I542" s="17" t="n">
        <f aca="false">IF(A542="","",SUMIFS(Due_Payments!$C$2:$C$1001,Due_Payments!$B$2:$B$1001,A542))</f>
        <v>0</v>
      </c>
      <c r="J542" s="17" t="n">
        <f aca="false">IF(A542="","",G542-N(H542)-I542)</f>
        <v>0</v>
      </c>
      <c r="K542" s="7" t="s">
        <v>13</v>
      </c>
      <c r="L542" s="7" t="s">
        <v>649</v>
      </c>
      <c r="M542" s="7"/>
    </row>
    <row r="543" customFormat="false" ht="15" hidden="false" customHeight="true" outlineLevel="0" collapsed="false">
      <c r="A543" s="7" t="s">
        <v>987</v>
      </c>
      <c r="B543" s="15" t="n">
        <v>46303</v>
      </c>
      <c r="C543" s="7" t="s">
        <v>198</v>
      </c>
      <c r="D543" s="7" t="s">
        <v>199</v>
      </c>
      <c r="E543" s="17" t="n">
        <f aca="false">IF(A543="","",SUMIFS(Sales_Items!$H$2:$H$3001,Sales_Items!$A$2:$A$3001,A543))</f>
        <v>4230</v>
      </c>
      <c r="F543" s="13" t="n">
        <v>0</v>
      </c>
      <c r="G543" s="17" t="n">
        <f aca="false">IF(A543="","",E543-N(F543))</f>
        <v>4230</v>
      </c>
      <c r="H543" s="13" t="n">
        <v>4230</v>
      </c>
      <c r="I543" s="17" t="n">
        <f aca="false">IF(A543="","",SUMIFS(Due_Payments!$C$2:$C$1001,Due_Payments!$B$2:$B$1001,A543))</f>
        <v>0</v>
      </c>
      <c r="J543" s="17" t="n">
        <f aca="false">IF(A543="","",G543-N(H543)-I543)</f>
        <v>0</v>
      </c>
      <c r="K543" s="7" t="s">
        <v>13</v>
      </c>
      <c r="L543" s="7" t="s">
        <v>988</v>
      </c>
      <c r="M543" s="7"/>
    </row>
    <row r="544" customFormat="false" ht="15" hidden="false" customHeight="true" outlineLevel="0" collapsed="false">
      <c r="A544" s="7" t="s">
        <v>989</v>
      </c>
      <c r="B544" s="15" t="n">
        <v>46303</v>
      </c>
      <c r="C544" s="7" t="s">
        <v>229</v>
      </c>
      <c r="D544" s="7" t="s">
        <v>230</v>
      </c>
      <c r="E544" s="17" t="n">
        <f aca="false">IF(A544="","",SUMIFS(Sales_Items!$H$2:$H$3001,Sales_Items!$A$2:$A$3001,A544))</f>
        <v>190</v>
      </c>
      <c r="F544" s="13" t="n">
        <v>0</v>
      </c>
      <c r="G544" s="17" t="n">
        <f aca="false">IF(A544="","",E544-N(F544))</f>
        <v>190</v>
      </c>
      <c r="H544" s="13" t="n">
        <v>190</v>
      </c>
      <c r="I544" s="17" t="n">
        <f aca="false">IF(A544="","",SUMIFS(Due_Payments!$C$2:$C$1001,Due_Payments!$B$2:$B$1001,A544))</f>
        <v>0</v>
      </c>
      <c r="J544" s="17" t="n">
        <f aca="false">IF(A544="","",G544-N(H544)-I544)</f>
        <v>0</v>
      </c>
      <c r="K544" s="7" t="s">
        <v>29</v>
      </c>
      <c r="L544" s="7" t="s">
        <v>342</v>
      </c>
      <c r="M544" s="7"/>
    </row>
    <row r="545" customFormat="false" ht="15" hidden="false" customHeight="true" outlineLevel="0" collapsed="false">
      <c r="A545" s="7" t="s">
        <v>990</v>
      </c>
      <c r="B545" s="15" t="n">
        <v>46303</v>
      </c>
      <c r="C545" s="7" t="s">
        <v>229</v>
      </c>
      <c r="D545" s="7" t="s">
        <v>230</v>
      </c>
      <c r="E545" s="17" t="n">
        <f aca="false">IF(A545="","",SUMIFS(Sales_Items!$H$2:$H$3001,Sales_Items!$A$2:$A$3001,A545))</f>
        <v>810</v>
      </c>
      <c r="F545" s="13" t="n">
        <v>100</v>
      </c>
      <c r="G545" s="17" t="n">
        <f aca="false">IF(A545="","",E545-N(F545))</f>
        <v>710</v>
      </c>
      <c r="H545" s="13" t="n">
        <v>710</v>
      </c>
      <c r="I545" s="17" t="n">
        <f aca="false">IF(A545="","",SUMIFS(Due_Payments!$C$2:$C$1001,Due_Payments!$B$2:$B$1001,A545))</f>
        <v>0</v>
      </c>
      <c r="J545" s="17" t="n">
        <f aca="false">IF(A545="","",G545-N(H545)-I545)</f>
        <v>0</v>
      </c>
      <c r="K545" s="7" t="s">
        <v>13</v>
      </c>
      <c r="L545" s="7" t="s">
        <v>346</v>
      </c>
      <c r="M545" s="7"/>
    </row>
    <row r="546" customFormat="false" ht="15" hidden="false" customHeight="true" outlineLevel="0" collapsed="false">
      <c r="A546" s="7" t="s">
        <v>991</v>
      </c>
      <c r="B546" s="15" t="n">
        <v>46303</v>
      </c>
      <c r="C546" s="7" t="s">
        <v>285</v>
      </c>
      <c r="D546" s="7" t="s">
        <v>286</v>
      </c>
      <c r="E546" s="17" t="n">
        <f aca="false">IF(A546="","",SUMIFS(Sales_Items!$H$2:$H$3001,Sales_Items!$A$2:$A$3001,A546))</f>
        <v>2280</v>
      </c>
      <c r="F546" s="13" t="n">
        <v>0</v>
      </c>
      <c r="G546" s="17" t="n">
        <f aca="false">IF(A546="","",E546-N(F546))</f>
        <v>2280</v>
      </c>
      <c r="H546" s="13" t="n">
        <v>2280</v>
      </c>
      <c r="I546" s="17" t="n">
        <f aca="false">IF(A546="","",SUMIFS(Due_Payments!$C$2:$C$1001,Due_Payments!$B$2:$B$1001,A546))</f>
        <v>0</v>
      </c>
      <c r="J546" s="17" t="n">
        <f aca="false">IF(A546="","",G546-N(H546)-I546)</f>
        <v>0</v>
      </c>
      <c r="K546" s="7" t="s">
        <v>37</v>
      </c>
      <c r="L546" s="7" t="s">
        <v>992</v>
      </c>
      <c r="M546" s="7"/>
    </row>
    <row r="547" customFormat="false" ht="15" hidden="false" customHeight="true" outlineLevel="0" collapsed="false">
      <c r="A547" s="7" t="s">
        <v>993</v>
      </c>
      <c r="B547" s="15" t="n">
        <v>46303</v>
      </c>
      <c r="C547" s="7" t="s">
        <v>300</v>
      </c>
      <c r="D547" s="7" t="s">
        <v>301</v>
      </c>
      <c r="E547" s="17" t="n">
        <f aca="false">IF(A547="","",SUMIFS(Sales_Items!$H$2:$H$3001,Sales_Items!$A$2:$A$3001,A547))</f>
        <v>3310</v>
      </c>
      <c r="F547" s="13" t="n">
        <v>0</v>
      </c>
      <c r="G547" s="17" t="n">
        <f aca="false">IF(A547="","",E547-N(F547))</f>
        <v>3310</v>
      </c>
      <c r="H547" s="13" t="n">
        <v>3310</v>
      </c>
      <c r="I547" s="17" t="n">
        <f aca="false">IF(A547="","",SUMIFS(Due_Payments!$C$2:$C$1001,Due_Payments!$B$2:$B$1001,A547))</f>
        <v>0</v>
      </c>
      <c r="J547" s="17" t="n">
        <f aca="false">IF(A547="","",G547-N(H547)-I547)</f>
        <v>0</v>
      </c>
      <c r="K547" s="7" t="s">
        <v>29</v>
      </c>
      <c r="L547" s="7" t="s">
        <v>994</v>
      </c>
      <c r="M547" s="7"/>
    </row>
    <row r="548" customFormat="false" ht="15" hidden="false" customHeight="true" outlineLevel="0" collapsed="false">
      <c r="A548" s="7" t="s">
        <v>995</v>
      </c>
      <c r="B548" s="15" t="n">
        <v>46303</v>
      </c>
      <c r="C548" s="7" t="s">
        <v>263</v>
      </c>
      <c r="D548" s="7" t="s">
        <v>264</v>
      </c>
      <c r="E548" s="17" t="n">
        <f aca="false">IF(A548="","",SUMIFS(Sales_Items!$H$2:$H$3001,Sales_Items!$A$2:$A$3001,A548))</f>
        <v>190</v>
      </c>
      <c r="F548" s="13" t="n">
        <v>0</v>
      </c>
      <c r="G548" s="17" t="n">
        <f aca="false">IF(A548="","",E548-N(F548))</f>
        <v>190</v>
      </c>
      <c r="H548" s="13" t="n">
        <v>190</v>
      </c>
      <c r="I548" s="17" t="n">
        <f aca="false">IF(A548="","",SUMIFS(Due_Payments!$C$2:$C$1001,Due_Payments!$B$2:$B$1001,A548))</f>
        <v>0</v>
      </c>
      <c r="J548" s="17" t="n">
        <f aca="false">IF(A548="","",G548-N(H548)-I548)</f>
        <v>0</v>
      </c>
      <c r="K548" s="7" t="s">
        <v>29</v>
      </c>
      <c r="L548" s="7" t="s">
        <v>342</v>
      </c>
      <c r="M548" s="7"/>
    </row>
    <row r="549" customFormat="false" ht="15" hidden="false" customHeight="true" outlineLevel="0" collapsed="false">
      <c r="A549" s="7" t="s">
        <v>996</v>
      </c>
      <c r="B549" s="15" t="n">
        <v>46303</v>
      </c>
      <c r="C549" s="7" t="s">
        <v>221</v>
      </c>
      <c r="D549" s="7" t="s">
        <v>222</v>
      </c>
      <c r="E549" s="17" t="n">
        <f aca="false">IF(A549="","",SUMIFS(Sales_Items!$H$2:$H$3001,Sales_Items!$A$2:$A$3001,A549))</f>
        <v>540</v>
      </c>
      <c r="F549" s="13" t="n">
        <v>0</v>
      </c>
      <c r="G549" s="17" t="n">
        <f aca="false">IF(A549="","",E549-N(F549))</f>
        <v>540</v>
      </c>
      <c r="H549" s="13" t="n">
        <v>220</v>
      </c>
      <c r="I549" s="17" t="n">
        <f aca="false">IF(A549="","",SUMIFS(Due_Payments!$C$2:$C$1001,Due_Payments!$B$2:$B$1001,A549))</f>
        <v>320</v>
      </c>
      <c r="J549" s="17" t="n">
        <f aca="false">IF(A549="","",G549-N(H549)-I549)</f>
        <v>0</v>
      </c>
      <c r="K549" s="7" t="s">
        <v>13</v>
      </c>
      <c r="L549" s="7" t="s">
        <v>279</v>
      </c>
      <c r="M549" s="7"/>
    </row>
    <row r="550" customFormat="false" ht="15" hidden="false" customHeight="true" outlineLevel="0" collapsed="false">
      <c r="A550" s="7" t="s">
        <v>997</v>
      </c>
      <c r="B550" s="15" t="n">
        <v>46303</v>
      </c>
      <c r="C550" s="7" t="s">
        <v>249</v>
      </c>
      <c r="D550" s="7" t="s">
        <v>250</v>
      </c>
      <c r="E550" s="17" t="n">
        <f aca="false">IF(A550="","",SUMIFS(Sales_Items!$H$2:$H$3001,Sales_Items!$A$2:$A$3001,A550))</f>
        <v>1050</v>
      </c>
      <c r="F550" s="13" t="n">
        <v>50</v>
      </c>
      <c r="G550" s="17" t="n">
        <f aca="false">IF(A550="","",E550-N(F550))</f>
        <v>1000</v>
      </c>
      <c r="H550" s="13" t="n">
        <v>1000</v>
      </c>
      <c r="I550" s="17" t="n">
        <f aca="false">IF(A550="","",SUMIFS(Due_Payments!$C$2:$C$1001,Due_Payments!$B$2:$B$1001,A550))</f>
        <v>0</v>
      </c>
      <c r="J550" s="17" t="n">
        <f aca="false">IF(A550="","",G550-N(H550)-I550)</f>
        <v>0</v>
      </c>
      <c r="K550" s="7" t="s">
        <v>13</v>
      </c>
      <c r="L550" s="7" t="s">
        <v>998</v>
      </c>
      <c r="M550" s="7"/>
    </row>
    <row r="551" customFormat="false" ht="15" hidden="false" customHeight="true" outlineLevel="0" collapsed="false">
      <c r="A551" s="7" t="s">
        <v>999</v>
      </c>
      <c r="B551" s="15" t="n">
        <v>46305</v>
      </c>
      <c r="C551" s="7" t="s">
        <v>329</v>
      </c>
      <c r="D551" s="7" t="s">
        <v>330</v>
      </c>
      <c r="E551" s="17" t="n">
        <f aca="false">IF(A551="","",SUMIFS(Sales_Items!$H$2:$H$3001,Sales_Items!$A$2:$A$3001,A551))</f>
        <v>1920</v>
      </c>
      <c r="F551" s="13" t="n">
        <v>0</v>
      </c>
      <c r="G551" s="17" t="n">
        <f aca="false">IF(A551="","",E551-N(F551))</f>
        <v>1920</v>
      </c>
      <c r="H551" s="13" t="n">
        <v>1920</v>
      </c>
      <c r="I551" s="17" t="n">
        <f aca="false">IF(A551="","",SUMIFS(Due_Payments!$C$2:$C$1001,Due_Payments!$B$2:$B$1001,A551))</f>
        <v>0</v>
      </c>
      <c r="J551" s="17" t="n">
        <f aca="false">IF(A551="","",G551-N(H551)-I551)</f>
        <v>0</v>
      </c>
      <c r="K551" s="7" t="s">
        <v>13</v>
      </c>
      <c r="L551" s="7" t="s">
        <v>792</v>
      </c>
      <c r="M551" s="7"/>
    </row>
    <row r="552" customFormat="false" ht="15" hidden="false" customHeight="true" outlineLevel="0" collapsed="false">
      <c r="A552" s="7" t="s">
        <v>1000</v>
      </c>
      <c r="B552" s="15" t="n">
        <v>46305</v>
      </c>
      <c r="C552" s="7" t="s">
        <v>249</v>
      </c>
      <c r="D552" s="7" t="s">
        <v>250</v>
      </c>
      <c r="E552" s="17" t="n">
        <f aca="false">IF(A552="","",SUMIFS(Sales_Items!$H$2:$H$3001,Sales_Items!$A$2:$A$3001,A552))</f>
        <v>2220</v>
      </c>
      <c r="F552" s="13" t="n">
        <v>0</v>
      </c>
      <c r="G552" s="17" t="n">
        <f aca="false">IF(A552="","",E552-N(F552))</f>
        <v>2220</v>
      </c>
      <c r="H552" s="13" t="n">
        <v>2220</v>
      </c>
      <c r="I552" s="17" t="n">
        <f aca="false">IF(A552="","",SUMIFS(Due_Payments!$C$2:$C$1001,Due_Payments!$B$2:$B$1001,A552))</f>
        <v>0</v>
      </c>
      <c r="J552" s="17" t="n">
        <f aca="false">IF(A552="","",G552-N(H552)-I552)</f>
        <v>0</v>
      </c>
      <c r="K552" s="7" t="s">
        <v>13</v>
      </c>
      <c r="L552" s="7" t="s">
        <v>204</v>
      </c>
      <c r="M552" s="7"/>
    </row>
    <row r="553" customFormat="false" ht="15" hidden="false" customHeight="true" outlineLevel="0" collapsed="false">
      <c r="A553" s="7" t="s">
        <v>1001</v>
      </c>
      <c r="B553" s="15" t="n">
        <v>46305</v>
      </c>
      <c r="C553" s="7" t="s">
        <v>300</v>
      </c>
      <c r="D553" s="7" t="s">
        <v>301</v>
      </c>
      <c r="E553" s="17" t="n">
        <f aca="false">IF(A553="","",SUMIFS(Sales_Items!$H$2:$H$3001,Sales_Items!$A$2:$A$3001,A553))</f>
        <v>3780</v>
      </c>
      <c r="F553" s="13" t="n">
        <v>0</v>
      </c>
      <c r="G553" s="17" t="n">
        <f aca="false">IF(A553="","",E553-N(F553))</f>
        <v>3780</v>
      </c>
      <c r="H553" s="13" t="n">
        <v>3780</v>
      </c>
      <c r="I553" s="17" t="n">
        <f aca="false">IF(A553="","",SUMIFS(Due_Payments!$C$2:$C$1001,Due_Payments!$B$2:$B$1001,A553))</f>
        <v>0</v>
      </c>
      <c r="J553" s="17" t="n">
        <f aca="false">IF(A553="","",G553-N(H553)-I553)</f>
        <v>0</v>
      </c>
      <c r="K553" s="7" t="s">
        <v>13</v>
      </c>
      <c r="L553" s="7" t="s">
        <v>1002</v>
      </c>
      <c r="M553" s="7"/>
    </row>
    <row r="554" customFormat="false" ht="15" hidden="false" customHeight="true" outlineLevel="0" collapsed="false">
      <c r="A554" s="7" t="s">
        <v>1003</v>
      </c>
      <c r="B554" s="15" t="n">
        <v>46305</v>
      </c>
      <c r="C554" s="7" t="s">
        <v>275</v>
      </c>
      <c r="D554" s="7" t="s">
        <v>276</v>
      </c>
      <c r="E554" s="17" t="n">
        <f aca="false">IF(A554="","",SUMIFS(Sales_Items!$H$2:$H$3001,Sales_Items!$A$2:$A$3001,A554))</f>
        <v>670</v>
      </c>
      <c r="F554" s="13" t="n">
        <v>20</v>
      </c>
      <c r="G554" s="17" t="n">
        <f aca="false">IF(A554="","",E554-N(F554))</f>
        <v>650</v>
      </c>
      <c r="H554" s="13" t="n">
        <v>650</v>
      </c>
      <c r="I554" s="17" t="n">
        <f aca="false">IF(A554="","",SUMIFS(Due_Payments!$C$2:$C$1001,Due_Payments!$B$2:$B$1001,A554))</f>
        <v>0</v>
      </c>
      <c r="J554" s="17" t="n">
        <f aca="false">IF(A554="","",G554-N(H554)-I554)</f>
        <v>0</v>
      </c>
      <c r="K554" s="7" t="s">
        <v>13</v>
      </c>
      <c r="L554" s="7" t="s">
        <v>475</v>
      </c>
      <c r="M554" s="7"/>
    </row>
    <row r="555" customFormat="false" ht="15" hidden="false" customHeight="true" outlineLevel="0" collapsed="false">
      <c r="A555" s="7" t="s">
        <v>1004</v>
      </c>
      <c r="B555" s="15" t="n">
        <v>46305</v>
      </c>
      <c r="C555" s="7" t="s">
        <v>293</v>
      </c>
      <c r="D555" s="7" t="s">
        <v>294</v>
      </c>
      <c r="E555" s="17" t="n">
        <f aca="false">IF(A555="","",SUMIFS(Sales_Items!$H$2:$H$3001,Sales_Items!$A$2:$A$3001,A555))</f>
        <v>380</v>
      </c>
      <c r="F555" s="13" t="n">
        <v>10</v>
      </c>
      <c r="G555" s="17" t="n">
        <f aca="false">IF(A555="","",E555-N(F555))</f>
        <v>370</v>
      </c>
      <c r="H555" s="13" t="n">
        <v>370</v>
      </c>
      <c r="I555" s="17" t="n">
        <f aca="false">IF(A555="","",SUMIFS(Due_Payments!$C$2:$C$1001,Due_Payments!$B$2:$B$1001,A555))</f>
        <v>0</v>
      </c>
      <c r="J555" s="17" t="n">
        <f aca="false">IF(A555="","",G555-N(H555)-I555)</f>
        <v>0</v>
      </c>
      <c r="K555" s="7" t="s">
        <v>13</v>
      </c>
      <c r="L555" s="7" t="s">
        <v>252</v>
      </c>
      <c r="M555" s="7"/>
    </row>
    <row r="556" customFormat="false" ht="15" hidden="false" customHeight="true" outlineLevel="0" collapsed="false">
      <c r="A556" s="7" t="s">
        <v>1005</v>
      </c>
      <c r="B556" s="15" t="n">
        <v>46305</v>
      </c>
      <c r="C556" s="7" t="s">
        <v>241</v>
      </c>
      <c r="D556" s="7" t="s">
        <v>242</v>
      </c>
      <c r="E556" s="17" t="n">
        <f aca="false">IF(A556="","",SUMIFS(Sales_Items!$H$2:$H$3001,Sales_Items!$A$2:$A$3001,A556))</f>
        <v>840</v>
      </c>
      <c r="F556" s="13" t="n">
        <v>0</v>
      </c>
      <c r="G556" s="17" t="n">
        <f aca="false">IF(A556="","",E556-N(F556))</f>
        <v>840</v>
      </c>
      <c r="H556" s="13" t="n">
        <v>840</v>
      </c>
      <c r="I556" s="17" t="n">
        <f aca="false">IF(A556="","",SUMIFS(Due_Payments!$C$2:$C$1001,Due_Payments!$B$2:$B$1001,A556))</f>
        <v>0</v>
      </c>
      <c r="J556" s="17" t="n">
        <f aca="false">IF(A556="","",G556-N(H556)-I556)</f>
        <v>0</v>
      </c>
      <c r="K556" s="7" t="s">
        <v>13</v>
      </c>
      <c r="L556" s="7" t="s">
        <v>243</v>
      </c>
      <c r="M556" s="7"/>
    </row>
    <row r="557" customFormat="false" ht="15" hidden="false" customHeight="true" outlineLevel="0" collapsed="false">
      <c r="A557" s="7" t="s">
        <v>1006</v>
      </c>
      <c r="B557" s="15" t="n">
        <v>46305</v>
      </c>
      <c r="C557" s="7" t="s">
        <v>285</v>
      </c>
      <c r="D557" s="7" t="s">
        <v>286</v>
      </c>
      <c r="E557" s="17" t="n">
        <f aca="false">IF(A557="","",SUMIFS(Sales_Items!$H$2:$H$3001,Sales_Items!$A$2:$A$3001,A557))</f>
        <v>750</v>
      </c>
      <c r="F557" s="13" t="n">
        <v>20</v>
      </c>
      <c r="G557" s="17" t="n">
        <f aca="false">IF(A557="","",E557-N(F557))</f>
        <v>730</v>
      </c>
      <c r="H557" s="13" t="n">
        <v>730</v>
      </c>
      <c r="I557" s="17" t="n">
        <f aca="false">IF(A557="","",SUMIFS(Due_Payments!$C$2:$C$1001,Due_Payments!$B$2:$B$1001,A557))</f>
        <v>0</v>
      </c>
      <c r="J557" s="17" t="n">
        <f aca="false">IF(A557="","",G557-N(H557)-I557)</f>
        <v>0</v>
      </c>
      <c r="K557" s="7" t="s">
        <v>13</v>
      </c>
      <c r="L557" s="7" t="s">
        <v>450</v>
      </c>
      <c r="M557" s="7"/>
    </row>
    <row r="558" customFormat="false" ht="15" hidden="false" customHeight="true" outlineLevel="0" collapsed="false">
      <c r="A558" s="7" t="s">
        <v>1007</v>
      </c>
      <c r="B558" s="15" t="n">
        <v>46305</v>
      </c>
      <c r="C558" s="7" t="s">
        <v>282</v>
      </c>
      <c r="D558" s="7" t="s">
        <v>283</v>
      </c>
      <c r="E558" s="17" t="n">
        <f aca="false">IF(A558="","",SUMIFS(Sales_Items!$H$2:$H$3001,Sales_Items!$A$2:$A$3001,A558))</f>
        <v>1440</v>
      </c>
      <c r="F558" s="13" t="n">
        <v>0</v>
      </c>
      <c r="G558" s="17" t="n">
        <f aca="false">IF(A558="","",E558-N(F558))</f>
        <v>1440</v>
      </c>
      <c r="H558" s="13" t="n">
        <v>0</v>
      </c>
      <c r="I558" s="17" t="n">
        <f aca="false">IF(A558="","",SUMIFS(Due_Payments!$C$2:$C$1001,Due_Payments!$B$2:$B$1001,A558))</f>
        <v>0</v>
      </c>
      <c r="J558" s="17" t="n">
        <f aca="false">IF(A558="","",G558-N(H558)-I558)</f>
        <v>1440</v>
      </c>
      <c r="K558" s="7" t="s">
        <v>21</v>
      </c>
      <c r="L558" s="7" t="s">
        <v>580</v>
      </c>
      <c r="M558" s="7"/>
    </row>
    <row r="559" customFormat="false" ht="15" hidden="false" customHeight="true" outlineLevel="0" collapsed="false">
      <c r="A559" s="7" t="s">
        <v>1008</v>
      </c>
      <c r="B559" s="15" t="n">
        <v>46305</v>
      </c>
      <c r="C559" s="7" t="s">
        <v>221</v>
      </c>
      <c r="D559" s="7" t="s">
        <v>222</v>
      </c>
      <c r="E559" s="17" t="n">
        <f aca="false">IF(A559="","",SUMIFS(Sales_Items!$H$2:$H$3001,Sales_Items!$A$2:$A$3001,A559))</f>
        <v>1560</v>
      </c>
      <c r="F559" s="13" t="n">
        <v>0</v>
      </c>
      <c r="G559" s="17" t="n">
        <f aca="false">IF(A559="","",E559-N(F559))</f>
        <v>1560</v>
      </c>
      <c r="H559" s="13" t="n">
        <v>1560</v>
      </c>
      <c r="I559" s="17" t="n">
        <f aca="false">IF(A559="","",SUMIFS(Due_Payments!$C$2:$C$1001,Due_Payments!$B$2:$B$1001,A559))</f>
        <v>0</v>
      </c>
      <c r="J559" s="17" t="n">
        <f aca="false">IF(A559="","",G559-N(H559)-I559)</f>
        <v>0</v>
      </c>
      <c r="K559" s="7" t="s">
        <v>21</v>
      </c>
      <c r="L559" s="7" t="s">
        <v>545</v>
      </c>
      <c r="M559" s="7"/>
    </row>
    <row r="560" customFormat="false" ht="15" hidden="false" customHeight="true" outlineLevel="0" collapsed="false">
      <c r="A560" s="7" t="s">
        <v>1009</v>
      </c>
      <c r="B560" s="15" t="n">
        <v>46305</v>
      </c>
      <c r="C560" s="7" t="s">
        <v>202</v>
      </c>
      <c r="D560" s="7" t="s">
        <v>203</v>
      </c>
      <c r="E560" s="17" t="n">
        <f aca="false">IF(A560="","",SUMIFS(Sales_Items!$H$2:$H$3001,Sales_Items!$A$2:$A$3001,A560))</f>
        <v>2590</v>
      </c>
      <c r="F560" s="13" t="n">
        <v>80</v>
      </c>
      <c r="G560" s="17" t="n">
        <f aca="false">IF(A560="","",E560-N(F560))</f>
        <v>2510</v>
      </c>
      <c r="H560" s="13" t="n">
        <v>2510</v>
      </c>
      <c r="I560" s="17" t="n">
        <f aca="false">IF(A560="","",SUMIFS(Due_Payments!$C$2:$C$1001,Due_Payments!$B$2:$B$1001,A560))</f>
        <v>0</v>
      </c>
      <c r="J560" s="17" t="n">
        <f aca="false">IF(A560="","",G560-N(H560)-I560)</f>
        <v>0</v>
      </c>
      <c r="K560" s="7" t="s">
        <v>21</v>
      </c>
      <c r="L560" s="7" t="s">
        <v>1010</v>
      </c>
      <c r="M560" s="7"/>
    </row>
    <row r="561" customFormat="false" ht="15" hidden="false" customHeight="true" outlineLevel="0" collapsed="false">
      <c r="A561" s="7" t="s">
        <v>1011</v>
      </c>
      <c r="B561" s="15" t="n">
        <v>46305</v>
      </c>
      <c r="C561" s="7" t="s">
        <v>369</v>
      </c>
      <c r="D561" s="7" t="s">
        <v>370</v>
      </c>
      <c r="E561" s="17" t="n">
        <f aca="false">IF(A561="","",SUMIFS(Sales_Items!$H$2:$H$3001,Sales_Items!$A$2:$A$3001,A561))</f>
        <v>1780</v>
      </c>
      <c r="F561" s="13" t="n">
        <v>0</v>
      </c>
      <c r="G561" s="17" t="n">
        <f aca="false">IF(A561="","",E561-N(F561))</f>
        <v>1780</v>
      </c>
      <c r="H561" s="13" t="n">
        <v>1780</v>
      </c>
      <c r="I561" s="17" t="n">
        <f aca="false">IF(A561="","",SUMIFS(Due_Payments!$C$2:$C$1001,Due_Payments!$B$2:$B$1001,A561))</f>
        <v>0</v>
      </c>
      <c r="J561" s="17" t="n">
        <f aca="false">IF(A561="","",G561-N(H561)-I561)</f>
        <v>0</v>
      </c>
      <c r="K561" s="7" t="s">
        <v>13</v>
      </c>
      <c r="L561" s="7" t="s">
        <v>1012</v>
      </c>
      <c r="M561" s="7"/>
    </row>
    <row r="562" customFormat="false" ht="15" hidden="false" customHeight="true" outlineLevel="0" collapsed="false">
      <c r="A562" s="7" t="s">
        <v>1013</v>
      </c>
      <c r="B562" s="15" t="n">
        <v>46306</v>
      </c>
      <c r="C562" s="7" t="s">
        <v>307</v>
      </c>
      <c r="D562" s="7" t="s">
        <v>308</v>
      </c>
      <c r="E562" s="17" t="n">
        <f aca="false">IF(A562="","",SUMIFS(Sales_Items!$H$2:$H$3001,Sales_Items!$A$2:$A$3001,A562))</f>
        <v>4270</v>
      </c>
      <c r="F562" s="13" t="n">
        <v>0</v>
      </c>
      <c r="G562" s="17" t="n">
        <f aca="false">IF(A562="","",E562-N(F562))</f>
        <v>4270</v>
      </c>
      <c r="H562" s="13" t="n">
        <v>4270</v>
      </c>
      <c r="I562" s="17" t="n">
        <f aca="false">IF(A562="","",SUMIFS(Due_Payments!$C$2:$C$1001,Due_Payments!$B$2:$B$1001,A562))</f>
        <v>0</v>
      </c>
      <c r="J562" s="17" t="n">
        <f aca="false">IF(A562="","",G562-N(H562)-I562)</f>
        <v>0</v>
      </c>
      <c r="K562" s="7" t="s">
        <v>13</v>
      </c>
      <c r="L562" s="7" t="s">
        <v>1014</v>
      </c>
      <c r="M562" s="7"/>
    </row>
    <row r="563" customFormat="false" ht="15" hidden="false" customHeight="true" outlineLevel="0" collapsed="false">
      <c r="A563" s="7" t="s">
        <v>1015</v>
      </c>
      <c r="B563" s="15" t="n">
        <v>46306</v>
      </c>
      <c r="C563" s="7" t="s">
        <v>369</v>
      </c>
      <c r="D563" s="7" t="s">
        <v>370</v>
      </c>
      <c r="E563" s="17" t="n">
        <f aca="false">IF(A563="","",SUMIFS(Sales_Items!$H$2:$H$3001,Sales_Items!$A$2:$A$3001,A563))</f>
        <v>940</v>
      </c>
      <c r="F563" s="13" t="n">
        <v>0</v>
      </c>
      <c r="G563" s="17" t="n">
        <f aca="false">IF(A563="","",E563-N(F563))</f>
        <v>940</v>
      </c>
      <c r="H563" s="13" t="n">
        <v>940</v>
      </c>
      <c r="I563" s="17" t="n">
        <f aca="false">IF(A563="","",SUMIFS(Due_Payments!$C$2:$C$1001,Due_Payments!$B$2:$B$1001,A563))</f>
        <v>0</v>
      </c>
      <c r="J563" s="17" t="n">
        <f aca="false">IF(A563="","",G563-N(H563)-I563)</f>
        <v>0</v>
      </c>
      <c r="K563" s="7" t="s">
        <v>29</v>
      </c>
      <c r="L563" s="7" t="s">
        <v>200</v>
      </c>
      <c r="M563" s="7"/>
    </row>
    <row r="564" customFormat="false" ht="15" hidden="false" customHeight="true" outlineLevel="0" collapsed="false">
      <c r="A564" s="7" t="s">
        <v>1016</v>
      </c>
      <c r="B564" s="15" t="n">
        <v>46306</v>
      </c>
      <c r="C564" s="7" t="s">
        <v>300</v>
      </c>
      <c r="D564" s="7" t="s">
        <v>301</v>
      </c>
      <c r="E564" s="17" t="n">
        <f aca="false">IF(A564="","",SUMIFS(Sales_Items!$H$2:$H$3001,Sales_Items!$A$2:$A$3001,A564))</f>
        <v>270</v>
      </c>
      <c r="F564" s="13" t="n">
        <v>0</v>
      </c>
      <c r="G564" s="17" t="n">
        <f aca="false">IF(A564="","",E564-N(F564))</f>
        <v>270</v>
      </c>
      <c r="H564" s="13" t="n">
        <v>190</v>
      </c>
      <c r="I564" s="17" t="n">
        <f aca="false">IF(A564="","",SUMIFS(Due_Payments!$C$2:$C$1001,Due_Payments!$B$2:$B$1001,A564))</f>
        <v>40</v>
      </c>
      <c r="J564" s="17" t="n">
        <f aca="false">IF(A564="","",G564-N(H564)-I564)</f>
        <v>40</v>
      </c>
      <c r="K564" s="7" t="s">
        <v>13</v>
      </c>
      <c r="L564" s="7" t="s">
        <v>337</v>
      </c>
      <c r="M564" s="7"/>
    </row>
    <row r="565" customFormat="false" ht="15" hidden="false" customHeight="true" outlineLevel="0" collapsed="false">
      <c r="A565" s="7" t="s">
        <v>1017</v>
      </c>
      <c r="B565" s="15" t="n">
        <v>46306</v>
      </c>
      <c r="C565" s="7" t="s">
        <v>217</v>
      </c>
      <c r="D565" s="7" t="s">
        <v>218</v>
      </c>
      <c r="E565" s="17" t="n">
        <f aca="false">IF(A565="","",SUMIFS(Sales_Items!$H$2:$H$3001,Sales_Items!$A$2:$A$3001,A565))</f>
        <v>190</v>
      </c>
      <c r="F565" s="13" t="n">
        <v>0</v>
      </c>
      <c r="G565" s="17" t="n">
        <f aca="false">IF(A565="","",E565-N(F565))</f>
        <v>190</v>
      </c>
      <c r="H565" s="13" t="n">
        <v>190</v>
      </c>
      <c r="I565" s="17" t="n">
        <f aca="false">IF(A565="","",SUMIFS(Due_Payments!$C$2:$C$1001,Due_Payments!$B$2:$B$1001,A565))</f>
        <v>0</v>
      </c>
      <c r="J565" s="17" t="n">
        <f aca="false">IF(A565="","",G565-N(H565)-I565)</f>
        <v>0</v>
      </c>
      <c r="K565" s="7" t="s">
        <v>21</v>
      </c>
      <c r="L565" s="7" t="s">
        <v>342</v>
      </c>
      <c r="M565" s="7"/>
    </row>
    <row r="566" customFormat="false" ht="15" hidden="false" customHeight="true" outlineLevel="0" collapsed="false">
      <c r="A566" s="7" t="s">
        <v>1018</v>
      </c>
      <c r="B566" s="15" t="n">
        <v>46306</v>
      </c>
      <c r="C566" s="7" t="s">
        <v>329</v>
      </c>
      <c r="D566" s="7" t="s">
        <v>330</v>
      </c>
      <c r="E566" s="17" t="n">
        <f aca="false">IF(A566="","",SUMIFS(Sales_Items!$H$2:$H$3001,Sales_Items!$A$2:$A$3001,A566))</f>
        <v>3060</v>
      </c>
      <c r="F566" s="13" t="n">
        <v>50</v>
      </c>
      <c r="G566" s="17" t="n">
        <f aca="false">IF(A566="","",E566-N(F566))</f>
        <v>3010</v>
      </c>
      <c r="H566" s="13" t="n">
        <v>3010</v>
      </c>
      <c r="I566" s="17" t="n">
        <f aca="false">IF(A566="","",SUMIFS(Due_Payments!$C$2:$C$1001,Due_Payments!$B$2:$B$1001,A566))</f>
        <v>0</v>
      </c>
      <c r="J566" s="17" t="n">
        <f aca="false">IF(A566="","",G566-N(H566)-I566)</f>
        <v>0</v>
      </c>
      <c r="K566" s="7" t="s">
        <v>13</v>
      </c>
      <c r="L566" s="7" t="s">
        <v>1019</v>
      </c>
      <c r="M566" s="7"/>
    </row>
    <row r="567" customFormat="false" ht="15" hidden="false" customHeight="true" outlineLevel="0" collapsed="false">
      <c r="A567" s="7" t="s">
        <v>1020</v>
      </c>
      <c r="B567" s="15" t="n">
        <v>46306</v>
      </c>
      <c r="C567" s="7" t="s">
        <v>275</v>
      </c>
      <c r="D567" s="7" t="s">
        <v>276</v>
      </c>
      <c r="E567" s="17" t="n">
        <f aca="false">IF(A567="","",SUMIFS(Sales_Items!$H$2:$H$3001,Sales_Items!$A$2:$A$3001,A567))</f>
        <v>2970</v>
      </c>
      <c r="F567" s="13" t="n">
        <v>0</v>
      </c>
      <c r="G567" s="17" t="n">
        <f aca="false">IF(A567="","",E567-N(F567))</f>
        <v>2970</v>
      </c>
      <c r="H567" s="13" t="n">
        <v>2970</v>
      </c>
      <c r="I567" s="17" t="n">
        <f aca="false">IF(A567="","",SUMIFS(Due_Payments!$C$2:$C$1001,Due_Payments!$B$2:$B$1001,A567))</f>
        <v>0</v>
      </c>
      <c r="J567" s="17" t="n">
        <f aca="false">IF(A567="","",G567-N(H567)-I567)</f>
        <v>0</v>
      </c>
      <c r="K567" s="7" t="s">
        <v>21</v>
      </c>
      <c r="L567" s="7" t="s">
        <v>644</v>
      </c>
      <c r="M567" s="7"/>
    </row>
    <row r="568" customFormat="false" ht="15" hidden="false" customHeight="true" outlineLevel="0" collapsed="false">
      <c r="A568" s="7" t="s">
        <v>1021</v>
      </c>
      <c r="B568" s="15" t="n">
        <v>46306</v>
      </c>
      <c r="C568" s="7" t="s">
        <v>259</v>
      </c>
      <c r="D568" s="7" t="s">
        <v>260</v>
      </c>
      <c r="E568" s="17" t="n">
        <f aca="false">IF(A568="","",SUMIFS(Sales_Items!$H$2:$H$3001,Sales_Items!$A$2:$A$3001,A568))</f>
        <v>2830</v>
      </c>
      <c r="F568" s="13" t="n">
        <v>0</v>
      </c>
      <c r="G568" s="17" t="n">
        <f aca="false">IF(A568="","",E568-N(F568))</f>
        <v>2830</v>
      </c>
      <c r="H568" s="13" t="n">
        <v>1970</v>
      </c>
      <c r="I568" s="17" t="n">
        <f aca="false">IF(A568="","",SUMIFS(Due_Payments!$C$2:$C$1001,Due_Payments!$B$2:$B$1001,A568))</f>
        <v>0</v>
      </c>
      <c r="J568" s="17" t="n">
        <f aca="false">IF(A568="","",G568-N(H568)-I568)</f>
        <v>860</v>
      </c>
      <c r="K568" s="7" t="s">
        <v>21</v>
      </c>
      <c r="L568" s="7" t="s">
        <v>1022</v>
      </c>
      <c r="M568" s="7"/>
    </row>
    <row r="569" customFormat="false" ht="15" hidden="false" customHeight="true" outlineLevel="0" collapsed="false">
      <c r="A569" s="7" t="s">
        <v>1023</v>
      </c>
      <c r="B569" s="15" t="n">
        <v>46306</v>
      </c>
      <c r="C569" s="7" t="s">
        <v>285</v>
      </c>
      <c r="D569" s="7" t="s">
        <v>286</v>
      </c>
      <c r="E569" s="17" t="n">
        <f aca="false">IF(A569="","",SUMIFS(Sales_Items!$H$2:$H$3001,Sales_Items!$A$2:$A$3001,A569))</f>
        <v>3350</v>
      </c>
      <c r="F569" s="13" t="n">
        <v>100</v>
      </c>
      <c r="G569" s="17" t="n">
        <f aca="false">IF(A569="","",E569-N(F569))</f>
        <v>3250</v>
      </c>
      <c r="H569" s="13" t="n">
        <v>3250</v>
      </c>
      <c r="I569" s="17" t="n">
        <f aca="false">IF(A569="","",SUMIFS(Due_Payments!$C$2:$C$1001,Due_Payments!$B$2:$B$1001,A569))</f>
        <v>0</v>
      </c>
      <c r="J569" s="17" t="n">
        <f aca="false">IF(A569="","",G569-N(H569)-I569)</f>
        <v>0</v>
      </c>
      <c r="K569" s="7" t="s">
        <v>13</v>
      </c>
      <c r="L569" s="7" t="s">
        <v>612</v>
      </c>
      <c r="M569" s="7"/>
    </row>
    <row r="570" customFormat="false" ht="15" hidden="false" customHeight="true" outlineLevel="0" collapsed="false">
      <c r="A570" s="7" t="s">
        <v>1024</v>
      </c>
      <c r="B570" s="15" t="n">
        <v>46306</v>
      </c>
      <c r="C570" s="7" t="s">
        <v>198</v>
      </c>
      <c r="D570" s="7" t="s">
        <v>199</v>
      </c>
      <c r="E570" s="17" t="n">
        <f aca="false">IF(A570="","",SUMIFS(Sales_Items!$H$2:$H$3001,Sales_Items!$A$2:$A$3001,A570))</f>
        <v>340</v>
      </c>
      <c r="F570" s="13" t="n">
        <v>0</v>
      </c>
      <c r="G570" s="17" t="n">
        <f aca="false">IF(A570="","",E570-N(F570))</f>
        <v>340</v>
      </c>
      <c r="H570" s="13" t="n">
        <v>340</v>
      </c>
      <c r="I570" s="17" t="n">
        <f aca="false">IF(A570="","",SUMIFS(Due_Payments!$C$2:$C$1001,Due_Payments!$B$2:$B$1001,A570))</f>
        <v>0</v>
      </c>
      <c r="J570" s="17" t="n">
        <f aca="false">IF(A570="","",G570-N(H570)-I570)</f>
        <v>0</v>
      </c>
      <c r="K570" s="7" t="s">
        <v>21</v>
      </c>
      <c r="L570" s="7" t="s">
        <v>237</v>
      </c>
      <c r="M570" s="7"/>
    </row>
    <row r="571" customFormat="false" ht="15" hidden="false" customHeight="true" outlineLevel="0" collapsed="false">
      <c r="A571" s="7" t="s">
        <v>1025</v>
      </c>
      <c r="B571" s="15" t="n">
        <v>46306</v>
      </c>
      <c r="C571" s="7" t="s">
        <v>241</v>
      </c>
      <c r="D571" s="7" t="s">
        <v>242</v>
      </c>
      <c r="E571" s="17" t="n">
        <f aca="false">IF(A571="","",SUMIFS(Sales_Items!$H$2:$H$3001,Sales_Items!$A$2:$A$3001,A571))</f>
        <v>2340</v>
      </c>
      <c r="F571" s="13" t="n">
        <v>0</v>
      </c>
      <c r="G571" s="17" t="n">
        <f aca="false">IF(A571="","",E571-N(F571))</f>
        <v>2340</v>
      </c>
      <c r="H571" s="13" t="n">
        <v>2340</v>
      </c>
      <c r="I571" s="17" t="n">
        <f aca="false">IF(A571="","",SUMIFS(Due_Payments!$C$2:$C$1001,Due_Payments!$B$2:$B$1001,A571))</f>
        <v>0</v>
      </c>
      <c r="J571" s="17" t="n">
        <f aca="false">IF(A571="","",G571-N(H571)-I571)</f>
        <v>0</v>
      </c>
      <c r="K571" s="7" t="s">
        <v>13</v>
      </c>
      <c r="L571" s="7" t="s">
        <v>511</v>
      </c>
      <c r="M571" s="7"/>
    </row>
    <row r="572" customFormat="false" ht="15" hidden="false" customHeight="true" outlineLevel="0" collapsed="false">
      <c r="A572" s="7" t="s">
        <v>1026</v>
      </c>
      <c r="B572" s="15" t="n">
        <v>46306</v>
      </c>
      <c r="C572" s="7" t="s">
        <v>210</v>
      </c>
      <c r="D572" s="7" t="s">
        <v>211</v>
      </c>
      <c r="E572" s="17" t="n">
        <f aca="false">IF(A572="","",SUMIFS(Sales_Items!$H$2:$H$3001,Sales_Items!$A$2:$A$3001,A572))</f>
        <v>810</v>
      </c>
      <c r="F572" s="13" t="n">
        <v>0</v>
      </c>
      <c r="G572" s="17" t="n">
        <f aca="false">IF(A572="","",E572-N(F572))</f>
        <v>810</v>
      </c>
      <c r="H572" s="13" t="n">
        <v>810</v>
      </c>
      <c r="I572" s="17" t="n">
        <f aca="false">IF(A572="","",SUMIFS(Due_Payments!$C$2:$C$1001,Due_Payments!$B$2:$B$1001,A572))</f>
        <v>0</v>
      </c>
      <c r="J572" s="17" t="n">
        <f aca="false">IF(A572="","",G572-N(H572)-I572)</f>
        <v>0</v>
      </c>
      <c r="K572" s="7" t="s">
        <v>13</v>
      </c>
      <c r="L572" s="7" t="s">
        <v>233</v>
      </c>
      <c r="M572" s="7"/>
    </row>
    <row r="573" customFormat="false" ht="15" hidden="false" customHeight="true" outlineLevel="0" collapsed="false">
      <c r="A573" s="7" t="s">
        <v>1027</v>
      </c>
      <c r="B573" s="15" t="n">
        <v>46307</v>
      </c>
      <c r="C573" s="7" t="s">
        <v>369</v>
      </c>
      <c r="D573" s="7" t="s">
        <v>370</v>
      </c>
      <c r="E573" s="17" t="n">
        <f aca="false">IF(A573="","",SUMIFS(Sales_Items!$H$2:$H$3001,Sales_Items!$A$2:$A$3001,A573))</f>
        <v>380</v>
      </c>
      <c r="F573" s="13" t="n">
        <v>0</v>
      </c>
      <c r="G573" s="17" t="n">
        <f aca="false">IF(A573="","",E573-N(F573))</f>
        <v>380</v>
      </c>
      <c r="H573" s="13" t="n">
        <v>380</v>
      </c>
      <c r="I573" s="17" t="n">
        <f aca="false">IF(A573="","",SUMIFS(Due_Payments!$C$2:$C$1001,Due_Payments!$B$2:$B$1001,A573))</f>
        <v>0</v>
      </c>
      <c r="J573" s="17" t="n">
        <f aca="false">IF(A573="","",G573-N(H573)-I573)</f>
        <v>0</v>
      </c>
      <c r="K573" s="7" t="s">
        <v>21</v>
      </c>
      <c r="L573" s="7" t="s">
        <v>223</v>
      </c>
      <c r="M573" s="7"/>
    </row>
    <row r="574" customFormat="false" ht="15" hidden="false" customHeight="true" outlineLevel="0" collapsed="false">
      <c r="A574" s="7" t="s">
        <v>1028</v>
      </c>
      <c r="B574" s="15" t="n">
        <v>46307</v>
      </c>
      <c r="C574" s="7" t="s">
        <v>307</v>
      </c>
      <c r="D574" s="7" t="s">
        <v>308</v>
      </c>
      <c r="E574" s="17" t="n">
        <f aca="false">IF(A574="","",SUMIFS(Sales_Items!$H$2:$H$3001,Sales_Items!$A$2:$A$3001,A574))</f>
        <v>520</v>
      </c>
      <c r="F574" s="13" t="n">
        <v>100</v>
      </c>
      <c r="G574" s="17" t="n">
        <f aca="false">IF(A574="","",E574-N(F574))</f>
        <v>420</v>
      </c>
      <c r="H574" s="13" t="n">
        <v>420</v>
      </c>
      <c r="I574" s="17" t="n">
        <f aca="false">IF(A574="","",SUMIFS(Due_Payments!$C$2:$C$1001,Due_Payments!$B$2:$B$1001,A574))</f>
        <v>0</v>
      </c>
      <c r="J574" s="17" t="n">
        <f aca="false">IF(A574="","",G574-N(H574)-I574)</f>
        <v>0</v>
      </c>
      <c r="K574" s="7" t="s">
        <v>37</v>
      </c>
      <c r="L574" s="7" t="s">
        <v>411</v>
      </c>
      <c r="M574" s="7"/>
    </row>
    <row r="575" customFormat="false" ht="15" hidden="false" customHeight="true" outlineLevel="0" collapsed="false">
      <c r="A575" s="7" t="s">
        <v>1029</v>
      </c>
      <c r="B575" s="15" t="n">
        <v>46307</v>
      </c>
      <c r="C575" s="7" t="s">
        <v>241</v>
      </c>
      <c r="D575" s="7" t="s">
        <v>242</v>
      </c>
      <c r="E575" s="17" t="n">
        <f aca="false">IF(A575="","",SUMIFS(Sales_Items!$H$2:$H$3001,Sales_Items!$A$2:$A$3001,A575))</f>
        <v>280</v>
      </c>
      <c r="F575" s="13" t="n">
        <v>10</v>
      </c>
      <c r="G575" s="17" t="n">
        <f aca="false">IF(A575="","",E575-N(F575))</f>
        <v>270</v>
      </c>
      <c r="H575" s="13" t="n">
        <v>270</v>
      </c>
      <c r="I575" s="17" t="n">
        <f aca="false">IF(A575="","",SUMIFS(Due_Payments!$C$2:$C$1001,Due_Payments!$B$2:$B$1001,A575))</f>
        <v>0</v>
      </c>
      <c r="J575" s="17" t="n">
        <f aca="false">IF(A575="","",G575-N(H575)-I575)</f>
        <v>0</v>
      </c>
      <c r="K575" s="7" t="s">
        <v>21</v>
      </c>
      <c r="L575" s="7" t="s">
        <v>337</v>
      </c>
      <c r="M575" s="7"/>
    </row>
    <row r="576" customFormat="false" ht="15" hidden="false" customHeight="true" outlineLevel="0" collapsed="false">
      <c r="A576" s="7" t="s">
        <v>1030</v>
      </c>
      <c r="B576" s="15" t="n">
        <v>46307</v>
      </c>
      <c r="C576" s="7" t="s">
        <v>206</v>
      </c>
      <c r="D576" s="7" t="s">
        <v>207</v>
      </c>
      <c r="E576" s="17" t="n">
        <f aca="false">IF(A576="","",SUMIFS(Sales_Items!$H$2:$H$3001,Sales_Items!$A$2:$A$3001,A576))</f>
        <v>380</v>
      </c>
      <c r="F576" s="13" t="n">
        <v>0</v>
      </c>
      <c r="G576" s="17" t="n">
        <f aca="false">IF(A576="","",E576-N(F576))</f>
        <v>380</v>
      </c>
      <c r="H576" s="13" t="n">
        <v>0</v>
      </c>
      <c r="I576" s="17" t="n">
        <f aca="false">IF(A576="","",SUMIFS(Due_Payments!$C$2:$C$1001,Due_Payments!$B$2:$B$1001,A576))</f>
        <v>0</v>
      </c>
      <c r="J576" s="17" t="n">
        <f aca="false">IF(A576="","",G576-N(H576)-I576)</f>
        <v>380</v>
      </c>
      <c r="K576" s="7" t="s">
        <v>21</v>
      </c>
      <c r="L576" s="7" t="s">
        <v>223</v>
      </c>
      <c r="M576" s="7"/>
    </row>
    <row r="577" customFormat="false" ht="15" hidden="false" customHeight="true" outlineLevel="0" collapsed="false">
      <c r="A577" s="7" t="s">
        <v>1031</v>
      </c>
      <c r="B577" s="15" t="n">
        <v>46307</v>
      </c>
      <c r="C577" s="7" t="s">
        <v>282</v>
      </c>
      <c r="D577" s="7" t="s">
        <v>283</v>
      </c>
      <c r="E577" s="17" t="n">
        <f aca="false">IF(A577="","",SUMIFS(Sales_Items!$H$2:$H$3001,Sales_Items!$A$2:$A$3001,A577))</f>
        <v>940</v>
      </c>
      <c r="F577" s="13" t="n">
        <v>30</v>
      </c>
      <c r="G577" s="17" t="n">
        <f aca="false">IF(A577="","",E577-N(F577))</f>
        <v>910</v>
      </c>
      <c r="H577" s="13" t="n">
        <v>910</v>
      </c>
      <c r="I577" s="17" t="n">
        <f aca="false">IF(A577="","",SUMIFS(Due_Payments!$C$2:$C$1001,Due_Payments!$B$2:$B$1001,A577))</f>
        <v>0</v>
      </c>
      <c r="J577" s="17" t="n">
        <f aca="false">IF(A577="","",G577-N(H577)-I577)</f>
        <v>0</v>
      </c>
      <c r="K577" s="7" t="s">
        <v>21</v>
      </c>
      <c r="L577" s="7" t="s">
        <v>675</v>
      </c>
      <c r="M577" s="7"/>
    </row>
    <row r="578" customFormat="false" ht="15" hidden="false" customHeight="true" outlineLevel="0" collapsed="false">
      <c r="A578" s="7" t="s">
        <v>1032</v>
      </c>
      <c r="B578" s="15" t="n">
        <v>46307</v>
      </c>
      <c r="C578" s="7" t="s">
        <v>241</v>
      </c>
      <c r="D578" s="7" t="s">
        <v>242</v>
      </c>
      <c r="E578" s="17" t="n">
        <f aca="false">IF(A578="","",SUMIFS(Sales_Items!$H$2:$H$3001,Sales_Items!$A$2:$A$3001,A578))</f>
        <v>1100</v>
      </c>
      <c r="F578" s="13" t="n">
        <v>50</v>
      </c>
      <c r="G578" s="17" t="n">
        <f aca="false">IF(A578="","",E578-N(F578))</f>
        <v>1050</v>
      </c>
      <c r="H578" s="13" t="n">
        <v>1050</v>
      </c>
      <c r="I578" s="17" t="n">
        <f aca="false">IF(A578="","",SUMIFS(Due_Payments!$C$2:$C$1001,Due_Payments!$B$2:$B$1001,A578))</f>
        <v>0</v>
      </c>
      <c r="J578" s="17" t="n">
        <f aca="false">IF(A578="","",G578-N(H578)-I578)</f>
        <v>0</v>
      </c>
      <c r="K578" s="7" t="s">
        <v>13</v>
      </c>
      <c r="L578" s="7" t="s">
        <v>397</v>
      </c>
      <c r="M578" s="7"/>
    </row>
    <row r="579" customFormat="false" ht="15" hidden="false" customHeight="true" outlineLevel="0" collapsed="false">
      <c r="A579" s="7" t="s">
        <v>1033</v>
      </c>
      <c r="B579" s="15" t="n">
        <v>46307</v>
      </c>
      <c r="C579" s="7" t="s">
        <v>249</v>
      </c>
      <c r="D579" s="7" t="s">
        <v>250</v>
      </c>
      <c r="E579" s="17" t="n">
        <f aca="false">IF(A579="","",SUMIFS(Sales_Items!$H$2:$H$3001,Sales_Items!$A$2:$A$3001,A579))</f>
        <v>2100</v>
      </c>
      <c r="F579" s="13" t="n">
        <v>50</v>
      </c>
      <c r="G579" s="17" t="n">
        <f aca="false">IF(A579="","",E579-N(F579))</f>
        <v>2050</v>
      </c>
      <c r="H579" s="13" t="n">
        <v>2050</v>
      </c>
      <c r="I579" s="17" t="n">
        <f aca="false">IF(A579="","",SUMIFS(Due_Payments!$C$2:$C$1001,Due_Payments!$B$2:$B$1001,A579))</f>
        <v>0</v>
      </c>
      <c r="J579" s="17" t="n">
        <f aca="false">IF(A579="","",G579-N(H579)-I579)</f>
        <v>0</v>
      </c>
      <c r="K579" s="7" t="s">
        <v>13</v>
      </c>
      <c r="L579" s="7" t="s">
        <v>1034</v>
      </c>
      <c r="M579" s="7"/>
    </row>
    <row r="580" customFormat="false" ht="15" hidden="false" customHeight="true" outlineLevel="0" collapsed="false">
      <c r="A580" s="7" t="s">
        <v>1035</v>
      </c>
      <c r="B580" s="15" t="n">
        <v>46307</v>
      </c>
      <c r="C580" s="7" t="s">
        <v>217</v>
      </c>
      <c r="D580" s="7" t="s">
        <v>218</v>
      </c>
      <c r="E580" s="17" t="n">
        <f aca="false">IF(A580="","",SUMIFS(Sales_Items!$H$2:$H$3001,Sales_Items!$A$2:$A$3001,A580))</f>
        <v>780</v>
      </c>
      <c r="F580" s="13" t="n">
        <v>20</v>
      </c>
      <c r="G580" s="17" t="n">
        <f aca="false">IF(A580="","",E580-N(F580))</f>
        <v>760</v>
      </c>
      <c r="H580" s="13" t="n">
        <v>760</v>
      </c>
      <c r="I580" s="17" t="n">
        <f aca="false">IF(A580="","",SUMIFS(Due_Payments!$C$2:$C$1001,Due_Payments!$B$2:$B$1001,A580))</f>
        <v>0</v>
      </c>
      <c r="J580" s="17" t="n">
        <f aca="false">IF(A580="","",G580-N(H580)-I580)</f>
        <v>0</v>
      </c>
      <c r="K580" s="7" t="s">
        <v>21</v>
      </c>
      <c r="L580" s="7" t="s">
        <v>517</v>
      </c>
      <c r="M580" s="7"/>
    </row>
    <row r="581" customFormat="false" ht="15" hidden="false" customHeight="true" outlineLevel="0" collapsed="false">
      <c r="A581" s="7" t="s">
        <v>1036</v>
      </c>
      <c r="B581" s="15" t="n">
        <v>46307</v>
      </c>
      <c r="C581" s="7" t="s">
        <v>198</v>
      </c>
      <c r="D581" s="7" t="s">
        <v>199</v>
      </c>
      <c r="E581" s="17" t="n">
        <f aca="false">IF(A581="","",SUMIFS(Sales_Items!$H$2:$H$3001,Sales_Items!$A$2:$A$3001,A581))</f>
        <v>2340</v>
      </c>
      <c r="F581" s="13" t="n">
        <v>0</v>
      </c>
      <c r="G581" s="17" t="n">
        <f aca="false">IF(A581="","",E581-N(F581))</f>
        <v>2340</v>
      </c>
      <c r="H581" s="13" t="n">
        <v>2340</v>
      </c>
      <c r="I581" s="17" t="n">
        <f aca="false">IF(A581="","",SUMIFS(Due_Payments!$C$2:$C$1001,Due_Payments!$B$2:$B$1001,A581))</f>
        <v>0</v>
      </c>
      <c r="J581" s="17" t="n">
        <f aca="false">IF(A581="","",G581-N(H581)-I581)</f>
        <v>0</v>
      </c>
      <c r="K581" s="7" t="s">
        <v>13</v>
      </c>
      <c r="L581" s="7" t="s">
        <v>511</v>
      </c>
      <c r="M581" s="7"/>
    </row>
    <row r="582" customFormat="false" ht="15" hidden="false" customHeight="true" outlineLevel="0" collapsed="false">
      <c r="A582" s="7" t="s">
        <v>1037</v>
      </c>
      <c r="B582" s="15" t="n">
        <v>46307</v>
      </c>
      <c r="C582" s="7" t="s">
        <v>241</v>
      </c>
      <c r="D582" s="7" t="s">
        <v>242</v>
      </c>
      <c r="E582" s="17" t="n">
        <f aca="false">IF(A582="","",SUMIFS(Sales_Items!$H$2:$H$3001,Sales_Items!$A$2:$A$3001,A582))</f>
        <v>1280</v>
      </c>
      <c r="F582" s="13" t="n">
        <v>100</v>
      </c>
      <c r="G582" s="17" t="n">
        <f aca="false">IF(A582="","",E582-N(F582))</f>
        <v>1180</v>
      </c>
      <c r="H582" s="13" t="n">
        <v>1180</v>
      </c>
      <c r="I582" s="17" t="n">
        <f aca="false">IF(A582="","",SUMIFS(Due_Payments!$C$2:$C$1001,Due_Payments!$B$2:$B$1001,A582))</f>
        <v>0</v>
      </c>
      <c r="J582" s="17" t="n">
        <f aca="false">IF(A582="","",G582-N(H582)-I582)</f>
        <v>0</v>
      </c>
      <c r="K582" s="7" t="s">
        <v>29</v>
      </c>
      <c r="L582" s="7" t="s">
        <v>1038</v>
      </c>
      <c r="M582" s="7"/>
    </row>
    <row r="583" customFormat="false" ht="15" hidden="false" customHeight="true" outlineLevel="0" collapsed="false">
      <c r="A583" s="7" t="s">
        <v>1039</v>
      </c>
      <c r="B583" s="15" t="n">
        <v>46307</v>
      </c>
      <c r="C583" s="7" t="s">
        <v>198</v>
      </c>
      <c r="D583" s="7" t="s">
        <v>199</v>
      </c>
      <c r="E583" s="17" t="n">
        <f aca="false">IF(A583="","",SUMIFS(Sales_Items!$H$2:$H$3001,Sales_Items!$A$2:$A$3001,A583))</f>
        <v>480</v>
      </c>
      <c r="F583" s="13" t="n">
        <v>100</v>
      </c>
      <c r="G583" s="17" t="n">
        <f aca="false">IF(A583="","",E583-N(F583))</f>
        <v>380</v>
      </c>
      <c r="H583" s="13" t="n">
        <v>190</v>
      </c>
      <c r="I583" s="17" t="n">
        <f aca="false">IF(A583="","",SUMIFS(Due_Payments!$C$2:$C$1001,Due_Payments!$B$2:$B$1001,A583))</f>
        <v>100</v>
      </c>
      <c r="J583" s="17" t="n">
        <f aca="false">IF(A583="","",G583-N(H583)-I583)</f>
        <v>90</v>
      </c>
      <c r="K583" s="7" t="s">
        <v>21</v>
      </c>
      <c r="L583" s="7" t="s">
        <v>223</v>
      </c>
      <c r="M583" s="7"/>
    </row>
    <row r="584" customFormat="false" ht="15" hidden="false" customHeight="true" outlineLevel="0" collapsed="false">
      <c r="A584" s="7" t="s">
        <v>1040</v>
      </c>
      <c r="B584" s="15" t="n">
        <v>46308</v>
      </c>
      <c r="C584" s="7" t="s">
        <v>256</v>
      </c>
      <c r="D584" s="7" t="s">
        <v>257</v>
      </c>
      <c r="E584" s="17" t="n">
        <f aca="false">IF(A584="","",SUMIFS(Sales_Items!$H$2:$H$3001,Sales_Items!$A$2:$A$3001,A584))</f>
        <v>1580</v>
      </c>
      <c r="F584" s="13" t="n">
        <v>0</v>
      </c>
      <c r="G584" s="17" t="n">
        <f aca="false">IF(A584="","",E584-N(F584))</f>
        <v>1580</v>
      </c>
      <c r="H584" s="13" t="n">
        <v>1580</v>
      </c>
      <c r="I584" s="17" t="n">
        <f aca="false">IF(A584="","",SUMIFS(Due_Payments!$C$2:$C$1001,Due_Payments!$B$2:$B$1001,A584))</f>
        <v>0</v>
      </c>
      <c r="J584" s="17" t="n">
        <f aca="false">IF(A584="","",G584-N(H584)-I584)</f>
        <v>0</v>
      </c>
      <c r="K584" s="7" t="s">
        <v>13</v>
      </c>
      <c r="L584" s="7" t="s">
        <v>629</v>
      </c>
      <c r="M584" s="7"/>
    </row>
    <row r="585" customFormat="false" ht="15" hidden="false" customHeight="true" outlineLevel="0" collapsed="false">
      <c r="A585" s="7" t="s">
        <v>1041</v>
      </c>
      <c r="B585" s="15" t="n">
        <v>46308</v>
      </c>
      <c r="C585" s="7" t="s">
        <v>344</v>
      </c>
      <c r="D585" s="7" t="s">
        <v>345</v>
      </c>
      <c r="E585" s="17" t="n">
        <f aca="false">IF(A585="","",SUMIFS(Sales_Items!$H$2:$H$3001,Sales_Items!$A$2:$A$3001,A585))</f>
        <v>520</v>
      </c>
      <c r="F585" s="13" t="n">
        <v>0</v>
      </c>
      <c r="G585" s="17" t="n">
        <f aca="false">IF(A585="","",E585-N(F585))</f>
        <v>520</v>
      </c>
      <c r="H585" s="13" t="n">
        <v>520</v>
      </c>
      <c r="I585" s="17" t="n">
        <f aca="false">IF(A585="","",SUMIFS(Due_Payments!$C$2:$C$1001,Due_Payments!$B$2:$B$1001,A585))</f>
        <v>0</v>
      </c>
      <c r="J585" s="17" t="n">
        <f aca="false">IF(A585="","",G585-N(H585)-I585)</f>
        <v>0</v>
      </c>
      <c r="K585" s="7" t="s">
        <v>13</v>
      </c>
      <c r="L585" s="7" t="s">
        <v>323</v>
      </c>
      <c r="M585" s="7"/>
    </row>
    <row r="586" customFormat="false" ht="15" hidden="false" customHeight="true" outlineLevel="0" collapsed="false">
      <c r="A586" s="7" t="s">
        <v>1042</v>
      </c>
      <c r="B586" s="15" t="n">
        <v>46308</v>
      </c>
      <c r="C586" s="7" t="s">
        <v>275</v>
      </c>
      <c r="D586" s="7" t="s">
        <v>276</v>
      </c>
      <c r="E586" s="17" t="n">
        <f aca="false">IF(A586="","",SUMIFS(Sales_Items!$H$2:$H$3001,Sales_Items!$A$2:$A$3001,A586))</f>
        <v>1240</v>
      </c>
      <c r="F586" s="13" t="n">
        <v>0</v>
      </c>
      <c r="G586" s="17" t="n">
        <f aca="false">IF(A586="","",E586-N(F586))</f>
        <v>1240</v>
      </c>
      <c r="H586" s="13" t="n">
        <v>0</v>
      </c>
      <c r="I586" s="17" t="n">
        <f aca="false">IF(A586="","",SUMIFS(Due_Payments!$C$2:$C$1001,Due_Payments!$B$2:$B$1001,A586))</f>
        <v>1240</v>
      </c>
      <c r="J586" s="17" t="n">
        <f aca="false">IF(A586="","",G586-N(H586)-I586)</f>
        <v>0</v>
      </c>
      <c r="K586" s="7" t="s">
        <v>13</v>
      </c>
      <c r="L586" s="7" t="s">
        <v>335</v>
      </c>
      <c r="M586" s="7"/>
    </row>
    <row r="587" customFormat="false" ht="15" hidden="false" customHeight="true" outlineLevel="0" collapsed="false">
      <c r="A587" s="7" t="s">
        <v>1043</v>
      </c>
      <c r="B587" s="15" t="n">
        <v>46308</v>
      </c>
      <c r="C587" s="7" t="s">
        <v>259</v>
      </c>
      <c r="D587" s="7" t="s">
        <v>260</v>
      </c>
      <c r="E587" s="17" t="n">
        <f aca="false">IF(A587="","",SUMIFS(Sales_Items!$H$2:$H$3001,Sales_Items!$A$2:$A$3001,A587))</f>
        <v>680</v>
      </c>
      <c r="F587" s="13" t="n">
        <v>0</v>
      </c>
      <c r="G587" s="17" t="n">
        <f aca="false">IF(A587="","",E587-N(F587))</f>
        <v>680</v>
      </c>
      <c r="H587" s="13" t="n">
        <v>0</v>
      </c>
      <c r="I587" s="17" t="n">
        <f aca="false">IF(A587="","",SUMIFS(Due_Payments!$C$2:$C$1001,Due_Payments!$B$2:$B$1001,A587))</f>
        <v>0</v>
      </c>
      <c r="J587" s="17" t="n">
        <f aca="false">IF(A587="","",G587-N(H587)-I587)</f>
        <v>680</v>
      </c>
      <c r="K587" s="7" t="s">
        <v>13</v>
      </c>
      <c r="L587" s="7" t="s">
        <v>239</v>
      </c>
      <c r="M587" s="7"/>
    </row>
    <row r="588" customFormat="false" ht="15" hidden="false" customHeight="true" outlineLevel="0" collapsed="false">
      <c r="A588" s="7" t="s">
        <v>1044</v>
      </c>
      <c r="B588" s="15" t="n">
        <v>46308</v>
      </c>
      <c r="C588" s="7" t="s">
        <v>225</v>
      </c>
      <c r="D588" s="7" t="s">
        <v>226</v>
      </c>
      <c r="E588" s="17" t="n">
        <f aca="false">IF(A588="","",SUMIFS(Sales_Items!$H$2:$H$3001,Sales_Items!$A$2:$A$3001,A588))</f>
        <v>860</v>
      </c>
      <c r="F588" s="13" t="n">
        <v>100</v>
      </c>
      <c r="G588" s="17" t="n">
        <f aca="false">IF(A588="","",E588-N(F588))</f>
        <v>760</v>
      </c>
      <c r="H588" s="13" t="n">
        <v>760</v>
      </c>
      <c r="I588" s="17" t="n">
        <f aca="false">IF(A588="","",SUMIFS(Due_Payments!$C$2:$C$1001,Due_Payments!$B$2:$B$1001,A588))</f>
        <v>0</v>
      </c>
      <c r="J588" s="17" t="n">
        <f aca="false">IF(A588="","",G588-N(H588)-I588)</f>
        <v>0</v>
      </c>
      <c r="K588" s="7" t="s">
        <v>21</v>
      </c>
      <c r="L588" s="7" t="s">
        <v>517</v>
      </c>
      <c r="M588" s="7"/>
    </row>
    <row r="589" customFormat="false" ht="15" hidden="false" customHeight="true" outlineLevel="0" collapsed="false">
      <c r="A589" s="7" t="s">
        <v>1045</v>
      </c>
      <c r="B589" s="15" t="n">
        <v>46308</v>
      </c>
      <c r="C589" s="7" t="s">
        <v>241</v>
      </c>
      <c r="D589" s="7" t="s">
        <v>242</v>
      </c>
      <c r="E589" s="17" t="n">
        <f aca="false">IF(A589="","",SUMIFS(Sales_Items!$H$2:$H$3001,Sales_Items!$A$2:$A$3001,A589))</f>
        <v>1000</v>
      </c>
      <c r="F589" s="13" t="n">
        <v>30</v>
      </c>
      <c r="G589" s="17" t="n">
        <f aca="false">IF(A589="","",E589-N(F589))</f>
        <v>970</v>
      </c>
      <c r="H589" s="13" t="n">
        <v>0</v>
      </c>
      <c r="I589" s="17" t="n">
        <f aca="false">IF(A589="","",SUMIFS(Due_Payments!$C$2:$C$1001,Due_Payments!$B$2:$B$1001,A589))</f>
        <v>480</v>
      </c>
      <c r="J589" s="17" t="n">
        <f aca="false">IF(A589="","",G589-N(H589)-I589)</f>
        <v>490</v>
      </c>
      <c r="K589" s="7" t="s">
        <v>13</v>
      </c>
      <c r="L589" s="7" t="s">
        <v>1046</v>
      </c>
      <c r="M589" s="7"/>
    </row>
    <row r="590" customFormat="false" ht="15" hidden="false" customHeight="true" outlineLevel="0" collapsed="false">
      <c r="A590" s="7" t="s">
        <v>1047</v>
      </c>
      <c r="B590" s="15" t="n">
        <v>46308</v>
      </c>
      <c r="C590" s="7" t="s">
        <v>344</v>
      </c>
      <c r="D590" s="7" t="s">
        <v>345</v>
      </c>
      <c r="E590" s="17" t="n">
        <f aca="false">IF(A590="","",SUMIFS(Sales_Items!$H$2:$H$3001,Sales_Items!$A$2:$A$3001,A590))</f>
        <v>540</v>
      </c>
      <c r="F590" s="13" t="n">
        <v>20</v>
      </c>
      <c r="G590" s="17" t="n">
        <f aca="false">IF(A590="","",E590-N(F590))</f>
        <v>520</v>
      </c>
      <c r="H590" s="13" t="n">
        <v>520</v>
      </c>
      <c r="I590" s="17" t="n">
        <f aca="false">IF(A590="","",SUMIFS(Due_Payments!$C$2:$C$1001,Due_Payments!$B$2:$B$1001,A590))</f>
        <v>0</v>
      </c>
      <c r="J590" s="17" t="n">
        <f aca="false">IF(A590="","",G590-N(H590)-I590)</f>
        <v>0</v>
      </c>
      <c r="K590" s="7" t="s">
        <v>21</v>
      </c>
      <c r="L590" s="7" t="s">
        <v>323</v>
      </c>
      <c r="M590" s="7"/>
    </row>
    <row r="591" customFormat="false" ht="15" hidden="false" customHeight="true" outlineLevel="0" collapsed="false">
      <c r="A591" s="7" t="s">
        <v>1048</v>
      </c>
      <c r="B591" s="15" t="n">
        <v>46308</v>
      </c>
      <c r="C591" s="7" t="s">
        <v>256</v>
      </c>
      <c r="D591" s="7" t="s">
        <v>257</v>
      </c>
      <c r="E591" s="17" t="n">
        <f aca="false">IF(A591="","",SUMIFS(Sales_Items!$H$2:$H$3001,Sales_Items!$A$2:$A$3001,A591))</f>
        <v>820</v>
      </c>
      <c r="F591" s="13" t="n">
        <v>0</v>
      </c>
      <c r="G591" s="17" t="n">
        <f aca="false">IF(A591="","",E591-N(F591))</f>
        <v>820</v>
      </c>
      <c r="H591" s="13" t="n">
        <v>820</v>
      </c>
      <c r="I591" s="17" t="n">
        <f aca="false">IF(A591="","",SUMIFS(Due_Payments!$C$2:$C$1001,Due_Payments!$B$2:$B$1001,A591))</f>
        <v>0</v>
      </c>
      <c r="J591" s="17" t="n">
        <f aca="false">IF(A591="","",G591-N(H591)-I591)</f>
        <v>0</v>
      </c>
      <c r="K591" s="7" t="s">
        <v>13</v>
      </c>
      <c r="L591" s="7" t="s">
        <v>529</v>
      </c>
      <c r="M591" s="7"/>
    </row>
    <row r="592" customFormat="false" ht="15" hidden="false" customHeight="true" outlineLevel="0" collapsed="false">
      <c r="A592" s="7" t="s">
        <v>1049</v>
      </c>
      <c r="B592" s="15" t="n">
        <v>46309</v>
      </c>
      <c r="C592" s="7" t="s">
        <v>344</v>
      </c>
      <c r="D592" s="7" t="s">
        <v>345</v>
      </c>
      <c r="E592" s="17" t="n">
        <f aca="false">IF(A592="","",SUMIFS(Sales_Items!$H$2:$H$3001,Sales_Items!$A$2:$A$3001,A592))</f>
        <v>280</v>
      </c>
      <c r="F592" s="13" t="n">
        <v>100</v>
      </c>
      <c r="G592" s="17" t="n">
        <f aca="false">IF(A592="","",E592-N(F592))</f>
        <v>180</v>
      </c>
      <c r="H592" s="13" t="n">
        <v>180</v>
      </c>
      <c r="I592" s="17" t="n">
        <f aca="false">IF(A592="","",SUMIFS(Due_Payments!$C$2:$C$1001,Due_Payments!$B$2:$B$1001,A592))</f>
        <v>0</v>
      </c>
      <c r="J592" s="17" t="n">
        <f aca="false">IF(A592="","",G592-N(H592)-I592)</f>
        <v>0</v>
      </c>
      <c r="K592" s="7" t="s">
        <v>13</v>
      </c>
      <c r="L592" s="7" t="s">
        <v>447</v>
      </c>
      <c r="M592" s="7"/>
    </row>
    <row r="593" customFormat="false" ht="15" hidden="false" customHeight="true" outlineLevel="0" collapsed="false">
      <c r="A593" s="7" t="s">
        <v>1050</v>
      </c>
      <c r="B593" s="15" t="n">
        <v>46309</v>
      </c>
      <c r="C593" s="7" t="s">
        <v>344</v>
      </c>
      <c r="D593" s="7" t="s">
        <v>345</v>
      </c>
      <c r="E593" s="17" t="n">
        <f aca="false">IF(A593="","",SUMIFS(Sales_Items!$H$2:$H$3001,Sales_Items!$A$2:$A$3001,A593))</f>
        <v>1190</v>
      </c>
      <c r="F593" s="13" t="n">
        <v>50</v>
      </c>
      <c r="G593" s="17" t="n">
        <f aca="false">IF(A593="","",E593-N(F593))</f>
        <v>1140</v>
      </c>
      <c r="H593" s="13" t="n">
        <v>1140</v>
      </c>
      <c r="I593" s="17" t="n">
        <f aca="false">IF(A593="","",SUMIFS(Due_Payments!$C$2:$C$1001,Due_Payments!$B$2:$B$1001,A593))</f>
        <v>0</v>
      </c>
      <c r="J593" s="17" t="n">
        <f aca="false">IF(A593="","",G593-N(H593)-I593)</f>
        <v>0</v>
      </c>
      <c r="K593" s="7" t="s">
        <v>13</v>
      </c>
      <c r="L593" s="7" t="s">
        <v>295</v>
      </c>
      <c r="M593" s="7"/>
    </row>
    <row r="594" customFormat="false" ht="15" hidden="false" customHeight="true" outlineLevel="0" collapsed="false">
      <c r="A594" s="7" t="s">
        <v>1051</v>
      </c>
      <c r="B594" s="15" t="n">
        <v>46309</v>
      </c>
      <c r="C594" s="7" t="s">
        <v>285</v>
      </c>
      <c r="D594" s="7" t="s">
        <v>286</v>
      </c>
      <c r="E594" s="17" t="n">
        <f aca="false">IF(A594="","",SUMIFS(Sales_Items!$H$2:$H$3001,Sales_Items!$A$2:$A$3001,A594))</f>
        <v>340</v>
      </c>
      <c r="F594" s="13" t="n">
        <v>100</v>
      </c>
      <c r="G594" s="17" t="n">
        <f aca="false">IF(A594="","",E594-N(F594))</f>
        <v>240</v>
      </c>
      <c r="H594" s="13" t="n">
        <v>240</v>
      </c>
      <c r="I594" s="17" t="n">
        <f aca="false">IF(A594="","",SUMIFS(Due_Payments!$C$2:$C$1001,Due_Payments!$B$2:$B$1001,A594))</f>
        <v>0</v>
      </c>
      <c r="J594" s="17" t="n">
        <f aca="false">IF(A594="","",G594-N(H594)-I594)</f>
        <v>0</v>
      </c>
      <c r="K594" s="7" t="s">
        <v>13</v>
      </c>
      <c r="L594" s="7" t="s">
        <v>261</v>
      </c>
      <c r="M594" s="7"/>
    </row>
    <row r="595" customFormat="false" ht="15" hidden="false" customHeight="true" outlineLevel="0" collapsed="false">
      <c r="A595" s="7" t="s">
        <v>1052</v>
      </c>
      <c r="B595" s="15" t="n">
        <v>46309</v>
      </c>
      <c r="C595" s="7" t="s">
        <v>241</v>
      </c>
      <c r="D595" s="7" t="s">
        <v>242</v>
      </c>
      <c r="E595" s="17" t="n">
        <f aca="false">IF(A595="","",SUMIFS(Sales_Items!$H$2:$H$3001,Sales_Items!$A$2:$A$3001,A595))</f>
        <v>3080</v>
      </c>
      <c r="F595" s="13" t="n">
        <v>0</v>
      </c>
      <c r="G595" s="17" t="n">
        <f aca="false">IF(A595="","",E595-N(F595))</f>
        <v>3080</v>
      </c>
      <c r="H595" s="13" t="n">
        <v>3080</v>
      </c>
      <c r="I595" s="17" t="n">
        <f aca="false">IF(A595="","",SUMIFS(Due_Payments!$C$2:$C$1001,Due_Payments!$B$2:$B$1001,A595))</f>
        <v>0</v>
      </c>
      <c r="J595" s="17" t="n">
        <f aca="false">IF(A595="","",G595-N(H595)-I595)</f>
        <v>0</v>
      </c>
      <c r="K595" s="7" t="s">
        <v>29</v>
      </c>
      <c r="L595" s="7" t="s">
        <v>1053</v>
      </c>
      <c r="M595" s="7"/>
    </row>
    <row r="596" customFormat="false" ht="15" hidden="false" customHeight="true" outlineLevel="0" collapsed="false">
      <c r="A596" s="7" t="s">
        <v>1054</v>
      </c>
      <c r="B596" s="15" t="n">
        <v>46309</v>
      </c>
      <c r="C596" s="7" t="s">
        <v>229</v>
      </c>
      <c r="D596" s="7" t="s">
        <v>230</v>
      </c>
      <c r="E596" s="17" t="n">
        <f aca="false">IF(A596="","",SUMIFS(Sales_Items!$H$2:$H$3001,Sales_Items!$A$2:$A$3001,A596))</f>
        <v>1800</v>
      </c>
      <c r="F596" s="13" t="n">
        <v>50</v>
      </c>
      <c r="G596" s="17" t="n">
        <f aca="false">IF(A596="","",E596-N(F596))</f>
        <v>1750</v>
      </c>
      <c r="H596" s="13" t="n">
        <v>1750</v>
      </c>
      <c r="I596" s="17" t="n">
        <f aca="false">IF(A596="","",SUMIFS(Due_Payments!$C$2:$C$1001,Due_Payments!$B$2:$B$1001,A596))</f>
        <v>0</v>
      </c>
      <c r="J596" s="17" t="n">
        <f aca="false">IF(A596="","",G596-N(H596)-I596)</f>
        <v>0</v>
      </c>
      <c r="K596" s="7" t="s">
        <v>21</v>
      </c>
      <c r="L596" s="7" t="s">
        <v>354</v>
      </c>
      <c r="M596" s="7"/>
    </row>
    <row r="597" customFormat="false" ht="15" hidden="false" customHeight="true" outlineLevel="0" collapsed="false">
      <c r="A597" s="7" t="s">
        <v>1055</v>
      </c>
      <c r="B597" s="15" t="n">
        <v>46309</v>
      </c>
      <c r="C597" s="7" t="s">
        <v>249</v>
      </c>
      <c r="D597" s="7" t="s">
        <v>250</v>
      </c>
      <c r="E597" s="17" t="n">
        <f aca="false">IF(A597="","",SUMIFS(Sales_Items!$H$2:$H$3001,Sales_Items!$A$2:$A$3001,A597))</f>
        <v>520</v>
      </c>
      <c r="F597" s="13" t="n">
        <v>50</v>
      </c>
      <c r="G597" s="17" t="n">
        <f aca="false">IF(A597="","",E597-N(F597))</f>
        <v>470</v>
      </c>
      <c r="H597" s="13" t="n">
        <v>470</v>
      </c>
      <c r="I597" s="17" t="n">
        <f aca="false">IF(A597="","",SUMIFS(Due_Payments!$C$2:$C$1001,Due_Payments!$B$2:$B$1001,A597))</f>
        <v>0</v>
      </c>
      <c r="J597" s="17" t="n">
        <f aca="false">IF(A597="","",G597-N(H597)-I597)</f>
        <v>0</v>
      </c>
      <c r="K597" s="7" t="s">
        <v>13</v>
      </c>
      <c r="L597" s="7" t="s">
        <v>348</v>
      </c>
      <c r="M597" s="7"/>
    </row>
    <row r="598" customFormat="false" ht="15" hidden="false" customHeight="true" outlineLevel="0" collapsed="false">
      <c r="A598" s="7" t="s">
        <v>1056</v>
      </c>
      <c r="B598" s="15" t="n">
        <v>46309</v>
      </c>
      <c r="C598" s="7" t="s">
        <v>229</v>
      </c>
      <c r="D598" s="7" t="s">
        <v>230</v>
      </c>
      <c r="E598" s="17" t="n">
        <f aca="false">IF(A598="","",SUMIFS(Sales_Items!$H$2:$H$3001,Sales_Items!$A$2:$A$3001,A598))</f>
        <v>260</v>
      </c>
      <c r="F598" s="13" t="n">
        <v>0</v>
      </c>
      <c r="G598" s="17" t="n">
        <f aca="false">IF(A598="","",E598-N(F598))</f>
        <v>260</v>
      </c>
      <c r="H598" s="13" t="n">
        <v>0</v>
      </c>
      <c r="I598" s="17" t="n">
        <f aca="false">IF(A598="","",SUMIFS(Due_Payments!$C$2:$C$1001,Due_Payments!$B$2:$B$1001,A598))</f>
        <v>260</v>
      </c>
      <c r="J598" s="17" t="n">
        <f aca="false">IF(A598="","",G598-N(H598)-I598)</f>
        <v>0</v>
      </c>
      <c r="K598" s="7" t="s">
        <v>29</v>
      </c>
      <c r="L598" s="7" t="s">
        <v>265</v>
      </c>
      <c r="M598" s="7"/>
    </row>
    <row r="599" customFormat="false" ht="15" hidden="false" customHeight="true" outlineLevel="0" collapsed="false">
      <c r="A599" s="7" t="s">
        <v>1057</v>
      </c>
      <c r="B599" s="15" t="n">
        <v>46310</v>
      </c>
      <c r="C599" s="7" t="s">
        <v>213</v>
      </c>
      <c r="D599" s="7" t="s">
        <v>214</v>
      </c>
      <c r="E599" s="17" t="n">
        <f aca="false">IF(A599="","",SUMIFS(Sales_Items!$H$2:$H$3001,Sales_Items!$A$2:$A$3001,A599))</f>
        <v>1260</v>
      </c>
      <c r="F599" s="13" t="n">
        <v>100</v>
      </c>
      <c r="G599" s="17" t="n">
        <f aca="false">IF(A599="","",E599-N(F599))</f>
        <v>1160</v>
      </c>
      <c r="H599" s="13" t="n">
        <v>620</v>
      </c>
      <c r="I599" s="17" t="n">
        <f aca="false">IF(A599="","",SUMIFS(Due_Payments!$C$2:$C$1001,Due_Payments!$B$2:$B$1001,A599))</f>
        <v>0</v>
      </c>
      <c r="J599" s="17" t="n">
        <f aca="false">IF(A599="","",G599-N(H599)-I599)</f>
        <v>540</v>
      </c>
      <c r="K599" s="7" t="s">
        <v>21</v>
      </c>
      <c r="L599" s="7" t="s">
        <v>754</v>
      </c>
      <c r="M599" s="7"/>
    </row>
    <row r="600" customFormat="false" ht="15" hidden="false" customHeight="true" outlineLevel="0" collapsed="false">
      <c r="A600" s="7" t="s">
        <v>1058</v>
      </c>
      <c r="B600" s="15" t="n">
        <v>46310</v>
      </c>
      <c r="C600" s="7" t="s">
        <v>249</v>
      </c>
      <c r="D600" s="7" t="s">
        <v>250</v>
      </c>
      <c r="E600" s="17" t="n">
        <f aca="false">IF(A600="","",SUMIFS(Sales_Items!$H$2:$H$3001,Sales_Items!$A$2:$A$3001,A600))</f>
        <v>2050</v>
      </c>
      <c r="F600" s="13" t="n">
        <v>0</v>
      </c>
      <c r="G600" s="17" t="n">
        <f aca="false">IF(A600="","",E600-N(F600))</f>
        <v>2050</v>
      </c>
      <c r="H600" s="13" t="n">
        <v>0</v>
      </c>
      <c r="I600" s="17" t="n">
        <f aca="false">IF(A600="","",SUMIFS(Due_Payments!$C$2:$C$1001,Due_Payments!$B$2:$B$1001,A600))</f>
        <v>0</v>
      </c>
      <c r="J600" s="17" t="n">
        <f aca="false">IF(A600="","",G600-N(H600)-I600)</f>
        <v>2050</v>
      </c>
      <c r="K600" s="7" t="s">
        <v>37</v>
      </c>
      <c r="L600" s="7" t="s">
        <v>1034</v>
      </c>
      <c r="M600" s="7"/>
    </row>
    <row r="601" customFormat="false" ht="15" hidden="false" customHeight="true" outlineLevel="0" collapsed="false">
      <c r="A601" s="7" t="s">
        <v>1059</v>
      </c>
      <c r="B601" s="15" t="n">
        <v>46310</v>
      </c>
      <c r="C601" s="7" t="s">
        <v>202</v>
      </c>
      <c r="D601" s="7" t="s">
        <v>203</v>
      </c>
      <c r="E601" s="17" t="n">
        <f aca="false">IF(A601="","",SUMIFS(Sales_Items!$H$2:$H$3001,Sales_Items!$A$2:$A$3001,A601))</f>
        <v>4210</v>
      </c>
      <c r="F601" s="13" t="n">
        <v>0</v>
      </c>
      <c r="G601" s="17" t="n">
        <f aca="false">IF(A601="","",E601-N(F601))</f>
        <v>4210</v>
      </c>
      <c r="H601" s="13" t="n">
        <v>4210</v>
      </c>
      <c r="I601" s="17" t="n">
        <f aca="false">IF(A601="","",SUMIFS(Due_Payments!$C$2:$C$1001,Due_Payments!$B$2:$B$1001,A601))</f>
        <v>0</v>
      </c>
      <c r="J601" s="17" t="n">
        <f aca="false">IF(A601="","",G601-N(H601)-I601)</f>
        <v>0</v>
      </c>
      <c r="K601" s="7" t="s">
        <v>13</v>
      </c>
      <c r="L601" s="7" t="s">
        <v>1060</v>
      </c>
      <c r="M601" s="7"/>
    </row>
    <row r="602" customFormat="false" ht="15" hidden="false" customHeight="true" outlineLevel="0" collapsed="false">
      <c r="A602" s="7" t="s">
        <v>1061</v>
      </c>
      <c r="B602" s="15" t="n">
        <v>46310</v>
      </c>
      <c r="C602" s="7" t="s">
        <v>293</v>
      </c>
      <c r="D602" s="7" t="s">
        <v>294</v>
      </c>
      <c r="E602" s="17" t="n">
        <f aca="false">IF(A602="","",SUMIFS(Sales_Items!$H$2:$H$3001,Sales_Items!$A$2:$A$3001,A602))</f>
        <v>2370</v>
      </c>
      <c r="F602" s="13" t="n">
        <v>70</v>
      </c>
      <c r="G602" s="17" t="n">
        <f aca="false">IF(A602="","",E602-N(F602))</f>
        <v>2300</v>
      </c>
      <c r="H602" s="13" t="n">
        <v>2300</v>
      </c>
      <c r="I602" s="17" t="n">
        <f aca="false">IF(A602="","",SUMIFS(Due_Payments!$C$2:$C$1001,Due_Payments!$B$2:$B$1001,A602))</f>
        <v>0</v>
      </c>
      <c r="J602" s="17" t="n">
        <f aca="false">IF(A602="","",G602-N(H602)-I602)</f>
        <v>0</v>
      </c>
      <c r="K602" s="7" t="s">
        <v>13</v>
      </c>
      <c r="L602" s="7" t="s">
        <v>747</v>
      </c>
      <c r="M602" s="7"/>
    </row>
    <row r="603" customFormat="false" ht="15" hidden="false" customHeight="true" outlineLevel="0" collapsed="false">
      <c r="A603" s="7" t="s">
        <v>1062</v>
      </c>
      <c r="B603" s="15" t="n">
        <v>46310</v>
      </c>
      <c r="C603" s="7" t="s">
        <v>378</v>
      </c>
      <c r="D603" s="7" t="s">
        <v>379</v>
      </c>
      <c r="E603" s="17" t="n">
        <f aca="false">IF(A603="","",SUMIFS(Sales_Items!$H$2:$H$3001,Sales_Items!$A$2:$A$3001,A603))</f>
        <v>340</v>
      </c>
      <c r="F603" s="13" t="n">
        <v>0</v>
      </c>
      <c r="G603" s="17" t="n">
        <f aca="false">IF(A603="","",E603-N(F603))</f>
        <v>340</v>
      </c>
      <c r="H603" s="13" t="n">
        <v>340</v>
      </c>
      <c r="I603" s="17" t="n">
        <f aca="false">IF(A603="","",SUMIFS(Due_Payments!$C$2:$C$1001,Due_Payments!$B$2:$B$1001,A603))</f>
        <v>0</v>
      </c>
      <c r="J603" s="17" t="n">
        <f aca="false">IF(A603="","",G603-N(H603)-I603)</f>
        <v>0</v>
      </c>
      <c r="K603" s="7" t="s">
        <v>21</v>
      </c>
      <c r="L603" s="7" t="s">
        <v>237</v>
      </c>
      <c r="M603" s="7"/>
    </row>
    <row r="604" customFormat="false" ht="15" hidden="false" customHeight="true" outlineLevel="0" collapsed="false">
      <c r="A604" s="7" t="s">
        <v>1063</v>
      </c>
      <c r="B604" s="15" t="n">
        <v>46310</v>
      </c>
      <c r="C604" s="7" t="s">
        <v>378</v>
      </c>
      <c r="D604" s="7" t="s">
        <v>379</v>
      </c>
      <c r="E604" s="17" t="n">
        <f aca="false">IF(A604="","",SUMIFS(Sales_Items!$H$2:$H$3001,Sales_Items!$A$2:$A$3001,A604))</f>
        <v>540</v>
      </c>
      <c r="F604" s="13" t="n">
        <v>100</v>
      </c>
      <c r="G604" s="17" t="n">
        <f aca="false">IF(A604="","",E604-N(F604))</f>
        <v>440</v>
      </c>
      <c r="H604" s="13" t="n">
        <v>0</v>
      </c>
      <c r="I604" s="17" t="n">
        <f aca="false">IF(A604="","",SUMIFS(Due_Payments!$C$2:$C$1001,Due_Payments!$B$2:$B$1001,A604))</f>
        <v>440</v>
      </c>
      <c r="J604" s="17" t="n">
        <f aca="false">IF(A604="","",G604-N(H604)-I604)</f>
        <v>0</v>
      </c>
      <c r="K604" s="7" t="s">
        <v>13</v>
      </c>
      <c r="L604" s="7" t="s">
        <v>801</v>
      </c>
      <c r="M604" s="7"/>
    </row>
    <row r="605" customFormat="false" ht="15" hidden="false" customHeight="true" outlineLevel="0" collapsed="false">
      <c r="A605" s="7" t="s">
        <v>1064</v>
      </c>
      <c r="B605" s="15" t="n">
        <v>46310</v>
      </c>
      <c r="C605" s="7" t="s">
        <v>275</v>
      </c>
      <c r="D605" s="7" t="s">
        <v>276</v>
      </c>
      <c r="E605" s="17" t="n">
        <f aca="false">IF(A605="","",SUMIFS(Sales_Items!$H$2:$H$3001,Sales_Items!$A$2:$A$3001,A605))</f>
        <v>680</v>
      </c>
      <c r="F605" s="13" t="n">
        <v>0</v>
      </c>
      <c r="G605" s="17" t="n">
        <f aca="false">IF(A605="","",E605-N(F605))</f>
        <v>680</v>
      </c>
      <c r="H605" s="13" t="n">
        <v>340</v>
      </c>
      <c r="I605" s="17" t="n">
        <f aca="false">IF(A605="","",SUMIFS(Due_Payments!$C$2:$C$1001,Due_Payments!$B$2:$B$1001,A605))</f>
        <v>340</v>
      </c>
      <c r="J605" s="17" t="n">
        <f aca="false">IF(A605="","",G605-N(H605)-I605)</f>
        <v>0</v>
      </c>
      <c r="K605" s="7" t="s">
        <v>29</v>
      </c>
      <c r="L605" s="7" t="s">
        <v>239</v>
      </c>
      <c r="M605" s="7"/>
    </row>
    <row r="606" customFormat="false" ht="15" hidden="false" customHeight="true" outlineLevel="0" collapsed="false">
      <c r="A606" s="7" t="s">
        <v>1065</v>
      </c>
      <c r="B606" s="15" t="n">
        <v>46310</v>
      </c>
      <c r="C606" s="7" t="s">
        <v>344</v>
      </c>
      <c r="D606" s="7" t="s">
        <v>345</v>
      </c>
      <c r="E606" s="17" t="n">
        <f aca="false">IF(A606="","",SUMIFS(Sales_Items!$H$2:$H$3001,Sales_Items!$A$2:$A$3001,A606))</f>
        <v>280</v>
      </c>
      <c r="F606" s="13" t="n">
        <v>100</v>
      </c>
      <c r="G606" s="17" t="n">
        <f aca="false">IF(A606="","",E606-N(F606))</f>
        <v>180</v>
      </c>
      <c r="H606" s="13" t="n">
        <v>180</v>
      </c>
      <c r="I606" s="17" t="n">
        <f aca="false">IF(A606="","",SUMIFS(Due_Payments!$C$2:$C$1001,Due_Payments!$B$2:$B$1001,A606))</f>
        <v>0</v>
      </c>
      <c r="J606" s="17" t="n">
        <f aca="false">IF(A606="","",G606-N(H606)-I606)</f>
        <v>0</v>
      </c>
      <c r="K606" s="7" t="s">
        <v>37</v>
      </c>
      <c r="L606" s="7" t="s">
        <v>447</v>
      </c>
      <c r="M606" s="7"/>
    </row>
    <row r="607" customFormat="false" ht="15" hidden="false" customHeight="true" outlineLevel="0" collapsed="false">
      <c r="A607" s="7" t="s">
        <v>1066</v>
      </c>
      <c r="B607" s="15" t="n">
        <v>46310</v>
      </c>
      <c r="C607" s="7" t="s">
        <v>285</v>
      </c>
      <c r="D607" s="7" t="s">
        <v>286</v>
      </c>
      <c r="E607" s="17" t="n">
        <f aca="false">IF(A607="","",SUMIFS(Sales_Items!$H$2:$H$3001,Sales_Items!$A$2:$A$3001,A607))</f>
        <v>2390</v>
      </c>
      <c r="F607" s="13" t="n">
        <v>0</v>
      </c>
      <c r="G607" s="17" t="n">
        <f aca="false">IF(A607="","",E607-N(F607))</f>
        <v>2390</v>
      </c>
      <c r="H607" s="13" t="n">
        <v>2390</v>
      </c>
      <c r="I607" s="17" t="n">
        <f aca="false">IF(A607="","",SUMIFS(Due_Payments!$C$2:$C$1001,Due_Payments!$B$2:$B$1001,A607))</f>
        <v>0</v>
      </c>
      <c r="J607" s="17" t="n">
        <f aca="false">IF(A607="","",G607-N(H607)-I607)</f>
        <v>0</v>
      </c>
      <c r="K607" s="7" t="s">
        <v>21</v>
      </c>
      <c r="L607" s="7" t="s">
        <v>401</v>
      </c>
      <c r="M607" s="7"/>
    </row>
    <row r="608" customFormat="false" ht="15" hidden="false" customHeight="true" outlineLevel="0" collapsed="false">
      <c r="A608" s="7" t="s">
        <v>1067</v>
      </c>
      <c r="B608" s="15" t="n">
        <v>46310</v>
      </c>
      <c r="C608" s="7" t="s">
        <v>282</v>
      </c>
      <c r="D608" s="7" t="s">
        <v>283</v>
      </c>
      <c r="E608" s="17" t="n">
        <f aca="false">IF(A608="","",SUMIFS(Sales_Items!$H$2:$H$3001,Sales_Items!$A$2:$A$3001,A608))</f>
        <v>810</v>
      </c>
      <c r="F608" s="13" t="n">
        <v>0</v>
      </c>
      <c r="G608" s="17" t="n">
        <f aca="false">IF(A608="","",E608-N(F608))</f>
        <v>810</v>
      </c>
      <c r="H608" s="13" t="n">
        <v>810</v>
      </c>
      <c r="I608" s="17" t="n">
        <f aca="false">IF(A608="","",SUMIFS(Due_Payments!$C$2:$C$1001,Due_Payments!$B$2:$B$1001,A608))</f>
        <v>0</v>
      </c>
      <c r="J608" s="17" t="n">
        <f aca="false">IF(A608="","",G608-N(H608)-I608)</f>
        <v>0</v>
      </c>
      <c r="K608" s="7" t="s">
        <v>13</v>
      </c>
      <c r="L608" s="7" t="s">
        <v>233</v>
      </c>
      <c r="M608" s="7"/>
    </row>
    <row r="609" customFormat="false" ht="15" hidden="false" customHeight="true" outlineLevel="0" collapsed="false">
      <c r="A609" s="7" t="s">
        <v>1068</v>
      </c>
      <c r="B609" s="15" t="n">
        <v>46310</v>
      </c>
      <c r="C609" s="7" t="s">
        <v>350</v>
      </c>
      <c r="D609" s="7" t="s">
        <v>351</v>
      </c>
      <c r="E609" s="17" t="n">
        <f aca="false">IF(A609="","",SUMIFS(Sales_Items!$H$2:$H$3001,Sales_Items!$A$2:$A$3001,A609))</f>
        <v>1440</v>
      </c>
      <c r="F609" s="13" t="n">
        <v>0</v>
      </c>
      <c r="G609" s="17" t="n">
        <f aca="false">IF(A609="","",E609-N(F609))</f>
        <v>1440</v>
      </c>
      <c r="H609" s="13" t="n">
        <v>1440</v>
      </c>
      <c r="I609" s="17" t="n">
        <f aca="false">IF(A609="","",SUMIFS(Due_Payments!$C$2:$C$1001,Due_Payments!$B$2:$B$1001,A609))</f>
        <v>0</v>
      </c>
      <c r="J609" s="17" t="n">
        <f aca="false">IF(A609="","",G609-N(H609)-I609)</f>
        <v>0</v>
      </c>
      <c r="K609" s="7" t="s">
        <v>21</v>
      </c>
      <c r="L609" s="7" t="s">
        <v>580</v>
      </c>
      <c r="M609" s="7"/>
    </row>
    <row r="610" customFormat="false" ht="15" hidden="false" customHeight="true" outlineLevel="0" collapsed="false">
      <c r="A610" s="7" t="s">
        <v>1069</v>
      </c>
      <c r="B610" s="15" t="n">
        <v>46310</v>
      </c>
      <c r="C610" s="7" t="s">
        <v>300</v>
      </c>
      <c r="D610" s="7" t="s">
        <v>301</v>
      </c>
      <c r="E610" s="17" t="n">
        <f aca="false">IF(A610="","",SUMIFS(Sales_Items!$H$2:$H$3001,Sales_Items!$A$2:$A$3001,A610))</f>
        <v>1020</v>
      </c>
      <c r="F610" s="13" t="n">
        <v>0</v>
      </c>
      <c r="G610" s="17" t="n">
        <f aca="false">IF(A610="","",E610-N(F610))</f>
        <v>1020</v>
      </c>
      <c r="H610" s="13" t="n">
        <v>0</v>
      </c>
      <c r="I610" s="17" t="n">
        <f aca="false">IF(A610="","",SUMIFS(Due_Payments!$C$2:$C$1001,Due_Payments!$B$2:$B$1001,A610))</f>
        <v>0</v>
      </c>
      <c r="J610" s="17" t="n">
        <f aca="false">IF(A610="","",G610-N(H610)-I610)</f>
        <v>1020</v>
      </c>
      <c r="K610" s="7" t="s">
        <v>21</v>
      </c>
      <c r="L610" s="7" t="s">
        <v>493</v>
      </c>
      <c r="M610" s="7"/>
    </row>
    <row r="611" customFormat="false" ht="15" hidden="false" customHeight="true" outlineLevel="0" collapsed="false">
      <c r="A611" s="7" t="s">
        <v>1070</v>
      </c>
      <c r="B611" s="15" t="n">
        <v>46312</v>
      </c>
      <c r="C611" s="7" t="s">
        <v>221</v>
      </c>
      <c r="D611" s="7" t="s">
        <v>222</v>
      </c>
      <c r="E611" s="17" t="n">
        <f aca="false">IF(A611="","",SUMIFS(Sales_Items!$H$2:$H$3001,Sales_Items!$A$2:$A$3001,A611))</f>
        <v>190</v>
      </c>
      <c r="F611" s="13" t="n">
        <v>0</v>
      </c>
      <c r="G611" s="17" t="n">
        <f aca="false">IF(A611="","",E611-N(F611))</f>
        <v>190</v>
      </c>
      <c r="H611" s="13" t="n">
        <v>110</v>
      </c>
      <c r="I611" s="17" t="n">
        <f aca="false">IF(A611="","",SUMIFS(Due_Payments!$C$2:$C$1001,Due_Payments!$B$2:$B$1001,A611))</f>
        <v>0</v>
      </c>
      <c r="J611" s="17" t="n">
        <f aca="false">IF(A611="","",G611-N(H611)-I611)</f>
        <v>80</v>
      </c>
      <c r="K611" s="7" t="s">
        <v>13</v>
      </c>
      <c r="L611" s="7" t="s">
        <v>342</v>
      </c>
      <c r="M611" s="7"/>
    </row>
    <row r="612" customFormat="false" ht="15" hidden="false" customHeight="true" outlineLevel="0" collapsed="false">
      <c r="A612" s="7" t="s">
        <v>1071</v>
      </c>
      <c r="B612" s="15" t="n">
        <v>46312</v>
      </c>
      <c r="C612" s="7" t="s">
        <v>263</v>
      </c>
      <c r="D612" s="7" t="s">
        <v>264</v>
      </c>
      <c r="E612" s="17" t="n">
        <f aca="false">IF(A612="","",SUMIFS(Sales_Items!$H$2:$H$3001,Sales_Items!$A$2:$A$3001,A612))</f>
        <v>3610</v>
      </c>
      <c r="F612" s="13" t="n">
        <v>0</v>
      </c>
      <c r="G612" s="17" t="n">
        <f aca="false">IF(A612="","",E612-N(F612))</f>
        <v>3610</v>
      </c>
      <c r="H612" s="13" t="n">
        <v>3610</v>
      </c>
      <c r="I612" s="17" t="n">
        <f aca="false">IF(A612="","",SUMIFS(Due_Payments!$C$2:$C$1001,Due_Payments!$B$2:$B$1001,A612))</f>
        <v>0</v>
      </c>
      <c r="J612" s="17" t="n">
        <f aca="false">IF(A612="","",G612-N(H612)-I612)</f>
        <v>0</v>
      </c>
      <c r="K612" s="7" t="s">
        <v>37</v>
      </c>
      <c r="L612" s="7" t="s">
        <v>923</v>
      </c>
      <c r="M612" s="7"/>
    </row>
    <row r="613" customFormat="false" ht="15" hidden="false" customHeight="true" outlineLevel="0" collapsed="false">
      <c r="A613" s="7" t="s">
        <v>1072</v>
      </c>
      <c r="B613" s="15" t="n">
        <v>46312</v>
      </c>
      <c r="C613" s="7" t="s">
        <v>202</v>
      </c>
      <c r="D613" s="7" t="s">
        <v>203</v>
      </c>
      <c r="E613" s="17" t="n">
        <f aca="false">IF(A613="","",SUMIFS(Sales_Items!$H$2:$H$3001,Sales_Items!$A$2:$A$3001,A613))</f>
        <v>860</v>
      </c>
      <c r="F613" s="13" t="n">
        <v>30</v>
      </c>
      <c r="G613" s="17" t="n">
        <f aca="false">IF(A613="","",E613-N(F613))</f>
        <v>830</v>
      </c>
      <c r="H613" s="13" t="n">
        <v>830</v>
      </c>
      <c r="I613" s="17" t="n">
        <f aca="false">IF(A613="","",SUMIFS(Due_Payments!$C$2:$C$1001,Due_Payments!$B$2:$B$1001,A613))</f>
        <v>0</v>
      </c>
      <c r="J613" s="17" t="n">
        <f aca="false">IF(A613="","",G613-N(H613)-I613)</f>
        <v>0</v>
      </c>
      <c r="K613" s="7" t="s">
        <v>13</v>
      </c>
      <c r="L613" s="7" t="s">
        <v>1073</v>
      </c>
      <c r="M613" s="7"/>
    </row>
    <row r="614" customFormat="false" ht="15" hidden="false" customHeight="true" outlineLevel="0" collapsed="false">
      <c r="A614" s="7" t="s">
        <v>1074</v>
      </c>
      <c r="B614" s="15" t="n">
        <v>46312</v>
      </c>
      <c r="C614" s="7" t="s">
        <v>198</v>
      </c>
      <c r="D614" s="7" t="s">
        <v>199</v>
      </c>
      <c r="E614" s="17" t="n">
        <f aca="false">IF(A614="","",SUMIFS(Sales_Items!$H$2:$H$3001,Sales_Items!$A$2:$A$3001,A614))</f>
        <v>1560</v>
      </c>
      <c r="F614" s="13" t="n">
        <v>50</v>
      </c>
      <c r="G614" s="17" t="n">
        <f aca="false">IF(A614="","",E614-N(F614))</f>
        <v>1510</v>
      </c>
      <c r="H614" s="13" t="n">
        <v>1510</v>
      </c>
      <c r="I614" s="17" t="n">
        <f aca="false">IF(A614="","",SUMIFS(Due_Payments!$C$2:$C$1001,Due_Payments!$B$2:$B$1001,A614))</f>
        <v>0</v>
      </c>
      <c r="J614" s="17" t="n">
        <f aca="false">IF(A614="","",G614-N(H614)-I614)</f>
        <v>0</v>
      </c>
      <c r="K614" s="7" t="s">
        <v>37</v>
      </c>
      <c r="L614" s="7" t="s">
        <v>509</v>
      </c>
      <c r="M614" s="7"/>
    </row>
    <row r="615" customFormat="false" ht="15" hidden="false" customHeight="true" outlineLevel="0" collapsed="false">
      <c r="A615" s="7" t="s">
        <v>1075</v>
      </c>
      <c r="B615" s="15" t="n">
        <v>46312</v>
      </c>
      <c r="C615" s="7" t="s">
        <v>285</v>
      </c>
      <c r="D615" s="7" t="s">
        <v>286</v>
      </c>
      <c r="E615" s="17" t="n">
        <f aca="false">IF(A615="","",SUMIFS(Sales_Items!$H$2:$H$3001,Sales_Items!$A$2:$A$3001,A615))</f>
        <v>560</v>
      </c>
      <c r="F615" s="13" t="n">
        <v>100</v>
      </c>
      <c r="G615" s="17" t="n">
        <f aca="false">IF(A615="","",E615-N(F615))</f>
        <v>460</v>
      </c>
      <c r="H615" s="13" t="n">
        <v>460</v>
      </c>
      <c r="I615" s="17" t="n">
        <f aca="false">IF(A615="","",SUMIFS(Due_Payments!$C$2:$C$1001,Due_Payments!$B$2:$B$1001,A615))</f>
        <v>0</v>
      </c>
      <c r="J615" s="17" t="n">
        <f aca="false">IF(A615="","",G615-N(H615)-I615)</f>
        <v>0</v>
      </c>
      <c r="K615" s="7" t="s">
        <v>13</v>
      </c>
      <c r="L615" s="7" t="s">
        <v>575</v>
      </c>
      <c r="M615" s="7"/>
    </row>
    <row r="616" customFormat="false" ht="15" hidden="false" customHeight="true" outlineLevel="0" collapsed="false">
      <c r="A616" s="7" t="s">
        <v>1076</v>
      </c>
      <c r="B616" s="15" t="n">
        <v>46312</v>
      </c>
      <c r="C616" s="7" t="s">
        <v>217</v>
      </c>
      <c r="D616" s="7" t="s">
        <v>218</v>
      </c>
      <c r="E616" s="17" t="n">
        <f aca="false">IF(A616="","",SUMIFS(Sales_Items!$H$2:$H$3001,Sales_Items!$A$2:$A$3001,A616))</f>
        <v>750</v>
      </c>
      <c r="F616" s="13" t="n">
        <v>0</v>
      </c>
      <c r="G616" s="17" t="n">
        <f aca="false">IF(A616="","",E616-N(F616))</f>
        <v>750</v>
      </c>
      <c r="H616" s="13" t="n">
        <v>750</v>
      </c>
      <c r="I616" s="17" t="n">
        <f aca="false">IF(A616="","",SUMIFS(Due_Payments!$C$2:$C$1001,Due_Payments!$B$2:$B$1001,A616))</f>
        <v>0</v>
      </c>
      <c r="J616" s="17" t="n">
        <f aca="false">IF(A616="","",G616-N(H616)-I616)</f>
        <v>0</v>
      </c>
      <c r="K616" s="7" t="s">
        <v>21</v>
      </c>
      <c r="L616" s="7" t="s">
        <v>797</v>
      </c>
      <c r="M616" s="7"/>
    </row>
    <row r="617" customFormat="false" ht="15" hidden="false" customHeight="true" outlineLevel="0" collapsed="false">
      <c r="A617" s="7" t="s">
        <v>1077</v>
      </c>
      <c r="B617" s="15" t="n">
        <v>46312</v>
      </c>
      <c r="C617" s="7" t="s">
        <v>275</v>
      </c>
      <c r="D617" s="7" t="s">
        <v>276</v>
      </c>
      <c r="E617" s="17" t="n">
        <f aca="false">IF(A617="","",SUMIFS(Sales_Items!$H$2:$H$3001,Sales_Items!$A$2:$A$3001,A617))</f>
        <v>1300</v>
      </c>
      <c r="F617" s="13" t="n">
        <v>50</v>
      </c>
      <c r="G617" s="17" t="n">
        <f aca="false">IF(A617="","",E617-N(F617))</f>
        <v>1250</v>
      </c>
      <c r="H617" s="13" t="n">
        <v>1250</v>
      </c>
      <c r="I617" s="17" t="n">
        <f aca="false">IF(A617="","",SUMIFS(Due_Payments!$C$2:$C$1001,Due_Payments!$B$2:$B$1001,A617))</f>
        <v>0</v>
      </c>
      <c r="J617" s="17" t="n">
        <f aca="false">IF(A617="","",G617-N(H617)-I617)</f>
        <v>0</v>
      </c>
      <c r="K617" s="7" t="s">
        <v>13</v>
      </c>
      <c r="L617" s="7" t="s">
        <v>977</v>
      </c>
      <c r="M617" s="7"/>
    </row>
    <row r="618" customFormat="false" ht="15" hidden="false" customHeight="true" outlineLevel="0" collapsed="false">
      <c r="A618" s="7" t="s">
        <v>1078</v>
      </c>
      <c r="B618" s="15" t="n">
        <v>46312</v>
      </c>
      <c r="C618" s="7" t="s">
        <v>256</v>
      </c>
      <c r="D618" s="7" t="s">
        <v>257</v>
      </c>
      <c r="E618" s="17" t="n">
        <f aca="false">IF(A618="","",SUMIFS(Sales_Items!$H$2:$H$3001,Sales_Items!$A$2:$A$3001,A618))</f>
        <v>910</v>
      </c>
      <c r="F618" s="13" t="n">
        <v>0</v>
      </c>
      <c r="G618" s="17" t="n">
        <f aca="false">IF(A618="","",E618-N(F618))</f>
        <v>910</v>
      </c>
      <c r="H618" s="13" t="n">
        <v>910</v>
      </c>
      <c r="I618" s="17" t="n">
        <f aca="false">IF(A618="","",SUMIFS(Due_Payments!$C$2:$C$1001,Due_Payments!$B$2:$B$1001,A618))</f>
        <v>0</v>
      </c>
      <c r="J618" s="17" t="n">
        <f aca="false">IF(A618="","",G618-N(H618)-I618)</f>
        <v>0</v>
      </c>
      <c r="K618" s="7" t="s">
        <v>13</v>
      </c>
      <c r="L618" s="7" t="s">
        <v>675</v>
      </c>
      <c r="M618" s="7"/>
    </row>
    <row r="619" customFormat="false" ht="15" hidden="false" customHeight="true" outlineLevel="0" collapsed="false">
      <c r="A619" s="7" t="s">
        <v>1079</v>
      </c>
      <c r="B619" s="15" t="n">
        <v>46312</v>
      </c>
      <c r="C619" s="7" t="s">
        <v>221</v>
      </c>
      <c r="D619" s="7" t="s">
        <v>222</v>
      </c>
      <c r="E619" s="17" t="n">
        <f aca="false">IF(A619="","",SUMIFS(Sales_Items!$H$2:$H$3001,Sales_Items!$A$2:$A$3001,A619))</f>
        <v>1560</v>
      </c>
      <c r="F619" s="13" t="n">
        <v>0</v>
      </c>
      <c r="G619" s="17" t="n">
        <f aca="false">IF(A619="","",E619-N(F619))</f>
        <v>1560</v>
      </c>
      <c r="H619" s="13" t="n">
        <v>1560</v>
      </c>
      <c r="I619" s="17" t="n">
        <f aca="false">IF(A619="","",SUMIFS(Due_Payments!$C$2:$C$1001,Due_Payments!$B$2:$B$1001,A619))</f>
        <v>0</v>
      </c>
      <c r="J619" s="17" t="n">
        <f aca="false">IF(A619="","",G619-N(H619)-I619)</f>
        <v>0</v>
      </c>
      <c r="K619" s="7" t="s">
        <v>13</v>
      </c>
      <c r="L619" s="7" t="s">
        <v>545</v>
      </c>
      <c r="M619" s="7"/>
    </row>
    <row r="620" customFormat="false" ht="15" hidden="false" customHeight="true" outlineLevel="0" collapsed="false">
      <c r="A620" s="7" t="s">
        <v>1080</v>
      </c>
      <c r="B620" s="15" t="n">
        <v>46313</v>
      </c>
      <c r="C620" s="7" t="s">
        <v>275</v>
      </c>
      <c r="D620" s="7" t="s">
        <v>276</v>
      </c>
      <c r="E620" s="17" t="n">
        <f aca="false">IF(A620="","",SUMIFS(Sales_Items!$H$2:$H$3001,Sales_Items!$A$2:$A$3001,A620))</f>
        <v>2370</v>
      </c>
      <c r="F620" s="13" t="n">
        <v>50</v>
      </c>
      <c r="G620" s="17" t="n">
        <f aca="false">IF(A620="","",E620-N(F620))</f>
        <v>2320</v>
      </c>
      <c r="H620" s="13" t="n">
        <v>1610</v>
      </c>
      <c r="I620" s="17" t="n">
        <f aca="false">IF(A620="","",SUMIFS(Due_Payments!$C$2:$C$1001,Due_Payments!$B$2:$B$1001,A620))</f>
        <v>0</v>
      </c>
      <c r="J620" s="17" t="n">
        <f aca="false">IF(A620="","",G620-N(H620)-I620)</f>
        <v>710</v>
      </c>
      <c r="K620" s="7" t="s">
        <v>21</v>
      </c>
      <c r="L620" s="7" t="s">
        <v>1081</v>
      </c>
      <c r="M620" s="7"/>
    </row>
    <row r="621" customFormat="false" ht="15" hidden="false" customHeight="true" outlineLevel="0" collapsed="false">
      <c r="A621" s="7" t="s">
        <v>1082</v>
      </c>
      <c r="B621" s="15" t="n">
        <v>46313</v>
      </c>
      <c r="C621" s="7" t="s">
        <v>350</v>
      </c>
      <c r="D621" s="7" t="s">
        <v>351</v>
      </c>
      <c r="E621" s="17" t="n">
        <f aca="false">IF(A621="","",SUMIFS(Sales_Items!$H$2:$H$3001,Sales_Items!$A$2:$A$3001,A621))</f>
        <v>260</v>
      </c>
      <c r="F621" s="13" t="n">
        <v>0</v>
      </c>
      <c r="G621" s="17" t="n">
        <f aca="false">IF(A621="","",E621-N(F621))</f>
        <v>260</v>
      </c>
      <c r="H621" s="13" t="n">
        <v>0</v>
      </c>
      <c r="I621" s="17" t="n">
        <f aca="false">IF(A621="","",SUMIFS(Due_Payments!$C$2:$C$1001,Due_Payments!$B$2:$B$1001,A621))</f>
        <v>0</v>
      </c>
      <c r="J621" s="17" t="n">
        <f aca="false">IF(A621="","",G621-N(H621)-I621)</f>
        <v>260</v>
      </c>
      <c r="K621" s="7" t="s">
        <v>29</v>
      </c>
      <c r="L621" s="7" t="s">
        <v>265</v>
      </c>
      <c r="M621" s="7"/>
    </row>
    <row r="622" customFormat="false" ht="15" hidden="false" customHeight="true" outlineLevel="0" collapsed="false">
      <c r="A622" s="7" t="s">
        <v>1083</v>
      </c>
      <c r="B622" s="15" t="n">
        <v>46313</v>
      </c>
      <c r="C622" s="7" t="s">
        <v>344</v>
      </c>
      <c r="D622" s="7" t="s">
        <v>345</v>
      </c>
      <c r="E622" s="17" t="n">
        <f aca="false">IF(A622="","",SUMIFS(Sales_Items!$H$2:$H$3001,Sales_Items!$A$2:$A$3001,A622))</f>
        <v>3210</v>
      </c>
      <c r="F622" s="13" t="n">
        <v>0</v>
      </c>
      <c r="G622" s="17" t="n">
        <f aca="false">IF(A622="","",E622-N(F622))</f>
        <v>3210</v>
      </c>
      <c r="H622" s="13" t="n">
        <v>0</v>
      </c>
      <c r="I622" s="17" t="n">
        <f aca="false">IF(A622="","",SUMIFS(Due_Payments!$C$2:$C$1001,Due_Payments!$B$2:$B$1001,A622))</f>
        <v>0</v>
      </c>
      <c r="J622" s="17" t="n">
        <f aca="false">IF(A622="","",G622-N(H622)-I622)</f>
        <v>3210</v>
      </c>
      <c r="K622" s="7" t="s">
        <v>13</v>
      </c>
      <c r="L622" s="7" t="s">
        <v>627</v>
      </c>
      <c r="M622" s="7"/>
    </row>
    <row r="623" customFormat="false" ht="15" hidden="false" customHeight="true" outlineLevel="0" collapsed="false">
      <c r="A623" s="7" t="s">
        <v>1084</v>
      </c>
      <c r="B623" s="15" t="n">
        <v>46313</v>
      </c>
      <c r="C623" s="7" t="s">
        <v>300</v>
      </c>
      <c r="D623" s="7" t="s">
        <v>301</v>
      </c>
      <c r="E623" s="17" t="n">
        <f aca="false">IF(A623="","",SUMIFS(Sales_Items!$H$2:$H$3001,Sales_Items!$A$2:$A$3001,A623))</f>
        <v>260</v>
      </c>
      <c r="F623" s="13" t="n">
        <v>0</v>
      </c>
      <c r="G623" s="17" t="n">
        <f aca="false">IF(A623="","",E623-N(F623))</f>
        <v>260</v>
      </c>
      <c r="H623" s="13" t="n">
        <v>0</v>
      </c>
      <c r="I623" s="17" t="n">
        <f aca="false">IF(A623="","",SUMIFS(Due_Payments!$C$2:$C$1001,Due_Payments!$B$2:$B$1001,A623))</f>
        <v>0</v>
      </c>
      <c r="J623" s="17" t="n">
        <f aca="false">IF(A623="","",G623-N(H623)-I623)</f>
        <v>260</v>
      </c>
      <c r="K623" s="7" t="s">
        <v>13</v>
      </c>
      <c r="L623" s="7" t="s">
        <v>265</v>
      </c>
      <c r="M623" s="7"/>
    </row>
    <row r="624" customFormat="false" ht="15" hidden="false" customHeight="true" outlineLevel="0" collapsed="false">
      <c r="A624" s="7" t="s">
        <v>1085</v>
      </c>
      <c r="B624" s="15" t="n">
        <v>46313</v>
      </c>
      <c r="C624" s="7" t="s">
        <v>210</v>
      </c>
      <c r="D624" s="7" t="s">
        <v>211</v>
      </c>
      <c r="E624" s="17" t="n">
        <f aca="false">IF(A624="","",SUMIFS(Sales_Items!$H$2:$H$3001,Sales_Items!$A$2:$A$3001,A624))</f>
        <v>340</v>
      </c>
      <c r="F624" s="13" t="n">
        <v>0</v>
      </c>
      <c r="G624" s="17" t="n">
        <f aca="false">IF(A624="","",E624-N(F624))</f>
        <v>340</v>
      </c>
      <c r="H624" s="13" t="n">
        <v>340</v>
      </c>
      <c r="I624" s="17" t="n">
        <f aca="false">IF(A624="","",SUMIFS(Due_Payments!$C$2:$C$1001,Due_Payments!$B$2:$B$1001,A624))</f>
        <v>0</v>
      </c>
      <c r="J624" s="17" t="n">
        <f aca="false">IF(A624="","",G624-N(H624)-I624)</f>
        <v>0</v>
      </c>
      <c r="K624" s="7" t="s">
        <v>21</v>
      </c>
      <c r="L624" s="7" t="s">
        <v>237</v>
      </c>
      <c r="M624" s="7"/>
    </row>
    <row r="625" customFormat="false" ht="15" hidden="false" customHeight="true" outlineLevel="0" collapsed="false">
      <c r="A625" s="7" t="s">
        <v>1086</v>
      </c>
      <c r="B625" s="15" t="n">
        <v>46313</v>
      </c>
      <c r="C625" s="7" t="s">
        <v>225</v>
      </c>
      <c r="D625" s="7" t="s">
        <v>226</v>
      </c>
      <c r="E625" s="17" t="n">
        <f aca="false">IF(A625="","",SUMIFS(Sales_Items!$H$2:$H$3001,Sales_Items!$A$2:$A$3001,A625))</f>
        <v>570</v>
      </c>
      <c r="F625" s="13" t="n">
        <v>0</v>
      </c>
      <c r="G625" s="17" t="n">
        <f aca="false">IF(A625="","",E625-N(F625))</f>
        <v>570</v>
      </c>
      <c r="H625" s="13" t="n">
        <v>570</v>
      </c>
      <c r="I625" s="17" t="n">
        <f aca="false">IF(A625="","",SUMIFS(Due_Payments!$C$2:$C$1001,Due_Payments!$B$2:$B$1001,A625))</f>
        <v>0</v>
      </c>
      <c r="J625" s="17" t="n">
        <f aca="false">IF(A625="","",G625-N(H625)-I625)</f>
        <v>0</v>
      </c>
      <c r="K625" s="7" t="s">
        <v>21</v>
      </c>
      <c r="L625" s="7" t="s">
        <v>468</v>
      </c>
      <c r="M625" s="7"/>
    </row>
    <row r="626" customFormat="false" ht="15" hidden="false" customHeight="true" outlineLevel="0" collapsed="false">
      <c r="A626" s="7" t="s">
        <v>1087</v>
      </c>
      <c r="B626" s="15" t="n">
        <v>46313</v>
      </c>
      <c r="C626" s="7" t="s">
        <v>229</v>
      </c>
      <c r="D626" s="7" t="s">
        <v>230</v>
      </c>
      <c r="E626" s="17" t="n">
        <f aca="false">IF(A626="","",SUMIFS(Sales_Items!$H$2:$H$3001,Sales_Items!$A$2:$A$3001,A626))</f>
        <v>840</v>
      </c>
      <c r="F626" s="13" t="n">
        <v>0</v>
      </c>
      <c r="G626" s="17" t="n">
        <f aca="false">IF(A626="","",E626-N(F626))</f>
        <v>840</v>
      </c>
      <c r="H626" s="13" t="n">
        <v>840</v>
      </c>
      <c r="I626" s="17" t="n">
        <f aca="false">IF(A626="","",SUMIFS(Due_Payments!$C$2:$C$1001,Due_Payments!$B$2:$B$1001,A626))</f>
        <v>0</v>
      </c>
      <c r="J626" s="17" t="n">
        <f aca="false">IF(A626="","",G626-N(H626)-I626)</f>
        <v>0</v>
      </c>
      <c r="K626" s="7" t="s">
        <v>21</v>
      </c>
      <c r="L626" s="7" t="s">
        <v>243</v>
      </c>
      <c r="M626" s="7"/>
    </row>
    <row r="627" customFormat="false" ht="15" hidden="false" customHeight="true" outlineLevel="0" collapsed="false">
      <c r="A627" s="7" t="s">
        <v>1088</v>
      </c>
      <c r="B627" s="15" t="n">
        <v>46313</v>
      </c>
      <c r="C627" s="7" t="s">
        <v>378</v>
      </c>
      <c r="D627" s="7" t="s">
        <v>379</v>
      </c>
      <c r="E627" s="17" t="n">
        <f aca="false">IF(A627="","",SUMIFS(Sales_Items!$H$2:$H$3001,Sales_Items!$A$2:$A$3001,A627))</f>
        <v>540</v>
      </c>
      <c r="F627" s="13" t="n">
        <v>50</v>
      </c>
      <c r="G627" s="17" t="n">
        <f aca="false">IF(A627="","",E627-N(F627))</f>
        <v>490</v>
      </c>
      <c r="H627" s="13" t="n">
        <v>280</v>
      </c>
      <c r="I627" s="17" t="n">
        <f aca="false">IF(A627="","",SUMIFS(Due_Payments!$C$2:$C$1001,Due_Payments!$B$2:$B$1001,A627))</f>
        <v>0</v>
      </c>
      <c r="J627" s="17" t="n">
        <f aca="false">IF(A627="","",G627-N(H627)-I627)</f>
        <v>210</v>
      </c>
      <c r="K627" s="7" t="s">
        <v>13</v>
      </c>
      <c r="L627" s="7" t="s">
        <v>536</v>
      </c>
      <c r="M627" s="7"/>
    </row>
    <row r="628" customFormat="false" ht="15" hidden="false" customHeight="true" outlineLevel="0" collapsed="false">
      <c r="A628" s="7" t="s">
        <v>1089</v>
      </c>
      <c r="B628" s="15" t="n">
        <v>46313</v>
      </c>
      <c r="C628" s="7" t="s">
        <v>300</v>
      </c>
      <c r="D628" s="7" t="s">
        <v>301</v>
      </c>
      <c r="E628" s="17" t="n">
        <f aca="false">IF(A628="","",SUMIFS(Sales_Items!$H$2:$H$3001,Sales_Items!$A$2:$A$3001,A628))</f>
        <v>1500</v>
      </c>
      <c r="F628" s="13" t="n">
        <v>0</v>
      </c>
      <c r="G628" s="17" t="n">
        <f aca="false">IF(A628="","",E628-N(F628))</f>
        <v>1500</v>
      </c>
      <c r="H628" s="13" t="n">
        <v>1500</v>
      </c>
      <c r="I628" s="17" t="n">
        <f aca="false">IF(A628="","",SUMIFS(Due_Payments!$C$2:$C$1001,Due_Payments!$B$2:$B$1001,A628))</f>
        <v>0</v>
      </c>
      <c r="J628" s="17" t="n">
        <f aca="false">IF(A628="","",G628-N(H628)-I628)</f>
        <v>0</v>
      </c>
      <c r="K628" s="7" t="s">
        <v>13</v>
      </c>
      <c r="L628" s="7" t="s">
        <v>1090</v>
      </c>
      <c r="M628" s="7"/>
    </row>
    <row r="629" customFormat="false" ht="15" hidden="false" customHeight="true" outlineLevel="0" collapsed="false">
      <c r="A629" s="7" t="s">
        <v>1091</v>
      </c>
      <c r="B629" s="15" t="n">
        <v>46313</v>
      </c>
      <c r="C629" s="7" t="s">
        <v>307</v>
      </c>
      <c r="D629" s="7" t="s">
        <v>308</v>
      </c>
      <c r="E629" s="17" t="n">
        <f aca="false">IF(A629="","",SUMIFS(Sales_Items!$H$2:$H$3001,Sales_Items!$A$2:$A$3001,A629))</f>
        <v>570</v>
      </c>
      <c r="F629" s="13" t="n">
        <v>50</v>
      </c>
      <c r="G629" s="17" t="n">
        <f aca="false">IF(A629="","",E629-N(F629))</f>
        <v>520</v>
      </c>
      <c r="H629" s="13" t="n">
        <v>520</v>
      </c>
      <c r="I629" s="17" t="n">
        <f aca="false">IF(A629="","",SUMIFS(Due_Payments!$C$2:$C$1001,Due_Payments!$B$2:$B$1001,A629))</f>
        <v>0</v>
      </c>
      <c r="J629" s="17" t="n">
        <f aca="false">IF(A629="","",G629-N(H629)-I629)</f>
        <v>0</v>
      </c>
      <c r="K629" s="7" t="s">
        <v>13</v>
      </c>
      <c r="L629" s="7" t="s">
        <v>323</v>
      </c>
      <c r="M629" s="7"/>
    </row>
    <row r="630" customFormat="false" ht="15" hidden="false" customHeight="true" outlineLevel="0" collapsed="false">
      <c r="A630" s="7" t="s">
        <v>1092</v>
      </c>
      <c r="B630" s="15" t="n">
        <v>46313</v>
      </c>
      <c r="C630" s="7" t="s">
        <v>241</v>
      </c>
      <c r="D630" s="7" t="s">
        <v>242</v>
      </c>
      <c r="E630" s="17" t="n">
        <f aca="false">IF(A630="","",SUMIFS(Sales_Items!$H$2:$H$3001,Sales_Items!$A$2:$A$3001,A630))</f>
        <v>3810</v>
      </c>
      <c r="F630" s="13" t="n">
        <v>110</v>
      </c>
      <c r="G630" s="17" t="n">
        <f aca="false">IF(A630="","",E630-N(F630))</f>
        <v>3700</v>
      </c>
      <c r="H630" s="13" t="n">
        <v>3700</v>
      </c>
      <c r="I630" s="17" t="n">
        <f aca="false">IF(A630="","",SUMIFS(Due_Payments!$C$2:$C$1001,Due_Payments!$B$2:$B$1001,A630))</f>
        <v>0</v>
      </c>
      <c r="J630" s="17" t="n">
        <f aca="false">IF(A630="","",G630-N(H630)-I630)</f>
        <v>0</v>
      </c>
      <c r="K630" s="7" t="s">
        <v>13</v>
      </c>
      <c r="L630" s="7" t="s">
        <v>1093</v>
      </c>
      <c r="M630" s="7"/>
    </row>
    <row r="631" customFormat="false" ht="15" hidden="false" customHeight="true" outlineLevel="0" collapsed="false">
      <c r="A631" s="7" t="s">
        <v>1094</v>
      </c>
      <c r="B631" s="15" t="n">
        <v>46313</v>
      </c>
      <c r="C631" s="7" t="s">
        <v>206</v>
      </c>
      <c r="D631" s="7" t="s">
        <v>207</v>
      </c>
      <c r="E631" s="17" t="n">
        <f aca="false">IF(A631="","",SUMIFS(Sales_Items!$H$2:$H$3001,Sales_Items!$A$2:$A$3001,A631))</f>
        <v>1440</v>
      </c>
      <c r="F631" s="13" t="n">
        <v>50</v>
      </c>
      <c r="G631" s="17" t="n">
        <f aca="false">IF(A631="","",E631-N(F631))</f>
        <v>1390</v>
      </c>
      <c r="H631" s="13" t="n">
        <v>1390</v>
      </c>
      <c r="I631" s="17" t="n">
        <f aca="false">IF(A631="","",SUMIFS(Due_Payments!$C$2:$C$1001,Due_Payments!$B$2:$B$1001,A631))</f>
        <v>0</v>
      </c>
      <c r="J631" s="17" t="n">
        <f aca="false">IF(A631="","",G631-N(H631)-I631)</f>
        <v>0</v>
      </c>
      <c r="K631" s="7" t="s">
        <v>13</v>
      </c>
      <c r="L631" s="7" t="s">
        <v>1095</v>
      </c>
      <c r="M631" s="7"/>
    </row>
    <row r="632" customFormat="false" ht="15" hidden="false" customHeight="true" outlineLevel="0" collapsed="false">
      <c r="A632" s="7" t="s">
        <v>1096</v>
      </c>
      <c r="B632" s="15" t="n">
        <v>46314</v>
      </c>
      <c r="C632" s="7" t="s">
        <v>225</v>
      </c>
      <c r="D632" s="7" t="s">
        <v>226</v>
      </c>
      <c r="E632" s="17" t="n">
        <f aca="false">IF(A632="","",SUMIFS(Sales_Items!$H$2:$H$3001,Sales_Items!$A$2:$A$3001,A632))</f>
        <v>3420</v>
      </c>
      <c r="F632" s="13" t="n">
        <v>0</v>
      </c>
      <c r="G632" s="17" t="n">
        <f aca="false">IF(A632="","",E632-N(F632))</f>
        <v>3420</v>
      </c>
      <c r="H632" s="13" t="n">
        <v>3420</v>
      </c>
      <c r="I632" s="17" t="n">
        <f aca="false">IF(A632="","",SUMIFS(Due_Payments!$C$2:$C$1001,Due_Payments!$B$2:$B$1001,A632))</f>
        <v>0</v>
      </c>
      <c r="J632" s="17" t="n">
        <f aca="false">IF(A632="","",G632-N(H632)-I632)</f>
        <v>0</v>
      </c>
      <c r="K632" s="7" t="s">
        <v>21</v>
      </c>
      <c r="L632" s="7" t="s">
        <v>1097</v>
      </c>
      <c r="M632" s="7"/>
    </row>
    <row r="633" customFormat="false" ht="15" hidden="false" customHeight="true" outlineLevel="0" collapsed="false">
      <c r="A633" s="7" t="s">
        <v>1098</v>
      </c>
      <c r="B633" s="15" t="n">
        <v>46314</v>
      </c>
      <c r="C633" s="7" t="s">
        <v>300</v>
      </c>
      <c r="D633" s="7" t="s">
        <v>301</v>
      </c>
      <c r="E633" s="17" t="n">
        <f aca="false">IF(A633="","",SUMIFS(Sales_Items!$H$2:$H$3001,Sales_Items!$A$2:$A$3001,A633))</f>
        <v>1480</v>
      </c>
      <c r="F633" s="13" t="n">
        <v>0</v>
      </c>
      <c r="G633" s="17" t="n">
        <f aca="false">IF(A633="","",E633-N(F633))</f>
        <v>1480</v>
      </c>
      <c r="H633" s="13" t="n">
        <v>0</v>
      </c>
      <c r="I633" s="17" t="n">
        <f aca="false">IF(A633="","",SUMIFS(Due_Payments!$C$2:$C$1001,Due_Payments!$B$2:$B$1001,A633))</f>
        <v>0</v>
      </c>
      <c r="J633" s="17" t="n">
        <f aca="false">IF(A633="","",G633-N(H633)-I633)</f>
        <v>1480</v>
      </c>
      <c r="K633" s="7" t="s">
        <v>13</v>
      </c>
      <c r="L633" s="7" t="s">
        <v>767</v>
      </c>
      <c r="M633" s="7"/>
    </row>
    <row r="634" customFormat="false" ht="15" hidden="false" customHeight="true" outlineLevel="0" collapsed="false">
      <c r="A634" s="7" t="s">
        <v>1099</v>
      </c>
      <c r="B634" s="15" t="n">
        <v>46314</v>
      </c>
      <c r="C634" s="7" t="s">
        <v>206</v>
      </c>
      <c r="D634" s="7" t="s">
        <v>207</v>
      </c>
      <c r="E634" s="17" t="n">
        <f aca="false">IF(A634="","",SUMIFS(Sales_Items!$H$2:$H$3001,Sales_Items!$A$2:$A$3001,A634))</f>
        <v>940</v>
      </c>
      <c r="F634" s="13" t="n">
        <v>50</v>
      </c>
      <c r="G634" s="17" t="n">
        <f aca="false">IF(A634="","",E634-N(F634))</f>
        <v>890</v>
      </c>
      <c r="H634" s="13" t="n">
        <v>890</v>
      </c>
      <c r="I634" s="17" t="n">
        <f aca="false">IF(A634="","",SUMIFS(Due_Payments!$C$2:$C$1001,Due_Payments!$B$2:$B$1001,A634))</f>
        <v>0</v>
      </c>
      <c r="J634" s="17" t="n">
        <f aca="false">IF(A634="","",G634-N(H634)-I634)</f>
        <v>0</v>
      </c>
      <c r="K634" s="7" t="s">
        <v>13</v>
      </c>
      <c r="L634" s="7" t="s">
        <v>1100</v>
      </c>
      <c r="M634" s="7"/>
    </row>
    <row r="635" customFormat="false" ht="15" hidden="false" customHeight="true" outlineLevel="0" collapsed="false">
      <c r="A635" s="7" t="s">
        <v>1101</v>
      </c>
      <c r="B635" s="15" t="n">
        <v>46314</v>
      </c>
      <c r="C635" s="7" t="s">
        <v>293</v>
      </c>
      <c r="D635" s="7" t="s">
        <v>294</v>
      </c>
      <c r="E635" s="17" t="n">
        <f aca="false">IF(A635="","",SUMIFS(Sales_Items!$H$2:$H$3001,Sales_Items!$A$2:$A$3001,A635))</f>
        <v>240</v>
      </c>
      <c r="F635" s="13" t="n">
        <v>50</v>
      </c>
      <c r="G635" s="17" t="n">
        <f aca="false">IF(A635="","",E635-N(F635))</f>
        <v>190</v>
      </c>
      <c r="H635" s="13" t="n">
        <v>190</v>
      </c>
      <c r="I635" s="17" t="n">
        <f aca="false">IF(A635="","",SUMIFS(Due_Payments!$C$2:$C$1001,Due_Payments!$B$2:$B$1001,A635))</f>
        <v>0</v>
      </c>
      <c r="J635" s="17" t="n">
        <f aca="false">IF(A635="","",G635-N(H635)-I635)</f>
        <v>0</v>
      </c>
      <c r="K635" s="7" t="s">
        <v>21</v>
      </c>
      <c r="L635" s="7" t="s">
        <v>342</v>
      </c>
      <c r="M635" s="7"/>
    </row>
    <row r="636" customFormat="false" ht="15" hidden="false" customHeight="true" outlineLevel="0" collapsed="false">
      <c r="A636" s="7" t="s">
        <v>1102</v>
      </c>
      <c r="B636" s="15" t="n">
        <v>46314</v>
      </c>
      <c r="C636" s="7" t="s">
        <v>329</v>
      </c>
      <c r="D636" s="7" t="s">
        <v>330</v>
      </c>
      <c r="E636" s="17" t="n">
        <f aca="false">IF(A636="","",SUMIFS(Sales_Items!$H$2:$H$3001,Sales_Items!$A$2:$A$3001,A636))</f>
        <v>750</v>
      </c>
      <c r="F636" s="13" t="n">
        <v>20</v>
      </c>
      <c r="G636" s="17" t="n">
        <f aca="false">IF(A636="","",E636-N(F636))</f>
        <v>730</v>
      </c>
      <c r="H636" s="13" t="n">
        <v>730</v>
      </c>
      <c r="I636" s="17" t="n">
        <f aca="false">IF(A636="","",SUMIFS(Due_Payments!$C$2:$C$1001,Due_Payments!$B$2:$B$1001,A636))</f>
        <v>0</v>
      </c>
      <c r="J636" s="17" t="n">
        <f aca="false">IF(A636="","",G636-N(H636)-I636)</f>
        <v>0</v>
      </c>
      <c r="K636" s="7" t="s">
        <v>21</v>
      </c>
      <c r="L636" s="7" t="s">
        <v>450</v>
      </c>
      <c r="M636" s="7"/>
    </row>
    <row r="637" customFormat="false" ht="15" hidden="false" customHeight="true" outlineLevel="0" collapsed="false">
      <c r="A637" s="7" t="s">
        <v>1103</v>
      </c>
      <c r="B637" s="15" t="n">
        <v>46314</v>
      </c>
      <c r="C637" s="7" t="s">
        <v>198</v>
      </c>
      <c r="D637" s="7" t="s">
        <v>199</v>
      </c>
      <c r="E637" s="17" t="n">
        <f aca="false">IF(A637="","",SUMIFS(Sales_Items!$H$2:$H$3001,Sales_Items!$A$2:$A$3001,A637))</f>
        <v>1280</v>
      </c>
      <c r="F637" s="13" t="n">
        <v>0</v>
      </c>
      <c r="G637" s="17" t="n">
        <f aca="false">IF(A637="","",E637-N(F637))</f>
        <v>1280</v>
      </c>
      <c r="H637" s="13" t="n">
        <v>1280</v>
      </c>
      <c r="I637" s="17" t="n">
        <f aca="false">IF(A637="","",SUMIFS(Due_Payments!$C$2:$C$1001,Due_Payments!$B$2:$B$1001,A637))</f>
        <v>0</v>
      </c>
      <c r="J637" s="17" t="n">
        <f aca="false">IF(A637="","",G637-N(H637)-I637)</f>
        <v>0</v>
      </c>
      <c r="K637" s="7" t="s">
        <v>13</v>
      </c>
      <c r="L637" s="7" t="s">
        <v>837</v>
      </c>
      <c r="M637" s="7"/>
    </row>
    <row r="638" customFormat="false" ht="15" hidden="false" customHeight="true" outlineLevel="0" collapsed="false">
      <c r="A638" s="7" t="s">
        <v>1104</v>
      </c>
      <c r="B638" s="15" t="n">
        <v>46314</v>
      </c>
      <c r="C638" s="7" t="s">
        <v>369</v>
      </c>
      <c r="D638" s="7" t="s">
        <v>370</v>
      </c>
      <c r="E638" s="17" t="n">
        <f aca="false">IF(A638="","",SUMIFS(Sales_Items!$H$2:$H$3001,Sales_Items!$A$2:$A$3001,A638))</f>
        <v>1060</v>
      </c>
      <c r="F638" s="13" t="n">
        <v>0</v>
      </c>
      <c r="G638" s="17" t="n">
        <f aca="false">IF(A638="","",E638-N(F638))</f>
        <v>1060</v>
      </c>
      <c r="H638" s="13" t="n">
        <v>0</v>
      </c>
      <c r="I638" s="17" t="n">
        <f aca="false">IF(A638="","",SUMIFS(Due_Payments!$C$2:$C$1001,Due_Payments!$B$2:$B$1001,A638))</f>
        <v>0</v>
      </c>
      <c r="J638" s="17" t="n">
        <f aca="false">IF(A638="","",G638-N(H638)-I638)</f>
        <v>1060</v>
      </c>
      <c r="K638" s="7" t="s">
        <v>21</v>
      </c>
      <c r="L638" s="7" t="s">
        <v>603</v>
      </c>
      <c r="M638" s="7"/>
    </row>
    <row r="639" customFormat="false" ht="15" hidden="false" customHeight="true" outlineLevel="0" collapsed="false">
      <c r="A639" s="7" t="s">
        <v>1105</v>
      </c>
      <c r="B639" s="15" t="n">
        <v>46314</v>
      </c>
      <c r="C639" s="7" t="s">
        <v>225</v>
      </c>
      <c r="D639" s="7" t="s">
        <v>226</v>
      </c>
      <c r="E639" s="17" t="n">
        <f aca="false">IF(A639="","",SUMIFS(Sales_Items!$H$2:$H$3001,Sales_Items!$A$2:$A$3001,A639))</f>
        <v>870</v>
      </c>
      <c r="F639" s="13" t="n">
        <v>30</v>
      </c>
      <c r="G639" s="17" t="n">
        <f aca="false">IF(A639="","",E639-N(F639))</f>
        <v>840</v>
      </c>
      <c r="H639" s="13" t="n">
        <v>840</v>
      </c>
      <c r="I639" s="17" t="n">
        <f aca="false">IF(A639="","",SUMIFS(Due_Payments!$C$2:$C$1001,Due_Payments!$B$2:$B$1001,A639))</f>
        <v>0</v>
      </c>
      <c r="J639" s="17" t="n">
        <f aca="false">IF(A639="","",G639-N(H639)-I639)</f>
        <v>0</v>
      </c>
      <c r="K639" s="7" t="s">
        <v>13</v>
      </c>
      <c r="L639" s="7" t="s">
        <v>243</v>
      </c>
      <c r="M639" s="7"/>
    </row>
    <row r="640" customFormat="false" ht="15" hidden="false" customHeight="true" outlineLevel="0" collapsed="false">
      <c r="A640" s="7" t="s">
        <v>1106</v>
      </c>
      <c r="B640" s="15" t="n">
        <v>46315</v>
      </c>
      <c r="C640" s="7" t="s">
        <v>198</v>
      </c>
      <c r="D640" s="7" t="s">
        <v>199</v>
      </c>
      <c r="E640" s="17" t="n">
        <f aca="false">IF(A640="","",SUMIFS(Sales_Items!$H$2:$H$3001,Sales_Items!$A$2:$A$3001,A640))</f>
        <v>1080</v>
      </c>
      <c r="F640" s="13" t="n">
        <v>30</v>
      </c>
      <c r="G640" s="17" t="n">
        <f aca="false">IF(A640="","",E640-N(F640))</f>
        <v>1050</v>
      </c>
      <c r="H640" s="13" t="n">
        <v>1050</v>
      </c>
      <c r="I640" s="17" t="n">
        <f aca="false">IF(A640="","",SUMIFS(Due_Payments!$C$2:$C$1001,Due_Payments!$B$2:$B$1001,A640))</f>
        <v>0</v>
      </c>
      <c r="J640" s="17" t="n">
        <f aca="false">IF(A640="","",G640-N(H640)-I640)</f>
        <v>0</v>
      </c>
      <c r="K640" s="7" t="s">
        <v>29</v>
      </c>
      <c r="L640" s="7" t="s">
        <v>397</v>
      </c>
      <c r="M640" s="7"/>
    </row>
    <row r="641" customFormat="false" ht="15" hidden="false" customHeight="true" outlineLevel="0" collapsed="false">
      <c r="A641" s="7" t="s">
        <v>1107</v>
      </c>
      <c r="B641" s="15" t="n">
        <v>46315</v>
      </c>
      <c r="C641" s="7" t="s">
        <v>202</v>
      </c>
      <c r="D641" s="7" t="s">
        <v>203</v>
      </c>
      <c r="E641" s="17" t="n">
        <f aca="false">IF(A641="","",SUMIFS(Sales_Items!$H$2:$H$3001,Sales_Items!$A$2:$A$3001,A641))</f>
        <v>260</v>
      </c>
      <c r="F641" s="13" t="n">
        <v>0</v>
      </c>
      <c r="G641" s="17" t="n">
        <f aca="false">IF(A641="","",E641-N(F641))</f>
        <v>260</v>
      </c>
      <c r="H641" s="13" t="n">
        <v>170</v>
      </c>
      <c r="I641" s="17" t="n">
        <f aca="false">IF(A641="","",SUMIFS(Due_Payments!$C$2:$C$1001,Due_Payments!$B$2:$B$1001,A641))</f>
        <v>0</v>
      </c>
      <c r="J641" s="17" t="n">
        <f aca="false">IF(A641="","",G641-N(H641)-I641)</f>
        <v>90</v>
      </c>
      <c r="K641" s="7" t="s">
        <v>13</v>
      </c>
      <c r="L641" s="7" t="s">
        <v>265</v>
      </c>
      <c r="M641" s="7"/>
    </row>
    <row r="642" customFormat="false" ht="15" hidden="false" customHeight="true" outlineLevel="0" collapsed="false">
      <c r="A642" s="7" t="s">
        <v>1108</v>
      </c>
      <c r="B642" s="15" t="n">
        <v>46315</v>
      </c>
      <c r="C642" s="7" t="s">
        <v>369</v>
      </c>
      <c r="D642" s="7" t="s">
        <v>370</v>
      </c>
      <c r="E642" s="17" t="n">
        <f aca="false">IF(A642="","",SUMIFS(Sales_Items!$H$2:$H$3001,Sales_Items!$A$2:$A$3001,A642))</f>
        <v>1470</v>
      </c>
      <c r="F642" s="13" t="n">
        <v>100</v>
      </c>
      <c r="G642" s="17" t="n">
        <f aca="false">IF(A642="","",E642-N(F642))</f>
        <v>1370</v>
      </c>
      <c r="H642" s="13" t="n">
        <v>1370</v>
      </c>
      <c r="I642" s="17" t="n">
        <f aca="false">IF(A642="","",SUMIFS(Due_Payments!$C$2:$C$1001,Due_Payments!$B$2:$B$1001,A642))</f>
        <v>0</v>
      </c>
      <c r="J642" s="17" t="n">
        <f aca="false">IF(A642="","",G642-N(H642)-I642)</f>
        <v>0</v>
      </c>
      <c r="K642" s="7" t="s">
        <v>13</v>
      </c>
      <c r="L642" s="7" t="s">
        <v>311</v>
      </c>
      <c r="M642" s="7"/>
    </row>
    <row r="643" customFormat="false" ht="15" hidden="false" customHeight="true" outlineLevel="0" collapsed="false">
      <c r="A643" s="7" t="s">
        <v>1109</v>
      </c>
      <c r="B643" s="15" t="n">
        <v>46315</v>
      </c>
      <c r="C643" s="7" t="s">
        <v>225</v>
      </c>
      <c r="D643" s="7" t="s">
        <v>226</v>
      </c>
      <c r="E643" s="17" t="n">
        <f aca="false">IF(A643="","",SUMIFS(Sales_Items!$H$2:$H$3001,Sales_Items!$A$2:$A$3001,A643))</f>
        <v>6120</v>
      </c>
      <c r="F643" s="13" t="n">
        <v>0</v>
      </c>
      <c r="G643" s="17" t="n">
        <f aca="false">IF(A643="","",E643-N(F643))</f>
        <v>6120</v>
      </c>
      <c r="H643" s="13" t="n">
        <v>6120</v>
      </c>
      <c r="I643" s="17" t="n">
        <f aca="false">IF(A643="","",SUMIFS(Due_Payments!$C$2:$C$1001,Due_Payments!$B$2:$B$1001,A643))</f>
        <v>0</v>
      </c>
      <c r="J643" s="17" t="n">
        <f aca="false">IF(A643="","",G643-N(H643)-I643)</f>
        <v>0</v>
      </c>
      <c r="K643" s="7" t="s">
        <v>13</v>
      </c>
      <c r="L643" s="7" t="s">
        <v>1110</v>
      </c>
      <c r="M643" s="7"/>
    </row>
    <row r="644" customFormat="false" ht="15" hidden="false" customHeight="true" outlineLevel="0" collapsed="false">
      <c r="A644" s="7" t="s">
        <v>1111</v>
      </c>
      <c r="B644" s="15" t="n">
        <v>46315</v>
      </c>
      <c r="C644" s="7" t="s">
        <v>259</v>
      </c>
      <c r="D644" s="7" t="s">
        <v>260</v>
      </c>
      <c r="E644" s="17" t="n">
        <f aca="false">IF(A644="","",SUMIFS(Sales_Items!$H$2:$H$3001,Sales_Items!$A$2:$A$3001,A644))</f>
        <v>380</v>
      </c>
      <c r="F644" s="13" t="n">
        <v>100</v>
      </c>
      <c r="G644" s="17" t="n">
        <f aca="false">IF(A644="","",E644-N(F644))</f>
        <v>280</v>
      </c>
      <c r="H644" s="13" t="n">
        <v>280</v>
      </c>
      <c r="I644" s="17" t="n">
        <f aca="false">IF(A644="","",SUMIFS(Due_Payments!$C$2:$C$1001,Due_Payments!$B$2:$B$1001,A644))</f>
        <v>0</v>
      </c>
      <c r="J644" s="17" t="n">
        <f aca="false">IF(A644="","",G644-N(H644)-I644)</f>
        <v>0</v>
      </c>
      <c r="K644" s="7" t="s">
        <v>13</v>
      </c>
      <c r="L644" s="7" t="s">
        <v>235</v>
      </c>
      <c r="M644" s="7"/>
    </row>
    <row r="645" customFormat="false" ht="15" hidden="false" customHeight="true" outlineLevel="0" collapsed="false">
      <c r="A645" s="7" t="s">
        <v>1112</v>
      </c>
      <c r="B645" s="15" t="n">
        <v>46315</v>
      </c>
      <c r="C645" s="7" t="s">
        <v>282</v>
      </c>
      <c r="D645" s="7" t="s">
        <v>283</v>
      </c>
      <c r="E645" s="17" t="n">
        <f aca="false">IF(A645="","",SUMIFS(Sales_Items!$H$2:$H$3001,Sales_Items!$A$2:$A$3001,A645))</f>
        <v>540</v>
      </c>
      <c r="F645" s="13" t="n">
        <v>0</v>
      </c>
      <c r="G645" s="17" t="n">
        <f aca="false">IF(A645="","",E645-N(F645))</f>
        <v>540</v>
      </c>
      <c r="H645" s="13" t="n">
        <v>540</v>
      </c>
      <c r="I645" s="17" t="n">
        <f aca="false">IF(A645="","",SUMIFS(Due_Payments!$C$2:$C$1001,Due_Payments!$B$2:$B$1001,A645))</f>
        <v>0</v>
      </c>
      <c r="J645" s="17" t="n">
        <f aca="false">IF(A645="","",G645-N(H645)-I645)</f>
        <v>0</v>
      </c>
      <c r="K645" s="7" t="s">
        <v>29</v>
      </c>
      <c r="L645" s="7" t="s">
        <v>279</v>
      </c>
      <c r="M645" s="7"/>
    </row>
    <row r="646" customFormat="false" ht="15" hidden="false" customHeight="true" outlineLevel="0" collapsed="false">
      <c r="A646" s="7" t="s">
        <v>1113</v>
      </c>
      <c r="B646" s="15" t="n">
        <v>46315</v>
      </c>
      <c r="C646" s="7" t="s">
        <v>300</v>
      </c>
      <c r="D646" s="7" t="s">
        <v>301</v>
      </c>
      <c r="E646" s="17" t="n">
        <f aca="false">IF(A646="","",SUMIFS(Sales_Items!$H$2:$H$3001,Sales_Items!$A$2:$A$3001,A646))</f>
        <v>570</v>
      </c>
      <c r="F646" s="13" t="n">
        <v>0</v>
      </c>
      <c r="G646" s="17" t="n">
        <f aca="false">IF(A646="","",E646-N(F646))</f>
        <v>570</v>
      </c>
      <c r="H646" s="13" t="n">
        <v>570</v>
      </c>
      <c r="I646" s="17" t="n">
        <f aca="false">IF(A646="","",SUMIFS(Due_Payments!$C$2:$C$1001,Due_Payments!$B$2:$B$1001,A646))</f>
        <v>0</v>
      </c>
      <c r="J646" s="17" t="n">
        <f aca="false">IF(A646="","",G646-N(H646)-I646)</f>
        <v>0</v>
      </c>
      <c r="K646" s="7" t="s">
        <v>21</v>
      </c>
      <c r="L646" s="7" t="s">
        <v>468</v>
      </c>
      <c r="M646" s="7"/>
    </row>
    <row r="647" customFormat="false" ht="15" hidden="false" customHeight="true" outlineLevel="0" collapsed="false">
      <c r="A647" s="7" t="s">
        <v>1114</v>
      </c>
      <c r="B647" s="15" t="n">
        <v>46315</v>
      </c>
      <c r="C647" s="7" t="s">
        <v>378</v>
      </c>
      <c r="D647" s="7" t="s">
        <v>379</v>
      </c>
      <c r="E647" s="17" t="n">
        <f aca="false">IF(A647="","",SUMIFS(Sales_Items!$H$2:$H$3001,Sales_Items!$A$2:$A$3001,A647))</f>
        <v>2360</v>
      </c>
      <c r="F647" s="13" t="n">
        <v>0</v>
      </c>
      <c r="G647" s="17" t="n">
        <f aca="false">IF(A647="","",E647-N(F647))</f>
        <v>2360</v>
      </c>
      <c r="H647" s="13" t="n">
        <v>2360</v>
      </c>
      <c r="I647" s="17" t="n">
        <f aca="false">IF(A647="","",SUMIFS(Due_Payments!$C$2:$C$1001,Due_Payments!$B$2:$B$1001,A647))</f>
        <v>0</v>
      </c>
      <c r="J647" s="17" t="n">
        <f aca="false">IF(A647="","",G647-N(H647)-I647)</f>
        <v>0</v>
      </c>
      <c r="K647" s="7" t="s">
        <v>13</v>
      </c>
      <c r="L647" s="7" t="s">
        <v>1115</v>
      </c>
      <c r="M647" s="7"/>
    </row>
    <row r="648" customFormat="false" ht="15" hidden="false" customHeight="true" outlineLevel="0" collapsed="false">
      <c r="A648" s="7" t="s">
        <v>1116</v>
      </c>
      <c r="B648" s="15" t="n">
        <v>46315</v>
      </c>
      <c r="C648" s="7" t="s">
        <v>210</v>
      </c>
      <c r="D648" s="7" t="s">
        <v>211</v>
      </c>
      <c r="E648" s="17" t="n">
        <f aca="false">IF(A648="","",SUMIFS(Sales_Items!$H$2:$H$3001,Sales_Items!$A$2:$A$3001,A648))</f>
        <v>240</v>
      </c>
      <c r="F648" s="13" t="n">
        <v>100</v>
      </c>
      <c r="G648" s="17" t="n">
        <f aca="false">IF(A648="","",E648-N(F648))</f>
        <v>140</v>
      </c>
      <c r="H648" s="13" t="n">
        <v>140</v>
      </c>
      <c r="I648" s="17" t="n">
        <f aca="false">IF(A648="","",SUMIFS(Due_Payments!$C$2:$C$1001,Due_Payments!$B$2:$B$1001,A648))</f>
        <v>0</v>
      </c>
      <c r="J648" s="17" t="n">
        <f aca="false">IF(A648="","",G648-N(H648)-I648)</f>
        <v>0</v>
      </c>
      <c r="K648" s="7" t="s">
        <v>29</v>
      </c>
      <c r="L648" s="7" t="s">
        <v>500</v>
      </c>
      <c r="M648" s="7"/>
    </row>
    <row r="649" customFormat="false" ht="15" hidden="false" customHeight="true" outlineLevel="0" collapsed="false">
      <c r="A649" s="7" t="s">
        <v>1117</v>
      </c>
      <c r="B649" s="15" t="n">
        <v>46315</v>
      </c>
      <c r="C649" s="7" t="s">
        <v>344</v>
      </c>
      <c r="D649" s="7" t="s">
        <v>345</v>
      </c>
      <c r="E649" s="17" t="n">
        <f aca="false">IF(A649="","",SUMIFS(Sales_Items!$H$2:$H$3001,Sales_Items!$A$2:$A$3001,A649))</f>
        <v>1930</v>
      </c>
      <c r="F649" s="13" t="n">
        <v>0</v>
      </c>
      <c r="G649" s="17" t="n">
        <f aca="false">IF(A649="","",E649-N(F649))</f>
        <v>1930</v>
      </c>
      <c r="H649" s="13" t="n">
        <v>1930</v>
      </c>
      <c r="I649" s="17" t="n">
        <f aca="false">IF(A649="","",SUMIFS(Due_Payments!$C$2:$C$1001,Due_Payments!$B$2:$B$1001,A649))</f>
        <v>0</v>
      </c>
      <c r="J649" s="17" t="n">
        <f aca="false">IF(A649="","",G649-N(H649)-I649)</f>
        <v>0</v>
      </c>
      <c r="K649" s="7" t="s">
        <v>13</v>
      </c>
      <c r="L649" s="7" t="s">
        <v>759</v>
      </c>
      <c r="M649" s="7"/>
    </row>
    <row r="650" customFormat="false" ht="15" hidden="false" customHeight="true" outlineLevel="0" collapsed="false">
      <c r="A650" s="7" t="s">
        <v>1118</v>
      </c>
      <c r="B650" s="15" t="n">
        <v>46316</v>
      </c>
      <c r="C650" s="7" t="s">
        <v>282</v>
      </c>
      <c r="D650" s="7" t="s">
        <v>283</v>
      </c>
      <c r="E650" s="17" t="n">
        <f aca="false">IF(A650="","",SUMIFS(Sales_Items!$H$2:$H$3001,Sales_Items!$A$2:$A$3001,A650))</f>
        <v>2240</v>
      </c>
      <c r="F650" s="13" t="n">
        <v>100</v>
      </c>
      <c r="G650" s="17" t="n">
        <f aca="false">IF(A650="","",E650-N(F650))</f>
        <v>2140</v>
      </c>
      <c r="H650" s="13" t="n">
        <v>2140</v>
      </c>
      <c r="I650" s="17" t="n">
        <f aca="false">IF(A650="","",SUMIFS(Due_Payments!$C$2:$C$1001,Due_Payments!$B$2:$B$1001,A650))</f>
        <v>0</v>
      </c>
      <c r="J650" s="17" t="n">
        <f aca="false">IF(A650="","",G650-N(H650)-I650)</f>
        <v>0</v>
      </c>
      <c r="K650" s="7" t="s">
        <v>13</v>
      </c>
      <c r="L650" s="7" t="s">
        <v>1119</v>
      </c>
      <c r="M650" s="7"/>
    </row>
    <row r="651" customFormat="false" ht="15" hidden="false" customHeight="true" outlineLevel="0" collapsed="false">
      <c r="A651" s="7" t="s">
        <v>1120</v>
      </c>
      <c r="B651" s="15" t="n">
        <v>46316</v>
      </c>
      <c r="C651" s="7" t="s">
        <v>282</v>
      </c>
      <c r="D651" s="7" t="s">
        <v>283</v>
      </c>
      <c r="E651" s="17" t="n">
        <f aca="false">IF(A651="","",SUMIFS(Sales_Items!$H$2:$H$3001,Sales_Items!$A$2:$A$3001,A651))</f>
        <v>780</v>
      </c>
      <c r="F651" s="13" t="n">
        <v>50</v>
      </c>
      <c r="G651" s="17" t="n">
        <f aca="false">IF(A651="","",E651-N(F651))</f>
        <v>730</v>
      </c>
      <c r="H651" s="13" t="n">
        <v>730</v>
      </c>
      <c r="I651" s="17" t="n">
        <f aca="false">IF(A651="","",SUMIFS(Due_Payments!$C$2:$C$1001,Due_Payments!$B$2:$B$1001,A651))</f>
        <v>0</v>
      </c>
      <c r="J651" s="17" t="n">
        <f aca="false">IF(A651="","",G651-N(H651)-I651)</f>
        <v>0</v>
      </c>
      <c r="K651" s="7" t="s">
        <v>13</v>
      </c>
      <c r="L651" s="7" t="s">
        <v>450</v>
      </c>
      <c r="M651" s="7"/>
    </row>
    <row r="652" customFormat="false" ht="15" hidden="false" customHeight="true" outlineLevel="0" collapsed="false">
      <c r="A652" s="7" t="s">
        <v>1121</v>
      </c>
      <c r="B652" s="15" t="n">
        <v>46316</v>
      </c>
      <c r="C652" s="7" t="s">
        <v>256</v>
      </c>
      <c r="D652" s="7" t="s">
        <v>257</v>
      </c>
      <c r="E652" s="17" t="n">
        <f aca="false">IF(A652="","",SUMIFS(Sales_Items!$H$2:$H$3001,Sales_Items!$A$2:$A$3001,A652))</f>
        <v>3620</v>
      </c>
      <c r="F652" s="13" t="n">
        <v>110</v>
      </c>
      <c r="G652" s="17" t="n">
        <f aca="false">IF(A652="","",E652-N(F652))</f>
        <v>3510</v>
      </c>
      <c r="H652" s="13" t="n">
        <v>3510</v>
      </c>
      <c r="I652" s="17" t="n">
        <f aca="false">IF(A652="","",SUMIFS(Due_Payments!$C$2:$C$1001,Due_Payments!$B$2:$B$1001,A652))</f>
        <v>0</v>
      </c>
      <c r="J652" s="17" t="n">
        <f aca="false">IF(A652="","",G652-N(H652)-I652)</f>
        <v>0</v>
      </c>
      <c r="K652" s="7" t="s">
        <v>37</v>
      </c>
      <c r="L652" s="7" t="s">
        <v>855</v>
      </c>
      <c r="M652" s="7"/>
    </row>
    <row r="653" customFormat="false" ht="15" hidden="false" customHeight="true" outlineLevel="0" collapsed="false">
      <c r="A653" s="7" t="s">
        <v>1122</v>
      </c>
      <c r="B653" s="15" t="n">
        <v>46316</v>
      </c>
      <c r="C653" s="7" t="s">
        <v>350</v>
      </c>
      <c r="D653" s="7" t="s">
        <v>351</v>
      </c>
      <c r="E653" s="17" t="n">
        <f aca="false">IF(A653="","",SUMIFS(Sales_Items!$H$2:$H$3001,Sales_Items!$A$2:$A$3001,A653))</f>
        <v>990</v>
      </c>
      <c r="F653" s="13" t="n">
        <v>0</v>
      </c>
      <c r="G653" s="17" t="n">
        <f aca="false">IF(A653="","",E653-N(F653))</f>
        <v>990</v>
      </c>
      <c r="H653" s="13" t="n">
        <v>990</v>
      </c>
      <c r="I653" s="17" t="n">
        <f aca="false">IF(A653="","",SUMIFS(Due_Payments!$C$2:$C$1001,Due_Payments!$B$2:$B$1001,A653))</f>
        <v>0</v>
      </c>
      <c r="J653" s="17" t="n">
        <f aca="false">IF(A653="","",G653-N(H653)-I653)</f>
        <v>0</v>
      </c>
      <c r="K653" s="7" t="s">
        <v>13</v>
      </c>
      <c r="L653" s="7" t="s">
        <v>208</v>
      </c>
      <c r="M653" s="7"/>
    </row>
    <row r="654" customFormat="false" ht="15" hidden="false" customHeight="true" outlineLevel="0" collapsed="false">
      <c r="A654" s="7" t="s">
        <v>1123</v>
      </c>
      <c r="B654" s="15" t="n">
        <v>46316</v>
      </c>
      <c r="C654" s="7" t="s">
        <v>198</v>
      </c>
      <c r="D654" s="7" t="s">
        <v>199</v>
      </c>
      <c r="E654" s="17" t="n">
        <f aca="false">IF(A654="","",SUMIFS(Sales_Items!$H$2:$H$3001,Sales_Items!$A$2:$A$3001,A654))</f>
        <v>3090</v>
      </c>
      <c r="F654" s="13" t="n">
        <v>90</v>
      </c>
      <c r="G654" s="17" t="n">
        <f aca="false">IF(A654="","",E654-N(F654))</f>
        <v>3000</v>
      </c>
      <c r="H654" s="13" t="n">
        <v>3000</v>
      </c>
      <c r="I654" s="17" t="n">
        <f aca="false">IF(A654="","",SUMIFS(Due_Payments!$C$2:$C$1001,Due_Payments!$B$2:$B$1001,A654))</f>
        <v>0</v>
      </c>
      <c r="J654" s="17" t="n">
        <f aca="false">IF(A654="","",G654-N(H654)-I654)</f>
        <v>0</v>
      </c>
      <c r="K654" s="7" t="s">
        <v>37</v>
      </c>
      <c r="L654" s="7" t="s">
        <v>1124</v>
      </c>
      <c r="M654" s="7"/>
    </row>
    <row r="655" customFormat="false" ht="15" hidden="false" customHeight="true" outlineLevel="0" collapsed="false">
      <c r="A655" s="7" t="s">
        <v>1125</v>
      </c>
      <c r="B655" s="15" t="n">
        <v>46316</v>
      </c>
      <c r="C655" s="7" t="s">
        <v>241</v>
      </c>
      <c r="D655" s="7" t="s">
        <v>242</v>
      </c>
      <c r="E655" s="17" t="n">
        <f aca="false">IF(A655="","",SUMIFS(Sales_Items!$H$2:$H$3001,Sales_Items!$A$2:$A$3001,A655))</f>
        <v>860</v>
      </c>
      <c r="F655" s="13" t="n">
        <v>50</v>
      </c>
      <c r="G655" s="17" t="n">
        <f aca="false">IF(A655="","",E655-N(F655))</f>
        <v>810</v>
      </c>
      <c r="H655" s="13" t="n">
        <v>810</v>
      </c>
      <c r="I655" s="17" t="n">
        <f aca="false">IF(A655="","",SUMIFS(Due_Payments!$C$2:$C$1001,Due_Payments!$B$2:$B$1001,A655))</f>
        <v>0</v>
      </c>
      <c r="J655" s="17" t="n">
        <f aca="false">IF(A655="","",G655-N(H655)-I655)</f>
        <v>0</v>
      </c>
      <c r="K655" s="7" t="s">
        <v>13</v>
      </c>
      <c r="L655" s="7" t="s">
        <v>233</v>
      </c>
      <c r="M655" s="7"/>
    </row>
    <row r="656" customFormat="false" ht="15" hidden="false" customHeight="true" outlineLevel="0" collapsed="false">
      <c r="A656" s="7" t="s">
        <v>1126</v>
      </c>
      <c r="B656" s="15" t="n">
        <v>46316</v>
      </c>
      <c r="C656" s="7" t="s">
        <v>198</v>
      </c>
      <c r="D656" s="7" t="s">
        <v>199</v>
      </c>
      <c r="E656" s="17" t="n">
        <f aca="false">IF(A656="","",SUMIFS(Sales_Items!$H$2:$H$3001,Sales_Items!$A$2:$A$3001,A656))</f>
        <v>380</v>
      </c>
      <c r="F656" s="13" t="n">
        <v>100</v>
      </c>
      <c r="G656" s="17" t="n">
        <f aca="false">IF(A656="","",E656-N(F656))</f>
        <v>280</v>
      </c>
      <c r="H656" s="13" t="n">
        <v>280</v>
      </c>
      <c r="I656" s="17" t="n">
        <f aca="false">IF(A656="","",SUMIFS(Due_Payments!$C$2:$C$1001,Due_Payments!$B$2:$B$1001,A656))</f>
        <v>0</v>
      </c>
      <c r="J656" s="17" t="n">
        <f aca="false">IF(A656="","",G656-N(H656)-I656)</f>
        <v>0</v>
      </c>
      <c r="K656" s="7" t="s">
        <v>13</v>
      </c>
      <c r="L656" s="7" t="s">
        <v>235</v>
      </c>
      <c r="M656" s="7"/>
    </row>
    <row r="657" customFormat="false" ht="15" hidden="false" customHeight="true" outlineLevel="0" collapsed="false">
      <c r="A657" s="7" t="s">
        <v>1127</v>
      </c>
      <c r="B657" s="15" t="n">
        <v>46316</v>
      </c>
      <c r="C657" s="7" t="s">
        <v>202</v>
      </c>
      <c r="D657" s="7" t="s">
        <v>203</v>
      </c>
      <c r="E657" s="17" t="n">
        <f aca="false">IF(A657="","",SUMIFS(Sales_Items!$H$2:$H$3001,Sales_Items!$A$2:$A$3001,A657))</f>
        <v>680</v>
      </c>
      <c r="F657" s="13" t="n">
        <v>50</v>
      </c>
      <c r="G657" s="17" t="n">
        <f aca="false">IF(A657="","",E657-N(F657))</f>
        <v>630</v>
      </c>
      <c r="H657" s="13" t="n">
        <v>630</v>
      </c>
      <c r="I657" s="17" t="n">
        <f aca="false">IF(A657="","",SUMIFS(Due_Payments!$C$2:$C$1001,Due_Payments!$B$2:$B$1001,A657))</f>
        <v>0</v>
      </c>
      <c r="J657" s="17" t="n">
        <f aca="false">IF(A657="","",G657-N(H657)-I657)</f>
        <v>0</v>
      </c>
      <c r="K657" s="7" t="s">
        <v>13</v>
      </c>
      <c r="L657" s="7" t="s">
        <v>219</v>
      </c>
      <c r="M657" s="7"/>
    </row>
    <row r="658" customFormat="false" ht="15" hidden="false" customHeight="true" outlineLevel="0" collapsed="false">
      <c r="A658" s="7" t="s">
        <v>1128</v>
      </c>
      <c r="B658" s="15" t="n">
        <v>46317</v>
      </c>
      <c r="C658" s="7" t="s">
        <v>256</v>
      </c>
      <c r="D658" s="7" t="s">
        <v>257</v>
      </c>
      <c r="E658" s="17" t="n">
        <f aca="false">IF(A658="","",SUMIFS(Sales_Items!$H$2:$H$3001,Sales_Items!$A$2:$A$3001,A658))</f>
        <v>2790</v>
      </c>
      <c r="F658" s="13" t="n">
        <v>80</v>
      </c>
      <c r="G658" s="17" t="n">
        <f aca="false">IF(A658="","",E658-N(F658))</f>
        <v>2710</v>
      </c>
      <c r="H658" s="13" t="n">
        <v>2710</v>
      </c>
      <c r="I658" s="17" t="n">
        <f aca="false">IF(A658="","",SUMIFS(Due_Payments!$C$2:$C$1001,Due_Payments!$B$2:$B$1001,A658))</f>
        <v>0</v>
      </c>
      <c r="J658" s="17" t="n">
        <f aca="false">IF(A658="","",G658-N(H658)-I658)</f>
        <v>0</v>
      </c>
      <c r="K658" s="7" t="s">
        <v>29</v>
      </c>
      <c r="L658" s="7" t="s">
        <v>1129</v>
      </c>
      <c r="M658" s="7"/>
    </row>
    <row r="659" customFormat="false" ht="15" hidden="false" customHeight="true" outlineLevel="0" collapsed="false">
      <c r="A659" s="7" t="s">
        <v>1130</v>
      </c>
      <c r="B659" s="15" t="n">
        <v>46317</v>
      </c>
      <c r="C659" s="7" t="s">
        <v>344</v>
      </c>
      <c r="D659" s="7" t="s">
        <v>345</v>
      </c>
      <c r="E659" s="17" t="n">
        <f aca="false">IF(A659="","",SUMIFS(Sales_Items!$H$2:$H$3001,Sales_Items!$A$2:$A$3001,A659))</f>
        <v>190</v>
      </c>
      <c r="F659" s="13" t="n">
        <v>0</v>
      </c>
      <c r="G659" s="17" t="n">
        <f aca="false">IF(A659="","",E659-N(F659))</f>
        <v>190</v>
      </c>
      <c r="H659" s="13" t="n">
        <v>0</v>
      </c>
      <c r="I659" s="17" t="n">
        <f aca="false">IF(A659="","",SUMIFS(Due_Payments!$C$2:$C$1001,Due_Payments!$B$2:$B$1001,A659))</f>
        <v>0</v>
      </c>
      <c r="J659" s="17" t="n">
        <f aca="false">IF(A659="","",G659-N(H659)-I659)</f>
        <v>190</v>
      </c>
      <c r="K659" s="7" t="s">
        <v>37</v>
      </c>
      <c r="L659" s="7" t="s">
        <v>342</v>
      </c>
      <c r="M659" s="7"/>
    </row>
    <row r="660" customFormat="false" ht="15" hidden="false" customHeight="true" outlineLevel="0" collapsed="false">
      <c r="A660" s="7" t="s">
        <v>1131</v>
      </c>
      <c r="B660" s="15" t="n">
        <v>46317</v>
      </c>
      <c r="C660" s="7" t="s">
        <v>225</v>
      </c>
      <c r="D660" s="7" t="s">
        <v>226</v>
      </c>
      <c r="E660" s="17" t="n">
        <f aca="false">IF(A660="","",SUMIFS(Sales_Items!$H$2:$H$3001,Sales_Items!$A$2:$A$3001,A660))</f>
        <v>1670</v>
      </c>
      <c r="F660" s="13" t="n">
        <v>0</v>
      </c>
      <c r="G660" s="17" t="n">
        <f aca="false">IF(A660="","",E660-N(F660))</f>
        <v>1670</v>
      </c>
      <c r="H660" s="13" t="n">
        <v>1670</v>
      </c>
      <c r="I660" s="17" t="n">
        <f aca="false">IF(A660="","",SUMIFS(Due_Payments!$C$2:$C$1001,Due_Payments!$B$2:$B$1001,A660))</f>
        <v>0</v>
      </c>
      <c r="J660" s="17" t="n">
        <f aca="false">IF(A660="","",G660-N(H660)-I660)</f>
        <v>0</v>
      </c>
      <c r="K660" s="7" t="s">
        <v>13</v>
      </c>
      <c r="L660" s="7" t="s">
        <v>917</v>
      </c>
      <c r="M660" s="7"/>
    </row>
    <row r="661" customFormat="false" ht="15" hidden="false" customHeight="true" outlineLevel="0" collapsed="false">
      <c r="A661" s="7" t="s">
        <v>1132</v>
      </c>
      <c r="B661" s="15" t="n">
        <v>46317</v>
      </c>
      <c r="C661" s="7" t="s">
        <v>210</v>
      </c>
      <c r="D661" s="7" t="s">
        <v>211</v>
      </c>
      <c r="E661" s="17" t="n">
        <f aca="false">IF(A661="","",SUMIFS(Sales_Items!$H$2:$H$3001,Sales_Items!$A$2:$A$3001,A661))</f>
        <v>1750</v>
      </c>
      <c r="F661" s="13" t="n">
        <v>50</v>
      </c>
      <c r="G661" s="17" t="n">
        <f aca="false">IF(A661="","",E661-N(F661))</f>
        <v>1700</v>
      </c>
      <c r="H661" s="13" t="n">
        <v>1700</v>
      </c>
      <c r="I661" s="17" t="n">
        <f aca="false">IF(A661="","",SUMIFS(Due_Payments!$C$2:$C$1001,Due_Payments!$B$2:$B$1001,A661))</f>
        <v>0</v>
      </c>
      <c r="J661" s="17" t="n">
        <f aca="false">IF(A661="","",G661-N(H661)-I661)</f>
        <v>0</v>
      </c>
      <c r="K661" s="7" t="s">
        <v>13</v>
      </c>
      <c r="L661" s="7" t="s">
        <v>1133</v>
      </c>
      <c r="M661" s="7"/>
    </row>
    <row r="662" customFormat="false" ht="15" hidden="false" customHeight="true" outlineLevel="0" collapsed="false">
      <c r="A662" s="7" t="s">
        <v>1134</v>
      </c>
      <c r="B662" s="15" t="n">
        <v>46317</v>
      </c>
      <c r="C662" s="7" t="s">
        <v>229</v>
      </c>
      <c r="D662" s="7" t="s">
        <v>230</v>
      </c>
      <c r="E662" s="17" t="n">
        <f aca="false">IF(A662="","",SUMIFS(Sales_Items!$H$2:$H$3001,Sales_Items!$A$2:$A$3001,A662))</f>
        <v>1000</v>
      </c>
      <c r="F662" s="13" t="n">
        <v>50</v>
      </c>
      <c r="G662" s="17" t="n">
        <f aca="false">IF(A662="","",E662-N(F662))</f>
        <v>950</v>
      </c>
      <c r="H662" s="13" t="n">
        <v>950</v>
      </c>
      <c r="I662" s="17" t="n">
        <f aca="false">IF(A662="","",SUMIFS(Due_Payments!$C$2:$C$1001,Due_Payments!$B$2:$B$1001,A662))</f>
        <v>0</v>
      </c>
      <c r="J662" s="17" t="n">
        <f aca="false">IF(A662="","",G662-N(H662)-I662)</f>
        <v>0</v>
      </c>
      <c r="K662" s="7" t="s">
        <v>21</v>
      </c>
      <c r="L662" s="7" t="s">
        <v>297</v>
      </c>
      <c r="M662" s="7"/>
    </row>
    <row r="663" customFormat="false" ht="15" hidden="false" customHeight="true" outlineLevel="0" collapsed="false">
      <c r="A663" s="7" t="s">
        <v>1135</v>
      </c>
      <c r="B663" s="15" t="n">
        <v>46317</v>
      </c>
      <c r="C663" s="7" t="s">
        <v>350</v>
      </c>
      <c r="D663" s="7" t="s">
        <v>351</v>
      </c>
      <c r="E663" s="17" t="n">
        <f aca="false">IF(A663="","",SUMIFS(Sales_Items!$H$2:$H$3001,Sales_Items!$A$2:$A$3001,A663))</f>
        <v>190</v>
      </c>
      <c r="F663" s="13" t="n">
        <v>0</v>
      </c>
      <c r="G663" s="17" t="n">
        <f aca="false">IF(A663="","",E663-N(F663))</f>
        <v>190</v>
      </c>
      <c r="H663" s="13" t="n">
        <v>190</v>
      </c>
      <c r="I663" s="17" t="n">
        <f aca="false">IF(A663="","",SUMIFS(Due_Payments!$C$2:$C$1001,Due_Payments!$B$2:$B$1001,A663))</f>
        <v>0</v>
      </c>
      <c r="J663" s="17" t="n">
        <f aca="false">IF(A663="","",G663-N(H663)-I663)</f>
        <v>0</v>
      </c>
      <c r="K663" s="7" t="s">
        <v>21</v>
      </c>
      <c r="L663" s="7" t="s">
        <v>342</v>
      </c>
      <c r="M663" s="7"/>
    </row>
    <row r="664" customFormat="false" ht="15" hidden="false" customHeight="true" outlineLevel="0" collapsed="false">
      <c r="A664" s="7" t="s">
        <v>1136</v>
      </c>
      <c r="B664" s="15" t="n">
        <v>46317</v>
      </c>
      <c r="C664" s="7" t="s">
        <v>229</v>
      </c>
      <c r="D664" s="7" t="s">
        <v>230</v>
      </c>
      <c r="E664" s="17" t="n">
        <f aca="false">IF(A664="","",SUMIFS(Sales_Items!$H$2:$H$3001,Sales_Items!$A$2:$A$3001,A664))</f>
        <v>920</v>
      </c>
      <c r="F664" s="13" t="n">
        <v>30</v>
      </c>
      <c r="G664" s="17" t="n">
        <f aca="false">IF(A664="","",E664-N(F664))</f>
        <v>890</v>
      </c>
      <c r="H664" s="13" t="n">
        <v>890</v>
      </c>
      <c r="I664" s="17" t="n">
        <f aca="false">IF(A664="","",SUMIFS(Due_Payments!$C$2:$C$1001,Due_Payments!$B$2:$B$1001,A664))</f>
        <v>0</v>
      </c>
      <c r="J664" s="17" t="n">
        <f aca="false">IF(A664="","",G664-N(H664)-I664)</f>
        <v>0</v>
      </c>
      <c r="K664" s="7" t="s">
        <v>21</v>
      </c>
      <c r="L664" s="7" t="s">
        <v>1100</v>
      </c>
      <c r="M664" s="7"/>
    </row>
    <row r="665" customFormat="false" ht="15" hidden="false" customHeight="true" outlineLevel="0" collapsed="false">
      <c r="A665" s="7" t="s">
        <v>1137</v>
      </c>
      <c r="B665" s="15" t="n">
        <v>46317</v>
      </c>
      <c r="C665" s="7" t="s">
        <v>256</v>
      </c>
      <c r="D665" s="7" t="s">
        <v>257</v>
      </c>
      <c r="E665" s="17" t="n">
        <f aca="false">IF(A665="","",SUMIFS(Sales_Items!$H$2:$H$3001,Sales_Items!$A$2:$A$3001,A665))</f>
        <v>1130</v>
      </c>
      <c r="F665" s="13" t="n">
        <v>0</v>
      </c>
      <c r="G665" s="17" t="n">
        <f aca="false">IF(A665="","",E665-N(F665))</f>
        <v>1130</v>
      </c>
      <c r="H665" s="13" t="n">
        <v>1130</v>
      </c>
      <c r="I665" s="17" t="n">
        <f aca="false">IF(A665="","",SUMIFS(Due_Payments!$C$2:$C$1001,Due_Payments!$B$2:$B$1001,A665))</f>
        <v>0</v>
      </c>
      <c r="J665" s="17" t="n">
        <f aca="false">IF(A665="","",G665-N(H665)-I665)</f>
        <v>0</v>
      </c>
      <c r="K665" s="7" t="s">
        <v>13</v>
      </c>
      <c r="L665" s="7" t="s">
        <v>553</v>
      </c>
      <c r="M665" s="7"/>
    </row>
    <row r="666" customFormat="false" ht="15" hidden="false" customHeight="true" outlineLevel="0" collapsed="false">
      <c r="A666" s="7" t="s">
        <v>1138</v>
      </c>
      <c r="B666" s="15" t="n">
        <v>46317</v>
      </c>
      <c r="C666" s="7" t="s">
        <v>210</v>
      </c>
      <c r="D666" s="7" t="s">
        <v>211</v>
      </c>
      <c r="E666" s="17" t="n">
        <f aca="false">IF(A666="","",SUMIFS(Sales_Items!$H$2:$H$3001,Sales_Items!$A$2:$A$3001,A666))</f>
        <v>3350</v>
      </c>
      <c r="F666" s="13" t="n">
        <v>0</v>
      </c>
      <c r="G666" s="17" t="n">
        <f aca="false">IF(A666="","",E666-N(F666))</f>
        <v>3350</v>
      </c>
      <c r="H666" s="13" t="n">
        <v>3350</v>
      </c>
      <c r="I666" s="17" t="n">
        <f aca="false">IF(A666="","",SUMIFS(Due_Payments!$C$2:$C$1001,Due_Payments!$B$2:$B$1001,A666))</f>
        <v>0</v>
      </c>
      <c r="J666" s="17" t="n">
        <f aca="false">IF(A666="","",G666-N(H666)-I666)</f>
        <v>0</v>
      </c>
      <c r="K666" s="7" t="s">
        <v>13</v>
      </c>
      <c r="L666" s="7" t="s">
        <v>463</v>
      </c>
      <c r="M666" s="7"/>
    </row>
    <row r="667" customFormat="false" ht="15" hidden="false" customHeight="true" outlineLevel="0" collapsed="false">
      <c r="A667" s="7" t="s">
        <v>1139</v>
      </c>
      <c r="B667" s="15" t="n">
        <v>46317</v>
      </c>
      <c r="C667" s="7" t="s">
        <v>202</v>
      </c>
      <c r="D667" s="7" t="s">
        <v>203</v>
      </c>
      <c r="E667" s="17" t="n">
        <f aca="false">IF(A667="","",SUMIFS(Sales_Items!$H$2:$H$3001,Sales_Items!$A$2:$A$3001,A667))</f>
        <v>1260</v>
      </c>
      <c r="F667" s="13" t="n">
        <v>0</v>
      </c>
      <c r="G667" s="17" t="n">
        <f aca="false">IF(A667="","",E667-N(F667))</f>
        <v>1260</v>
      </c>
      <c r="H667" s="13" t="n">
        <v>1260</v>
      </c>
      <c r="I667" s="17" t="n">
        <f aca="false">IF(A667="","",SUMIFS(Due_Payments!$C$2:$C$1001,Due_Payments!$B$2:$B$1001,A667))</f>
        <v>0</v>
      </c>
      <c r="J667" s="17" t="n">
        <f aca="false">IF(A667="","",G667-N(H667)-I667)</f>
        <v>0</v>
      </c>
      <c r="K667" s="7" t="s">
        <v>29</v>
      </c>
      <c r="L667" s="7" t="s">
        <v>289</v>
      </c>
      <c r="M667" s="7"/>
    </row>
    <row r="668" customFormat="false" ht="15" hidden="false" customHeight="true" outlineLevel="0" collapsed="false">
      <c r="A668" s="7" t="s">
        <v>1140</v>
      </c>
      <c r="B668" s="15" t="n">
        <v>46317</v>
      </c>
      <c r="C668" s="7" t="s">
        <v>282</v>
      </c>
      <c r="D668" s="7" t="s">
        <v>283</v>
      </c>
      <c r="E668" s="17" t="n">
        <f aca="false">IF(A668="","",SUMIFS(Sales_Items!$H$2:$H$3001,Sales_Items!$A$2:$A$3001,A668))</f>
        <v>520</v>
      </c>
      <c r="F668" s="13" t="n">
        <v>0</v>
      </c>
      <c r="G668" s="17" t="n">
        <f aca="false">IF(A668="","",E668-N(F668))</f>
        <v>520</v>
      </c>
      <c r="H668" s="13" t="n">
        <v>520</v>
      </c>
      <c r="I668" s="17" t="n">
        <f aca="false">IF(A668="","",SUMIFS(Due_Payments!$C$2:$C$1001,Due_Payments!$B$2:$B$1001,A668))</f>
        <v>0</v>
      </c>
      <c r="J668" s="17" t="n">
        <f aca="false">IF(A668="","",G668-N(H668)-I668)</f>
        <v>0</v>
      </c>
      <c r="K668" s="7" t="s">
        <v>13</v>
      </c>
      <c r="L668" s="7" t="s">
        <v>323</v>
      </c>
      <c r="M668" s="7"/>
    </row>
    <row r="669" customFormat="false" ht="15" hidden="false" customHeight="true" outlineLevel="0" collapsed="false">
      <c r="A669" s="7"/>
      <c r="B669" s="15"/>
      <c r="C669" s="7"/>
      <c r="D669" s="7"/>
      <c r="E669" s="17" t="str">
        <f aca="false">IF(A669="","",SUMIFS(Sales_Items!$H$2:$H$3001,Sales_Items!$A$2:$A$3001,A669))</f>
        <v/>
      </c>
      <c r="F669" s="13"/>
      <c r="G669" s="17" t="str">
        <f aca="false">IF(A669="","",E669-N(F669))</f>
        <v/>
      </c>
      <c r="H669" s="13"/>
      <c r="I669" s="17" t="str">
        <f aca="false">IF(A669="","",SUMIFS(Due_Payments!$C$2:$C$1001,Due_Payments!$B$2:$B$1001,A669))</f>
        <v/>
      </c>
      <c r="J669" s="17" t="str">
        <f aca="false">IF(A669="","",G669-N(H669)-I669)</f>
        <v/>
      </c>
      <c r="K669" s="7"/>
      <c r="L669" s="7"/>
      <c r="M669" s="7"/>
    </row>
    <row r="670" customFormat="false" ht="15" hidden="false" customHeight="true" outlineLevel="0" collapsed="false">
      <c r="A670" s="7"/>
      <c r="B670" s="15"/>
      <c r="C670" s="7"/>
      <c r="D670" s="7"/>
      <c r="E670" s="17" t="str">
        <f aca="false">IF(A670="","",SUMIFS(Sales_Items!$H$2:$H$3001,Sales_Items!$A$2:$A$3001,A670))</f>
        <v/>
      </c>
      <c r="F670" s="13"/>
      <c r="G670" s="17" t="str">
        <f aca="false">IF(A670="","",E670-N(F670))</f>
        <v/>
      </c>
      <c r="H670" s="13"/>
      <c r="I670" s="17" t="str">
        <f aca="false">IF(A670="","",SUMIFS(Due_Payments!$C$2:$C$1001,Due_Payments!$B$2:$B$1001,A670))</f>
        <v/>
      </c>
      <c r="J670" s="17" t="str">
        <f aca="false">IF(A670="","",G670-N(H670)-I670)</f>
        <v/>
      </c>
      <c r="K670" s="7"/>
      <c r="L670" s="7"/>
      <c r="M670" s="7"/>
    </row>
    <row r="671" customFormat="false" ht="15" hidden="false" customHeight="true" outlineLevel="0" collapsed="false">
      <c r="A671" s="7"/>
      <c r="B671" s="15"/>
      <c r="C671" s="7"/>
      <c r="D671" s="7"/>
      <c r="E671" s="17" t="str">
        <f aca="false">IF(A671="","",SUMIFS(Sales_Items!$H$2:$H$3001,Sales_Items!$A$2:$A$3001,A671))</f>
        <v/>
      </c>
      <c r="F671" s="13"/>
      <c r="G671" s="17" t="str">
        <f aca="false">IF(A671="","",E671-N(F671))</f>
        <v/>
      </c>
      <c r="H671" s="13"/>
      <c r="I671" s="17" t="str">
        <f aca="false">IF(A671="","",SUMIFS(Due_Payments!$C$2:$C$1001,Due_Payments!$B$2:$B$1001,A671))</f>
        <v/>
      </c>
      <c r="J671" s="17" t="str">
        <f aca="false">IF(A671="","",G671-N(H671)-I671)</f>
        <v/>
      </c>
      <c r="K671" s="7"/>
      <c r="L671" s="7"/>
      <c r="M671" s="7"/>
    </row>
    <row r="672" customFormat="false" ht="15" hidden="false" customHeight="true" outlineLevel="0" collapsed="false">
      <c r="A672" s="7"/>
      <c r="B672" s="15"/>
      <c r="C672" s="7"/>
      <c r="D672" s="7"/>
      <c r="E672" s="17" t="str">
        <f aca="false">IF(A672="","",SUMIFS(Sales_Items!$H$2:$H$3001,Sales_Items!$A$2:$A$3001,A672))</f>
        <v/>
      </c>
      <c r="F672" s="13"/>
      <c r="G672" s="17" t="str">
        <f aca="false">IF(A672="","",E672-N(F672))</f>
        <v/>
      </c>
      <c r="H672" s="13"/>
      <c r="I672" s="17" t="str">
        <f aca="false">IF(A672="","",SUMIFS(Due_Payments!$C$2:$C$1001,Due_Payments!$B$2:$B$1001,A672))</f>
        <v/>
      </c>
      <c r="J672" s="17" t="str">
        <f aca="false">IF(A672="","",G672-N(H672)-I672)</f>
        <v/>
      </c>
      <c r="K672" s="7"/>
      <c r="L672" s="7"/>
      <c r="M672" s="7"/>
    </row>
    <row r="673" customFormat="false" ht="15" hidden="false" customHeight="true" outlineLevel="0" collapsed="false">
      <c r="A673" s="7"/>
      <c r="B673" s="15"/>
      <c r="C673" s="7"/>
      <c r="D673" s="7"/>
      <c r="E673" s="17" t="str">
        <f aca="false">IF(A673="","",SUMIFS(Sales_Items!$H$2:$H$3001,Sales_Items!$A$2:$A$3001,A673))</f>
        <v/>
      </c>
      <c r="F673" s="13"/>
      <c r="G673" s="17" t="str">
        <f aca="false">IF(A673="","",E673-N(F673))</f>
        <v/>
      </c>
      <c r="H673" s="13"/>
      <c r="I673" s="17" t="str">
        <f aca="false">IF(A673="","",SUMIFS(Due_Payments!$C$2:$C$1001,Due_Payments!$B$2:$B$1001,A673))</f>
        <v/>
      </c>
      <c r="J673" s="17" t="str">
        <f aca="false">IF(A673="","",G673-N(H673)-I673)</f>
        <v/>
      </c>
      <c r="K673" s="7"/>
      <c r="L673" s="7"/>
      <c r="M673" s="7"/>
    </row>
    <row r="674" customFormat="false" ht="15" hidden="false" customHeight="true" outlineLevel="0" collapsed="false">
      <c r="A674" s="7"/>
      <c r="B674" s="15"/>
      <c r="C674" s="7"/>
      <c r="D674" s="7"/>
      <c r="E674" s="17" t="str">
        <f aca="false">IF(A674="","",SUMIFS(Sales_Items!$H$2:$H$3001,Sales_Items!$A$2:$A$3001,A674))</f>
        <v/>
      </c>
      <c r="F674" s="13"/>
      <c r="G674" s="17" t="str">
        <f aca="false">IF(A674="","",E674-N(F674))</f>
        <v/>
      </c>
      <c r="H674" s="13"/>
      <c r="I674" s="17" t="str">
        <f aca="false">IF(A674="","",SUMIFS(Due_Payments!$C$2:$C$1001,Due_Payments!$B$2:$B$1001,A674))</f>
        <v/>
      </c>
      <c r="J674" s="17" t="str">
        <f aca="false">IF(A674="","",G674-N(H674)-I674)</f>
        <v/>
      </c>
      <c r="K674" s="7"/>
      <c r="L674" s="7"/>
      <c r="M674" s="7"/>
    </row>
    <row r="675" customFormat="false" ht="15" hidden="false" customHeight="true" outlineLevel="0" collapsed="false">
      <c r="A675" s="7"/>
      <c r="B675" s="15"/>
      <c r="C675" s="7"/>
      <c r="D675" s="7"/>
      <c r="E675" s="17" t="str">
        <f aca="false">IF(A675="","",SUMIFS(Sales_Items!$H$2:$H$3001,Sales_Items!$A$2:$A$3001,A675))</f>
        <v/>
      </c>
      <c r="F675" s="13"/>
      <c r="G675" s="17" t="str">
        <f aca="false">IF(A675="","",E675-N(F675))</f>
        <v/>
      </c>
      <c r="H675" s="13"/>
      <c r="I675" s="17" t="str">
        <f aca="false">IF(A675="","",SUMIFS(Due_Payments!$C$2:$C$1001,Due_Payments!$B$2:$B$1001,A675))</f>
        <v/>
      </c>
      <c r="J675" s="17" t="str">
        <f aca="false">IF(A675="","",G675-N(H675)-I675)</f>
        <v/>
      </c>
      <c r="K675" s="7"/>
      <c r="L675" s="7"/>
      <c r="M675" s="7"/>
    </row>
    <row r="676" customFormat="false" ht="15" hidden="false" customHeight="true" outlineLevel="0" collapsed="false">
      <c r="A676" s="7"/>
      <c r="B676" s="15"/>
      <c r="C676" s="7"/>
      <c r="D676" s="7"/>
      <c r="E676" s="17" t="str">
        <f aca="false">IF(A676="","",SUMIFS(Sales_Items!$H$2:$H$3001,Sales_Items!$A$2:$A$3001,A676))</f>
        <v/>
      </c>
      <c r="F676" s="13"/>
      <c r="G676" s="17" t="str">
        <f aca="false">IF(A676="","",E676-N(F676))</f>
        <v/>
      </c>
      <c r="H676" s="13"/>
      <c r="I676" s="17" t="str">
        <f aca="false">IF(A676="","",SUMIFS(Due_Payments!$C$2:$C$1001,Due_Payments!$B$2:$B$1001,A676))</f>
        <v/>
      </c>
      <c r="J676" s="17" t="str">
        <f aca="false">IF(A676="","",G676-N(H676)-I676)</f>
        <v/>
      </c>
      <c r="K676" s="7"/>
      <c r="L676" s="7"/>
      <c r="M676" s="7"/>
    </row>
    <row r="677" customFormat="false" ht="15" hidden="false" customHeight="true" outlineLevel="0" collapsed="false">
      <c r="A677" s="7"/>
      <c r="B677" s="15"/>
      <c r="C677" s="7"/>
      <c r="D677" s="7"/>
      <c r="E677" s="17" t="str">
        <f aca="false">IF(A677="","",SUMIFS(Sales_Items!$H$2:$H$3001,Sales_Items!$A$2:$A$3001,A677))</f>
        <v/>
      </c>
      <c r="F677" s="13"/>
      <c r="G677" s="17" t="str">
        <f aca="false">IF(A677="","",E677-N(F677))</f>
        <v/>
      </c>
      <c r="H677" s="13"/>
      <c r="I677" s="17" t="str">
        <f aca="false">IF(A677="","",SUMIFS(Due_Payments!$C$2:$C$1001,Due_Payments!$B$2:$B$1001,A677))</f>
        <v/>
      </c>
      <c r="J677" s="17" t="str">
        <f aca="false">IF(A677="","",G677-N(H677)-I677)</f>
        <v/>
      </c>
      <c r="K677" s="7"/>
      <c r="L677" s="7"/>
      <c r="M677" s="7"/>
    </row>
    <row r="678" customFormat="false" ht="15" hidden="false" customHeight="true" outlineLevel="0" collapsed="false">
      <c r="A678" s="7"/>
      <c r="B678" s="15"/>
      <c r="C678" s="7"/>
      <c r="D678" s="7"/>
      <c r="E678" s="17" t="str">
        <f aca="false">IF(A678="","",SUMIFS(Sales_Items!$H$2:$H$3001,Sales_Items!$A$2:$A$3001,A678))</f>
        <v/>
      </c>
      <c r="F678" s="13"/>
      <c r="G678" s="17" t="str">
        <f aca="false">IF(A678="","",E678-N(F678))</f>
        <v/>
      </c>
      <c r="H678" s="13"/>
      <c r="I678" s="17" t="str">
        <f aca="false">IF(A678="","",SUMIFS(Due_Payments!$C$2:$C$1001,Due_Payments!$B$2:$B$1001,A678))</f>
        <v/>
      </c>
      <c r="J678" s="17" t="str">
        <f aca="false">IF(A678="","",G678-N(H678)-I678)</f>
        <v/>
      </c>
      <c r="K678" s="7"/>
      <c r="L678" s="7"/>
      <c r="M678" s="7"/>
    </row>
    <row r="679" customFormat="false" ht="15" hidden="false" customHeight="true" outlineLevel="0" collapsed="false">
      <c r="A679" s="7"/>
      <c r="B679" s="15"/>
      <c r="C679" s="7"/>
      <c r="D679" s="7"/>
      <c r="E679" s="17" t="str">
        <f aca="false">IF(A679="","",SUMIFS(Sales_Items!$H$2:$H$3001,Sales_Items!$A$2:$A$3001,A679))</f>
        <v/>
      </c>
      <c r="F679" s="13"/>
      <c r="G679" s="17" t="str">
        <f aca="false">IF(A679="","",E679-N(F679))</f>
        <v/>
      </c>
      <c r="H679" s="13"/>
      <c r="I679" s="17" t="str">
        <f aca="false">IF(A679="","",SUMIFS(Due_Payments!$C$2:$C$1001,Due_Payments!$B$2:$B$1001,A679))</f>
        <v/>
      </c>
      <c r="J679" s="17" t="str">
        <f aca="false">IF(A679="","",G679-N(H679)-I679)</f>
        <v/>
      </c>
      <c r="K679" s="7"/>
      <c r="L679" s="7"/>
      <c r="M679" s="7"/>
    </row>
    <row r="680" customFormat="false" ht="15" hidden="false" customHeight="true" outlineLevel="0" collapsed="false">
      <c r="A680" s="7"/>
      <c r="B680" s="15"/>
      <c r="C680" s="7"/>
      <c r="D680" s="7"/>
      <c r="E680" s="17" t="str">
        <f aca="false">IF(A680="","",SUMIFS(Sales_Items!$H$2:$H$3001,Sales_Items!$A$2:$A$3001,A680))</f>
        <v/>
      </c>
      <c r="F680" s="13"/>
      <c r="G680" s="17" t="str">
        <f aca="false">IF(A680="","",E680-N(F680))</f>
        <v/>
      </c>
      <c r="H680" s="13"/>
      <c r="I680" s="17" t="str">
        <f aca="false">IF(A680="","",SUMIFS(Due_Payments!$C$2:$C$1001,Due_Payments!$B$2:$B$1001,A680))</f>
        <v/>
      </c>
      <c r="J680" s="17" t="str">
        <f aca="false">IF(A680="","",G680-N(H680)-I680)</f>
        <v/>
      </c>
      <c r="K680" s="7"/>
      <c r="L680" s="7"/>
      <c r="M680" s="7"/>
    </row>
    <row r="681" customFormat="false" ht="15" hidden="false" customHeight="true" outlineLevel="0" collapsed="false">
      <c r="A681" s="7"/>
      <c r="B681" s="15"/>
      <c r="C681" s="7"/>
      <c r="D681" s="7"/>
      <c r="E681" s="17" t="str">
        <f aca="false">IF(A681="","",SUMIFS(Sales_Items!$H$2:$H$3001,Sales_Items!$A$2:$A$3001,A681))</f>
        <v/>
      </c>
      <c r="F681" s="13"/>
      <c r="G681" s="17" t="str">
        <f aca="false">IF(A681="","",E681-N(F681))</f>
        <v/>
      </c>
      <c r="H681" s="13"/>
      <c r="I681" s="17" t="str">
        <f aca="false">IF(A681="","",SUMIFS(Due_Payments!$C$2:$C$1001,Due_Payments!$B$2:$B$1001,A681))</f>
        <v/>
      </c>
      <c r="J681" s="17" t="str">
        <f aca="false">IF(A681="","",G681-N(H681)-I681)</f>
        <v/>
      </c>
      <c r="K681" s="7"/>
      <c r="L681" s="7"/>
      <c r="M681" s="7"/>
    </row>
    <row r="682" customFormat="false" ht="15" hidden="false" customHeight="true" outlineLevel="0" collapsed="false">
      <c r="A682" s="7"/>
      <c r="B682" s="15"/>
      <c r="C682" s="7"/>
      <c r="D682" s="7"/>
      <c r="E682" s="17" t="str">
        <f aca="false">IF(A682="","",SUMIFS(Sales_Items!$H$2:$H$3001,Sales_Items!$A$2:$A$3001,A682))</f>
        <v/>
      </c>
      <c r="F682" s="13"/>
      <c r="G682" s="17" t="str">
        <f aca="false">IF(A682="","",E682-N(F682))</f>
        <v/>
      </c>
      <c r="H682" s="13"/>
      <c r="I682" s="17" t="str">
        <f aca="false">IF(A682="","",SUMIFS(Due_Payments!$C$2:$C$1001,Due_Payments!$B$2:$B$1001,A682))</f>
        <v/>
      </c>
      <c r="J682" s="17" t="str">
        <f aca="false">IF(A682="","",G682-N(H682)-I682)</f>
        <v/>
      </c>
      <c r="K682" s="7"/>
      <c r="L682" s="7"/>
      <c r="M682" s="7"/>
    </row>
    <row r="683" customFormat="false" ht="15" hidden="false" customHeight="true" outlineLevel="0" collapsed="false">
      <c r="A683" s="7"/>
      <c r="B683" s="15"/>
      <c r="C683" s="7"/>
      <c r="D683" s="7"/>
      <c r="E683" s="17" t="str">
        <f aca="false">IF(A683="","",SUMIFS(Sales_Items!$H$2:$H$3001,Sales_Items!$A$2:$A$3001,A683))</f>
        <v/>
      </c>
      <c r="F683" s="13"/>
      <c r="G683" s="17" t="str">
        <f aca="false">IF(A683="","",E683-N(F683))</f>
        <v/>
      </c>
      <c r="H683" s="13"/>
      <c r="I683" s="17" t="str">
        <f aca="false">IF(A683="","",SUMIFS(Due_Payments!$C$2:$C$1001,Due_Payments!$B$2:$B$1001,A683))</f>
        <v/>
      </c>
      <c r="J683" s="17" t="str">
        <f aca="false">IF(A683="","",G683-N(H683)-I683)</f>
        <v/>
      </c>
      <c r="K683" s="7"/>
      <c r="L683" s="7"/>
      <c r="M683" s="7"/>
    </row>
    <row r="684" customFormat="false" ht="15" hidden="false" customHeight="true" outlineLevel="0" collapsed="false">
      <c r="A684" s="7"/>
      <c r="B684" s="15"/>
      <c r="C684" s="7"/>
      <c r="D684" s="7"/>
      <c r="E684" s="17" t="str">
        <f aca="false">IF(A684="","",SUMIFS(Sales_Items!$H$2:$H$3001,Sales_Items!$A$2:$A$3001,A684))</f>
        <v/>
      </c>
      <c r="F684" s="13"/>
      <c r="G684" s="17" t="str">
        <f aca="false">IF(A684="","",E684-N(F684))</f>
        <v/>
      </c>
      <c r="H684" s="13"/>
      <c r="I684" s="17" t="str">
        <f aca="false">IF(A684="","",SUMIFS(Due_Payments!$C$2:$C$1001,Due_Payments!$B$2:$B$1001,A684))</f>
        <v/>
      </c>
      <c r="J684" s="17" t="str">
        <f aca="false">IF(A684="","",G684-N(H684)-I684)</f>
        <v/>
      </c>
      <c r="K684" s="7"/>
      <c r="L684" s="7"/>
      <c r="M684" s="7"/>
    </row>
    <row r="685" customFormat="false" ht="15" hidden="false" customHeight="true" outlineLevel="0" collapsed="false">
      <c r="A685" s="7"/>
      <c r="B685" s="15"/>
      <c r="C685" s="7"/>
      <c r="D685" s="7"/>
      <c r="E685" s="17" t="str">
        <f aca="false">IF(A685="","",SUMIFS(Sales_Items!$H$2:$H$3001,Sales_Items!$A$2:$A$3001,A685))</f>
        <v/>
      </c>
      <c r="F685" s="13"/>
      <c r="G685" s="17" t="str">
        <f aca="false">IF(A685="","",E685-N(F685))</f>
        <v/>
      </c>
      <c r="H685" s="13"/>
      <c r="I685" s="17" t="str">
        <f aca="false">IF(A685="","",SUMIFS(Due_Payments!$C$2:$C$1001,Due_Payments!$B$2:$B$1001,A685))</f>
        <v/>
      </c>
      <c r="J685" s="17" t="str">
        <f aca="false">IF(A685="","",G685-N(H685)-I685)</f>
        <v/>
      </c>
      <c r="K685" s="7"/>
      <c r="L685" s="7"/>
      <c r="M685" s="7"/>
    </row>
    <row r="686" customFormat="false" ht="15" hidden="false" customHeight="true" outlineLevel="0" collapsed="false">
      <c r="A686" s="7"/>
      <c r="B686" s="15"/>
      <c r="C686" s="7"/>
      <c r="D686" s="7"/>
      <c r="E686" s="17" t="str">
        <f aca="false">IF(A686="","",SUMIFS(Sales_Items!$H$2:$H$3001,Sales_Items!$A$2:$A$3001,A686))</f>
        <v/>
      </c>
      <c r="F686" s="13"/>
      <c r="G686" s="17" t="str">
        <f aca="false">IF(A686="","",E686-N(F686))</f>
        <v/>
      </c>
      <c r="H686" s="13"/>
      <c r="I686" s="17" t="str">
        <f aca="false">IF(A686="","",SUMIFS(Due_Payments!$C$2:$C$1001,Due_Payments!$B$2:$B$1001,A686))</f>
        <v/>
      </c>
      <c r="J686" s="17" t="str">
        <f aca="false">IF(A686="","",G686-N(H686)-I686)</f>
        <v/>
      </c>
      <c r="K686" s="7"/>
      <c r="L686" s="7"/>
      <c r="M686" s="7"/>
    </row>
    <row r="687" customFormat="false" ht="15" hidden="false" customHeight="true" outlineLevel="0" collapsed="false">
      <c r="A687" s="7"/>
      <c r="B687" s="15"/>
      <c r="C687" s="7"/>
      <c r="D687" s="7"/>
      <c r="E687" s="17" t="str">
        <f aca="false">IF(A687="","",SUMIFS(Sales_Items!$H$2:$H$3001,Sales_Items!$A$2:$A$3001,A687))</f>
        <v/>
      </c>
      <c r="F687" s="13"/>
      <c r="G687" s="17" t="str">
        <f aca="false">IF(A687="","",E687-N(F687))</f>
        <v/>
      </c>
      <c r="H687" s="13"/>
      <c r="I687" s="17" t="str">
        <f aca="false">IF(A687="","",SUMIFS(Due_Payments!$C$2:$C$1001,Due_Payments!$B$2:$B$1001,A687))</f>
        <v/>
      </c>
      <c r="J687" s="17" t="str">
        <f aca="false">IF(A687="","",G687-N(H687)-I687)</f>
        <v/>
      </c>
      <c r="K687" s="7"/>
      <c r="L687" s="7"/>
      <c r="M687" s="7"/>
    </row>
    <row r="688" customFormat="false" ht="15" hidden="false" customHeight="true" outlineLevel="0" collapsed="false">
      <c r="A688" s="7"/>
      <c r="B688" s="15"/>
      <c r="C688" s="7"/>
      <c r="D688" s="7"/>
      <c r="E688" s="17" t="str">
        <f aca="false">IF(A688="","",SUMIFS(Sales_Items!$H$2:$H$3001,Sales_Items!$A$2:$A$3001,A688))</f>
        <v/>
      </c>
      <c r="F688" s="13"/>
      <c r="G688" s="17" t="str">
        <f aca="false">IF(A688="","",E688-N(F688))</f>
        <v/>
      </c>
      <c r="H688" s="13"/>
      <c r="I688" s="17" t="str">
        <f aca="false">IF(A688="","",SUMIFS(Due_Payments!$C$2:$C$1001,Due_Payments!$B$2:$B$1001,A688))</f>
        <v/>
      </c>
      <c r="J688" s="17" t="str">
        <f aca="false">IF(A688="","",G688-N(H688)-I688)</f>
        <v/>
      </c>
      <c r="K688" s="7"/>
      <c r="L688" s="7"/>
      <c r="M688" s="7"/>
    </row>
    <row r="689" customFormat="false" ht="15" hidden="false" customHeight="true" outlineLevel="0" collapsed="false">
      <c r="A689" s="7"/>
      <c r="B689" s="15"/>
      <c r="C689" s="7"/>
      <c r="D689" s="7"/>
      <c r="E689" s="17" t="str">
        <f aca="false">IF(A689="","",SUMIFS(Sales_Items!$H$2:$H$3001,Sales_Items!$A$2:$A$3001,A689))</f>
        <v/>
      </c>
      <c r="F689" s="13"/>
      <c r="G689" s="17" t="str">
        <f aca="false">IF(A689="","",E689-N(F689))</f>
        <v/>
      </c>
      <c r="H689" s="13"/>
      <c r="I689" s="17" t="str">
        <f aca="false">IF(A689="","",SUMIFS(Due_Payments!$C$2:$C$1001,Due_Payments!$B$2:$B$1001,A689))</f>
        <v/>
      </c>
      <c r="J689" s="17" t="str">
        <f aca="false">IF(A689="","",G689-N(H689)-I689)</f>
        <v/>
      </c>
      <c r="K689" s="7"/>
      <c r="L689" s="7"/>
      <c r="M689" s="7"/>
    </row>
    <row r="690" customFormat="false" ht="15" hidden="false" customHeight="true" outlineLevel="0" collapsed="false">
      <c r="A690" s="7"/>
      <c r="B690" s="15"/>
      <c r="C690" s="7"/>
      <c r="D690" s="7"/>
      <c r="E690" s="17" t="str">
        <f aca="false">IF(A690="","",SUMIFS(Sales_Items!$H$2:$H$3001,Sales_Items!$A$2:$A$3001,A690))</f>
        <v/>
      </c>
      <c r="F690" s="13"/>
      <c r="G690" s="17" t="str">
        <f aca="false">IF(A690="","",E690-N(F690))</f>
        <v/>
      </c>
      <c r="H690" s="13"/>
      <c r="I690" s="17" t="str">
        <f aca="false">IF(A690="","",SUMIFS(Due_Payments!$C$2:$C$1001,Due_Payments!$B$2:$B$1001,A690))</f>
        <v/>
      </c>
      <c r="J690" s="17" t="str">
        <f aca="false">IF(A690="","",G690-N(H690)-I690)</f>
        <v/>
      </c>
      <c r="K690" s="7"/>
      <c r="L690" s="7"/>
      <c r="M690" s="7"/>
    </row>
    <row r="691" customFormat="false" ht="15" hidden="false" customHeight="true" outlineLevel="0" collapsed="false">
      <c r="A691" s="7"/>
      <c r="B691" s="15"/>
      <c r="C691" s="7"/>
      <c r="D691" s="7"/>
      <c r="E691" s="17" t="str">
        <f aca="false">IF(A691="","",SUMIFS(Sales_Items!$H$2:$H$3001,Sales_Items!$A$2:$A$3001,A691))</f>
        <v/>
      </c>
      <c r="F691" s="13"/>
      <c r="G691" s="17" t="str">
        <f aca="false">IF(A691="","",E691-N(F691))</f>
        <v/>
      </c>
      <c r="H691" s="13"/>
      <c r="I691" s="17" t="str">
        <f aca="false">IF(A691="","",SUMIFS(Due_Payments!$C$2:$C$1001,Due_Payments!$B$2:$B$1001,A691))</f>
        <v/>
      </c>
      <c r="J691" s="17" t="str">
        <f aca="false">IF(A691="","",G691-N(H691)-I691)</f>
        <v/>
      </c>
      <c r="K691" s="7"/>
      <c r="L691" s="7"/>
      <c r="M691" s="7"/>
    </row>
    <row r="692" customFormat="false" ht="15" hidden="false" customHeight="true" outlineLevel="0" collapsed="false">
      <c r="A692" s="7"/>
      <c r="B692" s="15"/>
      <c r="C692" s="7"/>
      <c r="D692" s="7"/>
      <c r="E692" s="17" t="str">
        <f aca="false">IF(A692="","",SUMIFS(Sales_Items!$H$2:$H$3001,Sales_Items!$A$2:$A$3001,A692))</f>
        <v/>
      </c>
      <c r="F692" s="13"/>
      <c r="G692" s="17" t="str">
        <f aca="false">IF(A692="","",E692-N(F692))</f>
        <v/>
      </c>
      <c r="H692" s="13"/>
      <c r="I692" s="17" t="str">
        <f aca="false">IF(A692="","",SUMIFS(Due_Payments!$C$2:$C$1001,Due_Payments!$B$2:$B$1001,A692))</f>
        <v/>
      </c>
      <c r="J692" s="17" t="str">
        <f aca="false">IF(A692="","",G692-N(H692)-I692)</f>
        <v/>
      </c>
      <c r="K692" s="7"/>
      <c r="L692" s="7"/>
      <c r="M692" s="7"/>
    </row>
    <row r="693" customFormat="false" ht="15" hidden="false" customHeight="true" outlineLevel="0" collapsed="false">
      <c r="A693" s="7"/>
      <c r="B693" s="15"/>
      <c r="C693" s="7"/>
      <c r="D693" s="7"/>
      <c r="E693" s="17" t="str">
        <f aca="false">IF(A693="","",SUMIFS(Sales_Items!$H$2:$H$3001,Sales_Items!$A$2:$A$3001,A693))</f>
        <v/>
      </c>
      <c r="F693" s="13"/>
      <c r="G693" s="17" t="str">
        <f aca="false">IF(A693="","",E693-N(F693))</f>
        <v/>
      </c>
      <c r="H693" s="13"/>
      <c r="I693" s="17" t="str">
        <f aca="false">IF(A693="","",SUMIFS(Due_Payments!$C$2:$C$1001,Due_Payments!$B$2:$B$1001,A693))</f>
        <v/>
      </c>
      <c r="J693" s="17" t="str">
        <f aca="false">IF(A693="","",G693-N(H693)-I693)</f>
        <v/>
      </c>
      <c r="K693" s="7"/>
      <c r="L693" s="7"/>
      <c r="M693" s="7"/>
    </row>
    <row r="694" customFormat="false" ht="15" hidden="false" customHeight="true" outlineLevel="0" collapsed="false">
      <c r="A694" s="7"/>
      <c r="B694" s="15"/>
      <c r="C694" s="7"/>
      <c r="D694" s="7"/>
      <c r="E694" s="17" t="str">
        <f aca="false">IF(A694="","",SUMIFS(Sales_Items!$H$2:$H$3001,Sales_Items!$A$2:$A$3001,A694))</f>
        <v/>
      </c>
      <c r="F694" s="13"/>
      <c r="G694" s="17" t="str">
        <f aca="false">IF(A694="","",E694-N(F694))</f>
        <v/>
      </c>
      <c r="H694" s="13"/>
      <c r="I694" s="17" t="str">
        <f aca="false">IF(A694="","",SUMIFS(Due_Payments!$C$2:$C$1001,Due_Payments!$B$2:$B$1001,A694))</f>
        <v/>
      </c>
      <c r="J694" s="17" t="str">
        <f aca="false">IF(A694="","",G694-N(H694)-I694)</f>
        <v/>
      </c>
      <c r="K694" s="7"/>
      <c r="L694" s="7"/>
      <c r="M694" s="7"/>
    </row>
    <row r="695" customFormat="false" ht="15" hidden="false" customHeight="true" outlineLevel="0" collapsed="false">
      <c r="A695" s="7"/>
      <c r="B695" s="15"/>
      <c r="C695" s="7"/>
      <c r="D695" s="7"/>
      <c r="E695" s="17" t="str">
        <f aca="false">IF(A695="","",SUMIFS(Sales_Items!$H$2:$H$3001,Sales_Items!$A$2:$A$3001,A695))</f>
        <v/>
      </c>
      <c r="F695" s="13"/>
      <c r="G695" s="17" t="str">
        <f aca="false">IF(A695="","",E695-N(F695))</f>
        <v/>
      </c>
      <c r="H695" s="13"/>
      <c r="I695" s="17" t="str">
        <f aca="false">IF(A695="","",SUMIFS(Due_Payments!$C$2:$C$1001,Due_Payments!$B$2:$B$1001,A695))</f>
        <v/>
      </c>
      <c r="J695" s="17" t="str">
        <f aca="false">IF(A695="","",G695-N(H695)-I695)</f>
        <v/>
      </c>
      <c r="K695" s="7"/>
      <c r="L695" s="7"/>
      <c r="M695" s="7"/>
    </row>
    <row r="696" customFormat="false" ht="15" hidden="false" customHeight="true" outlineLevel="0" collapsed="false">
      <c r="A696" s="7"/>
      <c r="B696" s="15"/>
      <c r="C696" s="7"/>
      <c r="D696" s="7"/>
      <c r="E696" s="17" t="str">
        <f aca="false">IF(A696="","",SUMIFS(Sales_Items!$H$2:$H$3001,Sales_Items!$A$2:$A$3001,A696))</f>
        <v/>
      </c>
      <c r="F696" s="13"/>
      <c r="G696" s="17" t="str">
        <f aca="false">IF(A696="","",E696-N(F696))</f>
        <v/>
      </c>
      <c r="H696" s="13"/>
      <c r="I696" s="17" t="str">
        <f aca="false">IF(A696="","",SUMIFS(Due_Payments!$C$2:$C$1001,Due_Payments!$B$2:$B$1001,A696))</f>
        <v/>
      </c>
      <c r="J696" s="17" t="str">
        <f aca="false">IF(A696="","",G696-N(H696)-I696)</f>
        <v/>
      </c>
      <c r="K696" s="7"/>
      <c r="L696" s="7"/>
      <c r="M696" s="7"/>
    </row>
    <row r="697" customFormat="false" ht="15" hidden="false" customHeight="true" outlineLevel="0" collapsed="false">
      <c r="A697" s="7"/>
      <c r="B697" s="15"/>
      <c r="C697" s="7"/>
      <c r="D697" s="7"/>
      <c r="E697" s="17" t="str">
        <f aca="false">IF(A697="","",SUMIFS(Sales_Items!$H$2:$H$3001,Sales_Items!$A$2:$A$3001,A697))</f>
        <v/>
      </c>
      <c r="F697" s="13"/>
      <c r="G697" s="17" t="str">
        <f aca="false">IF(A697="","",E697-N(F697))</f>
        <v/>
      </c>
      <c r="H697" s="13"/>
      <c r="I697" s="17" t="str">
        <f aca="false">IF(A697="","",SUMIFS(Due_Payments!$C$2:$C$1001,Due_Payments!$B$2:$B$1001,A697))</f>
        <v/>
      </c>
      <c r="J697" s="17" t="str">
        <f aca="false">IF(A697="","",G697-N(H697)-I697)</f>
        <v/>
      </c>
      <c r="K697" s="7"/>
      <c r="L697" s="7"/>
      <c r="M697" s="7"/>
    </row>
    <row r="698" customFormat="false" ht="15" hidden="false" customHeight="true" outlineLevel="0" collapsed="false">
      <c r="A698" s="7"/>
      <c r="B698" s="15"/>
      <c r="C698" s="7"/>
      <c r="D698" s="7"/>
      <c r="E698" s="17" t="str">
        <f aca="false">IF(A698="","",SUMIFS(Sales_Items!$H$2:$H$3001,Sales_Items!$A$2:$A$3001,A698))</f>
        <v/>
      </c>
      <c r="F698" s="13"/>
      <c r="G698" s="17" t="str">
        <f aca="false">IF(A698="","",E698-N(F698))</f>
        <v/>
      </c>
      <c r="H698" s="13"/>
      <c r="I698" s="17" t="str">
        <f aca="false">IF(A698="","",SUMIFS(Due_Payments!$C$2:$C$1001,Due_Payments!$B$2:$B$1001,A698))</f>
        <v/>
      </c>
      <c r="J698" s="17" t="str">
        <f aca="false">IF(A698="","",G698-N(H698)-I698)</f>
        <v/>
      </c>
      <c r="K698" s="7"/>
      <c r="L698" s="7"/>
      <c r="M698" s="7"/>
    </row>
    <row r="699" customFormat="false" ht="15" hidden="false" customHeight="true" outlineLevel="0" collapsed="false">
      <c r="A699" s="7"/>
      <c r="B699" s="15"/>
      <c r="C699" s="7"/>
      <c r="D699" s="7"/>
      <c r="E699" s="17" t="str">
        <f aca="false">IF(A699="","",SUMIFS(Sales_Items!$H$2:$H$3001,Sales_Items!$A$2:$A$3001,A699))</f>
        <v/>
      </c>
      <c r="F699" s="13"/>
      <c r="G699" s="17" t="str">
        <f aca="false">IF(A699="","",E699-N(F699))</f>
        <v/>
      </c>
      <c r="H699" s="13"/>
      <c r="I699" s="17" t="str">
        <f aca="false">IF(A699="","",SUMIFS(Due_Payments!$C$2:$C$1001,Due_Payments!$B$2:$B$1001,A699))</f>
        <v/>
      </c>
      <c r="J699" s="17" t="str">
        <f aca="false">IF(A699="","",G699-N(H699)-I699)</f>
        <v/>
      </c>
      <c r="K699" s="7"/>
      <c r="L699" s="7"/>
      <c r="M699" s="7"/>
    </row>
    <row r="700" customFormat="false" ht="15" hidden="false" customHeight="true" outlineLevel="0" collapsed="false">
      <c r="A700" s="7"/>
      <c r="B700" s="15"/>
      <c r="C700" s="7"/>
      <c r="D700" s="7"/>
      <c r="E700" s="17" t="str">
        <f aca="false">IF(A700="","",SUMIFS(Sales_Items!$H$2:$H$3001,Sales_Items!$A$2:$A$3001,A700))</f>
        <v/>
      </c>
      <c r="F700" s="13"/>
      <c r="G700" s="17" t="str">
        <f aca="false">IF(A700="","",E700-N(F700))</f>
        <v/>
      </c>
      <c r="H700" s="13"/>
      <c r="I700" s="17" t="str">
        <f aca="false">IF(A700="","",SUMIFS(Due_Payments!$C$2:$C$1001,Due_Payments!$B$2:$B$1001,A700))</f>
        <v/>
      </c>
      <c r="J700" s="17" t="str">
        <f aca="false">IF(A700="","",G700-N(H700)-I700)</f>
        <v/>
      </c>
      <c r="K700" s="7"/>
      <c r="L700" s="7"/>
      <c r="M700" s="7"/>
    </row>
    <row r="701" customFormat="false" ht="15" hidden="false" customHeight="true" outlineLevel="0" collapsed="false">
      <c r="A701" s="7"/>
      <c r="B701" s="15"/>
      <c r="C701" s="7"/>
      <c r="D701" s="7"/>
      <c r="E701" s="17" t="str">
        <f aca="false">IF(A701="","",SUMIFS(Sales_Items!$H$2:$H$3001,Sales_Items!$A$2:$A$3001,A701))</f>
        <v/>
      </c>
      <c r="F701" s="13"/>
      <c r="G701" s="17" t="str">
        <f aca="false">IF(A701="","",E701-N(F701))</f>
        <v/>
      </c>
      <c r="H701" s="13"/>
      <c r="I701" s="17" t="str">
        <f aca="false">IF(A701="","",SUMIFS(Due_Payments!$C$2:$C$1001,Due_Payments!$B$2:$B$1001,A701))</f>
        <v/>
      </c>
      <c r="J701" s="17" t="str">
        <f aca="false">IF(A701="","",G701-N(H701)-I701)</f>
        <v/>
      </c>
      <c r="K701" s="7"/>
      <c r="L701" s="7"/>
      <c r="M701" s="7"/>
    </row>
    <row r="702" customFormat="false" ht="15" hidden="false" customHeight="true" outlineLevel="0" collapsed="false">
      <c r="A702" s="7"/>
      <c r="B702" s="15"/>
      <c r="C702" s="7"/>
      <c r="D702" s="7"/>
      <c r="E702" s="17" t="str">
        <f aca="false">IF(A702="","",SUMIFS(Sales_Items!$H$2:$H$3001,Sales_Items!$A$2:$A$3001,A702))</f>
        <v/>
      </c>
      <c r="F702" s="13"/>
      <c r="G702" s="17" t="str">
        <f aca="false">IF(A702="","",E702-N(F702))</f>
        <v/>
      </c>
      <c r="H702" s="13"/>
      <c r="I702" s="17" t="str">
        <f aca="false">IF(A702="","",SUMIFS(Due_Payments!$C$2:$C$1001,Due_Payments!$B$2:$B$1001,A702))</f>
        <v/>
      </c>
      <c r="J702" s="17" t="str">
        <f aca="false">IF(A702="","",G702-N(H702)-I702)</f>
        <v/>
      </c>
      <c r="K702" s="7"/>
      <c r="L702" s="7"/>
      <c r="M702" s="7"/>
    </row>
    <row r="703" customFormat="false" ht="15" hidden="false" customHeight="true" outlineLevel="0" collapsed="false">
      <c r="A703" s="7"/>
      <c r="B703" s="15"/>
      <c r="C703" s="7"/>
      <c r="D703" s="7"/>
      <c r="E703" s="17" t="str">
        <f aca="false">IF(A703="","",SUMIFS(Sales_Items!$H$2:$H$3001,Sales_Items!$A$2:$A$3001,A703))</f>
        <v/>
      </c>
      <c r="F703" s="13"/>
      <c r="G703" s="17" t="str">
        <f aca="false">IF(A703="","",E703-N(F703))</f>
        <v/>
      </c>
      <c r="H703" s="13"/>
      <c r="I703" s="17" t="str">
        <f aca="false">IF(A703="","",SUMIFS(Due_Payments!$C$2:$C$1001,Due_Payments!$B$2:$B$1001,A703))</f>
        <v/>
      </c>
      <c r="J703" s="17" t="str">
        <f aca="false">IF(A703="","",G703-N(H703)-I703)</f>
        <v/>
      </c>
      <c r="K703" s="7"/>
      <c r="L703" s="7"/>
      <c r="M703" s="7"/>
    </row>
    <row r="704" customFormat="false" ht="15" hidden="false" customHeight="true" outlineLevel="0" collapsed="false">
      <c r="A704" s="7"/>
      <c r="B704" s="15"/>
      <c r="C704" s="7"/>
      <c r="D704" s="7"/>
      <c r="E704" s="17" t="str">
        <f aca="false">IF(A704="","",SUMIFS(Sales_Items!$H$2:$H$3001,Sales_Items!$A$2:$A$3001,A704))</f>
        <v/>
      </c>
      <c r="F704" s="13"/>
      <c r="G704" s="17" t="str">
        <f aca="false">IF(A704="","",E704-N(F704))</f>
        <v/>
      </c>
      <c r="H704" s="13"/>
      <c r="I704" s="17" t="str">
        <f aca="false">IF(A704="","",SUMIFS(Due_Payments!$C$2:$C$1001,Due_Payments!$B$2:$B$1001,A704))</f>
        <v/>
      </c>
      <c r="J704" s="17" t="str">
        <f aca="false">IF(A704="","",G704-N(H704)-I704)</f>
        <v/>
      </c>
      <c r="K704" s="7"/>
      <c r="L704" s="7"/>
      <c r="M704" s="7"/>
    </row>
    <row r="705" customFormat="false" ht="15" hidden="false" customHeight="true" outlineLevel="0" collapsed="false">
      <c r="A705" s="7"/>
      <c r="B705" s="15"/>
      <c r="C705" s="7"/>
      <c r="D705" s="7"/>
      <c r="E705" s="17" t="str">
        <f aca="false">IF(A705="","",SUMIFS(Sales_Items!$H$2:$H$3001,Sales_Items!$A$2:$A$3001,A705))</f>
        <v/>
      </c>
      <c r="F705" s="13"/>
      <c r="G705" s="17" t="str">
        <f aca="false">IF(A705="","",E705-N(F705))</f>
        <v/>
      </c>
      <c r="H705" s="13"/>
      <c r="I705" s="17" t="str">
        <f aca="false">IF(A705="","",SUMIFS(Due_Payments!$C$2:$C$1001,Due_Payments!$B$2:$B$1001,A705))</f>
        <v/>
      </c>
      <c r="J705" s="17" t="str">
        <f aca="false">IF(A705="","",G705-N(H705)-I705)</f>
        <v/>
      </c>
      <c r="K705" s="7"/>
      <c r="L705" s="7"/>
      <c r="M705" s="7"/>
    </row>
    <row r="706" customFormat="false" ht="15" hidden="false" customHeight="true" outlineLevel="0" collapsed="false">
      <c r="A706" s="7"/>
      <c r="B706" s="15"/>
      <c r="C706" s="7"/>
      <c r="D706" s="7"/>
      <c r="E706" s="17" t="str">
        <f aca="false">IF(A706="","",SUMIFS(Sales_Items!$H$2:$H$3001,Sales_Items!$A$2:$A$3001,A706))</f>
        <v/>
      </c>
      <c r="F706" s="13"/>
      <c r="G706" s="17" t="str">
        <f aca="false">IF(A706="","",E706-N(F706))</f>
        <v/>
      </c>
      <c r="H706" s="13"/>
      <c r="I706" s="17" t="str">
        <f aca="false">IF(A706="","",SUMIFS(Due_Payments!$C$2:$C$1001,Due_Payments!$B$2:$B$1001,A706))</f>
        <v/>
      </c>
      <c r="J706" s="17" t="str">
        <f aca="false">IF(A706="","",G706-N(H706)-I706)</f>
        <v/>
      </c>
      <c r="K706" s="7"/>
      <c r="L706" s="7"/>
      <c r="M706" s="7"/>
    </row>
    <row r="707" customFormat="false" ht="15" hidden="false" customHeight="true" outlineLevel="0" collapsed="false">
      <c r="A707" s="7"/>
      <c r="B707" s="15"/>
      <c r="C707" s="7"/>
      <c r="D707" s="7"/>
      <c r="E707" s="17" t="str">
        <f aca="false">IF(A707="","",SUMIFS(Sales_Items!$H$2:$H$3001,Sales_Items!$A$2:$A$3001,A707))</f>
        <v/>
      </c>
      <c r="F707" s="13"/>
      <c r="G707" s="17" t="str">
        <f aca="false">IF(A707="","",E707-N(F707))</f>
        <v/>
      </c>
      <c r="H707" s="13"/>
      <c r="I707" s="17" t="str">
        <f aca="false">IF(A707="","",SUMIFS(Due_Payments!$C$2:$C$1001,Due_Payments!$B$2:$B$1001,A707))</f>
        <v/>
      </c>
      <c r="J707" s="17" t="str">
        <f aca="false">IF(A707="","",G707-N(H707)-I707)</f>
        <v/>
      </c>
      <c r="K707" s="7"/>
      <c r="L707" s="7"/>
      <c r="M707" s="7"/>
    </row>
    <row r="708" customFormat="false" ht="15" hidden="false" customHeight="true" outlineLevel="0" collapsed="false">
      <c r="A708" s="7"/>
      <c r="B708" s="15"/>
      <c r="C708" s="7"/>
      <c r="D708" s="7"/>
      <c r="E708" s="17" t="str">
        <f aca="false">IF(A708="","",SUMIFS(Sales_Items!$H$2:$H$3001,Sales_Items!$A$2:$A$3001,A708))</f>
        <v/>
      </c>
      <c r="F708" s="13"/>
      <c r="G708" s="17" t="str">
        <f aca="false">IF(A708="","",E708-N(F708))</f>
        <v/>
      </c>
      <c r="H708" s="13"/>
      <c r="I708" s="17" t="str">
        <f aca="false">IF(A708="","",SUMIFS(Due_Payments!$C$2:$C$1001,Due_Payments!$B$2:$B$1001,A708))</f>
        <v/>
      </c>
      <c r="J708" s="17" t="str">
        <f aca="false">IF(A708="","",G708-N(H708)-I708)</f>
        <v/>
      </c>
      <c r="K708" s="7"/>
      <c r="L708" s="7"/>
      <c r="M708" s="7"/>
    </row>
    <row r="709" customFormat="false" ht="15" hidden="false" customHeight="true" outlineLevel="0" collapsed="false">
      <c r="A709" s="7"/>
      <c r="B709" s="15"/>
      <c r="C709" s="7"/>
      <c r="D709" s="7"/>
      <c r="E709" s="17" t="str">
        <f aca="false">IF(A709="","",SUMIFS(Sales_Items!$H$2:$H$3001,Sales_Items!$A$2:$A$3001,A709))</f>
        <v/>
      </c>
      <c r="F709" s="13"/>
      <c r="G709" s="17" t="str">
        <f aca="false">IF(A709="","",E709-N(F709))</f>
        <v/>
      </c>
      <c r="H709" s="13"/>
      <c r="I709" s="17" t="str">
        <f aca="false">IF(A709="","",SUMIFS(Due_Payments!$C$2:$C$1001,Due_Payments!$B$2:$B$1001,A709))</f>
        <v/>
      </c>
      <c r="J709" s="17" t="str">
        <f aca="false">IF(A709="","",G709-N(H709)-I709)</f>
        <v/>
      </c>
      <c r="K709" s="7"/>
      <c r="L709" s="7"/>
      <c r="M709" s="7"/>
    </row>
    <row r="710" customFormat="false" ht="15" hidden="false" customHeight="true" outlineLevel="0" collapsed="false">
      <c r="A710" s="7"/>
      <c r="B710" s="15"/>
      <c r="C710" s="7"/>
      <c r="D710" s="7"/>
      <c r="E710" s="17" t="str">
        <f aca="false">IF(A710="","",SUMIFS(Sales_Items!$H$2:$H$3001,Sales_Items!$A$2:$A$3001,A710))</f>
        <v/>
      </c>
      <c r="F710" s="13"/>
      <c r="G710" s="17" t="str">
        <f aca="false">IF(A710="","",E710-N(F710))</f>
        <v/>
      </c>
      <c r="H710" s="13"/>
      <c r="I710" s="17" t="str">
        <f aca="false">IF(A710="","",SUMIFS(Due_Payments!$C$2:$C$1001,Due_Payments!$B$2:$B$1001,A710))</f>
        <v/>
      </c>
      <c r="J710" s="17" t="str">
        <f aca="false">IF(A710="","",G710-N(H710)-I710)</f>
        <v/>
      </c>
      <c r="K710" s="7"/>
      <c r="L710" s="7"/>
      <c r="M710" s="7"/>
    </row>
    <row r="711" customFormat="false" ht="15" hidden="false" customHeight="true" outlineLevel="0" collapsed="false">
      <c r="A711" s="7"/>
      <c r="B711" s="15"/>
      <c r="C711" s="7"/>
      <c r="D711" s="7"/>
      <c r="E711" s="17" t="str">
        <f aca="false">IF(A711="","",SUMIFS(Sales_Items!$H$2:$H$3001,Sales_Items!$A$2:$A$3001,A711))</f>
        <v/>
      </c>
      <c r="F711" s="13"/>
      <c r="G711" s="17" t="str">
        <f aca="false">IF(A711="","",E711-N(F711))</f>
        <v/>
      </c>
      <c r="H711" s="13"/>
      <c r="I711" s="17" t="str">
        <f aca="false">IF(A711="","",SUMIFS(Due_Payments!$C$2:$C$1001,Due_Payments!$B$2:$B$1001,A711))</f>
        <v/>
      </c>
      <c r="J711" s="17" t="str">
        <f aca="false">IF(A711="","",G711-N(H711)-I711)</f>
        <v/>
      </c>
      <c r="K711" s="7"/>
      <c r="L711" s="7"/>
      <c r="M711" s="7"/>
    </row>
    <row r="712" customFormat="false" ht="15" hidden="false" customHeight="true" outlineLevel="0" collapsed="false">
      <c r="A712" s="7"/>
      <c r="B712" s="15"/>
      <c r="C712" s="7"/>
      <c r="D712" s="7"/>
      <c r="E712" s="17" t="str">
        <f aca="false">IF(A712="","",SUMIFS(Sales_Items!$H$2:$H$3001,Sales_Items!$A$2:$A$3001,A712))</f>
        <v/>
      </c>
      <c r="F712" s="13"/>
      <c r="G712" s="17" t="str">
        <f aca="false">IF(A712="","",E712-N(F712))</f>
        <v/>
      </c>
      <c r="H712" s="13"/>
      <c r="I712" s="17" t="str">
        <f aca="false">IF(A712="","",SUMIFS(Due_Payments!$C$2:$C$1001,Due_Payments!$B$2:$B$1001,A712))</f>
        <v/>
      </c>
      <c r="J712" s="17" t="str">
        <f aca="false">IF(A712="","",G712-N(H712)-I712)</f>
        <v/>
      </c>
      <c r="K712" s="7"/>
      <c r="L712" s="7"/>
      <c r="M712" s="7"/>
    </row>
    <row r="713" customFormat="false" ht="15" hidden="false" customHeight="true" outlineLevel="0" collapsed="false">
      <c r="A713" s="7"/>
      <c r="B713" s="15"/>
      <c r="C713" s="7"/>
      <c r="D713" s="7"/>
      <c r="E713" s="17" t="str">
        <f aca="false">IF(A713="","",SUMIFS(Sales_Items!$H$2:$H$3001,Sales_Items!$A$2:$A$3001,A713))</f>
        <v/>
      </c>
      <c r="F713" s="13"/>
      <c r="G713" s="17" t="str">
        <f aca="false">IF(A713="","",E713-N(F713))</f>
        <v/>
      </c>
      <c r="H713" s="13"/>
      <c r="I713" s="17" t="str">
        <f aca="false">IF(A713="","",SUMIFS(Due_Payments!$C$2:$C$1001,Due_Payments!$B$2:$B$1001,A713))</f>
        <v/>
      </c>
      <c r="J713" s="17" t="str">
        <f aca="false">IF(A713="","",G713-N(H713)-I713)</f>
        <v/>
      </c>
      <c r="K713" s="7"/>
      <c r="L713" s="7"/>
      <c r="M713" s="7"/>
    </row>
    <row r="714" customFormat="false" ht="15" hidden="false" customHeight="true" outlineLevel="0" collapsed="false">
      <c r="A714" s="7"/>
      <c r="B714" s="15"/>
      <c r="C714" s="7"/>
      <c r="D714" s="7"/>
      <c r="E714" s="17" t="str">
        <f aca="false">IF(A714="","",SUMIFS(Sales_Items!$H$2:$H$3001,Sales_Items!$A$2:$A$3001,A714))</f>
        <v/>
      </c>
      <c r="F714" s="13"/>
      <c r="G714" s="17" t="str">
        <f aca="false">IF(A714="","",E714-N(F714))</f>
        <v/>
      </c>
      <c r="H714" s="13"/>
      <c r="I714" s="17" t="str">
        <f aca="false">IF(A714="","",SUMIFS(Due_Payments!$C$2:$C$1001,Due_Payments!$B$2:$B$1001,A714))</f>
        <v/>
      </c>
      <c r="J714" s="17" t="str">
        <f aca="false">IF(A714="","",G714-N(H714)-I714)</f>
        <v/>
      </c>
      <c r="K714" s="7"/>
      <c r="L714" s="7"/>
      <c r="M714" s="7"/>
    </row>
    <row r="715" customFormat="false" ht="15" hidden="false" customHeight="true" outlineLevel="0" collapsed="false">
      <c r="A715" s="7"/>
      <c r="B715" s="15"/>
      <c r="C715" s="7"/>
      <c r="D715" s="7"/>
      <c r="E715" s="17" t="str">
        <f aca="false">IF(A715="","",SUMIFS(Sales_Items!$H$2:$H$3001,Sales_Items!$A$2:$A$3001,A715))</f>
        <v/>
      </c>
      <c r="F715" s="13"/>
      <c r="G715" s="17" t="str">
        <f aca="false">IF(A715="","",E715-N(F715))</f>
        <v/>
      </c>
      <c r="H715" s="13"/>
      <c r="I715" s="17" t="str">
        <f aca="false">IF(A715="","",SUMIFS(Due_Payments!$C$2:$C$1001,Due_Payments!$B$2:$B$1001,A715))</f>
        <v/>
      </c>
      <c r="J715" s="17" t="str">
        <f aca="false">IF(A715="","",G715-N(H715)-I715)</f>
        <v/>
      </c>
      <c r="K715" s="7"/>
      <c r="L715" s="7"/>
      <c r="M715" s="7"/>
    </row>
    <row r="716" customFormat="false" ht="15" hidden="false" customHeight="true" outlineLevel="0" collapsed="false">
      <c r="A716" s="7"/>
      <c r="B716" s="15"/>
      <c r="C716" s="7"/>
      <c r="D716" s="7"/>
      <c r="E716" s="17" t="str">
        <f aca="false">IF(A716="","",SUMIFS(Sales_Items!$H$2:$H$3001,Sales_Items!$A$2:$A$3001,A716))</f>
        <v/>
      </c>
      <c r="F716" s="13"/>
      <c r="G716" s="17" t="str">
        <f aca="false">IF(A716="","",E716-N(F716))</f>
        <v/>
      </c>
      <c r="H716" s="13"/>
      <c r="I716" s="17" t="str">
        <f aca="false">IF(A716="","",SUMIFS(Due_Payments!$C$2:$C$1001,Due_Payments!$B$2:$B$1001,A716))</f>
        <v/>
      </c>
      <c r="J716" s="17" t="str">
        <f aca="false">IF(A716="","",G716-N(H716)-I716)</f>
        <v/>
      </c>
      <c r="K716" s="7"/>
      <c r="L716" s="7"/>
      <c r="M716" s="7"/>
    </row>
    <row r="717" customFormat="false" ht="15" hidden="false" customHeight="true" outlineLevel="0" collapsed="false">
      <c r="A717" s="7"/>
      <c r="B717" s="15"/>
      <c r="C717" s="7"/>
      <c r="D717" s="7"/>
      <c r="E717" s="17" t="str">
        <f aca="false">IF(A717="","",SUMIFS(Sales_Items!$H$2:$H$3001,Sales_Items!$A$2:$A$3001,A717))</f>
        <v/>
      </c>
      <c r="F717" s="13"/>
      <c r="G717" s="17" t="str">
        <f aca="false">IF(A717="","",E717-N(F717))</f>
        <v/>
      </c>
      <c r="H717" s="13"/>
      <c r="I717" s="17" t="str">
        <f aca="false">IF(A717="","",SUMIFS(Due_Payments!$C$2:$C$1001,Due_Payments!$B$2:$B$1001,A717))</f>
        <v/>
      </c>
      <c r="J717" s="17" t="str">
        <f aca="false">IF(A717="","",G717-N(H717)-I717)</f>
        <v/>
      </c>
      <c r="K717" s="7"/>
      <c r="L717" s="7"/>
      <c r="M717" s="7"/>
    </row>
    <row r="718" customFormat="false" ht="15" hidden="false" customHeight="true" outlineLevel="0" collapsed="false">
      <c r="A718" s="7"/>
      <c r="B718" s="15"/>
      <c r="C718" s="7"/>
      <c r="D718" s="7"/>
      <c r="E718" s="17" t="str">
        <f aca="false">IF(A718="","",SUMIFS(Sales_Items!$H$2:$H$3001,Sales_Items!$A$2:$A$3001,A718))</f>
        <v/>
      </c>
      <c r="F718" s="13"/>
      <c r="G718" s="17" t="str">
        <f aca="false">IF(A718="","",E718-N(F718))</f>
        <v/>
      </c>
      <c r="H718" s="13"/>
      <c r="I718" s="17" t="str">
        <f aca="false">IF(A718="","",SUMIFS(Due_Payments!$C$2:$C$1001,Due_Payments!$B$2:$B$1001,A718))</f>
        <v/>
      </c>
      <c r="J718" s="17" t="str">
        <f aca="false">IF(A718="","",G718-N(H718)-I718)</f>
        <v/>
      </c>
      <c r="K718" s="7"/>
      <c r="L718" s="7"/>
      <c r="M718" s="7"/>
    </row>
    <row r="719" customFormat="false" ht="15" hidden="false" customHeight="true" outlineLevel="0" collapsed="false">
      <c r="A719" s="7"/>
      <c r="B719" s="15"/>
      <c r="C719" s="7"/>
      <c r="D719" s="7"/>
      <c r="E719" s="17" t="str">
        <f aca="false">IF(A719="","",SUMIFS(Sales_Items!$H$2:$H$3001,Sales_Items!$A$2:$A$3001,A719))</f>
        <v/>
      </c>
      <c r="F719" s="13"/>
      <c r="G719" s="17" t="str">
        <f aca="false">IF(A719="","",E719-N(F719))</f>
        <v/>
      </c>
      <c r="H719" s="13"/>
      <c r="I719" s="17" t="str">
        <f aca="false">IF(A719="","",SUMIFS(Due_Payments!$C$2:$C$1001,Due_Payments!$B$2:$B$1001,A719))</f>
        <v/>
      </c>
      <c r="J719" s="17" t="str">
        <f aca="false">IF(A719="","",G719-N(H719)-I719)</f>
        <v/>
      </c>
      <c r="K719" s="7"/>
      <c r="L719" s="7"/>
      <c r="M719" s="7"/>
    </row>
    <row r="720" customFormat="false" ht="15" hidden="false" customHeight="true" outlineLevel="0" collapsed="false">
      <c r="A720" s="7"/>
      <c r="B720" s="15"/>
      <c r="C720" s="7"/>
      <c r="D720" s="7"/>
      <c r="E720" s="17" t="str">
        <f aca="false">IF(A720="","",SUMIFS(Sales_Items!$H$2:$H$3001,Sales_Items!$A$2:$A$3001,A720))</f>
        <v/>
      </c>
      <c r="F720" s="13"/>
      <c r="G720" s="17" t="str">
        <f aca="false">IF(A720="","",E720-N(F720))</f>
        <v/>
      </c>
      <c r="H720" s="13"/>
      <c r="I720" s="17" t="str">
        <f aca="false">IF(A720="","",SUMIFS(Due_Payments!$C$2:$C$1001,Due_Payments!$B$2:$B$1001,A720))</f>
        <v/>
      </c>
      <c r="J720" s="17" t="str">
        <f aca="false">IF(A720="","",G720-N(H720)-I720)</f>
        <v/>
      </c>
      <c r="K720" s="7"/>
      <c r="L720" s="7"/>
      <c r="M720" s="7"/>
    </row>
    <row r="721" customFormat="false" ht="15" hidden="false" customHeight="true" outlineLevel="0" collapsed="false">
      <c r="A721" s="7"/>
      <c r="B721" s="15"/>
      <c r="C721" s="7"/>
      <c r="D721" s="7"/>
      <c r="E721" s="17" t="str">
        <f aca="false">IF(A721="","",SUMIFS(Sales_Items!$H$2:$H$3001,Sales_Items!$A$2:$A$3001,A721))</f>
        <v/>
      </c>
      <c r="F721" s="13"/>
      <c r="G721" s="17" t="str">
        <f aca="false">IF(A721="","",E721-N(F721))</f>
        <v/>
      </c>
      <c r="H721" s="13"/>
      <c r="I721" s="17" t="str">
        <f aca="false">IF(A721="","",SUMIFS(Due_Payments!$C$2:$C$1001,Due_Payments!$B$2:$B$1001,A721))</f>
        <v/>
      </c>
      <c r="J721" s="17" t="str">
        <f aca="false">IF(A721="","",G721-N(H721)-I721)</f>
        <v/>
      </c>
      <c r="K721" s="7"/>
      <c r="L721" s="7"/>
      <c r="M721" s="7"/>
    </row>
    <row r="722" customFormat="false" ht="15" hidden="false" customHeight="true" outlineLevel="0" collapsed="false">
      <c r="A722" s="7"/>
      <c r="B722" s="15"/>
      <c r="C722" s="7"/>
      <c r="D722" s="7"/>
      <c r="E722" s="17" t="str">
        <f aca="false">IF(A722="","",SUMIFS(Sales_Items!$H$2:$H$3001,Sales_Items!$A$2:$A$3001,A722))</f>
        <v/>
      </c>
      <c r="F722" s="13"/>
      <c r="G722" s="17" t="str">
        <f aca="false">IF(A722="","",E722-N(F722))</f>
        <v/>
      </c>
      <c r="H722" s="13"/>
      <c r="I722" s="17" t="str">
        <f aca="false">IF(A722="","",SUMIFS(Due_Payments!$C$2:$C$1001,Due_Payments!$B$2:$B$1001,A722))</f>
        <v/>
      </c>
      <c r="J722" s="17" t="str">
        <f aca="false">IF(A722="","",G722-N(H722)-I722)</f>
        <v/>
      </c>
      <c r="K722" s="7"/>
      <c r="L722" s="7"/>
      <c r="M722" s="7"/>
    </row>
    <row r="723" customFormat="false" ht="15" hidden="false" customHeight="true" outlineLevel="0" collapsed="false">
      <c r="A723" s="7"/>
      <c r="B723" s="15"/>
      <c r="C723" s="7"/>
      <c r="D723" s="7"/>
      <c r="E723" s="17" t="str">
        <f aca="false">IF(A723="","",SUMIFS(Sales_Items!$H$2:$H$3001,Sales_Items!$A$2:$A$3001,A723))</f>
        <v/>
      </c>
      <c r="F723" s="13"/>
      <c r="G723" s="17" t="str">
        <f aca="false">IF(A723="","",E723-N(F723))</f>
        <v/>
      </c>
      <c r="H723" s="13"/>
      <c r="I723" s="17" t="str">
        <f aca="false">IF(A723="","",SUMIFS(Due_Payments!$C$2:$C$1001,Due_Payments!$B$2:$B$1001,A723))</f>
        <v/>
      </c>
      <c r="J723" s="17" t="str">
        <f aca="false">IF(A723="","",G723-N(H723)-I723)</f>
        <v/>
      </c>
      <c r="K723" s="7"/>
      <c r="L723" s="7"/>
      <c r="M723" s="7"/>
    </row>
    <row r="724" customFormat="false" ht="15" hidden="false" customHeight="true" outlineLevel="0" collapsed="false">
      <c r="A724" s="7"/>
      <c r="B724" s="15"/>
      <c r="C724" s="7"/>
      <c r="D724" s="7"/>
      <c r="E724" s="17" t="str">
        <f aca="false">IF(A724="","",SUMIFS(Sales_Items!$H$2:$H$3001,Sales_Items!$A$2:$A$3001,A724))</f>
        <v/>
      </c>
      <c r="F724" s="13"/>
      <c r="G724" s="17" t="str">
        <f aca="false">IF(A724="","",E724-N(F724))</f>
        <v/>
      </c>
      <c r="H724" s="13"/>
      <c r="I724" s="17" t="str">
        <f aca="false">IF(A724="","",SUMIFS(Due_Payments!$C$2:$C$1001,Due_Payments!$B$2:$B$1001,A724))</f>
        <v/>
      </c>
      <c r="J724" s="17" t="str">
        <f aca="false">IF(A724="","",G724-N(H724)-I724)</f>
        <v/>
      </c>
      <c r="K724" s="7"/>
      <c r="L724" s="7"/>
      <c r="M724" s="7"/>
    </row>
    <row r="725" customFormat="false" ht="15" hidden="false" customHeight="true" outlineLevel="0" collapsed="false">
      <c r="A725" s="7"/>
      <c r="B725" s="15"/>
      <c r="C725" s="7"/>
      <c r="D725" s="7"/>
      <c r="E725" s="17" t="str">
        <f aca="false">IF(A725="","",SUMIFS(Sales_Items!$H$2:$H$3001,Sales_Items!$A$2:$A$3001,A725))</f>
        <v/>
      </c>
      <c r="F725" s="13"/>
      <c r="G725" s="17" t="str">
        <f aca="false">IF(A725="","",E725-N(F725))</f>
        <v/>
      </c>
      <c r="H725" s="13"/>
      <c r="I725" s="17" t="str">
        <f aca="false">IF(A725="","",SUMIFS(Due_Payments!$C$2:$C$1001,Due_Payments!$B$2:$B$1001,A725))</f>
        <v/>
      </c>
      <c r="J725" s="17" t="str">
        <f aca="false">IF(A725="","",G725-N(H725)-I725)</f>
        <v/>
      </c>
      <c r="K725" s="7"/>
      <c r="L725" s="7"/>
      <c r="M725" s="7"/>
    </row>
    <row r="726" customFormat="false" ht="15" hidden="false" customHeight="true" outlineLevel="0" collapsed="false">
      <c r="A726" s="7"/>
      <c r="B726" s="15"/>
      <c r="C726" s="7"/>
      <c r="D726" s="7"/>
      <c r="E726" s="17" t="str">
        <f aca="false">IF(A726="","",SUMIFS(Sales_Items!$H$2:$H$3001,Sales_Items!$A$2:$A$3001,A726))</f>
        <v/>
      </c>
      <c r="F726" s="13"/>
      <c r="G726" s="17" t="str">
        <f aca="false">IF(A726="","",E726-N(F726))</f>
        <v/>
      </c>
      <c r="H726" s="13"/>
      <c r="I726" s="17" t="str">
        <f aca="false">IF(A726="","",SUMIFS(Due_Payments!$C$2:$C$1001,Due_Payments!$B$2:$B$1001,A726))</f>
        <v/>
      </c>
      <c r="J726" s="17" t="str">
        <f aca="false">IF(A726="","",G726-N(H726)-I726)</f>
        <v/>
      </c>
      <c r="K726" s="7"/>
      <c r="L726" s="7"/>
      <c r="M726" s="7"/>
    </row>
    <row r="727" customFormat="false" ht="15" hidden="false" customHeight="true" outlineLevel="0" collapsed="false">
      <c r="A727" s="7"/>
      <c r="B727" s="15"/>
      <c r="C727" s="7"/>
      <c r="D727" s="7"/>
      <c r="E727" s="17" t="str">
        <f aca="false">IF(A727="","",SUMIFS(Sales_Items!$H$2:$H$3001,Sales_Items!$A$2:$A$3001,A727))</f>
        <v/>
      </c>
      <c r="F727" s="13"/>
      <c r="G727" s="17" t="str">
        <f aca="false">IF(A727="","",E727-N(F727))</f>
        <v/>
      </c>
      <c r="H727" s="13"/>
      <c r="I727" s="17" t="str">
        <f aca="false">IF(A727="","",SUMIFS(Due_Payments!$C$2:$C$1001,Due_Payments!$B$2:$B$1001,A727))</f>
        <v/>
      </c>
      <c r="J727" s="17" t="str">
        <f aca="false">IF(A727="","",G727-N(H727)-I727)</f>
        <v/>
      </c>
      <c r="K727" s="7"/>
      <c r="L727" s="7"/>
      <c r="M727" s="7"/>
    </row>
    <row r="728" customFormat="false" ht="15" hidden="false" customHeight="true" outlineLevel="0" collapsed="false">
      <c r="A728" s="7"/>
      <c r="B728" s="15"/>
      <c r="C728" s="7"/>
      <c r="D728" s="7"/>
      <c r="E728" s="17" t="str">
        <f aca="false">IF(A728="","",SUMIFS(Sales_Items!$H$2:$H$3001,Sales_Items!$A$2:$A$3001,A728))</f>
        <v/>
      </c>
      <c r="F728" s="13"/>
      <c r="G728" s="17" t="str">
        <f aca="false">IF(A728="","",E728-N(F728))</f>
        <v/>
      </c>
      <c r="H728" s="13"/>
      <c r="I728" s="17" t="str">
        <f aca="false">IF(A728="","",SUMIFS(Due_Payments!$C$2:$C$1001,Due_Payments!$B$2:$B$1001,A728))</f>
        <v/>
      </c>
      <c r="J728" s="17" t="str">
        <f aca="false">IF(A728="","",G728-N(H728)-I728)</f>
        <v/>
      </c>
      <c r="K728" s="7"/>
      <c r="L728" s="7"/>
      <c r="M728" s="7"/>
    </row>
    <row r="729" customFormat="false" ht="15" hidden="false" customHeight="true" outlineLevel="0" collapsed="false">
      <c r="A729" s="7"/>
      <c r="B729" s="15"/>
      <c r="C729" s="7"/>
      <c r="D729" s="7"/>
      <c r="E729" s="17" t="str">
        <f aca="false">IF(A729="","",SUMIFS(Sales_Items!$H$2:$H$3001,Sales_Items!$A$2:$A$3001,A729))</f>
        <v/>
      </c>
      <c r="F729" s="13"/>
      <c r="G729" s="17" t="str">
        <f aca="false">IF(A729="","",E729-N(F729))</f>
        <v/>
      </c>
      <c r="H729" s="13"/>
      <c r="I729" s="17" t="str">
        <f aca="false">IF(A729="","",SUMIFS(Due_Payments!$C$2:$C$1001,Due_Payments!$B$2:$B$1001,A729))</f>
        <v/>
      </c>
      <c r="J729" s="17" t="str">
        <f aca="false">IF(A729="","",G729-N(H729)-I729)</f>
        <v/>
      </c>
      <c r="K729" s="7"/>
      <c r="L729" s="7"/>
      <c r="M729" s="7"/>
    </row>
    <row r="730" customFormat="false" ht="15" hidden="false" customHeight="true" outlineLevel="0" collapsed="false">
      <c r="A730" s="7"/>
      <c r="B730" s="15"/>
      <c r="C730" s="7"/>
      <c r="D730" s="7"/>
      <c r="E730" s="17" t="str">
        <f aca="false">IF(A730="","",SUMIFS(Sales_Items!$H$2:$H$3001,Sales_Items!$A$2:$A$3001,A730))</f>
        <v/>
      </c>
      <c r="F730" s="13"/>
      <c r="G730" s="17" t="str">
        <f aca="false">IF(A730="","",E730-N(F730))</f>
        <v/>
      </c>
      <c r="H730" s="13"/>
      <c r="I730" s="17" t="str">
        <f aca="false">IF(A730="","",SUMIFS(Due_Payments!$C$2:$C$1001,Due_Payments!$B$2:$B$1001,A730))</f>
        <v/>
      </c>
      <c r="J730" s="17" t="str">
        <f aca="false">IF(A730="","",G730-N(H730)-I730)</f>
        <v/>
      </c>
      <c r="K730" s="7"/>
      <c r="L730" s="7"/>
      <c r="M730" s="7"/>
    </row>
    <row r="731" customFormat="false" ht="15" hidden="false" customHeight="true" outlineLevel="0" collapsed="false">
      <c r="A731" s="7"/>
      <c r="B731" s="15"/>
      <c r="C731" s="7"/>
      <c r="D731" s="7"/>
      <c r="E731" s="17" t="str">
        <f aca="false">IF(A731="","",SUMIFS(Sales_Items!$H$2:$H$3001,Sales_Items!$A$2:$A$3001,A731))</f>
        <v/>
      </c>
      <c r="F731" s="13"/>
      <c r="G731" s="17" t="str">
        <f aca="false">IF(A731="","",E731-N(F731))</f>
        <v/>
      </c>
      <c r="H731" s="13"/>
      <c r="I731" s="17" t="str">
        <f aca="false">IF(A731="","",SUMIFS(Due_Payments!$C$2:$C$1001,Due_Payments!$B$2:$B$1001,A731))</f>
        <v/>
      </c>
      <c r="J731" s="17" t="str">
        <f aca="false">IF(A731="","",G731-N(H731)-I731)</f>
        <v/>
      </c>
      <c r="K731" s="7"/>
      <c r="L731" s="7"/>
      <c r="M731" s="7"/>
    </row>
    <row r="732" customFormat="false" ht="15" hidden="false" customHeight="true" outlineLevel="0" collapsed="false">
      <c r="A732" s="7"/>
      <c r="B732" s="15"/>
      <c r="C732" s="7"/>
      <c r="D732" s="7"/>
      <c r="E732" s="17" t="str">
        <f aca="false">IF(A732="","",SUMIFS(Sales_Items!$H$2:$H$3001,Sales_Items!$A$2:$A$3001,A732))</f>
        <v/>
      </c>
      <c r="F732" s="13"/>
      <c r="G732" s="17" t="str">
        <f aca="false">IF(A732="","",E732-N(F732))</f>
        <v/>
      </c>
      <c r="H732" s="13"/>
      <c r="I732" s="17" t="str">
        <f aca="false">IF(A732="","",SUMIFS(Due_Payments!$C$2:$C$1001,Due_Payments!$B$2:$B$1001,A732))</f>
        <v/>
      </c>
      <c r="J732" s="17" t="str">
        <f aca="false">IF(A732="","",G732-N(H732)-I732)</f>
        <v/>
      </c>
      <c r="K732" s="7"/>
      <c r="L732" s="7"/>
      <c r="M732" s="7"/>
    </row>
    <row r="733" customFormat="false" ht="15" hidden="false" customHeight="true" outlineLevel="0" collapsed="false">
      <c r="A733" s="7"/>
      <c r="B733" s="15"/>
      <c r="C733" s="7"/>
      <c r="D733" s="7"/>
      <c r="E733" s="17" t="str">
        <f aca="false">IF(A733="","",SUMIFS(Sales_Items!$H$2:$H$3001,Sales_Items!$A$2:$A$3001,A733))</f>
        <v/>
      </c>
      <c r="F733" s="13"/>
      <c r="G733" s="17" t="str">
        <f aca="false">IF(A733="","",E733-N(F733))</f>
        <v/>
      </c>
      <c r="H733" s="13"/>
      <c r="I733" s="17" t="str">
        <f aca="false">IF(A733="","",SUMIFS(Due_Payments!$C$2:$C$1001,Due_Payments!$B$2:$B$1001,A733))</f>
        <v/>
      </c>
      <c r="J733" s="17" t="str">
        <f aca="false">IF(A733="","",G733-N(H733)-I733)</f>
        <v/>
      </c>
      <c r="K733" s="7"/>
      <c r="L733" s="7"/>
      <c r="M733" s="7"/>
    </row>
    <row r="734" customFormat="false" ht="15" hidden="false" customHeight="true" outlineLevel="0" collapsed="false">
      <c r="A734" s="7"/>
      <c r="B734" s="15"/>
      <c r="C734" s="7"/>
      <c r="D734" s="7"/>
      <c r="E734" s="17" t="str">
        <f aca="false">IF(A734="","",SUMIFS(Sales_Items!$H$2:$H$3001,Sales_Items!$A$2:$A$3001,A734))</f>
        <v/>
      </c>
      <c r="F734" s="13"/>
      <c r="G734" s="17" t="str">
        <f aca="false">IF(A734="","",E734-N(F734))</f>
        <v/>
      </c>
      <c r="H734" s="13"/>
      <c r="I734" s="17" t="str">
        <f aca="false">IF(A734="","",SUMIFS(Due_Payments!$C$2:$C$1001,Due_Payments!$B$2:$B$1001,A734))</f>
        <v/>
      </c>
      <c r="J734" s="17" t="str">
        <f aca="false">IF(A734="","",G734-N(H734)-I734)</f>
        <v/>
      </c>
      <c r="K734" s="7"/>
      <c r="L734" s="7"/>
      <c r="M734" s="7"/>
    </row>
    <row r="735" customFormat="false" ht="15" hidden="false" customHeight="true" outlineLevel="0" collapsed="false">
      <c r="A735" s="7"/>
      <c r="B735" s="15"/>
      <c r="C735" s="7"/>
      <c r="D735" s="7"/>
      <c r="E735" s="17" t="str">
        <f aca="false">IF(A735="","",SUMIFS(Sales_Items!$H$2:$H$3001,Sales_Items!$A$2:$A$3001,A735))</f>
        <v/>
      </c>
      <c r="F735" s="13"/>
      <c r="G735" s="17" t="str">
        <f aca="false">IF(A735="","",E735-N(F735))</f>
        <v/>
      </c>
      <c r="H735" s="13"/>
      <c r="I735" s="17" t="str">
        <f aca="false">IF(A735="","",SUMIFS(Due_Payments!$C$2:$C$1001,Due_Payments!$B$2:$B$1001,A735))</f>
        <v/>
      </c>
      <c r="J735" s="17" t="str">
        <f aca="false">IF(A735="","",G735-N(H735)-I735)</f>
        <v/>
      </c>
      <c r="K735" s="7"/>
      <c r="L735" s="7"/>
      <c r="M735" s="7"/>
    </row>
    <row r="736" customFormat="false" ht="15" hidden="false" customHeight="true" outlineLevel="0" collapsed="false">
      <c r="A736" s="7"/>
      <c r="B736" s="15"/>
      <c r="C736" s="7"/>
      <c r="D736" s="7"/>
      <c r="E736" s="17" t="str">
        <f aca="false">IF(A736="","",SUMIFS(Sales_Items!$H$2:$H$3001,Sales_Items!$A$2:$A$3001,A736))</f>
        <v/>
      </c>
      <c r="F736" s="13"/>
      <c r="G736" s="17" t="str">
        <f aca="false">IF(A736="","",E736-N(F736))</f>
        <v/>
      </c>
      <c r="H736" s="13"/>
      <c r="I736" s="17" t="str">
        <f aca="false">IF(A736="","",SUMIFS(Due_Payments!$C$2:$C$1001,Due_Payments!$B$2:$B$1001,A736))</f>
        <v/>
      </c>
      <c r="J736" s="17" t="str">
        <f aca="false">IF(A736="","",G736-N(H736)-I736)</f>
        <v/>
      </c>
      <c r="K736" s="7"/>
      <c r="L736" s="7"/>
      <c r="M736" s="7"/>
    </row>
    <row r="737" customFormat="false" ht="15" hidden="false" customHeight="true" outlineLevel="0" collapsed="false">
      <c r="A737" s="7"/>
      <c r="B737" s="15"/>
      <c r="C737" s="7"/>
      <c r="D737" s="7"/>
      <c r="E737" s="17" t="str">
        <f aca="false">IF(A737="","",SUMIFS(Sales_Items!$H$2:$H$3001,Sales_Items!$A$2:$A$3001,A737))</f>
        <v/>
      </c>
      <c r="F737" s="13"/>
      <c r="G737" s="17" t="str">
        <f aca="false">IF(A737="","",E737-N(F737))</f>
        <v/>
      </c>
      <c r="H737" s="13"/>
      <c r="I737" s="17" t="str">
        <f aca="false">IF(A737="","",SUMIFS(Due_Payments!$C$2:$C$1001,Due_Payments!$B$2:$B$1001,A737))</f>
        <v/>
      </c>
      <c r="J737" s="17" t="str">
        <f aca="false">IF(A737="","",G737-N(H737)-I737)</f>
        <v/>
      </c>
      <c r="K737" s="7"/>
      <c r="L737" s="7"/>
      <c r="M737" s="7"/>
    </row>
    <row r="738" customFormat="false" ht="15" hidden="false" customHeight="true" outlineLevel="0" collapsed="false">
      <c r="A738" s="7"/>
      <c r="B738" s="15"/>
      <c r="C738" s="7"/>
      <c r="D738" s="7"/>
      <c r="E738" s="17" t="str">
        <f aca="false">IF(A738="","",SUMIFS(Sales_Items!$H$2:$H$3001,Sales_Items!$A$2:$A$3001,A738))</f>
        <v/>
      </c>
      <c r="F738" s="13"/>
      <c r="G738" s="17" t="str">
        <f aca="false">IF(A738="","",E738-N(F738))</f>
        <v/>
      </c>
      <c r="H738" s="13"/>
      <c r="I738" s="17" t="str">
        <f aca="false">IF(A738="","",SUMIFS(Due_Payments!$C$2:$C$1001,Due_Payments!$B$2:$B$1001,A738))</f>
        <v/>
      </c>
      <c r="J738" s="17" t="str">
        <f aca="false">IF(A738="","",G738-N(H738)-I738)</f>
        <v/>
      </c>
      <c r="K738" s="7"/>
      <c r="L738" s="7"/>
      <c r="M738" s="7"/>
    </row>
    <row r="739" customFormat="false" ht="15" hidden="false" customHeight="true" outlineLevel="0" collapsed="false">
      <c r="A739" s="7"/>
      <c r="B739" s="15"/>
      <c r="C739" s="7"/>
      <c r="D739" s="7"/>
      <c r="E739" s="17" t="str">
        <f aca="false">IF(A739="","",SUMIFS(Sales_Items!$H$2:$H$3001,Sales_Items!$A$2:$A$3001,A739))</f>
        <v/>
      </c>
      <c r="F739" s="13"/>
      <c r="G739" s="17" t="str">
        <f aca="false">IF(A739="","",E739-N(F739))</f>
        <v/>
      </c>
      <c r="H739" s="13"/>
      <c r="I739" s="17" t="str">
        <f aca="false">IF(A739="","",SUMIFS(Due_Payments!$C$2:$C$1001,Due_Payments!$B$2:$B$1001,A739))</f>
        <v/>
      </c>
      <c r="J739" s="17" t="str">
        <f aca="false">IF(A739="","",G739-N(H739)-I739)</f>
        <v/>
      </c>
      <c r="K739" s="7"/>
      <c r="L739" s="7"/>
      <c r="M739" s="7"/>
    </row>
    <row r="740" customFormat="false" ht="15" hidden="false" customHeight="true" outlineLevel="0" collapsed="false">
      <c r="A740" s="7"/>
      <c r="B740" s="15"/>
      <c r="C740" s="7"/>
      <c r="D740" s="7"/>
      <c r="E740" s="17" t="str">
        <f aca="false">IF(A740="","",SUMIFS(Sales_Items!$H$2:$H$3001,Sales_Items!$A$2:$A$3001,A740))</f>
        <v/>
      </c>
      <c r="F740" s="13"/>
      <c r="G740" s="17" t="str">
        <f aca="false">IF(A740="","",E740-N(F740))</f>
        <v/>
      </c>
      <c r="H740" s="13"/>
      <c r="I740" s="17" t="str">
        <f aca="false">IF(A740="","",SUMIFS(Due_Payments!$C$2:$C$1001,Due_Payments!$B$2:$B$1001,A740))</f>
        <v/>
      </c>
      <c r="J740" s="17" t="str">
        <f aca="false">IF(A740="","",G740-N(H740)-I740)</f>
        <v/>
      </c>
      <c r="K740" s="7"/>
      <c r="L740" s="7"/>
      <c r="M740" s="7"/>
    </row>
    <row r="741" customFormat="false" ht="15" hidden="false" customHeight="true" outlineLevel="0" collapsed="false">
      <c r="A741" s="7"/>
      <c r="B741" s="15"/>
      <c r="C741" s="7"/>
      <c r="D741" s="7"/>
      <c r="E741" s="17" t="str">
        <f aca="false">IF(A741="","",SUMIFS(Sales_Items!$H$2:$H$3001,Sales_Items!$A$2:$A$3001,A741))</f>
        <v/>
      </c>
      <c r="F741" s="13"/>
      <c r="G741" s="17" t="str">
        <f aca="false">IF(A741="","",E741-N(F741))</f>
        <v/>
      </c>
      <c r="H741" s="13"/>
      <c r="I741" s="17" t="str">
        <f aca="false">IF(A741="","",SUMIFS(Due_Payments!$C$2:$C$1001,Due_Payments!$B$2:$B$1001,A741))</f>
        <v/>
      </c>
      <c r="J741" s="17" t="str">
        <f aca="false">IF(A741="","",G741-N(H741)-I741)</f>
        <v/>
      </c>
      <c r="K741" s="7"/>
      <c r="L741" s="7"/>
      <c r="M741" s="7"/>
    </row>
    <row r="742" customFormat="false" ht="15" hidden="false" customHeight="true" outlineLevel="0" collapsed="false">
      <c r="A742" s="7"/>
      <c r="B742" s="15"/>
      <c r="C742" s="7"/>
      <c r="D742" s="7"/>
      <c r="E742" s="17" t="str">
        <f aca="false">IF(A742="","",SUMIFS(Sales_Items!$H$2:$H$3001,Sales_Items!$A$2:$A$3001,A742))</f>
        <v/>
      </c>
      <c r="F742" s="13"/>
      <c r="G742" s="17" t="str">
        <f aca="false">IF(A742="","",E742-N(F742))</f>
        <v/>
      </c>
      <c r="H742" s="13"/>
      <c r="I742" s="17" t="str">
        <f aca="false">IF(A742="","",SUMIFS(Due_Payments!$C$2:$C$1001,Due_Payments!$B$2:$B$1001,A742))</f>
        <v/>
      </c>
      <c r="J742" s="17" t="str">
        <f aca="false">IF(A742="","",G742-N(H742)-I742)</f>
        <v/>
      </c>
      <c r="K742" s="7"/>
      <c r="L742" s="7"/>
      <c r="M742" s="7"/>
    </row>
    <row r="743" customFormat="false" ht="15" hidden="false" customHeight="true" outlineLevel="0" collapsed="false">
      <c r="A743" s="7"/>
      <c r="B743" s="15"/>
      <c r="C743" s="7"/>
      <c r="D743" s="7"/>
      <c r="E743" s="17" t="str">
        <f aca="false">IF(A743="","",SUMIFS(Sales_Items!$H$2:$H$3001,Sales_Items!$A$2:$A$3001,A743))</f>
        <v/>
      </c>
      <c r="F743" s="13"/>
      <c r="G743" s="17" t="str">
        <f aca="false">IF(A743="","",E743-N(F743))</f>
        <v/>
      </c>
      <c r="H743" s="13"/>
      <c r="I743" s="17" t="str">
        <f aca="false">IF(A743="","",SUMIFS(Due_Payments!$C$2:$C$1001,Due_Payments!$B$2:$B$1001,A743))</f>
        <v/>
      </c>
      <c r="J743" s="17" t="str">
        <f aca="false">IF(A743="","",G743-N(H743)-I743)</f>
        <v/>
      </c>
      <c r="K743" s="7"/>
      <c r="L743" s="7"/>
      <c r="M743" s="7"/>
    </row>
    <row r="744" customFormat="false" ht="15" hidden="false" customHeight="true" outlineLevel="0" collapsed="false">
      <c r="A744" s="7"/>
      <c r="B744" s="15"/>
      <c r="C744" s="7"/>
      <c r="D744" s="7"/>
      <c r="E744" s="17" t="str">
        <f aca="false">IF(A744="","",SUMIFS(Sales_Items!$H$2:$H$3001,Sales_Items!$A$2:$A$3001,A744))</f>
        <v/>
      </c>
      <c r="F744" s="13"/>
      <c r="G744" s="17" t="str">
        <f aca="false">IF(A744="","",E744-N(F744))</f>
        <v/>
      </c>
      <c r="H744" s="13"/>
      <c r="I744" s="17" t="str">
        <f aca="false">IF(A744="","",SUMIFS(Due_Payments!$C$2:$C$1001,Due_Payments!$B$2:$B$1001,A744))</f>
        <v/>
      </c>
      <c r="J744" s="17" t="str">
        <f aca="false">IF(A744="","",G744-N(H744)-I744)</f>
        <v/>
      </c>
      <c r="K744" s="7"/>
      <c r="L744" s="7"/>
      <c r="M744" s="7"/>
    </row>
    <row r="745" customFormat="false" ht="15" hidden="false" customHeight="true" outlineLevel="0" collapsed="false">
      <c r="A745" s="7"/>
      <c r="B745" s="15"/>
      <c r="C745" s="7"/>
      <c r="D745" s="7"/>
      <c r="E745" s="17" t="str">
        <f aca="false">IF(A745="","",SUMIFS(Sales_Items!$H$2:$H$3001,Sales_Items!$A$2:$A$3001,A745))</f>
        <v/>
      </c>
      <c r="F745" s="13"/>
      <c r="G745" s="17" t="str">
        <f aca="false">IF(A745="","",E745-N(F745))</f>
        <v/>
      </c>
      <c r="H745" s="13"/>
      <c r="I745" s="17" t="str">
        <f aca="false">IF(A745="","",SUMIFS(Due_Payments!$C$2:$C$1001,Due_Payments!$B$2:$B$1001,A745))</f>
        <v/>
      </c>
      <c r="J745" s="17" t="str">
        <f aca="false">IF(A745="","",G745-N(H745)-I745)</f>
        <v/>
      </c>
      <c r="K745" s="7"/>
      <c r="L745" s="7"/>
      <c r="M745" s="7"/>
    </row>
    <row r="746" customFormat="false" ht="15" hidden="false" customHeight="true" outlineLevel="0" collapsed="false">
      <c r="A746" s="7"/>
      <c r="B746" s="15"/>
      <c r="C746" s="7"/>
      <c r="D746" s="7"/>
      <c r="E746" s="17" t="str">
        <f aca="false">IF(A746="","",SUMIFS(Sales_Items!$H$2:$H$3001,Sales_Items!$A$2:$A$3001,A746))</f>
        <v/>
      </c>
      <c r="F746" s="13"/>
      <c r="G746" s="17" t="str">
        <f aca="false">IF(A746="","",E746-N(F746))</f>
        <v/>
      </c>
      <c r="H746" s="13"/>
      <c r="I746" s="17" t="str">
        <f aca="false">IF(A746="","",SUMIFS(Due_Payments!$C$2:$C$1001,Due_Payments!$B$2:$B$1001,A746))</f>
        <v/>
      </c>
      <c r="J746" s="17" t="str">
        <f aca="false">IF(A746="","",G746-N(H746)-I746)</f>
        <v/>
      </c>
      <c r="K746" s="7"/>
      <c r="L746" s="7"/>
      <c r="M746" s="7"/>
    </row>
    <row r="747" customFormat="false" ht="15" hidden="false" customHeight="true" outlineLevel="0" collapsed="false">
      <c r="A747" s="7"/>
      <c r="B747" s="15"/>
      <c r="C747" s="7"/>
      <c r="D747" s="7"/>
      <c r="E747" s="17" t="str">
        <f aca="false">IF(A747="","",SUMIFS(Sales_Items!$H$2:$H$3001,Sales_Items!$A$2:$A$3001,A747))</f>
        <v/>
      </c>
      <c r="F747" s="13"/>
      <c r="G747" s="17" t="str">
        <f aca="false">IF(A747="","",E747-N(F747))</f>
        <v/>
      </c>
      <c r="H747" s="13"/>
      <c r="I747" s="17" t="str">
        <f aca="false">IF(A747="","",SUMIFS(Due_Payments!$C$2:$C$1001,Due_Payments!$B$2:$B$1001,A747))</f>
        <v/>
      </c>
      <c r="J747" s="17" t="str">
        <f aca="false">IF(A747="","",G747-N(H747)-I747)</f>
        <v/>
      </c>
      <c r="K747" s="7"/>
      <c r="L747" s="7"/>
      <c r="M747" s="7"/>
    </row>
    <row r="748" customFormat="false" ht="15" hidden="false" customHeight="true" outlineLevel="0" collapsed="false">
      <c r="A748" s="7"/>
      <c r="B748" s="15"/>
      <c r="C748" s="7"/>
      <c r="D748" s="7"/>
      <c r="E748" s="17" t="str">
        <f aca="false">IF(A748="","",SUMIFS(Sales_Items!$H$2:$H$3001,Sales_Items!$A$2:$A$3001,A748))</f>
        <v/>
      </c>
      <c r="F748" s="13"/>
      <c r="G748" s="17" t="str">
        <f aca="false">IF(A748="","",E748-N(F748))</f>
        <v/>
      </c>
      <c r="H748" s="13"/>
      <c r="I748" s="17" t="str">
        <f aca="false">IF(A748="","",SUMIFS(Due_Payments!$C$2:$C$1001,Due_Payments!$B$2:$B$1001,A748))</f>
        <v/>
      </c>
      <c r="J748" s="17" t="str">
        <f aca="false">IF(A748="","",G748-N(H748)-I748)</f>
        <v/>
      </c>
      <c r="K748" s="7"/>
      <c r="L748" s="7"/>
      <c r="M748" s="7"/>
    </row>
    <row r="749" customFormat="false" ht="15" hidden="false" customHeight="true" outlineLevel="0" collapsed="false">
      <c r="A749" s="7"/>
      <c r="B749" s="15"/>
      <c r="C749" s="7"/>
      <c r="D749" s="7"/>
      <c r="E749" s="17" t="str">
        <f aca="false">IF(A749="","",SUMIFS(Sales_Items!$H$2:$H$3001,Sales_Items!$A$2:$A$3001,A749))</f>
        <v/>
      </c>
      <c r="F749" s="13"/>
      <c r="G749" s="17" t="str">
        <f aca="false">IF(A749="","",E749-N(F749))</f>
        <v/>
      </c>
      <c r="H749" s="13"/>
      <c r="I749" s="17" t="str">
        <f aca="false">IF(A749="","",SUMIFS(Due_Payments!$C$2:$C$1001,Due_Payments!$B$2:$B$1001,A749))</f>
        <v/>
      </c>
      <c r="J749" s="17" t="str">
        <f aca="false">IF(A749="","",G749-N(H749)-I749)</f>
        <v/>
      </c>
      <c r="K749" s="7"/>
      <c r="L749" s="7"/>
      <c r="M749" s="7"/>
    </row>
    <row r="750" customFormat="false" ht="15" hidden="false" customHeight="true" outlineLevel="0" collapsed="false">
      <c r="A750" s="7"/>
      <c r="B750" s="15"/>
      <c r="C750" s="7"/>
      <c r="D750" s="7"/>
      <c r="E750" s="17" t="str">
        <f aca="false">IF(A750="","",SUMIFS(Sales_Items!$H$2:$H$3001,Sales_Items!$A$2:$A$3001,A750))</f>
        <v/>
      </c>
      <c r="F750" s="13"/>
      <c r="G750" s="17" t="str">
        <f aca="false">IF(A750="","",E750-N(F750))</f>
        <v/>
      </c>
      <c r="H750" s="13"/>
      <c r="I750" s="17" t="str">
        <f aca="false">IF(A750="","",SUMIFS(Due_Payments!$C$2:$C$1001,Due_Payments!$B$2:$B$1001,A750))</f>
        <v/>
      </c>
      <c r="J750" s="17" t="str">
        <f aca="false">IF(A750="","",G750-N(H750)-I750)</f>
        <v/>
      </c>
      <c r="K750" s="7"/>
      <c r="L750" s="7"/>
      <c r="M750" s="7"/>
    </row>
    <row r="751" customFormat="false" ht="15" hidden="false" customHeight="true" outlineLevel="0" collapsed="false">
      <c r="A751" s="7"/>
      <c r="B751" s="15"/>
      <c r="C751" s="7"/>
      <c r="D751" s="7"/>
      <c r="E751" s="17" t="str">
        <f aca="false">IF(A751="","",SUMIFS(Sales_Items!$H$2:$H$3001,Sales_Items!$A$2:$A$3001,A751))</f>
        <v/>
      </c>
      <c r="F751" s="13"/>
      <c r="G751" s="17" t="str">
        <f aca="false">IF(A751="","",E751-N(F751))</f>
        <v/>
      </c>
      <c r="H751" s="13"/>
      <c r="I751" s="17" t="str">
        <f aca="false">IF(A751="","",SUMIFS(Due_Payments!$C$2:$C$1001,Due_Payments!$B$2:$B$1001,A751))</f>
        <v/>
      </c>
      <c r="J751" s="17" t="str">
        <f aca="false">IF(A751="","",G751-N(H751)-I751)</f>
        <v/>
      </c>
      <c r="K751" s="7"/>
      <c r="L751" s="7"/>
      <c r="M751" s="7"/>
    </row>
    <row r="752" customFormat="false" ht="15" hidden="false" customHeight="true" outlineLevel="0" collapsed="false">
      <c r="A752" s="7"/>
      <c r="B752" s="15"/>
      <c r="C752" s="7"/>
      <c r="D752" s="7"/>
      <c r="E752" s="17" t="str">
        <f aca="false">IF(A752="","",SUMIFS(Sales_Items!$H$2:$H$3001,Sales_Items!$A$2:$A$3001,A752))</f>
        <v/>
      </c>
      <c r="F752" s="13"/>
      <c r="G752" s="17" t="str">
        <f aca="false">IF(A752="","",E752-N(F752))</f>
        <v/>
      </c>
      <c r="H752" s="13"/>
      <c r="I752" s="17" t="str">
        <f aca="false">IF(A752="","",SUMIFS(Due_Payments!$C$2:$C$1001,Due_Payments!$B$2:$B$1001,A752))</f>
        <v/>
      </c>
      <c r="J752" s="17" t="str">
        <f aca="false">IF(A752="","",G752-N(H752)-I752)</f>
        <v/>
      </c>
      <c r="K752" s="7"/>
      <c r="L752" s="7"/>
      <c r="M752" s="7"/>
    </row>
    <row r="753" customFormat="false" ht="15" hidden="false" customHeight="true" outlineLevel="0" collapsed="false">
      <c r="A753" s="7"/>
      <c r="B753" s="15"/>
      <c r="C753" s="7"/>
      <c r="D753" s="7"/>
      <c r="E753" s="17" t="str">
        <f aca="false">IF(A753="","",SUMIFS(Sales_Items!$H$2:$H$3001,Sales_Items!$A$2:$A$3001,A753))</f>
        <v/>
      </c>
      <c r="F753" s="13"/>
      <c r="G753" s="17" t="str">
        <f aca="false">IF(A753="","",E753-N(F753))</f>
        <v/>
      </c>
      <c r="H753" s="13"/>
      <c r="I753" s="17" t="str">
        <f aca="false">IF(A753="","",SUMIFS(Due_Payments!$C$2:$C$1001,Due_Payments!$B$2:$B$1001,A753))</f>
        <v/>
      </c>
      <c r="J753" s="17" t="str">
        <f aca="false">IF(A753="","",G753-N(H753)-I753)</f>
        <v/>
      </c>
      <c r="K753" s="7"/>
      <c r="L753" s="7"/>
      <c r="M753" s="7"/>
    </row>
    <row r="754" customFormat="false" ht="15" hidden="false" customHeight="true" outlineLevel="0" collapsed="false">
      <c r="A754" s="7"/>
      <c r="B754" s="15"/>
      <c r="C754" s="7"/>
      <c r="D754" s="7"/>
      <c r="E754" s="17" t="str">
        <f aca="false">IF(A754="","",SUMIFS(Sales_Items!$H$2:$H$3001,Sales_Items!$A$2:$A$3001,A754))</f>
        <v/>
      </c>
      <c r="F754" s="13"/>
      <c r="G754" s="17" t="str">
        <f aca="false">IF(A754="","",E754-N(F754))</f>
        <v/>
      </c>
      <c r="H754" s="13"/>
      <c r="I754" s="17" t="str">
        <f aca="false">IF(A754="","",SUMIFS(Due_Payments!$C$2:$C$1001,Due_Payments!$B$2:$B$1001,A754))</f>
        <v/>
      </c>
      <c r="J754" s="17" t="str">
        <f aca="false">IF(A754="","",G754-N(H754)-I754)</f>
        <v/>
      </c>
      <c r="K754" s="7"/>
      <c r="L754" s="7"/>
      <c r="M754" s="7"/>
    </row>
    <row r="755" customFormat="false" ht="15" hidden="false" customHeight="true" outlineLevel="0" collapsed="false">
      <c r="A755" s="7"/>
      <c r="B755" s="15"/>
      <c r="C755" s="7"/>
      <c r="D755" s="7"/>
      <c r="E755" s="17" t="str">
        <f aca="false">IF(A755="","",SUMIFS(Sales_Items!$H$2:$H$3001,Sales_Items!$A$2:$A$3001,A755))</f>
        <v/>
      </c>
      <c r="F755" s="13"/>
      <c r="G755" s="17" t="str">
        <f aca="false">IF(A755="","",E755-N(F755))</f>
        <v/>
      </c>
      <c r="H755" s="13"/>
      <c r="I755" s="17" t="str">
        <f aca="false">IF(A755="","",SUMIFS(Due_Payments!$C$2:$C$1001,Due_Payments!$B$2:$B$1001,A755))</f>
        <v/>
      </c>
      <c r="J755" s="17" t="str">
        <f aca="false">IF(A755="","",G755-N(H755)-I755)</f>
        <v/>
      </c>
      <c r="K755" s="7"/>
      <c r="L755" s="7"/>
      <c r="M755" s="7"/>
    </row>
    <row r="756" customFormat="false" ht="15" hidden="false" customHeight="true" outlineLevel="0" collapsed="false">
      <c r="A756" s="7"/>
      <c r="B756" s="15"/>
      <c r="C756" s="7"/>
      <c r="D756" s="7"/>
      <c r="E756" s="17" t="str">
        <f aca="false">IF(A756="","",SUMIFS(Sales_Items!$H$2:$H$3001,Sales_Items!$A$2:$A$3001,A756))</f>
        <v/>
      </c>
      <c r="F756" s="13"/>
      <c r="G756" s="17" t="str">
        <f aca="false">IF(A756="","",E756-N(F756))</f>
        <v/>
      </c>
      <c r="H756" s="13"/>
      <c r="I756" s="17" t="str">
        <f aca="false">IF(A756="","",SUMIFS(Due_Payments!$C$2:$C$1001,Due_Payments!$B$2:$B$1001,A756))</f>
        <v/>
      </c>
      <c r="J756" s="17" t="str">
        <f aca="false">IF(A756="","",G756-N(H756)-I756)</f>
        <v/>
      </c>
      <c r="K756" s="7"/>
      <c r="L756" s="7"/>
      <c r="M756" s="7"/>
    </row>
    <row r="757" customFormat="false" ht="15" hidden="false" customHeight="true" outlineLevel="0" collapsed="false">
      <c r="A757" s="7"/>
      <c r="B757" s="15"/>
      <c r="C757" s="7"/>
      <c r="D757" s="7"/>
      <c r="E757" s="17" t="str">
        <f aca="false">IF(A757="","",SUMIFS(Sales_Items!$H$2:$H$3001,Sales_Items!$A$2:$A$3001,A757))</f>
        <v/>
      </c>
      <c r="F757" s="13"/>
      <c r="G757" s="17" t="str">
        <f aca="false">IF(A757="","",E757-N(F757))</f>
        <v/>
      </c>
      <c r="H757" s="13"/>
      <c r="I757" s="17" t="str">
        <f aca="false">IF(A757="","",SUMIFS(Due_Payments!$C$2:$C$1001,Due_Payments!$B$2:$B$1001,A757))</f>
        <v/>
      </c>
      <c r="J757" s="17" t="str">
        <f aca="false">IF(A757="","",G757-N(H757)-I757)</f>
        <v/>
      </c>
      <c r="K757" s="7"/>
      <c r="L757" s="7"/>
      <c r="M757" s="7"/>
    </row>
    <row r="758" customFormat="false" ht="15" hidden="false" customHeight="true" outlineLevel="0" collapsed="false">
      <c r="A758" s="7"/>
      <c r="B758" s="15"/>
      <c r="C758" s="7"/>
      <c r="D758" s="7"/>
      <c r="E758" s="17" t="str">
        <f aca="false">IF(A758="","",SUMIFS(Sales_Items!$H$2:$H$3001,Sales_Items!$A$2:$A$3001,A758))</f>
        <v/>
      </c>
      <c r="F758" s="13"/>
      <c r="G758" s="17" t="str">
        <f aca="false">IF(A758="","",E758-N(F758))</f>
        <v/>
      </c>
      <c r="H758" s="13"/>
      <c r="I758" s="17" t="str">
        <f aca="false">IF(A758="","",SUMIFS(Due_Payments!$C$2:$C$1001,Due_Payments!$B$2:$B$1001,A758))</f>
        <v/>
      </c>
      <c r="J758" s="17" t="str">
        <f aca="false">IF(A758="","",G758-N(H758)-I758)</f>
        <v/>
      </c>
      <c r="K758" s="7"/>
      <c r="L758" s="7"/>
      <c r="M758" s="7"/>
    </row>
    <row r="759" customFormat="false" ht="15" hidden="false" customHeight="true" outlineLevel="0" collapsed="false">
      <c r="A759" s="7"/>
      <c r="B759" s="15"/>
      <c r="C759" s="7"/>
      <c r="D759" s="7"/>
      <c r="E759" s="17" t="str">
        <f aca="false">IF(A759="","",SUMIFS(Sales_Items!$H$2:$H$3001,Sales_Items!$A$2:$A$3001,A759))</f>
        <v/>
      </c>
      <c r="F759" s="13"/>
      <c r="G759" s="17" t="str">
        <f aca="false">IF(A759="","",E759-N(F759))</f>
        <v/>
      </c>
      <c r="H759" s="13"/>
      <c r="I759" s="17" t="str">
        <f aca="false">IF(A759="","",SUMIFS(Due_Payments!$C$2:$C$1001,Due_Payments!$B$2:$B$1001,A759))</f>
        <v/>
      </c>
      <c r="J759" s="17" t="str">
        <f aca="false">IF(A759="","",G759-N(H759)-I759)</f>
        <v/>
      </c>
      <c r="K759" s="7"/>
      <c r="L759" s="7"/>
      <c r="M759" s="7"/>
    </row>
    <row r="760" customFormat="false" ht="15" hidden="false" customHeight="true" outlineLevel="0" collapsed="false">
      <c r="A760" s="7"/>
      <c r="B760" s="15"/>
      <c r="C760" s="7"/>
      <c r="D760" s="7"/>
      <c r="E760" s="17" t="str">
        <f aca="false">IF(A760="","",SUMIFS(Sales_Items!$H$2:$H$3001,Sales_Items!$A$2:$A$3001,A760))</f>
        <v/>
      </c>
      <c r="F760" s="13"/>
      <c r="G760" s="17" t="str">
        <f aca="false">IF(A760="","",E760-N(F760))</f>
        <v/>
      </c>
      <c r="H760" s="13"/>
      <c r="I760" s="17" t="str">
        <f aca="false">IF(A760="","",SUMIFS(Due_Payments!$C$2:$C$1001,Due_Payments!$B$2:$B$1001,A760))</f>
        <v/>
      </c>
      <c r="J760" s="17" t="str">
        <f aca="false">IF(A760="","",G760-N(H760)-I760)</f>
        <v/>
      </c>
      <c r="K760" s="7"/>
      <c r="L760" s="7"/>
      <c r="M760" s="7"/>
    </row>
    <row r="761" customFormat="false" ht="15" hidden="false" customHeight="true" outlineLevel="0" collapsed="false">
      <c r="A761" s="7"/>
      <c r="B761" s="15"/>
      <c r="C761" s="7"/>
      <c r="D761" s="7"/>
      <c r="E761" s="17" t="str">
        <f aca="false">IF(A761="","",SUMIFS(Sales_Items!$H$2:$H$3001,Sales_Items!$A$2:$A$3001,A761))</f>
        <v/>
      </c>
      <c r="F761" s="13"/>
      <c r="G761" s="17" t="str">
        <f aca="false">IF(A761="","",E761-N(F761))</f>
        <v/>
      </c>
      <c r="H761" s="13"/>
      <c r="I761" s="17" t="str">
        <f aca="false">IF(A761="","",SUMIFS(Due_Payments!$C$2:$C$1001,Due_Payments!$B$2:$B$1001,A761))</f>
        <v/>
      </c>
      <c r="J761" s="17" t="str">
        <f aca="false">IF(A761="","",G761-N(H761)-I761)</f>
        <v/>
      </c>
      <c r="K761" s="7"/>
      <c r="L761" s="7"/>
      <c r="M761" s="7"/>
    </row>
    <row r="762" customFormat="false" ht="15" hidden="false" customHeight="true" outlineLevel="0" collapsed="false">
      <c r="A762" s="7"/>
      <c r="B762" s="15"/>
      <c r="C762" s="7"/>
      <c r="D762" s="7"/>
      <c r="E762" s="17" t="str">
        <f aca="false">IF(A762="","",SUMIFS(Sales_Items!$H$2:$H$3001,Sales_Items!$A$2:$A$3001,A762))</f>
        <v/>
      </c>
      <c r="F762" s="13"/>
      <c r="G762" s="17" t="str">
        <f aca="false">IF(A762="","",E762-N(F762))</f>
        <v/>
      </c>
      <c r="H762" s="13"/>
      <c r="I762" s="17" t="str">
        <f aca="false">IF(A762="","",SUMIFS(Due_Payments!$C$2:$C$1001,Due_Payments!$B$2:$B$1001,A762))</f>
        <v/>
      </c>
      <c r="J762" s="17" t="str">
        <f aca="false">IF(A762="","",G762-N(H762)-I762)</f>
        <v/>
      </c>
      <c r="K762" s="7"/>
      <c r="L762" s="7"/>
      <c r="M762" s="7"/>
    </row>
    <row r="763" customFormat="false" ht="15" hidden="false" customHeight="true" outlineLevel="0" collapsed="false">
      <c r="A763" s="7"/>
      <c r="B763" s="15"/>
      <c r="C763" s="7"/>
      <c r="D763" s="7"/>
      <c r="E763" s="17" t="str">
        <f aca="false">IF(A763="","",SUMIFS(Sales_Items!$H$2:$H$3001,Sales_Items!$A$2:$A$3001,A763))</f>
        <v/>
      </c>
      <c r="F763" s="13"/>
      <c r="G763" s="17" t="str">
        <f aca="false">IF(A763="","",E763-N(F763))</f>
        <v/>
      </c>
      <c r="H763" s="13"/>
      <c r="I763" s="17" t="str">
        <f aca="false">IF(A763="","",SUMIFS(Due_Payments!$C$2:$C$1001,Due_Payments!$B$2:$B$1001,A763))</f>
        <v/>
      </c>
      <c r="J763" s="17" t="str">
        <f aca="false">IF(A763="","",G763-N(H763)-I763)</f>
        <v/>
      </c>
      <c r="K763" s="7"/>
      <c r="L763" s="7"/>
      <c r="M763" s="7"/>
    </row>
    <row r="764" customFormat="false" ht="15" hidden="false" customHeight="true" outlineLevel="0" collapsed="false">
      <c r="A764" s="7"/>
      <c r="B764" s="15"/>
      <c r="C764" s="7"/>
      <c r="D764" s="7"/>
      <c r="E764" s="17" t="str">
        <f aca="false">IF(A764="","",SUMIFS(Sales_Items!$H$2:$H$3001,Sales_Items!$A$2:$A$3001,A764))</f>
        <v/>
      </c>
      <c r="F764" s="13"/>
      <c r="G764" s="17" t="str">
        <f aca="false">IF(A764="","",E764-N(F764))</f>
        <v/>
      </c>
      <c r="H764" s="13"/>
      <c r="I764" s="17" t="str">
        <f aca="false">IF(A764="","",SUMIFS(Due_Payments!$C$2:$C$1001,Due_Payments!$B$2:$B$1001,A764))</f>
        <v/>
      </c>
      <c r="J764" s="17" t="str">
        <f aca="false">IF(A764="","",G764-N(H764)-I764)</f>
        <v/>
      </c>
      <c r="K764" s="7"/>
      <c r="L764" s="7"/>
      <c r="M764" s="7"/>
    </row>
    <row r="765" customFormat="false" ht="15" hidden="false" customHeight="true" outlineLevel="0" collapsed="false">
      <c r="A765" s="7"/>
      <c r="B765" s="15"/>
      <c r="C765" s="7"/>
      <c r="D765" s="7"/>
      <c r="E765" s="17" t="str">
        <f aca="false">IF(A765="","",SUMIFS(Sales_Items!$H$2:$H$3001,Sales_Items!$A$2:$A$3001,A765))</f>
        <v/>
      </c>
      <c r="F765" s="13"/>
      <c r="G765" s="17" t="str">
        <f aca="false">IF(A765="","",E765-N(F765))</f>
        <v/>
      </c>
      <c r="H765" s="13"/>
      <c r="I765" s="17" t="str">
        <f aca="false">IF(A765="","",SUMIFS(Due_Payments!$C$2:$C$1001,Due_Payments!$B$2:$B$1001,A765))</f>
        <v/>
      </c>
      <c r="J765" s="17" t="str">
        <f aca="false">IF(A765="","",G765-N(H765)-I765)</f>
        <v/>
      </c>
      <c r="K765" s="7"/>
      <c r="L765" s="7"/>
      <c r="M765" s="7"/>
    </row>
    <row r="766" customFormat="false" ht="15" hidden="false" customHeight="true" outlineLevel="0" collapsed="false">
      <c r="A766" s="7"/>
      <c r="B766" s="15"/>
      <c r="C766" s="7"/>
      <c r="D766" s="7"/>
      <c r="E766" s="17" t="str">
        <f aca="false">IF(A766="","",SUMIFS(Sales_Items!$H$2:$H$3001,Sales_Items!$A$2:$A$3001,A766))</f>
        <v/>
      </c>
      <c r="F766" s="13"/>
      <c r="G766" s="17" t="str">
        <f aca="false">IF(A766="","",E766-N(F766))</f>
        <v/>
      </c>
      <c r="H766" s="13"/>
      <c r="I766" s="17" t="str">
        <f aca="false">IF(A766="","",SUMIFS(Due_Payments!$C$2:$C$1001,Due_Payments!$B$2:$B$1001,A766))</f>
        <v/>
      </c>
      <c r="J766" s="17" t="str">
        <f aca="false">IF(A766="","",G766-N(H766)-I766)</f>
        <v/>
      </c>
      <c r="K766" s="7"/>
      <c r="L766" s="7"/>
      <c r="M766" s="7"/>
    </row>
    <row r="767" customFormat="false" ht="15" hidden="false" customHeight="true" outlineLevel="0" collapsed="false">
      <c r="A767" s="7"/>
      <c r="B767" s="15"/>
      <c r="C767" s="7"/>
      <c r="D767" s="7"/>
      <c r="E767" s="17" t="str">
        <f aca="false">IF(A767="","",SUMIFS(Sales_Items!$H$2:$H$3001,Sales_Items!$A$2:$A$3001,A767))</f>
        <v/>
      </c>
      <c r="F767" s="13"/>
      <c r="G767" s="17" t="str">
        <f aca="false">IF(A767="","",E767-N(F767))</f>
        <v/>
      </c>
      <c r="H767" s="13"/>
      <c r="I767" s="17" t="str">
        <f aca="false">IF(A767="","",SUMIFS(Due_Payments!$C$2:$C$1001,Due_Payments!$B$2:$B$1001,A767))</f>
        <v/>
      </c>
      <c r="J767" s="17" t="str">
        <f aca="false">IF(A767="","",G767-N(H767)-I767)</f>
        <v/>
      </c>
      <c r="K767" s="7"/>
      <c r="L767" s="7"/>
      <c r="M767" s="7"/>
    </row>
    <row r="768" customFormat="false" ht="15" hidden="false" customHeight="true" outlineLevel="0" collapsed="false">
      <c r="A768" s="7"/>
      <c r="B768" s="15"/>
      <c r="C768" s="7"/>
      <c r="D768" s="7"/>
      <c r="E768" s="17" t="str">
        <f aca="false">IF(A768="","",SUMIFS(Sales_Items!$H$2:$H$3001,Sales_Items!$A$2:$A$3001,A768))</f>
        <v/>
      </c>
      <c r="F768" s="13"/>
      <c r="G768" s="17" t="str">
        <f aca="false">IF(A768="","",E768-N(F768))</f>
        <v/>
      </c>
      <c r="H768" s="13"/>
      <c r="I768" s="17" t="str">
        <f aca="false">IF(A768="","",SUMIFS(Due_Payments!$C$2:$C$1001,Due_Payments!$B$2:$B$1001,A768))</f>
        <v/>
      </c>
      <c r="J768" s="17" t="str">
        <f aca="false">IF(A768="","",G768-N(H768)-I768)</f>
        <v/>
      </c>
      <c r="K768" s="7"/>
      <c r="L768" s="7"/>
      <c r="M768" s="7"/>
    </row>
    <row r="769" customFormat="false" ht="15" hidden="false" customHeight="true" outlineLevel="0" collapsed="false">
      <c r="A769" s="7"/>
      <c r="B769" s="15"/>
      <c r="C769" s="7"/>
      <c r="D769" s="7"/>
      <c r="E769" s="17" t="str">
        <f aca="false">IF(A769="","",SUMIFS(Sales_Items!$H$2:$H$3001,Sales_Items!$A$2:$A$3001,A769))</f>
        <v/>
      </c>
      <c r="F769" s="13"/>
      <c r="G769" s="17" t="str">
        <f aca="false">IF(A769="","",E769-N(F769))</f>
        <v/>
      </c>
      <c r="H769" s="13"/>
      <c r="I769" s="17" t="str">
        <f aca="false">IF(A769="","",SUMIFS(Due_Payments!$C$2:$C$1001,Due_Payments!$B$2:$B$1001,A769))</f>
        <v/>
      </c>
      <c r="J769" s="17" t="str">
        <f aca="false">IF(A769="","",G769-N(H769)-I769)</f>
        <v/>
      </c>
      <c r="K769" s="7"/>
      <c r="L769" s="7"/>
      <c r="M769" s="7"/>
    </row>
    <row r="770" customFormat="false" ht="15" hidden="false" customHeight="true" outlineLevel="0" collapsed="false">
      <c r="A770" s="7"/>
      <c r="B770" s="15"/>
      <c r="C770" s="7"/>
      <c r="D770" s="7"/>
      <c r="E770" s="17" t="str">
        <f aca="false">IF(A770="","",SUMIFS(Sales_Items!$H$2:$H$3001,Sales_Items!$A$2:$A$3001,A770))</f>
        <v/>
      </c>
      <c r="F770" s="13"/>
      <c r="G770" s="17" t="str">
        <f aca="false">IF(A770="","",E770-N(F770))</f>
        <v/>
      </c>
      <c r="H770" s="13"/>
      <c r="I770" s="17" t="str">
        <f aca="false">IF(A770="","",SUMIFS(Due_Payments!$C$2:$C$1001,Due_Payments!$B$2:$B$1001,A770))</f>
        <v/>
      </c>
      <c r="J770" s="17" t="str">
        <f aca="false">IF(A770="","",G770-N(H770)-I770)</f>
        <v/>
      </c>
      <c r="K770" s="7"/>
      <c r="L770" s="7"/>
      <c r="M770" s="7"/>
    </row>
    <row r="771" customFormat="false" ht="15" hidden="false" customHeight="true" outlineLevel="0" collapsed="false">
      <c r="A771" s="7"/>
      <c r="B771" s="15"/>
      <c r="C771" s="7"/>
      <c r="D771" s="7"/>
      <c r="E771" s="17" t="str">
        <f aca="false">IF(A771="","",SUMIFS(Sales_Items!$H$2:$H$3001,Sales_Items!$A$2:$A$3001,A771))</f>
        <v/>
      </c>
      <c r="F771" s="13"/>
      <c r="G771" s="17" t="str">
        <f aca="false">IF(A771="","",E771-N(F771))</f>
        <v/>
      </c>
      <c r="H771" s="13"/>
      <c r="I771" s="17" t="str">
        <f aca="false">IF(A771="","",SUMIFS(Due_Payments!$C$2:$C$1001,Due_Payments!$B$2:$B$1001,A771))</f>
        <v/>
      </c>
      <c r="J771" s="17" t="str">
        <f aca="false">IF(A771="","",G771-N(H771)-I771)</f>
        <v/>
      </c>
      <c r="K771" s="7"/>
      <c r="L771" s="7"/>
      <c r="M771" s="7"/>
    </row>
    <row r="772" customFormat="false" ht="15" hidden="false" customHeight="true" outlineLevel="0" collapsed="false">
      <c r="A772" s="7"/>
      <c r="B772" s="15"/>
      <c r="C772" s="7"/>
      <c r="D772" s="7"/>
      <c r="E772" s="17" t="str">
        <f aca="false">IF(A772="","",SUMIFS(Sales_Items!$H$2:$H$3001,Sales_Items!$A$2:$A$3001,A772))</f>
        <v/>
      </c>
      <c r="F772" s="13"/>
      <c r="G772" s="17" t="str">
        <f aca="false">IF(A772="","",E772-N(F772))</f>
        <v/>
      </c>
      <c r="H772" s="13"/>
      <c r="I772" s="17" t="str">
        <f aca="false">IF(A772="","",SUMIFS(Due_Payments!$C$2:$C$1001,Due_Payments!$B$2:$B$1001,A772))</f>
        <v/>
      </c>
      <c r="J772" s="17" t="str">
        <f aca="false">IF(A772="","",G772-N(H772)-I772)</f>
        <v/>
      </c>
      <c r="K772" s="7"/>
      <c r="L772" s="7"/>
      <c r="M772" s="7"/>
    </row>
    <row r="773" customFormat="false" ht="15" hidden="false" customHeight="true" outlineLevel="0" collapsed="false">
      <c r="A773" s="7"/>
      <c r="B773" s="15"/>
      <c r="C773" s="7"/>
      <c r="D773" s="7"/>
      <c r="E773" s="17" t="str">
        <f aca="false">IF(A773="","",SUMIFS(Sales_Items!$H$2:$H$3001,Sales_Items!$A$2:$A$3001,A773))</f>
        <v/>
      </c>
      <c r="F773" s="13"/>
      <c r="G773" s="17" t="str">
        <f aca="false">IF(A773="","",E773-N(F773))</f>
        <v/>
      </c>
      <c r="H773" s="13"/>
      <c r="I773" s="17" t="str">
        <f aca="false">IF(A773="","",SUMIFS(Due_Payments!$C$2:$C$1001,Due_Payments!$B$2:$B$1001,A773))</f>
        <v/>
      </c>
      <c r="J773" s="17" t="str">
        <f aca="false">IF(A773="","",G773-N(H773)-I773)</f>
        <v/>
      </c>
      <c r="K773" s="7"/>
      <c r="L773" s="7"/>
      <c r="M773" s="7"/>
    </row>
    <row r="774" customFormat="false" ht="15" hidden="false" customHeight="true" outlineLevel="0" collapsed="false">
      <c r="A774" s="7"/>
      <c r="B774" s="15"/>
      <c r="C774" s="7"/>
      <c r="D774" s="7"/>
      <c r="E774" s="17" t="str">
        <f aca="false">IF(A774="","",SUMIFS(Sales_Items!$H$2:$H$3001,Sales_Items!$A$2:$A$3001,A774))</f>
        <v/>
      </c>
      <c r="F774" s="13"/>
      <c r="G774" s="17" t="str">
        <f aca="false">IF(A774="","",E774-N(F774))</f>
        <v/>
      </c>
      <c r="H774" s="13"/>
      <c r="I774" s="17" t="str">
        <f aca="false">IF(A774="","",SUMIFS(Due_Payments!$C$2:$C$1001,Due_Payments!$B$2:$B$1001,A774))</f>
        <v/>
      </c>
      <c r="J774" s="17" t="str">
        <f aca="false">IF(A774="","",G774-N(H774)-I774)</f>
        <v/>
      </c>
      <c r="K774" s="7"/>
      <c r="L774" s="7"/>
      <c r="M774" s="7"/>
    </row>
    <row r="775" customFormat="false" ht="15" hidden="false" customHeight="true" outlineLevel="0" collapsed="false">
      <c r="A775" s="7"/>
      <c r="B775" s="15"/>
      <c r="C775" s="7"/>
      <c r="D775" s="7"/>
      <c r="E775" s="17" t="str">
        <f aca="false">IF(A775="","",SUMIFS(Sales_Items!$H$2:$H$3001,Sales_Items!$A$2:$A$3001,A775))</f>
        <v/>
      </c>
      <c r="F775" s="13"/>
      <c r="G775" s="17" t="str">
        <f aca="false">IF(A775="","",E775-N(F775))</f>
        <v/>
      </c>
      <c r="H775" s="13"/>
      <c r="I775" s="17" t="str">
        <f aca="false">IF(A775="","",SUMIFS(Due_Payments!$C$2:$C$1001,Due_Payments!$B$2:$B$1001,A775))</f>
        <v/>
      </c>
      <c r="J775" s="17" t="str">
        <f aca="false">IF(A775="","",G775-N(H775)-I775)</f>
        <v/>
      </c>
      <c r="K775" s="7"/>
      <c r="L775" s="7"/>
      <c r="M775" s="7"/>
    </row>
    <row r="776" customFormat="false" ht="15" hidden="false" customHeight="true" outlineLevel="0" collapsed="false">
      <c r="A776" s="7"/>
      <c r="B776" s="15"/>
      <c r="C776" s="7"/>
      <c r="D776" s="7"/>
      <c r="E776" s="17" t="str">
        <f aca="false">IF(A776="","",SUMIFS(Sales_Items!$H$2:$H$3001,Sales_Items!$A$2:$A$3001,A776))</f>
        <v/>
      </c>
      <c r="F776" s="13"/>
      <c r="G776" s="17" t="str">
        <f aca="false">IF(A776="","",E776-N(F776))</f>
        <v/>
      </c>
      <c r="H776" s="13"/>
      <c r="I776" s="17" t="str">
        <f aca="false">IF(A776="","",SUMIFS(Due_Payments!$C$2:$C$1001,Due_Payments!$B$2:$B$1001,A776))</f>
        <v/>
      </c>
      <c r="J776" s="17" t="str">
        <f aca="false">IF(A776="","",G776-N(H776)-I776)</f>
        <v/>
      </c>
      <c r="K776" s="7"/>
      <c r="L776" s="7"/>
      <c r="M776" s="7"/>
    </row>
    <row r="777" customFormat="false" ht="15" hidden="false" customHeight="true" outlineLevel="0" collapsed="false">
      <c r="A777" s="7"/>
      <c r="B777" s="15"/>
      <c r="C777" s="7"/>
      <c r="D777" s="7"/>
      <c r="E777" s="17" t="str">
        <f aca="false">IF(A777="","",SUMIFS(Sales_Items!$H$2:$H$3001,Sales_Items!$A$2:$A$3001,A777))</f>
        <v/>
      </c>
      <c r="F777" s="13"/>
      <c r="G777" s="17" t="str">
        <f aca="false">IF(A777="","",E777-N(F777))</f>
        <v/>
      </c>
      <c r="H777" s="13"/>
      <c r="I777" s="17" t="str">
        <f aca="false">IF(A777="","",SUMIFS(Due_Payments!$C$2:$C$1001,Due_Payments!$B$2:$B$1001,A777))</f>
        <v/>
      </c>
      <c r="J777" s="17" t="str">
        <f aca="false">IF(A777="","",G777-N(H777)-I777)</f>
        <v/>
      </c>
      <c r="K777" s="7"/>
      <c r="L777" s="7"/>
      <c r="M777" s="7"/>
    </row>
    <row r="778" customFormat="false" ht="15" hidden="false" customHeight="true" outlineLevel="0" collapsed="false">
      <c r="A778" s="7"/>
      <c r="B778" s="15"/>
      <c r="C778" s="7"/>
      <c r="D778" s="7"/>
      <c r="E778" s="17" t="str">
        <f aca="false">IF(A778="","",SUMIFS(Sales_Items!$H$2:$H$3001,Sales_Items!$A$2:$A$3001,A778))</f>
        <v/>
      </c>
      <c r="F778" s="13"/>
      <c r="G778" s="17" t="str">
        <f aca="false">IF(A778="","",E778-N(F778))</f>
        <v/>
      </c>
      <c r="H778" s="13"/>
      <c r="I778" s="17" t="str">
        <f aca="false">IF(A778="","",SUMIFS(Due_Payments!$C$2:$C$1001,Due_Payments!$B$2:$B$1001,A778))</f>
        <v/>
      </c>
      <c r="J778" s="17" t="str">
        <f aca="false">IF(A778="","",G778-N(H778)-I778)</f>
        <v/>
      </c>
      <c r="K778" s="7"/>
      <c r="L778" s="7"/>
      <c r="M778" s="7"/>
    </row>
    <row r="779" customFormat="false" ht="15" hidden="false" customHeight="true" outlineLevel="0" collapsed="false">
      <c r="A779" s="7"/>
      <c r="B779" s="15"/>
      <c r="C779" s="7"/>
      <c r="D779" s="7"/>
      <c r="E779" s="17" t="str">
        <f aca="false">IF(A779="","",SUMIFS(Sales_Items!$H$2:$H$3001,Sales_Items!$A$2:$A$3001,A779))</f>
        <v/>
      </c>
      <c r="F779" s="13"/>
      <c r="G779" s="17" t="str">
        <f aca="false">IF(A779="","",E779-N(F779))</f>
        <v/>
      </c>
      <c r="H779" s="13"/>
      <c r="I779" s="17" t="str">
        <f aca="false">IF(A779="","",SUMIFS(Due_Payments!$C$2:$C$1001,Due_Payments!$B$2:$B$1001,A779))</f>
        <v/>
      </c>
      <c r="J779" s="17" t="str">
        <f aca="false">IF(A779="","",G779-N(H779)-I779)</f>
        <v/>
      </c>
      <c r="K779" s="7"/>
      <c r="L779" s="7"/>
      <c r="M779" s="7"/>
    </row>
    <row r="780" customFormat="false" ht="15" hidden="false" customHeight="true" outlineLevel="0" collapsed="false">
      <c r="A780" s="7"/>
      <c r="B780" s="15"/>
      <c r="C780" s="7"/>
      <c r="D780" s="7"/>
      <c r="E780" s="17" t="str">
        <f aca="false">IF(A780="","",SUMIFS(Sales_Items!$H$2:$H$3001,Sales_Items!$A$2:$A$3001,A780))</f>
        <v/>
      </c>
      <c r="F780" s="13"/>
      <c r="G780" s="17" t="str">
        <f aca="false">IF(A780="","",E780-N(F780))</f>
        <v/>
      </c>
      <c r="H780" s="13"/>
      <c r="I780" s="17" t="str">
        <f aca="false">IF(A780="","",SUMIFS(Due_Payments!$C$2:$C$1001,Due_Payments!$B$2:$B$1001,A780))</f>
        <v/>
      </c>
      <c r="J780" s="17" t="str">
        <f aca="false">IF(A780="","",G780-N(H780)-I780)</f>
        <v/>
      </c>
      <c r="K780" s="7"/>
      <c r="L780" s="7"/>
      <c r="M780" s="7"/>
    </row>
    <row r="781" customFormat="false" ht="15" hidden="false" customHeight="true" outlineLevel="0" collapsed="false">
      <c r="A781" s="7"/>
      <c r="B781" s="15"/>
      <c r="C781" s="7"/>
      <c r="D781" s="7"/>
      <c r="E781" s="17" t="str">
        <f aca="false">IF(A781="","",SUMIFS(Sales_Items!$H$2:$H$3001,Sales_Items!$A$2:$A$3001,A781))</f>
        <v/>
      </c>
      <c r="F781" s="13"/>
      <c r="G781" s="17" t="str">
        <f aca="false">IF(A781="","",E781-N(F781))</f>
        <v/>
      </c>
      <c r="H781" s="13"/>
      <c r="I781" s="17" t="str">
        <f aca="false">IF(A781="","",SUMIFS(Due_Payments!$C$2:$C$1001,Due_Payments!$B$2:$B$1001,A781))</f>
        <v/>
      </c>
      <c r="J781" s="17" t="str">
        <f aca="false">IF(A781="","",G781-N(H781)-I781)</f>
        <v/>
      </c>
      <c r="K781" s="7"/>
      <c r="L781" s="7"/>
      <c r="M781" s="7"/>
    </row>
    <row r="782" customFormat="false" ht="15" hidden="false" customHeight="true" outlineLevel="0" collapsed="false">
      <c r="A782" s="7"/>
      <c r="B782" s="15"/>
      <c r="C782" s="7"/>
      <c r="D782" s="7"/>
      <c r="E782" s="17" t="str">
        <f aca="false">IF(A782="","",SUMIFS(Sales_Items!$H$2:$H$3001,Sales_Items!$A$2:$A$3001,A782))</f>
        <v/>
      </c>
      <c r="F782" s="13"/>
      <c r="G782" s="17" t="str">
        <f aca="false">IF(A782="","",E782-N(F782))</f>
        <v/>
      </c>
      <c r="H782" s="13"/>
      <c r="I782" s="17" t="str">
        <f aca="false">IF(A782="","",SUMIFS(Due_Payments!$C$2:$C$1001,Due_Payments!$B$2:$B$1001,A782))</f>
        <v/>
      </c>
      <c r="J782" s="17" t="str">
        <f aca="false">IF(A782="","",G782-N(H782)-I782)</f>
        <v/>
      </c>
      <c r="K782" s="7"/>
      <c r="L782" s="7"/>
      <c r="M782" s="7"/>
    </row>
    <row r="783" customFormat="false" ht="15" hidden="false" customHeight="true" outlineLevel="0" collapsed="false">
      <c r="A783" s="7"/>
      <c r="B783" s="15"/>
      <c r="C783" s="7"/>
      <c r="D783" s="7"/>
      <c r="E783" s="17" t="str">
        <f aca="false">IF(A783="","",SUMIFS(Sales_Items!$H$2:$H$3001,Sales_Items!$A$2:$A$3001,A783))</f>
        <v/>
      </c>
      <c r="F783" s="13"/>
      <c r="G783" s="17" t="str">
        <f aca="false">IF(A783="","",E783-N(F783))</f>
        <v/>
      </c>
      <c r="H783" s="13"/>
      <c r="I783" s="17" t="str">
        <f aca="false">IF(A783="","",SUMIFS(Due_Payments!$C$2:$C$1001,Due_Payments!$B$2:$B$1001,A783))</f>
        <v/>
      </c>
      <c r="J783" s="17" t="str">
        <f aca="false">IF(A783="","",G783-N(H783)-I783)</f>
        <v/>
      </c>
      <c r="K783" s="7"/>
      <c r="L783" s="7"/>
      <c r="M783" s="7"/>
    </row>
    <row r="784" customFormat="false" ht="15" hidden="false" customHeight="true" outlineLevel="0" collapsed="false">
      <c r="A784" s="7"/>
      <c r="B784" s="15"/>
      <c r="C784" s="7"/>
      <c r="D784" s="7"/>
      <c r="E784" s="17" t="str">
        <f aca="false">IF(A784="","",SUMIFS(Sales_Items!$H$2:$H$3001,Sales_Items!$A$2:$A$3001,A784))</f>
        <v/>
      </c>
      <c r="F784" s="13"/>
      <c r="G784" s="17" t="str">
        <f aca="false">IF(A784="","",E784-N(F784))</f>
        <v/>
      </c>
      <c r="H784" s="13"/>
      <c r="I784" s="17" t="str">
        <f aca="false">IF(A784="","",SUMIFS(Due_Payments!$C$2:$C$1001,Due_Payments!$B$2:$B$1001,A784))</f>
        <v/>
      </c>
      <c r="J784" s="17" t="str">
        <f aca="false">IF(A784="","",G784-N(H784)-I784)</f>
        <v/>
      </c>
      <c r="K784" s="7"/>
      <c r="L784" s="7"/>
      <c r="M784" s="7"/>
    </row>
    <row r="785" customFormat="false" ht="15" hidden="false" customHeight="true" outlineLevel="0" collapsed="false">
      <c r="A785" s="7"/>
      <c r="B785" s="15"/>
      <c r="C785" s="7"/>
      <c r="D785" s="7"/>
      <c r="E785" s="17" t="str">
        <f aca="false">IF(A785="","",SUMIFS(Sales_Items!$H$2:$H$3001,Sales_Items!$A$2:$A$3001,A785))</f>
        <v/>
      </c>
      <c r="F785" s="13"/>
      <c r="G785" s="17" t="str">
        <f aca="false">IF(A785="","",E785-N(F785))</f>
        <v/>
      </c>
      <c r="H785" s="13"/>
      <c r="I785" s="17" t="str">
        <f aca="false">IF(A785="","",SUMIFS(Due_Payments!$C$2:$C$1001,Due_Payments!$B$2:$B$1001,A785))</f>
        <v/>
      </c>
      <c r="J785" s="17" t="str">
        <f aca="false">IF(A785="","",G785-N(H785)-I785)</f>
        <v/>
      </c>
      <c r="K785" s="7"/>
      <c r="L785" s="7"/>
      <c r="M785" s="7"/>
    </row>
    <row r="786" customFormat="false" ht="15" hidden="false" customHeight="true" outlineLevel="0" collapsed="false">
      <c r="A786" s="7"/>
      <c r="B786" s="15"/>
      <c r="C786" s="7"/>
      <c r="D786" s="7"/>
      <c r="E786" s="17" t="str">
        <f aca="false">IF(A786="","",SUMIFS(Sales_Items!$H$2:$H$3001,Sales_Items!$A$2:$A$3001,A786))</f>
        <v/>
      </c>
      <c r="F786" s="13"/>
      <c r="G786" s="17" t="str">
        <f aca="false">IF(A786="","",E786-N(F786))</f>
        <v/>
      </c>
      <c r="H786" s="13"/>
      <c r="I786" s="17" t="str">
        <f aca="false">IF(A786="","",SUMIFS(Due_Payments!$C$2:$C$1001,Due_Payments!$B$2:$B$1001,A786))</f>
        <v/>
      </c>
      <c r="J786" s="17" t="str">
        <f aca="false">IF(A786="","",G786-N(H786)-I786)</f>
        <v/>
      </c>
      <c r="K786" s="7"/>
      <c r="L786" s="7"/>
      <c r="M786" s="7"/>
    </row>
    <row r="787" customFormat="false" ht="15" hidden="false" customHeight="true" outlineLevel="0" collapsed="false">
      <c r="A787" s="7"/>
      <c r="B787" s="15"/>
      <c r="C787" s="7"/>
      <c r="D787" s="7"/>
      <c r="E787" s="17" t="str">
        <f aca="false">IF(A787="","",SUMIFS(Sales_Items!$H$2:$H$3001,Sales_Items!$A$2:$A$3001,A787))</f>
        <v/>
      </c>
      <c r="F787" s="13"/>
      <c r="G787" s="17" t="str">
        <f aca="false">IF(A787="","",E787-N(F787))</f>
        <v/>
      </c>
      <c r="H787" s="13"/>
      <c r="I787" s="17" t="str">
        <f aca="false">IF(A787="","",SUMIFS(Due_Payments!$C$2:$C$1001,Due_Payments!$B$2:$B$1001,A787))</f>
        <v/>
      </c>
      <c r="J787" s="17" t="str">
        <f aca="false">IF(A787="","",G787-N(H787)-I787)</f>
        <v/>
      </c>
      <c r="K787" s="7"/>
      <c r="L787" s="7"/>
      <c r="M787" s="7"/>
    </row>
    <row r="788" customFormat="false" ht="15" hidden="false" customHeight="true" outlineLevel="0" collapsed="false">
      <c r="A788" s="7"/>
      <c r="B788" s="15"/>
      <c r="C788" s="7"/>
      <c r="D788" s="7"/>
      <c r="E788" s="17" t="str">
        <f aca="false">IF(A788="","",SUMIFS(Sales_Items!$H$2:$H$3001,Sales_Items!$A$2:$A$3001,A788))</f>
        <v/>
      </c>
      <c r="F788" s="13"/>
      <c r="G788" s="17" t="str">
        <f aca="false">IF(A788="","",E788-N(F788))</f>
        <v/>
      </c>
      <c r="H788" s="13"/>
      <c r="I788" s="17" t="str">
        <f aca="false">IF(A788="","",SUMIFS(Due_Payments!$C$2:$C$1001,Due_Payments!$B$2:$B$1001,A788))</f>
        <v/>
      </c>
      <c r="J788" s="17" t="str">
        <f aca="false">IF(A788="","",G788-N(H788)-I788)</f>
        <v/>
      </c>
      <c r="K788" s="7"/>
      <c r="L788" s="7"/>
      <c r="M788" s="7"/>
    </row>
    <row r="789" customFormat="false" ht="15" hidden="false" customHeight="true" outlineLevel="0" collapsed="false">
      <c r="A789" s="7"/>
      <c r="B789" s="15"/>
      <c r="C789" s="7"/>
      <c r="D789" s="7"/>
      <c r="E789" s="17" t="str">
        <f aca="false">IF(A789="","",SUMIFS(Sales_Items!$H$2:$H$3001,Sales_Items!$A$2:$A$3001,A789))</f>
        <v/>
      </c>
      <c r="F789" s="13"/>
      <c r="G789" s="17" t="str">
        <f aca="false">IF(A789="","",E789-N(F789))</f>
        <v/>
      </c>
      <c r="H789" s="13"/>
      <c r="I789" s="17" t="str">
        <f aca="false">IF(A789="","",SUMIFS(Due_Payments!$C$2:$C$1001,Due_Payments!$B$2:$B$1001,A789))</f>
        <v/>
      </c>
      <c r="J789" s="17" t="str">
        <f aca="false">IF(A789="","",G789-N(H789)-I789)</f>
        <v/>
      </c>
      <c r="K789" s="7"/>
      <c r="L789" s="7"/>
      <c r="M789" s="7"/>
    </row>
    <row r="790" customFormat="false" ht="15" hidden="false" customHeight="true" outlineLevel="0" collapsed="false">
      <c r="A790" s="7"/>
      <c r="B790" s="15"/>
      <c r="C790" s="7"/>
      <c r="D790" s="7"/>
      <c r="E790" s="17" t="str">
        <f aca="false">IF(A790="","",SUMIFS(Sales_Items!$H$2:$H$3001,Sales_Items!$A$2:$A$3001,A790))</f>
        <v/>
      </c>
      <c r="F790" s="13"/>
      <c r="G790" s="17" t="str">
        <f aca="false">IF(A790="","",E790-N(F790))</f>
        <v/>
      </c>
      <c r="H790" s="13"/>
      <c r="I790" s="17" t="str">
        <f aca="false">IF(A790="","",SUMIFS(Due_Payments!$C$2:$C$1001,Due_Payments!$B$2:$B$1001,A790))</f>
        <v/>
      </c>
      <c r="J790" s="17" t="str">
        <f aca="false">IF(A790="","",G790-N(H790)-I790)</f>
        <v/>
      </c>
      <c r="K790" s="7"/>
      <c r="L790" s="7"/>
      <c r="M790" s="7"/>
    </row>
    <row r="791" customFormat="false" ht="15" hidden="false" customHeight="true" outlineLevel="0" collapsed="false">
      <c r="A791" s="7"/>
      <c r="B791" s="15"/>
      <c r="C791" s="7"/>
      <c r="D791" s="7"/>
      <c r="E791" s="17" t="str">
        <f aca="false">IF(A791="","",SUMIFS(Sales_Items!$H$2:$H$3001,Sales_Items!$A$2:$A$3001,A791))</f>
        <v/>
      </c>
      <c r="F791" s="13"/>
      <c r="G791" s="17" t="str">
        <f aca="false">IF(A791="","",E791-N(F791))</f>
        <v/>
      </c>
      <c r="H791" s="13"/>
      <c r="I791" s="17" t="str">
        <f aca="false">IF(A791="","",SUMIFS(Due_Payments!$C$2:$C$1001,Due_Payments!$B$2:$B$1001,A791))</f>
        <v/>
      </c>
      <c r="J791" s="17" t="str">
        <f aca="false">IF(A791="","",G791-N(H791)-I791)</f>
        <v/>
      </c>
      <c r="K791" s="7"/>
      <c r="L791" s="7"/>
      <c r="M791" s="7"/>
    </row>
    <row r="792" customFormat="false" ht="15" hidden="false" customHeight="true" outlineLevel="0" collapsed="false">
      <c r="A792" s="7"/>
      <c r="B792" s="15"/>
      <c r="C792" s="7"/>
      <c r="D792" s="7"/>
      <c r="E792" s="17" t="str">
        <f aca="false">IF(A792="","",SUMIFS(Sales_Items!$H$2:$H$3001,Sales_Items!$A$2:$A$3001,A792))</f>
        <v/>
      </c>
      <c r="F792" s="13"/>
      <c r="G792" s="17" t="str">
        <f aca="false">IF(A792="","",E792-N(F792))</f>
        <v/>
      </c>
      <c r="H792" s="13"/>
      <c r="I792" s="17" t="str">
        <f aca="false">IF(A792="","",SUMIFS(Due_Payments!$C$2:$C$1001,Due_Payments!$B$2:$B$1001,A792))</f>
        <v/>
      </c>
      <c r="J792" s="17" t="str">
        <f aca="false">IF(A792="","",G792-N(H792)-I792)</f>
        <v/>
      </c>
      <c r="K792" s="7"/>
      <c r="L792" s="7"/>
      <c r="M792" s="7"/>
    </row>
    <row r="793" customFormat="false" ht="15" hidden="false" customHeight="true" outlineLevel="0" collapsed="false">
      <c r="A793" s="7"/>
      <c r="B793" s="15"/>
      <c r="C793" s="7"/>
      <c r="D793" s="7"/>
      <c r="E793" s="17" t="str">
        <f aca="false">IF(A793="","",SUMIFS(Sales_Items!$H$2:$H$3001,Sales_Items!$A$2:$A$3001,A793))</f>
        <v/>
      </c>
      <c r="F793" s="13"/>
      <c r="G793" s="17" t="str">
        <f aca="false">IF(A793="","",E793-N(F793))</f>
        <v/>
      </c>
      <c r="H793" s="13"/>
      <c r="I793" s="17" t="str">
        <f aca="false">IF(A793="","",SUMIFS(Due_Payments!$C$2:$C$1001,Due_Payments!$B$2:$B$1001,A793))</f>
        <v/>
      </c>
      <c r="J793" s="17" t="str">
        <f aca="false">IF(A793="","",G793-N(H793)-I793)</f>
        <v/>
      </c>
      <c r="K793" s="7"/>
      <c r="L793" s="7"/>
      <c r="M793" s="7"/>
    </row>
    <row r="794" customFormat="false" ht="15" hidden="false" customHeight="true" outlineLevel="0" collapsed="false">
      <c r="A794" s="7"/>
      <c r="B794" s="15"/>
      <c r="C794" s="7"/>
      <c r="D794" s="7"/>
      <c r="E794" s="17" t="str">
        <f aca="false">IF(A794="","",SUMIFS(Sales_Items!$H$2:$H$3001,Sales_Items!$A$2:$A$3001,A794))</f>
        <v/>
      </c>
      <c r="F794" s="13"/>
      <c r="G794" s="17" t="str">
        <f aca="false">IF(A794="","",E794-N(F794))</f>
        <v/>
      </c>
      <c r="H794" s="13"/>
      <c r="I794" s="17" t="str">
        <f aca="false">IF(A794="","",SUMIFS(Due_Payments!$C$2:$C$1001,Due_Payments!$B$2:$B$1001,A794))</f>
        <v/>
      </c>
      <c r="J794" s="17" t="str">
        <f aca="false">IF(A794="","",G794-N(H794)-I794)</f>
        <v/>
      </c>
      <c r="K794" s="7"/>
      <c r="L794" s="7"/>
      <c r="M794" s="7"/>
    </row>
    <row r="795" customFormat="false" ht="15" hidden="false" customHeight="true" outlineLevel="0" collapsed="false">
      <c r="A795" s="7"/>
      <c r="B795" s="15"/>
      <c r="C795" s="7"/>
      <c r="D795" s="7"/>
      <c r="E795" s="17" t="str">
        <f aca="false">IF(A795="","",SUMIFS(Sales_Items!$H$2:$H$3001,Sales_Items!$A$2:$A$3001,A795))</f>
        <v/>
      </c>
      <c r="F795" s="13"/>
      <c r="G795" s="17" t="str">
        <f aca="false">IF(A795="","",E795-N(F795))</f>
        <v/>
      </c>
      <c r="H795" s="13"/>
      <c r="I795" s="17" t="str">
        <f aca="false">IF(A795="","",SUMIFS(Due_Payments!$C$2:$C$1001,Due_Payments!$B$2:$B$1001,A795))</f>
        <v/>
      </c>
      <c r="J795" s="17" t="str">
        <f aca="false">IF(A795="","",G795-N(H795)-I795)</f>
        <v/>
      </c>
      <c r="K795" s="7"/>
      <c r="L795" s="7"/>
      <c r="M795" s="7"/>
    </row>
    <row r="796" customFormat="false" ht="15" hidden="false" customHeight="true" outlineLevel="0" collapsed="false">
      <c r="A796" s="7"/>
      <c r="B796" s="15"/>
      <c r="C796" s="7"/>
      <c r="D796" s="7"/>
      <c r="E796" s="17" t="str">
        <f aca="false">IF(A796="","",SUMIFS(Sales_Items!$H$2:$H$3001,Sales_Items!$A$2:$A$3001,A796))</f>
        <v/>
      </c>
      <c r="F796" s="13"/>
      <c r="G796" s="17" t="str">
        <f aca="false">IF(A796="","",E796-N(F796))</f>
        <v/>
      </c>
      <c r="H796" s="13"/>
      <c r="I796" s="17" t="str">
        <f aca="false">IF(A796="","",SUMIFS(Due_Payments!$C$2:$C$1001,Due_Payments!$B$2:$B$1001,A796))</f>
        <v/>
      </c>
      <c r="J796" s="17" t="str">
        <f aca="false">IF(A796="","",G796-N(H796)-I796)</f>
        <v/>
      </c>
      <c r="K796" s="7"/>
      <c r="L796" s="7"/>
      <c r="M796" s="7"/>
    </row>
    <row r="797" customFormat="false" ht="15" hidden="false" customHeight="true" outlineLevel="0" collapsed="false">
      <c r="A797" s="7"/>
      <c r="B797" s="15"/>
      <c r="C797" s="7"/>
      <c r="D797" s="7"/>
      <c r="E797" s="17" t="str">
        <f aca="false">IF(A797="","",SUMIFS(Sales_Items!$H$2:$H$3001,Sales_Items!$A$2:$A$3001,A797))</f>
        <v/>
      </c>
      <c r="F797" s="13"/>
      <c r="G797" s="17" t="str">
        <f aca="false">IF(A797="","",E797-N(F797))</f>
        <v/>
      </c>
      <c r="H797" s="13"/>
      <c r="I797" s="17" t="str">
        <f aca="false">IF(A797="","",SUMIFS(Due_Payments!$C$2:$C$1001,Due_Payments!$B$2:$B$1001,A797))</f>
        <v/>
      </c>
      <c r="J797" s="17" t="str">
        <f aca="false">IF(A797="","",G797-N(H797)-I797)</f>
        <v/>
      </c>
      <c r="K797" s="7"/>
      <c r="L797" s="7"/>
      <c r="M797" s="7"/>
    </row>
    <row r="798" customFormat="false" ht="15" hidden="false" customHeight="true" outlineLevel="0" collapsed="false">
      <c r="A798" s="7"/>
      <c r="B798" s="15"/>
      <c r="C798" s="7"/>
      <c r="D798" s="7"/>
      <c r="E798" s="17" t="str">
        <f aca="false">IF(A798="","",SUMIFS(Sales_Items!$H$2:$H$3001,Sales_Items!$A$2:$A$3001,A798))</f>
        <v/>
      </c>
      <c r="F798" s="13"/>
      <c r="G798" s="17" t="str">
        <f aca="false">IF(A798="","",E798-N(F798))</f>
        <v/>
      </c>
      <c r="H798" s="13"/>
      <c r="I798" s="17" t="str">
        <f aca="false">IF(A798="","",SUMIFS(Due_Payments!$C$2:$C$1001,Due_Payments!$B$2:$B$1001,A798))</f>
        <v/>
      </c>
      <c r="J798" s="17" t="str">
        <f aca="false">IF(A798="","",G798-N(H798)-I798)</f>
        <v/>
      </c>
      <c r="K798" s="7"/>
      <c r="L798" s="7"/>
      <c r="M798" s="7"/>
    </row>
    <row r="799" customFormat="false" ht="15" hidden="false" customHeight="true" outlineLevel="0" collapsed="false">
      <c r="A799" s="7"/>
      <c r="B799" s="15"/>
      <c r="C799" s="7"/>
      <c r="D799" s="7"/>
      <c r="E799" s="17" t="str">
        <f aca="false">IF(A799="","",SUMIFS(Sales_Items!$H$2:$H$3001,Sales_Items!$A$2:$A$3001,A799))</f>
        <v/>
      </c>
      <c r="F799" s="13"/>
      <c r="G799" s="17" t="str">
        <f aca="false">IF(A799="","",E799-N(F799))</f>
        <v/>
      </c>
      <c r="H799" s="13"/>
      <c r="I799" s="17" t="str">
        <f aca="false">IF(A799="","",SUMIFS(Due_Payments!$C$2:$C$1001,Due_Payments!$B$2:$B$1001,A799))</f>
        <v/>
      </c>
      <c r="J799" s="17" t="str">
        <f aca="false">IF(A799="","",G799-N(H799)-I799)</f>
        <v/>
      </c>
      <c r="K799" s="7"/>
      <c r="L799" s="7"/>
      <c r="M799" s="7"/>
    </row>
    <row r="800" customFormat="false" ht="15" hidden="false" customHeight="true" outlineLevel="0" collapsed="false">
      <c r="A800" s="7"/>
      <c r="B800" s="15"/>
      <c r="C800" s="7"/>
      <c r="D800" s="7"/>
      <c r="E800" s="17" t="str">
        <f aca="false">IF(A800="","",SUMIFS(Sales_Items!$H$2:$H$3001,Sales_Items!$A$2:$A$3001,A800))</f>
        <v/>
      </c>
      <c r="F800" s="13"/>
      <c r="G800" s="17" t="str">
        <f aca="false">IF(A800="","",E800-N(F800))</f>
        <v/>
      </c>
      <c r="H800" s="13"/>
      <c r="I800" s="17" t="str">
        <f aca="false">IF(A800="","",SUMIFS(Due_Payments!$C$2:$C$1001,Due_Payments!$B$2:$B$1001,A800))</f>
        <v/>
      </c>
      <c r="J800" s="17" t="str">
        <f aca="false">IF(A800="","",G800-N(H800)-I800)</f>
        <v/>
      </c>
      <c r="K800" s="7"/>
      <c r="L800" s="7"/>
      <c r="M800" s="7"/>
    </row>
    <row r="801" customFormat="false" ht="15" hidden="false" customHeight="true" outlineLevel="0" collapsed="false">
      <c r="A801" s="7"/>
      <c r="B801" s="15"/>
      <c r="C801" s="7"/>
      <c r="D801" s="7"/>
      <c r="E801" s="17" t="str">
        <f aca="false">IF(A801="","",SUMIFS(Sales_Items!$H$2:$H$3001,Sales_Items!$A$2:$A$3001,A801))</f>
        <v/>
      </c>
      <c r="F801" s="13"/>
      <c r="G801" s="17" t="str">
        <f aca="false">IF(A801="","",E801-N(F801))</f>
        <v/>
      </c>
      <c r="H801" s="13"/>
      <c r="I801" s="17" t="str">
        <f aca="false">IF(A801="","",SUMIFS(Due_Payments!$C$2:$C$1001,Due_Payments!$B$2:$B$1001,A801))</f>
        <v/>
      </c>
      <c r="J801" s="17" t="str">
        <f aca="false">IF(A801="","",G801-N(H801)-I801)</f>
        <v/>
      </c>
      <c r="K801" s="7"/>
      <c r="L801" s="7"/>
      <c r="M801" s="7"/>
    </row>
    <row r="802" customFormat="false" ht="15" hidden="false" customHeight="true" outlineLevel="0" collapsed="false">
      <c r="A802" s="7"/>
      <c r="B802" s="15"/>
      <c r="C802" s="7"/>
      <c r="D802" s="7"/>
      <c r="E802" s="17" t="str">
        <f aca="false">IF(A802="","",SUMIFS(Sales_Items!$H$2:$H$3001,Sales_Items!$A$2:$A$3001,A802))</f>
        <v/>
      </c>
      <c r="F802" s="13"/>
      <c r="G802" s="17" t="str">
        <f aca="false">IF(A802="","",E802-N(F802))</f>
        <v/>
      </c>
      <c r="H802" s="13"/>
      <c r="I802" s="17" t="str">
        <f aca="false">IF(A802="","",SUMIFS(Due_Payments!$C$2:$C$1001,Due_Payments!$B$2:$B$1001,A802))</f>
        <v/>
      </c>
      <c r="J802" s="17" t="str">
        <f aca="false">IF(A802="","",G802-N(H802)-I802)</f>
        <v/>
      </c>
      <c r="K802" s="7"/>
      <c r="L802" s="7"/>
      <c r="M802" s="7"/>
    </row>
    <row r="803" customFormat="false" ht="15" hidden="false" customHeight="true" outlineLevel="0" collapsed="false">
      <c r="A803" s="7"/>
      <c r="B803" s="15"/>
      <c r="C803" s="7"/>
      <c r="D803" s="7"/>
      <c r="E803" s="17" t="str">
        <f aca="false">IF(A803="","",SUMIFS(Sales_Items!$H$2:$H$3001,Sales_Items!$A$2:$A$3001,A803))</f>
        <v/>
      </c>
      <c r="F803" s="13"/>
      <c r="G803" s="17" t="str">
        <f aca="false">IF(A803="","",E803-N(F803))</f>
        <v/>
      </c>
      <c r="H803" s="13"/>
      <c r="I803" s="17" t="str">
        <f aca="false">IF(A803="","",SUMIFS(Due_Payments!$C$2:$C$1001,Due_Payments!$B$2:$B$1001,A803))</f>
        <v/>
      </c>
      <c r="J803" s="17" t="str">
        <f aca="false">IF(A803="","",G803-N(H803)-I803)</f>
        <v/>
      </c>
      <c r="K803" s="7"/>
      <c r="L803" s="7"/>
      <c r="M803" s="7"/>
    </row>
    <row r="804" customFormat="false" ht="15" hidden="false" customHeight="true" outlineLevel="0" collapsed="false">
      <c r="A804" s="7"/>
      <c r="B804" s="15"/>
      <c r="C804" s="7"/>
      <c r="D804" s="7"/>
      <c r="E804" s="17" t="str">
        <f aca="false">IF(A804="","",SUMIFS(Sales_Items!$H$2:$H$3001,Sales_Items!$A$2:$A$3001,A804))</f>
        <v/>
      </c>
      <c r="F804" s="13"/>
      <c r="G804" s="17" t="str">
        <f aca="false">IF(A804="","",E804-N(F804))</f>
        <v/>
      </c>
      <c r="H804" s="13"/>
      <c r="I804" s="17" t="str">
        <f aca="false">IF(A804="","",SUMIFS(Due_Payments!$C$2:$C$1001,Due_Payments!$B$2:$B$1001,A804))</f>
        <v/>
      </c>
      <c r="J804" s="17" t="str">
        <f aca="false">IF(A804="","",G804-N(H804)-I804)</f>
        <v/>
      </c>
      <c r="K804" s="7"/>
      <c r="L804" s="7"/>
      <c r="M804" s="7"/>
    </row>
    <row r="805" customFormat="false" ht="15" hidden="false" customHeight="true" outlineLevel="0" collapsed="false">
      <c r="A805" s="7"/>
      <c r="B805" s="15"/>
      <c r="C805" s="7"/>
      <c r="D805" s="7"/>
      <c r="E805" s="17" t="str">
        <f aca="false">IF(A805="","",SUMIFS(Sales_Items!$H$2:$H$3001,Sales_Items!$A$2:$A$3001,A805))</f>
        <v/>
      </c>
      <c r="F805" s="13"/>
      <c r="G805" s="17" t="str">
        <f aca="false">IF(A805="","",E805-N(F805))</f>
        <v/>
      </c>
      <c r="H805" s="13"/>
      <c r="I805" s="17" t="str">
        <f aca="false">IF(A805="","",SUMIFS(Due_Payments!$C$2:$C$1001,Due_Payments!$B$2:$B$1001,A805))</f>
        <v/>
      </c>
      <c r="J805" s="17" t="str">
        <f aca="false">IF(A805="","",G805-N(H805)-I805)</f>
        <v/>
      </c>
      <c r="K805" s="7"/>
      <c r="L805" s="7"/>
      <c r="M805" s="7"/>
    </row>
    <row r="806" customFormat="false" ht="15" hidden="false" customHeight="true" outlineLevel="0" collapsed="false">
      <c r="A806" s="7"/>
      <c r="B806" s="15"/>
      <c r="C806" s="7"/>
      <c r="D806" s="7"/>
      <c r="E806" s="17" t="str">
        <f aca="false">IF(A806="","",SUMIFS(Sales_Items!$H$2:$H$3001,Sales_Items!$A$2:$A$3001,A806))</f>
        <v/>
      </c>
      <c r="F806" s="13"/>
      <c r="G806" s="17" t="str">
        <f aca="false">IF(A806="","",E806-N(F806))</f>
        <v/>
      </c>
      <c r="H806" s="13"/>
      <c r="I806" s="17" t="str">
        <f aca="false">IF(A806="","",SUMIFS(Due_Payments!$C$2:$C$1001,Due_Payments!$B$2:$B$1001,A806))</f>
        <v/>
      </c>
      <c r="J806" s="17" t="str">
        <f aca="false">IF(A806="","",G806-N(H806)-I806)</f>
        <v/>
      </c>
      <c r="K806" s="7"/>
      <c r="L806" s="7"/>
      <c r="M806" s="7"/>
    </row>
    <row r="807" customFormat="false" ht="15" hidden="false" customHeight="true" outlineLevel="0" collapsed="false">
      <c r="A807" s="7"/>
      <c r="B807" s="15"/>
      <c r="C807" s="7"/>
      <c r="D807" s="7"/>
      <c r="E807" s="17" t="str">
        <f aca="false">IF(A807="","",SUMIFS(Sales_Items!$H$2:$H$3001,Sales_Items!$A$2:$A$3001,A807))</f>
        <v/>
      </c>
      <c r="F807" s="13"/>
      <c r="G807" s="17" t="str">
        <f aca="false">IF(A807="","",E807-N(F807))</f>
        <v/>
      </c>
      <c r="H807" s="13"/>
      <c r="I807" s="17" t="str">
        <f aca="false">IF(A807="","",SUMIFS(Due_Payments!$C$2:$C$1001,Due_Payments!$B$2:$B$1001,A807))</f>
        <v/>
      </c>
      <c r="J807" s="17" t="str">
        <f aca="false">IF(A807="","",G807-N(H807)-I807)</f>
        <v/>
      </c>
      <c r="K807" s="7"/>
      <c r="L807" s="7"/>
      <c r="M807" s="7"/>
    </row>
    <row r="808" customFormat="false" ht="15" hidden="false" customHeight="true" outlineLevel="0" collapsed="false">
      <c r="A808" s="7"/>
      <c r="B808" s="15"/>
      <c r="C808" s="7"/>
      <c r="D808" s="7"/>
      <c r="E808" s="17" t="str">
        <f aca="false">IF(A808="","",SUMIFS(Sales_Items!$H$2:$H$3001,Sales_Items!$A$2:$A$3001,A808))</f>
        <v/>
      </c>
      <c r="F808" s="13"/>
      <c r="G808" s="17" t="str">
        <f aca="false">IF(A808="","",E808-N(F808))</f>
        <v/>
      </c>
      <c r="H808" s="13"/>
      <c r="I808" s="17" t="str">
        <f aca="false">IF(A808="","",SUMIFS(Due_Payments!$C$2:$C$1001,Due_Payments!$B$2:$B$1001,A808))</f>
        <v/>
      </c>
      <c r="J808" s="17" t="str">
        <f aca="false">IF(A808="","",G808-N(H808)-I808)</f>
        <v/>
      </c>
      <c r="K808" s="7"/>
      <c r="L808" s="7"/>
      <c r="M808" s="7"/>
    </row>
    <row r="809" customFormat="false" ht="15" hidden="false" customHeight="true" outlineLevel="0" collapsed="false">
      <c r="A809" s="7"/>
      <c r="B809" s="15"/>
      <c r="C809" s="7"/>
      <c r="D809" s="7"/>
      <c r="E809" s="17" t="str">
        <f aca="false">IF(A809="","",SUMIFS(Sales_Items!$H$2:$H$3001,Sales_Items!$A$2:$A$3001,A809))</f>
        <v/>
      </c>
      <c r="F809" s="13"/>
      <c r="G809" s="17" t="str">
        <f aca="false">IF(A809="","",E809-N(F809))</f>
        <v/>
      </c>
      <c r="H809" s="13"/>
      <c r="I809" s="17" t="str">
        <f aca="false">IF(A809="","",SUMIFS(Due_Payments!$C$2:$C$1001,Due_Payments!$B$2:$B$1001,A809))</f>
        <v/>
      </c>
      <c r="J809" s="17" t="str">
        <f aca="false">IF(A809="","",G809-N(H809)-I809)</f>
        <v/>
      </c>
      <c r="K809" s="7"/>
      <c r="L809" s="7"/>
      <c r="M809" s="7"/>
    </row>
    <row r="810" customFormat="false" ht="15" hidden="false" customHeight="true" outlineLevel="0" collapsed="false">
      <c r="A810" s="7"/>
      <c r="B810" s="15"/>
      <c r="C810" s="7"/>
      <c r="D810" s="7"/>
      <c r="E810" s="17" t="str">
        <f aca="false">IF(A810="","",SUMIFS(Sales_Items!$H$2:$H$3001,Sales_Items!$A$2:$A$3001,A810))</f>
        <v/>
      </c>
      <c r="F810" s="13"/>
      <c r="G810" s="17" t="str">
        <f aca="false">IF(A810="","",E810-N(F810))</f>
        <v/>
      </c>
      <c r="H810" s="13"/>
      <c r="I810" s="17" t="str">
        <f aca="false">IF(A810="","",SUMIFS(Due_Payments!$C$2:$C$1001,Due_Payments!$B$2:$B$1001,A810))</f>
        <v/>
      </c>
      <c r="J810" s="17" t="str">
        <f aca="false">IF(A810="","",G810-N(H810)-I810)</f>
        <v/>
      </c>
      <c r="K810" s="7"/>
      <c r="L810" s="7"/>
      <c r="M810" s="7"/>
    </row>
    <row r="811" customFormat="false" ht="15" hidden="false" customHeight="true" outlineLevel="0" collapsed="false">
      <c r="A811" s="7"/>
      <c r="B811" s="15"/>
      <c r="C811" s="7"/>
      <c r="D811" s="7"/>
      <c r="E811" s="17" t="str">
        <f aca="false">IF(A811="","",SUMIFS(Sales_Items!$H$2:$H$3001,Sales_Items!$A$2:$A$3001,A811))</f>
        <v/>
      </c>
      <c r="F811" s="13"/>
      <c r="G811" s="17" t="str">
        <f aca="false">IF(A811="","",E811-N(F811))</f>
        <v/>
      </c>
      <c r="H811" s="13"/>
      <c r="I811" s="17" t="str">
        <f aca="false">IF(A811="","",SUMIFS(Due_Payments!$C$2:$C$1001,Due_Payments!$B$2:$B$1001,A811))</f>
        <v/>
      </c>
      <c r="J811" s="17" t="str">
        <f aca="false">IF(A811="","",G811-N(H811)-I811)</f>
        <v/>
      </c>
      <c r="K811" s="7"/>
      <c r="L811" s="7"/>
      <c r="M811" s="7"/>
    </row>
    <row r="812" customFormat="false" ht="15" hidden="false" customHeight="true" outlineLevel="0" collapsed="false">
      <c r="A812" s="7"/>
      <c r="B812" s="15"/>
      <c r="C812" s="7"/>
      <c r="D812" s="7"/>
      <c r="E812" s="17" t="str">
        <f aca="false">IF(A812="","",SUMIFS(Sales_Items!$H$2:$H$3001,Sales_Items!$A$2:$A$3001,A812))</f>
        <v/>
      </c>
      <c r="F812" s="13"/>
      <c r="G812" s="17" t="str">
        <f aca="false">IF(A812="","",E812-N(F812))</f>
        <v/>
      </c>
      <c r="H812" s="13"/>
      <c r="I812" s="17" t="str">
        <f aca="false">IF(A812="","",SUMIFS(Due_Payments!$C$2:$C$1001,Due_Payments!$B$2:$B$1001,A812))</f>
        <v/>
      </c>
      <c r="J812" s="17" t="str">
        <f aca="false">IF(A812="","",G812-N(H812)-I812)</f>
        <v/>
      </c>
      <c r="K812" s="7"/>
      <c r="L812" s="7"/>
      <c r="M812" s="7"/>
    </row>
    <row r="813" customFormat="false" ht="15" hidden="false" customHeight="true" outlineLevel="0" collapsed="false">
      <c r="A813" s="7"/>
      <c r="B813" s="15"/>
      <c r="C813" s="7"/>
      <c r="D813" s="7"/>
      <c r="E813" s="17" t="str">
        <f aca="false">IF(A813="","",SUMIFS(Sales_Items!$H$2:$H$3001,Sales_Items!$A$2:$A$3001,A813))</f>
        <v/>
      </c>
      <c r="F813" s="13"/>
      <c r="G813" s="17" t="str">
        <f aca="false">IF(A813="","",E813-N(F813))</f>
        <v/>
      </c>
      <c r="H813" s="13"/>
      <c r="I813" s="17" t="str">
        <f aca="false">IF(A813="","",SUMIFS(Due_Payments!$C$2:$C$1001,Due_Payments!$B$2:$B$1001,A813))</f>
        <v/>
      </c>
      <c r="J813" s="17" t="str">
        <f aca="false">IF(A813="","",G813-N(H813)-I813)</f>
        <v/>
      </c>
      <c r="K813" s="7"/>
      <c r="L813" s="7"/>
      <c r="M813" s="7"/>
    </row>
    <row r="814" customFormat="false" ht="15" hidden="false" customHeight="true" outlineLevel="0" collapsed="false">
      <c r="A814" s="7"/>
      <c r="B814" s="15"/>
      <c r="C814" s="7"/>
      <c r="D814" s="7"/>
      <c r="E814" s="17" t="str">
        <f aca="false">IF(A814="","",SUMIFS(Sales_Items!$H$2:$H$3001,Sales_Items!$A$2:$A$3001,A814))</f>
        <v/>
      </c>
      <c r="F814" s="13"/>
      <c r="G814" s="17" t="str">
        <f aca="false">IF(A814="","",E814-N(F814))</f>
        <v/>
      </c>
      <c r="H814" s="13"/>
      <c r="I814" s="17" t="str">
        <f aca="false">IF(A814="","",SUMIFS(Due_Payments!$C$2:$C$1001,Due_Payments!$B$2:$B$1001,A814))</f>
        <v/>
      </c>
      <c r="J814" s="17" t="str">
        <f aca="false">IF(A814="","",G814-N(H814)-I814)</f>
        <v/>
      </c>
      <c r="K814" s="7"/>
      <c r="L814" s="7"/>
      <c r="M814" s="7"/>
    </row>
    <row r="815" customFormat="false" ht="15" hidden="false" customHeight="true" outlineLevel="0" collapsed="false">
      <c r="A815" s="7"/>
      <c r="B815" s="15"/>
      <c r="C815" s="7"/>
      <c r="D815" s="7"/>
      <c r="E815" s="17" t="str">
        <f aca="false">IF(A815="","",SUMIFS(Sales_Items!$H$2:$H$3001,Sales_Items!$A$2:$A$3001,A815))</f>
        <v/>
      </c>
      <c r="F815" s="13"/>
      <c r="G815" s="17" t="str">
        <f aca="false">IF(A815="","",E815-N(F815))</f>
        <v/>
      </c>
      <c r="H815" s="13"/>
      <c r="I815" s="17" t="str">
        <f aca="false">IF(A815="","",SUMIFS(Due_Payments!$C$2:$C$1001,Due_Payments!$B$2:$B$1001,A815))</f>
        <v/>
      </c>
      <c r="J815" s="17" t="str">
        <f aca="false">IF(A815="","",G815-N(H815)-I815)</f>
        <v/>
      </c>
      <c r="K815" s="7"/>
      <c r="L815" s="7"/>
      <c r="M815" s="7"/>
    </row>
    <row r="816" customFormat="false" ht="15" hidden="false" customHeight="true" outlineLevel="0" collapsed="false">
      <c r="A816" s="7"/>
      <c r="B816" s="15"/>
      <c r="C816" s="7"/>
      <c r="D816" s="7"/>
      <c r="E816" s="17" t="str">
        <f aca="false">IF(A816="","",SUMIFS(Sales_Items!$H$2:$H$3001,Sales_Items!$A$2:$A$3001,A816))</f>
        <v/>
      </c>
      <c r="F816" s="13"/>
      <c r="G816" s="17" t="str">
        <f aca="false">IF(A816="","",E816-N(F816))</f>
        <v/>
      </c>
      <c r="H816" s="13"/>
      <c r="I816" s="17" t="str">
        <f aca="false">IF(A816="","",SUMIFS(Due_Payments!$C$2:$C$1001,Due_Payments!$B$2:$B$1001,A816))</f>
        <v/>
      </c>
      <c r="J816" s="17" t="str">
        <f aca="false">IF(A816="","",G816-N(H816)-I816)</f>
        <v/>
      </c>
      <c r="K816" s="7"/>
      <c r="L816" s="7"/>
      <c r="M816" s="7"/>
    </row>
    <row r="817" customFormat="false" ht="15" hidden="false" customHeight="true" outlineLevel="0" collapsed="false">
      <c r="A817" s="7"/>
      <c r="B817" s="15"/>
      <c r="C817" s="7"/>
      <c r="D817" s="7"/>
      <c r="E817" s="17" t="str">
        <f aca="false">IF(A817="","",SUMIFS(Sales_Items!$H$2:$H$3001,Sales_Items!$A$2:$A$3001,A817))</f>
        <v/>
      </c>
      <c r="F817" s="13"/>
      <c r="G817" s="17" t="str">
        <f aca="false">IF(A817="","",E817-N(F817))</f>
        <v/>
      </c>
      <c r="H817" s="13"/>
      <c r="I817" s="17" t="str">
        <f aca="false">IF(A817="","",SUMIFS(Due_Payments!$C$2:$C$1001,Due_Payments!$B$2:$B$1001,A817))</f>
        <v/>
      </c>
      <c r="J817" s="17" t="str">
        <f aca="false">IF(A817="","",G817-N(H817)-I817)</f>
        <v/>
      </c>
      <c r="K817" s="7"/>
      <c r="L817" s="7"/>
      <c r="M817" s="7"/>
    </row>
    <row r="818" customFormat="false" ht="15" hidden="false" customHeight="true" outlineLevel="0" collapsed="false">
      <c r="A818" s="7"/>
      <c r="B818" s="15"/>
      <c r="C818" s="7"/>
      <c r="D818" s="7"/>
      <c r="E818" s="17" t="str">
        <f aca="false">IF(A818="","",SUMIFS(Sales_Items!$H$2:$H$3001,Sales_Items!$A$2:$A$3001,A818))</f>
        <v/>
      </c>
      <c r="F818" s="13"/>
      <c r="G818" s="17" t="str">
        <f aca="false">IF(A818="","",E818-N(F818))</f>
        <v/>
      </c>
      <c r="H818" s="13"/>
      <c r="I818" s="17" t="str">
        <f aca="false">IF(A818="","",SUMIFS(Due_Payments!$C$2:$C$1001,Due_Payments!$B$2:$B$1001,A818))</f>
        <v/>
      </c>
      <c r="J818" s="17" t="str">
        <f aca="false">IF(A818="","",G818-N(H818)-I818)</f>
        <v/>
      </c>
      <c r="K818" s="7"/>
      <c r="L818" s="7"/>
      <c r="M818" s="7"/>
    </row>
    <row r="819" customFormat="false" ht="15" hidden="false" customHeight="true" outlineLevel="0" collapsed="false">
      <c r="A819" s="7"/>
      <c r="B819" s="15"/>
      <c r="C819" s="7"/>
      <c r="D819" s="7"/>
      <c r="E819" s="17" t="str">
        <f aca="false">IF(A819="","",SUMIFS(Sales_Items!$H$2:$H$3001,Sales_Items!$A$2:$A$3001,A819))</f>
        <v/>
      </c>
      <c r="F819" s="13"/>
      <c r="G819" s="17" t="str">
        <f aca="false">IF(A819="","",E819-N(F819))</f>
        <v/>
      </c>
      <c r="H819" s="13"/>
      <c r="I819" s="17" t="str">
        <f aca="false">IF(A819="","",SUMIFS(Due_Payments!$C$2:$C$1001,Due_Payments!$B$2:$B$1001,A819))</f>
        <v/>
      </c>
      <c r="J819" s="17" t="str">
        <f aca="false">IF(A819="","",G819-N(H819)-I819)</f>
        <v/>
      </c>
      <c r="K819" s="7"/>
      <c r="L819" s="7"/>
      <c r="M819" s="7"/>
    </row>
    <row r="820" customFormat="false" ht="15" hidden="false" customHeight="true" outlineLevel="0" collapsed="false">
      <c r="A820" s="7"/>
      <c r="B820" s="15"/>
      <c r="C820" s="7"/>
      <c r="D820" s="7"/>
      <c r="E820" s="17" t="str">
        <f aca="false">IF(A820="","",SUMIFS(Sales_Items!$H$2:$H$3001,Sales_Items!$A$2:$A$3001,A820))</f>
        <v/>
      </c>
      <c r="F820" s="13"/>
      <c r="G820" s="17" t="str">
        <f aca="false">IF(A820="","",E820-N(F820))</f>
        <v/>
      </c>
      <c r="H820" s="13"/>
      <c r="I820" s="17" t="str">
        <f aca="false">IF(A820="","",SUMIFS(Due_Payments!$C$2:$C$1001,Due_Payments!$B$2:$B$1001,A820))</f>
        <v/>
      </c>
      <c r="J820" s="17" t="str">
        <f aca="false">IF(A820="","",G820-N(H820)-I820)</f>
        <v/>
      </c>
      <c r="K820" s="7"/>
      <c r="L820" s="7"/>
      <c r="M820" s="7"/>
    </row>
    <row r="821" customFormat="false" ht="15" hidden="false" customHeight="true" outlineLevel="0" collapsed="false">
      <c r="A821" s="7"/>
      <c r="B821" s="15"/>
      <c r="C821" s="7"/>
      <c r="D821" s="7"/>
      <c r="E821" s="17" t="str">
        <f aca="false">IF(A821="","",SUMIFS(Sales_Items!$H$2:$H$3001,Sales_Items!$A$2:$A$3001,A821))</f>
        <v/>
      </c>
      <c r="F821" s="13"/>
      <c r="G821" s="17" t="str">
        <f aca="false">IF(A821="","",E821-N(F821))</f>
        <v/>
      </c>
      <c r="H821" s="13"/>
      <c r="I821" s="17" t="str">
        <f aca="false">IF(A821="","",SUMIFS(Due_Payments!$C$2:$C$1001,Due_Payments!$B$2:$B$1001,A821))</f>
        <v/>
      </c>
      <c r="J821" s="17" t="str">
        <f aca="false">IF(A821="","",G821-N(H821)-I821)</f>
        <v/>
      </c>
      <c r="K821" s="7"/>
      <c r="L821" s="7"/>
      <c r="M821" s="7"/>
    </row>
    <row r="822" customFormat="false" ht="15" hidden="false" customHeight="true" outlineLevel="0" collapsed="false">
      <c r="A822" s="7"/>
      <c r="B822" s="15"/>
      <c r="C822" s="7"/>
      <c r="D822" s="7"/>
      <c r="E822" s="17" t="str">
        <f aca="false">IF(A822="","",SUMIFS(Sales_Items!$H$2:$H$3001,Sales_Items!$A$2:$A$3001,A822))</f>
        <v/>
      </c>
      <c r="F822" s="13"/>
      <c r="G822" s="17" t="str">
        <f aca="false">IF(A822="","",E822-N(F822))</f>
        <v/>
      </c>
      <c r="H822" s="13"/>
      <c r="I822" s="17" t="str">
        <f aca="false">IF(A822="","",SUMIFS(Due_Payments!$C$2:$C$1001,Due_Payments!$B$2:$B$1001,A822))</f>
        <v/>
      </c>
      <c r="J822" s="17" t="str">
        <f aca="false">IF(A822="","",G822-N(H822)-I822)</f>
        <v/>
      </c>
      <c r="K822" s="7"/>
      <c r="L822" s="7"/>
      <c r="M822" s="7"/>
    </row>
    <row r="823" customFormat="false" ht="15" hidden="false" customHeight="true" outlineLevel="0" collapsed="false">
      <c r="A823" s="7"/>
      <c r="B823" s="15"/>
      <c r="C823" s="7"/>
      <c r="D823" s="7"/>
      <c r="E823" s="17" t="str">
        <f aca="false">IF(A823="","",SUMIFS(Sales_Items!$H$2:$H$3001,Sales_Items!$A$2:$A$3001,A823))</f>
        <v/>
      </c>
      <c r="F823" s="13"/>
      <c r="G823" s="17" t="str">
        <f aca="false">IF(A823="","",E823-N(F823))</f>
        <v/>
      </c>
      <c r="H823" s="13"/>
      <c r="I823" s="17" t="str">
        <f aca="false">IF(A823="","",SUMIFS(Due_Payments!$C$2:$C$1001,Due_Payments!$B$2:$B$1001,A823))</f>
        <v/>
      </c>
      <c r="J823" s="17" t="str">
        <f aca="false">IF(A823="","",G823-N(H823)-I823)</f>
        <v/>
      </c>
      <c r="K823" s="7"/>
      <c r="L823" s="7"/>
      <c r="M823" s="7"/>
    </row>
    <row r="824" customFormat="false" ht="15" hidden="false" customHeight="true" outlineLevel="0" collapsed="false">
      <c r="A824" s="7"/>
      <c r="B824" s="15"/>
      <c r="C824" s="7"/>
      <c r="D824" s="7"/>
      <c r="E824" s="17" t="str">
        <f aca="false">IF(A824="","",SUMIFS(Sales_Items!$H$2:$H$3001,Sales_Items!$A$2:$A$3001,A824))</f>
        <v/>
      </c>
      <c r="F824" s="13"/>
      <c r="G824" s="17" t="str">
        <f aca="false">IF(A824="","",E824-N(F824))</f>
        <v/>
      </c>
      <c r="H824" s="13"/>
      <c r="I824" s="17" t="str">
        <f aca="false">IF(A824="","",SUMIFS(Due_Payments!$C$2:$C$1001,Due_Payments!$B$2:$B$1001,A824))</f>
        <v/>
      </c>
      <c r="J824" s="17" t="str">
        <f aca="false">IF(A824="","",G824-N(H824)-I824)</f>
        <v/>
      </c>
      <c r="K824" s="7"/>
      <c r="L824" s="7"/>
      <c r="M824" s="7"/>
    </row>
    <row r="825" customFormat="false" ht="15" hidden="false" customHeight="true" outlineLevel="0" collapsed="false">
      <c r="A825" s="7"/>
      <c r="B825" s="15"/>
      <c r="C825" s="7"/>
      <c r="D825" s="7"/>
      <c r="E825" s="17" t="str">
        <f aca="false">IF(A825="","",SUMIFS(Sales_Items!$H$2:$H$3001,Sales_Items!$A$2:$A$3001,A825))</f>
        <v/>
      </c>
      <c r="F825" s="13"/>
      <c r="G825" s="17" t="str">
        <f aca="false">IF(A825="","",E825-N(F825))</f>
        <v/>
      </c>
      <c r="H825" s="13"/>
      <c r="I825" s="17" t="str">
        <f aca="false">IF(A825="","",SUMIFS(Due_Payments!$C$2:$C$1001,Due_Payments!$B$2:$B$1001,A825))</f>
        <v/>
      </c>
      <c r="J825" s="17" t="str">
        <f aca="false">IF(A825="","",G825-N(H825)-I825)</f>
        <v/>
      </c>
      <c r="K825" s="7"/>
      <c r="L825" s="7"/>
      <c r="M825" s="7"/>
    </row>
    <row r="826" customFormat="false" ht="15" hidden="false" customHeight="true" outlineLevel="0" collapsed="false">
      <c r="A826" s="7"/>
      <c r="B826" s="15"/>
      <c r="C826" s="7"/>
      <c r="D826" s="7"/>
      <c r="E826" s="17" t="str">
        <f aca="false">IF(A826="","",SUMIFS(Sales_Items!$H$2:$H$3001,Sales_Items!$A$2:$A$3001,A826))</f>
        <v/>
      </c>
      <c r="F826" s="13"/>
      <c r="G826" s="17" t="str">
        <f aca="false">IF(A826="","",E826-N(F826))</f>
        <v/>
      </c>
      <c r="H826" s="13"/>
      <c r="I826" s="17" t="str">
        <f aca="false">IF(A826="","",SUMIFS(Due_Payments!$C$2:$C$1001,Due_Payments!$B$2:$B$1001,A826))</f>
        <v/>
      </c>
      <c r="J826" s="17" t="str">
        <f aca="false">IF(A826="","",G826-N(H826)-I826)</f>
        <v/>
      </c>
      <c r="K826" s="7"/>
      <c r="L826" s="7"/>
      <c r="M826" s="7"/>
    </row>
    <row r="827" customFormat="false" ht="15" hidden="false" customHeight="true" outlineLevel="0" collapsed="false">
      <c r="A827" s="7"/>
      <c r="B827" s="15"/>
      <c r="C827" s="7"/>
      <c r="D827" s="7"/>
      <c r="E827" s="17" t="str">
        <f aca="false">IF(A827="","",SUMIFS(Sales_Items!$H$2:$H$3001,Sales_Items!$A$2:$A$3001,A827))</f>
        <v/>
      </c>
      <c r="F827" s="13"/>
      <c r="G827" s="17" t="str">
        <f aca="false">IF(A827="","",E827-N(F827))</f>
        <v/>
      </c>
      <c r="H827" s="13"/>
      <c r="I827" s="17" t="str">
        <f aca="false">IF(A827="","",SUMIFS(Due_Payments!$C$2:$C$1001,Due_Payments!$B$2:$B$1001,A827))</f>
        <v/>
      </c>
      <c r="J827" s="17" t="str">
        <f aca="false">IF(A827="","",G827-N(H827)-I827)</f>
        <v/>
      </c>
      <c r="K827" s="7"/>
      <c r="L827" s="7"/>
      <c r="M827" s="7"/>
    </row>
    <row r="828" customFormat="false" ht="15" hidden="false" customHeight="true" outlineLevel="0" collapsed="false">
      <c r="A828" s="7"/>
      <c r="B828" s="15"/>
      <c r="C828" s="7"/>
      <c r="D828" s="7"/>
      <c r="E828" s="17" t="str">
        <f aca="false">IF(A828="","",SUMIFS(Sales_Items!$H$2:$H$3001,Sales_Items!$A$2:$A$3001,A828))</f>
        <v/>
      </c>
      <c r="F828" s="13"/>
      <c r="G828" s="17" t="str">
        <f aca="false">IF(A828="","",E828-N(F828))</f>
        <v/>
      </c>
      <c r="H828" s="13"/>
      <c r="I828" s="17" t="str">
        <f aca="false">IF(A828="","",SUMIFS(Due_Payments!$C$2:$C$1001,Due_Payments!$B$2:$B$1001,A828))</f>
        <v/>
      </c>
      <c r="J828" s="17" t="str">
        <f aca="false">IF(A828="","",G828-N(H828)-I828)</f>
        <v/>
      </c>
      <c r="K828" s="7"/>
      <c r="L828" s="7"/>
      <c r="M828" s="7"/>
    </row>
    <row r="829" customFormat="false" ht="15" hidden="false" customHeight="true" outlineLevel="0" collapsed="false">
      <c r="A829" s="7"/>
      <c r="B829" s="15"/>
      <c r="C829" s="7"/>
      <c r="D829" s="7"/>
      <c r="E829" s="17" t="str">
        <f aca="false">IF(A829="","",SUMIFS(Sales_Items!$H$2:$H$3001,Sales_Items!$A$2:$A$3001,A829))</f>
        <v/>
      </c>
      <c r="F829" s="13"/>
      <c r="G829" s="17" t="str">
        <f aca="false">IF(A829="","",E829-N(F829))</f>
        <v/>
      </c>
      <c r="H829" s="13"/>
      <c r="I829" s="17" t="str">
        <f aca="false">IF(A829="","",SUMIFS(Due_Payments!$C$2:$C$1001,Due_Payments!$B$2:$B$1001,A829))</f>
        <v/>
      </c>
      <c r="J829" s="17" t="str">
        <f aca="false">IF(A829="","",G829-N(H829)-I829)</f>
        <v/>
      </c>
      <c r="K829" s="7"/>
      <c r="L829" s="7"/>
      <c r="M829" s="7"/>
    </row>
    <row r="830" customFormat="false" ht="15" hidden="false" customHeight="true" outlineLevel="0" collapsed="false">
      <c r="A830" s="7"/>
      <c r="B830" s="15"/>
      <c r="C830" s="7"/>
      <c r="D830" s="7"/>
      <c r="E830" s="17" t="str">
        <f aca="false">IF(A830="","",SUMIFS(Sales_Items!$H$2:$H$3001,Sales_Items!$A$2:$A$3001,A830))</f>
        <v/>
      </c>
      <c r="F830" s="13"/>
      <c r="G830" s="17" t="str">
        <f aca="false">IF(A830="","",E830-N(F830))</f>
        <v/>
      </c>
      <c r="H830" s="13"/>
      <c r="I830" s="17" t="str">
        <f aca="false">IF(A830="","",SUMIFS(Due_Payments!$C$2:$C$1001,Due_Payments!$B$2:$B$1001,A830))</f>
        <v/>
      </c>
      <c r="J830" s="17" t="str">
        <f aca="false">IF(A830="","",G830-N(H830)-I830)</f>
        <v/>
      </c>
      <c r="K830" s="7"/>
      <c r="L830" s="7"/>
      <c r="M830" s="7"/>
    </row>
    <row r="831" customFormat="false" ht="15" hidden="false" customHeight="true" outlineLevel="0" collapsed="false">
      <c r="A831" s="7"/>
      <c r="B831" s="15"/>
      <c r="C831" s="7"/>
      <c r="D831" s="7"/>
      <c r="E831" s="17" t="str">
        <f aca="false">IF(A831="","",SUMIFS(Sales_Items!$H$2:$H$3001,Sales_Items!$A$2:$A$3001,A831))</f>
        <v/>
      </c>
      <c r="F831" s="13"/>
      <c r="G831" s="17" t="str">
        <f aca="false">IF(A831="","",E831-N(F831))</f>
        <v/>
      </c>
      <c r="H831" s="13"/>
      <c r="I831" s="17" t="str">
        <f aca="false">IF(A831="","",SUMIFS(Due_Payments!$C$2:$C$1001,Due_Payments!$B$2:$B$1001,A831))</f>
        <v/>
      </c>
      <c r="J831" s="17" t="str">
        <f aca="false">IF(A831="","",G831-N(H831)-I831)</f>
        <v/>
      </c>
      <c r="K831" s="7"/>
      <c r="L831" s="7"/>
      <c r="M831" s="7"/>
    </row>
    <row r="832" customFormat="false" ht="15" hidden="false" customHeight="true" outlineLevel="0" collapsed="false">
      <c r="A832" s="7"/>
      <c r="B832" s="15"/>
      <c r="C832" s="7"/>
      <c r="D832" s="7"/>
      <c r="E832" s="17" t="str">
        <f aca="false">IF(A832="","",SUMIFS(Sales_Items!$H$2:$H$3001,Sales_Items!$A$2:$A$3001,A832))</f>
        <v/>
      </c>
      <c r="F832" s="13"/>
      <c r="G832" s="17" t="str">
        <f aca="false">IF(A832="","",E832-N(F832))</f>
        <v/>
      </c>
      <c r="H832" s="13"/>
      <c r="I832" s="17" t="str">
        <f aca="false">IF(A832="","",SUMIFS(Due_Payments!$C$2:$C$1001,Due_Payments!$B$2:$B$1001,A832))</f>
        <v/>
      </c>
      <c r="J832" s="17" t="str">
        <f aca="false">IF(A832="","",G832-N(H832)-I832)</f>
        <v/>
      </c>
      <c r="K832" s="7"/>
      <c r="L832" s="7"/>
      <c r="M832" s="7"/>
    </row>
    <row r="833" customFormat="false" ht="15" hidden="false" customHeight="true" outlineLevel="0" collapsed="false">
      <c r="A833" s="7"/>
      <c r="B833" s="15"/>
      <c r="C833" s="7"/>
      <c r="D833" s="7"/>
      <c r="E833" s="17" t="str">
        <f aca="false">IF(A833="","",SUMIFS(Sales_Items!$H$2:$H$3001,Sales_Items!$A$2:$A$3001,A833))</f>
        <v/>
      </c>
      <c r="F833" s="13"/>
      <c r="G833" s="17" t="str">
        <f aca="false">IF(A833="","",E833-N(F833))</f>
        <v/>
      </c>
      <c r="H833" s="13"/>
      <c r="I833" s="17" t="str">
        <f aca="false">IF(A833="","",SUMIFS(Due_Payments!$C$2:$C$1001,Due_Payments!$B$2:$B$1001,A833))</f>
        <v/>
      </c>
      <c r="J833" s="17" t="str">
        <f aca="false">IF(A833="","",G833-N(H833)-I833)</f>
        <v/>
      </c>
      <c r="K833" s="7"/>
      <c r="L833" s="7"/>
      <c r="M833" s="7"/>
    </row>
    <row r="834" customFormat="false" ht="15" hidden="false" customHeight="true" outlineLevel="0" collapsed="false">
      <c r="A834" s="7"/>
      <c r="B834" s="15"/>
      <c r="C834" s="7"/>
      <c r="D834" s="7"/>
      <c r="E834" s="17" t="str">
        <f aca="false">IF(A834="","",SUMIFS(Sales_Items!$H$2:$H$3001,Sales_Items!$A$2:$A$3001,A834))</f>
        <v/>
      </c>
      <c r="F834" s="13"/>
      <c r="G834" s="17" t="str">
        <f aca="false">IF(A834="","",E834-N(F834))</f>
        <v/>
      </c>
      <c r="H834" s="13"/>
      <c r="I834" s="17" t="str">
        <f aca="false">IF(A834="","",SUMIFS(Due_Payments!$C$2:$C$1001,Due_Payments!$B$2:$B$1001,A834))</f>
        <v/>
      </c>
      <c r="J834" s="17" t="str">
        <f aca="false">IF(A834="","",G834-N(H834)-I834)</f>
        <v/>
      </c>
      <c r="K834" s="7"/>
      <c r="L834" s="7"/>
      <c r="M834" s="7"/>
    </row>
    <row r="835" customFormat="false" ht="15" hidden="false" customHeight="true" outlineLevel="0" collapsed="false">
      <c r="A835" s="7"/>
      <c r="B835" s="15"/>
      <c r="C835" s="7"/>
      <c r="D835" s="7"/>
      <c r="E835" s="17" t="str">
        <f aca="false">IF(A835="","",SUMIFS(Sales_Items!$H$2:$H$3001,Sales_Items!$A$2:$A$3001,A835))</f>
        <v/>
      </c>
      <c r="F835" s="13"/>
      <c r="G835" s="17" t="str">
        <f aca="false">IF(A835="","",E835-N(F835))</f>
        <v/>
      </c>
      <c r="H835" s="13"/>
      <c r="I835" s="17" t="str">
        <f aca="false">IF(A835="","",SUMIFS(Due_Payments!$C$2:$C$1001,Due_Payments!$B$2:$B$1001,A835))</f>
        <v/>
      </c>
      <c r="J835" s="17" t="str">
        <f aca="false">IF(A835="","",G835-N(H835)-I835)</f>
        <v/>
      </c>
      <c r="K835" s="7"/>
      <c r="L835" s="7"/>
      <c r="M835" s="7"/>
    </row>
    <row r="836" customFormat="false" ht="15" hidden="false" customHeight="true" outlineLevel="0" collapsed="false">
      <c r="A836" s="7"/>
      <c r="B836" s="15"/>
      <c r="C836" s="7"/>
      <c r="D836" s="7"/>
      <c r="E836" s="17" t="str">
        <f aca="false">IF(A836="","",SUMIFS(Sales_Items!$H$2:$H$3001,Sales_Items!$A$2:$A$3001,A836))</f>
        <v/>
      </c>
      <c r="F836" s="13"/>
      <c r="G836" s="17" t="str">
        <f aca="false">IF(A836="","",E836-N(F836))</f>
        <v/>
      </c>
      <c r="H836" s="13"/>
      <c r="I836" s="17" t="str">
        <f aca="false">IF(A836="","",SUMIFS(Due_Payments!$C$2:$C$1001,Due_Payments!$B$2:$B$1001,A836))</f>
        <v/>
      </c>
      <c r="J836" s="17" t="str">
        <f aca="false">IF(A836="","",G836-N(H836)-I836)</f>
        <v/>
      </c>
      <c r="K836" s="7"/>
      <c r="L836" s="7"/>
      <c r="M836" s="7"/>
    </row>
    <row r="837" customFormat="false" ht="15" hidden="false" customHeight="true" outlineLevel="0" collapsed="false">
      <c r="A837" s="7"/>
      <c r="B837" s="15"/>
      <c r="C837" s="7"/>
      <c r="D837" s="7"/>
      <c r="E837" s="17" t="str">
        <f aca="false">IF(A837="","",SUMIFS(Sales_Items!$H$2:$H$3001,Sales_Items!$A$2:$A$3001,A837))</f>
        <v/>
      </c>
      <c r="F837" s="13"/>
      <c r="G837" s="17" t="str">
        <f aca="false">IF(A837="","",E837-N(F837))</f>
        <v/>
      </c>
      <c r="H837" s="13"/>
      <c r="I837" s="17" t="str">
        <f aca="false">IF(A837="","",SUMIFS(Due_Payments!$C$2:$C$1001,Due_Payments!$B$2:$B$1001,A837))</f>
        <v/>
      </c>
      <c r="J837" s="17" t="str">
        <f aca="false">IF(A837="","",G837-N(H837)-I837)</f>
        <v/>
      </c>
      <c r="K837" s="7"/>
      <c r="L837" s="7"/>
      <c r="M837" s="7"/>
    </row>
    <row r="838" customFormat="false" ht="15" hidden="false" customHeight="true" outlineLevel="0" collapsed="false">
      <c r="A838" s="7"/>
      <c r="B838" s="15"/>
      <c r="C838" s="7"/>
      <c r="D838" s="7"/>
      <c r="E838" s="17" t="str">
        <f aca="false">IF(A838="","",SUMIFS(Sales_Items!$H$2:$H$3001,Sales_Items!$A$2:$A$3001,A838))</f>
        <v/>
      </c>
      <c r="F838" s="13"/>
      <c r="G838" s="17" t="str">
        <f aca="false">IF(A838="","",E838-N(F838))</f>
        <v/>
      </c>
      <c r="H838" s="13"/>
      <c r="I838" s="17" t="str">
        <f aca="false">IF(A838="","",SUMIFS(Due_Payments!$C$2:$C$1001,Due_Payments!$B$2:$B$1001,A838))</f>
        <v/>
      </c>
      <c r="J838" s="17" t="str">
        <f aca="false">IF(A838="","",G838-N(H838)-I838)</f>
        <v/>
      </c>
      <c r="K838" s="7"/>
      <c r="L838" s="7"/>
      <c r="M838" s="7"/>
    </row>
    <row r="839" customFormat="false" ht="15" hidden="false" customHeight="true" outlineLevel="0" collapsed="false">
      <c r="A839" s="7"/>
      <c r="B839" s="15"/>
      <c r="C839" s="7"/>
      <c r="D839" s="7"/>
      <c r="E839" s="17" t="str">
        <f aca="false">IF(A839="","",SUMIFS(Sales_Items!$H$2:$H$3001,Sales_Items!$A$2:$A$3001,A839))</f>
        <v/>
      </c>
      <c r="F839" s="13"/>
      <c r="G839" s="17" t="str">
        <f aca="false">IF(A839="","",E839-N(F839))</f>
        <v/>
      </c>
      <c r="H839" s="13"/>
      <c r="I839" s="17" t="str">
        <f aca="false">IF(A839="","",SUMIFS(Due_Payments!$C$2:$C$1001,Due_Payments!$B$2:$B$1001,A839))</f>
        <v/>
      </c>
      <c r="J839" s="17" t="str">
        <f aca="false">IF(A839="","",G839-N(H839)-I839)</f>
        <v/>
      </c>
      <c r="K839" s="7"/>
      <c r="L839" s="7"/>
      <c r="M839" s="7"/>
    </row>
    <row r="840" customFormat="false" ht="15" hidden="false" customHeight="true" outlineLevel="0" collapsed="false">
      <c r="A840" s="7"/>
      <c r="B840" s="15"/>
      <c r="C840" s="7"/>
      <c r="D840" s="7"/>
      <c r="E840" s="17" t="str">
        <f aca="false">IF(A840="","",SUMIFS(Sales_Items!$H$2:$H$3001,Sales_Items!$A$2:$A$3001,A840))</f>
        <v/>
      </c>
      <c r="F840" s="13"/>
      <c r="G840" s="17" t="str">
        <f aca="false">IF(A840="","",E840-N(F840))</f>
        <v/>
      </c>
      <c r="H840" s="13"/>
      <c r="I840" s="17" t="str">
        <f aca="false">IF(A840="","",SUMIFS(Due_Payments!$C$2:$C$1001,Due_Payments!$B$2:$B$1001,A840))</f>
        <v/>
      </c>
      <c r="J840" s="17" t="str">
        <f aca="false">IF(A840="","",G840-N(H840)-I840)</f>
        <v/>
      </c>
      <c r="K840" s="7"/>
      <c r="L840" s="7"/>
      <c r="M840" s="7"/>
    </row>
    <row r="841" customFormat="false" ht="15" hidden="false" customHeight="true" outlineLevel="0" collapsed="false">
      <c r="A841" s="7"/>
      <c r="B841" s="15"/>
      <c r="C841" s="7"/>
      <c r="D841" s="7"/>
      <c r="E841" s="17" t="str">
        <f aca="false">IF(A841="","",SUMIFS(Sales_Items!$H$2:$H$3001,Sales_Items!$A$2:$A$3001,A841))</f>
        <v/>
      </c>
      <c r="F841" s="13"/>
      <c r="G841" s="17" t="str">
        <f aca="false">IF(A841="","",E841-N(F841))</f>
        <v/>
      </c>
      <c r="H841" s="13"/>
      <c r="I841" s="17" t="str">
        <f aca="false">IF(A841="","",SUMIFS(Due_Payments!$C$2:$C$1001,Due_Payments!$B$2:$B$1001,A841))</f>
        <v/>
      </c>
      <c r="J841" s="17" t="str">
        <f aca="false">IF(A841="","",G841-N(H841)-I841)</f>
        <v/>
      </c>
      <c r="K841" s="7"/>
      <c r="L841" s="7"/>
      <c r="M841" s="7"/>
    </row>
    <row r="842" customFormat="false" ht="15" hidden="false" customHeight="true" outlineLevel="0" collapsed="false">
      <c r="A842" s="7"/>
      <c r="B842" s="15"/>
      <c r="C842" s="7"/>
      <c r="D842" s="7"/>
      <c r="E842" s="17" t="str">
        <f aca="false">IF(A842="","",SUMIFS(Sales_Items!$H$2:$H$3001,Sales_Items!$A$2:$A$3001,A842))</f>
        <v/>
      </c>
      <c r="F842" s="13"/>
      <c r="G842" s="17" t="str">
        <f aca="false">IF(A842="","",E842-N(F842))</f>
        <v/>
      </c>
      <c r="H842" s="13"/>
      <c r="I842" s="17" t="str">
        <f aca="false">IF(A842="","",SUMIFS(Due_Payments!$C$2:$C$1001,Due_Payments!$B$2:$B$1001,A842))</f>
        <v/>
      </c>
      <c r="J842" s="17" t="str">
        <f aca="false">IF(A842="","",G842-N(H842)-I842)</f>
        <v/>
      </c>
      <c r="K842" s="7"/>
      <c r="L842" s="7"/>
      <c r="M842" s="7"/>
    </row>
    <row r="843" customFormat="false" ht="15" hidden="false" customHeight="true" outlineLevel="0" collapsed="false">
      <c r="A843" s="7"/>
      <c r="B843" s="15"/>
      <c r="C843" s="7"/>
      <c r="D843" s="7"/>
      <c r="E843" s="17" t="str">
        <f aca="false">IF(A843="","",SUMIFS(Sales_Items!$H$2:$H$3001,Sales_Items!$A$2:$A$3001,A843))</f>
        <v/>
      </c>
      <c r="F843" s="13"/>
      <c r="G843" s="17" t="str">
        <f aca="false">IF(A843="","",E843-N(F843))</f>
        <v/>
      </c>
      <c r="H843" s="13"/>
      <c r="I843" s="17" t="str">
        <f aca="false">IF(A843="","",SUMIFS(Due_Payments!$C$2:$C$1001,Due_Payments!$B$2:$B$1001,A843))</f>
        <v/>
      </c>
      <c r="J843" s="17" t="str">
        <f aca="false">IF(A843="","",G843-N(H843)-I843)</f>
        <v/>
      </c>
      <c r="K843" s="7"/>
      <c r="L843" s="7"/>
      <c r="M843" s="7"/>
    </row>
    <row r="844" customFormat="false" ht="15" hidden="false" customHeight="true" outlineLevel="0" collapsed="false">
      <c r="A844" s="7"/>
      <c r="B844" s="15"/>
      <c r="C844" s="7"/>
      <c r="D844" s="7"/>
      <c r="E844" s="17" t="str">
        <f aca="false">IF(A844="","",SUMIFS(Sales_Items!$H$2:$H$3001,Sales_Items!$A$2:$A$3001,A844))</f>
        <v/>
      </c>
      <c r="F844" s="13"/>
      <c r="G844" s="17" t="str">
        <f aca="false">IF(A844="","",E844-N(F844))</f>
        <v/>
      </c>
      <c r="H844" s="13"/>
      <c r="I844" s="17" t="str">
        <f aca="false">IF(A844="","",SUMIFS(Due_Payments!$C$2:$C$1001,Due_Payments!$B$2:$B$1001,A844))</f>
        <v/>
      </c>
      <c r="J844" s="17" t="str">
        <f aca="false">IF(A844="","",G844-N(H844)-I844)</f>
        <v/>
      </c>
      <c r="K844" s="7"/>
      <c r="L844" s="7"/>
      <c r="M844" s="7"/>
    </row>
    <row r="845" customFormat="false" ht="15" hidden="false" customHeight="true" outlineLevel="0" collapsed="false">
      <c r="A845" s="7"/>
      <c r="B845" s="15"/>
      <c r="C845" s="7"/>
      <c r="D845" s="7"/>
      <c r="E845" s="17" t="str">
        <f aca="false">IF(A845="","",SUMIFS(Sales_Items!$H$2:$H$3001,Sales_Items!$A$2:$A$3001,A845))</f>
        <v/>
      </c>
      <c r="F845" s="13"/>
      <c r="G845" s="17" t="str">
        <f aca="false">IF(A845="","",E845-N(F845))</f>
        <v/>
      </c>
      <c r="H845" s="13"/>
      <c r="I845" s="17" t="str">
        <f aca="false">IF(A845="","",SUMIFS(Due_Payments!$C$2:$C$1001,Due_Payments!$B$2:$B$1001,A845))</f>
        <v/>
      </c>
      <c r="J845" s="17" t="str">
        <f aca="false">IF(A845="","",G845-N(H845)-I845)</f>
        <v/>
      </c>
      <c r="K845" s="7"/>
      <c r="L845" s="7"/>
      <c r="M845" s="7"/>
    </row>
    <row r="846" customFormat="false" ht="15" hidden="false" customHeight="true" outlineLevel="0" collapsed="false">
      <c r="A846" s="7"/>
      <c r="B846" s="15"/>
      <c r="C846" s="7"/>
      <c r="D846" s="7"/>
      <c r="E846" s="17" t="str">
        <f aca="false">IF(A846="","",SUMIFS(Sales_Items!$H$2:$H$3001,Sales_Items!$A$2:$A$3001,A846))</f>
        <v/>
      </c>
      <c r="F846" s="13"/>
      <c r="G846" s="17" t="str">
        <f aca="false">IF(A846="","",E846-N(F846))</f>
        <v/>
      </c>
      <c r="H846" s="13"/>
      <c r="I846" s="17" t="str">
        <f aca="false">IF(A846="","",SUMIFS(Due_Payments!$C$2:$C$1001,Due_Payments!$B$2:$B$1001,A846))</f>
        <v/>
      </c>
      <c r="J846" s="17" t="str">
        <f aca="false">IF(A846="","",G846-N(H846)-I846)</f>
        <v/>
      </c>
      <c r="K846" s="7"/>
      <c r="L846" s="7"/>
      <c r="M846" s="7"/>
    </row>
    <row r="847" customFormat="false" ht="15" hidden="false" customHeight="true" outlineLevel="0" collapsed="false">
      <c r="A847" s="7"/>
      <c r="B847" s="15"/>
      <c r="C847" s="7"/>
      <c r="D847" s="7"/>
      <c r="E847" s="17" t="str">
        <f aca="false">IF(A847="","",SUMIFS(Sales_Items!$H$2:$H$3001,Sales_Items!$A$2:$A$3001,A847))</f>
        <v/>
      </c>
      <c r="F847" s="13"/>
      <c r="G847" s="17" t="str">
        <f aca="false">IF(A847="","",E847-N(F847))</f>
        <v/>
      </c>
      <c r="H847" s="13"/>
      <c r="I847" s="17" t="str">
        <f aca="false">IF(A847="","",SUMIFS(Due_Payments!$C$2:$C$1001,Due_Payments!$B$2:$B$1001,A847))</f>
        <v/>
      </c>
      <c r="J847" s="17" t="str">
        <f aca="false">IF(A847="","",G847-N(H847)-I847)</f>
        <v/>
      </c>
      <c r="K847" s="7"/>
      <c r="L847" s="7"/>
      <c r="M847" s="7"/>
    </row>
    <row r="848" customFormat="false" ht="15" hidden="false" customHeight="true" outlineLevel="0" collapsed="false">
      <c r="A848" s="7"/>
      <c r="B848" s="15"/>
      <c r="C848" s="7"/>
      <c r="D848" s="7"/>
      <c r="E848" s="17" t="str">
        <f aca="false">IF(A848="","",SUMIFS(Sales_Items!$H$2:$H$3001,Sales_Items!$A$2:$A$3001,A848))</f>
        <v/>
      </c>
      <c r="F848" s="13"/>
      <c r="G848" s="17" t="str">
        <f aca="false">IF(A848="","",E848-N(F848))</f>
        <v/>
      </c>
      <c r="H848" s="13"/>
      <c r="I848" s="17" t="str">
        <f aca="false">IF(A848="","",SUMIFS(Due_Payments!$C$2:$C$1001,Due_Payments!$B$2:$B$1001,A848))</f>
        <v/>
      </c>
      <c r="J848" s="17" t="str">
        <f aca="false">IF(A848="","",G848-N(H848)-I848)</f>
        <v/>
      </c>
      <c r="K848" s="7"/>
      <c r="L848" s="7"/>
      <c r="M848" s="7"/>
    </row>
    <row r="849" customFormat="false" ht="15" hidden="false" customHeight="true" outlineLevel="0" collapsed="false">
      <c r="A849" s="7"/>
      <c r="B849" s="15"/>
      <c r="C849" s="7"/>
      <c r="D849" s="7"/>
      <c r="E849" s="17" t="str">
        <f aca="false">IF(A849="","",SUMIFS(Sales_Items!$H$2:$H$3001,Sales_Items!$A$2:$A$3001,A849))</f>
        <v/>
      </c>
      <c r="F849" s="13"/>
      <c r="G849" s="17" t="str">
        <f aca="false">IF(A849="","",E849-N(F849))</f>
        <v/>
      </c>
      <c r="H849" s="13"/>
      <c r="I849" s="17" t="str">
        <f aca="false">IF(A849="","",SUMIFS(Due_Payments!$C$2:$C$1001,Due_Payments!$B$2:$B$1001,A849))</f>
        <v/>
      </c>
      <c r="J849" s="17" t="str">
        <f aca="false">IF(A849="","",G849-N(H849)-I849)</f>
        <v/>
      </c>
      <c r="K849" s="7"/>
      <c r="L849" s="7"/>
      <c r="M849" s="7"/>
    </row>
    <row r="850" customFormat="false" ht="15" hidden="false" customHeight="true" outlineLevel="0" collapsed="false">
      <c r="A850" s="7"/>
      <c r="B850" s="15"/>
      <c r="C850" s="7"/>
      <c r="D850" s="7"/>
      <c r="E850" s="17" t="str">
        <f aca="false">IF(A850="","",SUMIFS(Sales_Items!$H$2:$H$3001,Sales_Items!$A$2:$A$3001,A850))</f>
        <v/>
      </c>
      <c r="F850" s="13"/>
      <c r="G850" s="17" t="str">
        <f aca="false">IF(A850="","",E850-N(F850))</f>
        <v/>
      </c>
      <c r="H850" s="13"/>
      <c r="I850" s="17" t="str">
        <f aca="false">IF(A850="","",SUMIFS(Due_Payments!$C$2:$C$1001,Due_Payments!$B$2:$B$1001,A850))</f>
        <v/>
      </c>
      <c r="J850" s="17" t="str">
        <f aca="false">IF(A850="","",G850-N(H850)-I850)</f>
        <v/>
      </c>
      <c r="K850" s="7"/>
      <c r="L850" s="7"/>
      <c r="M850" s="7"/>
    </row>
    <row r="851" customFormat="false" ht="15" hidden="false" customHeight="true" outlineLevel="0" collapsed="false">
      <c r="A851" s="7"/>
      <c r="B851" s="15"/>
      <c r="C851" s="7"/>
      <c r="D851" s="7"/>
      <c r="E851" s="17" t="str">
        <f aca="false">IF(A851="","",SUMIFS(Sales_Items!$H$2:$H$3001,Sales_Items!$A$2:$A$3001,A851))</f>
        <v/>
      </c>
      <c r="F851" s="13"/>
      <c r="G851" s="17" t="str">
        <f aca="false">IF(A851="","",E851-N(F851))</f>
        <v/>
      </c>
      <c r="H851" s="13"/>
      <c r="I851" s="17" t="str">
        <f aca="false">IF(A851="","",SUMIFS(Due_Payments!$C$2:$C$1001,Due_Payments!$B$2:$B$1001,A851))</f>
        <v/>
      </c>
      <c r="J851" s="17" t="str">
        <f aca="false">IF(A851="","",G851-N(H851)-I851)</f>
        <v/>
      </c>
      <c r="K851" s="7"/>
      <c r="L851" s="7"/>
      <c r="M851" s="7"/>
    </row>
    <row r="852" customFormat="false" ht="15" hidden="false" customHeight="true" outlineLevel="0" collapsed="false">
      <c r="A852" s="7"/>
      <c r="B852" s="15"/>
      <c r="C852" s="7"/>
      <c r="D852" s="7"/>
      <c r="E852" s="17" t="str">
        <f aca="false">IF(A852="","",SUMIFS(Sales_Items!$H$2:$H$3001,Sales_Items!$A$2:$A$3001,A852))</f>
        <v/>
      </c>
      <c r="F852" s="13"/>
      <c r="G852" s="17" t="str">
        <f aca="false">IF(A852="","",E852-N(F852))</f>
        <v/>
      </c>
      <c r="H852" s="13"/>
      <c r="I852" s="17" t="str">
        <f aca="false">IF(A852="","",SUMIFS(Due_Payments!$C$2:$C$1001,Due_Payments!$B$2:$B$1001,A852))</f>
        <v/>
      </c>
      <c r="J852" s="17" t="str">
        <f aca="false">IF(A852="","",G852-N(H852)-I852)</f>
        <v/>
      </c>
      <c r="K852" s="7"/>
      <c r="L852" s="7"/>
      <c r="M852" s="7"/>
    </row>
    <row r="853" customFormat="false" ht="15" hidden="false" customHeight="true" outlineLevel="0" collapsed="false">
      <c r="A853" s="7"/>
      <c r="B853" s="15"/>
      <c r="C853" s="7"/>
      <c r="D853" s="7"/>
      <c r="E853" s="17" t="str">
        <f aca="false">IF(A853="","",SUMIFS(Sales_Items!$H$2:$H$3001,Sales_Items!$A$2:$A$3001,A853))</f>
        <v/>
      </c>
      <c r="F853" s="13"/>
      <c r="G853" s="17" t="str">
        <f aca="false">IF(A853="","",E853-N(F853))</f>
        <v/>
      </c>
      <c r="H853" s="13"/>
      <c r="I853" s="17" t="str">
        <f aca="false">IF(A853="","",SUMIFS(Due_Payments!$C$2:$C$1001,Due_Payments!$B$2:$B$1001,A853))</f>
        <v/>
      </c>
      <c r="J853" s="17" t="str">
        <f aca="false">IF(A853="","",G853-N(H853)-I853)</f>
        <v/>
      </c>
      <c r="K853" s="7"/>
      <c r="L853" s="7"/>
      <c r="M853" s="7"/>
    </row>
    <row r="854" customFormat="false" ht="15" hidden="false" customHeight="true" outlineLevel="0" collapsed="false">
      <c r="A854" s="7"/>
      <c r="B854" s="15"/>
      <c r="C854" s="7"/>
      <c r="D854" s="7"/>
      <c r="E854" s="17" t="str">
        <f aca="false">IF(A854="","",SUMIFS(Sales_Items!$H$2:$H$3001,Sales_Items!$A$2:$A$3001,A854))</f>
        <v/>
      </c>
      <c r="F854" s="13"/>
      <c r="G854" s="17" t="str">
        <f aca="false">IF(A854="","",E854-N(F854))</f>
        <v/>
      </c>
      <c r="H854" s="13"/>
      <c r="I854" s="17" t="str">
        <f aca="false">IF(A854="","",SUMIFS(Due_Payments!$C$2:$C$1001,Due_Payments!$B$2:$B$1001,A854))</f>
        <v/>
      </c>
      <c r="J854" s="17" t="str">
        <f aca="false">IF(A854="","",G854-N(H854)-I854)</f>
        <v/>
      </c>
      <c r="K854" s="7"/>
      <c r="L854" s="7"/>
      <c r="M854" s="7"/>
    </row>
    <row r="855" customFormat="false" ht="15" hidden="false" customHeight="true" outlineLevel="0" collapsed="false">
      <c r="A855" s="7"/>
      <c r="B855" s="15"/>
      <c r="C855" s="7"/>
      <c r="D855" s="7"/>
      <c r="E855" s="17" t="str">
        <f aca="false">IF(A855="","",SUMIFS(Sales_Items!$H$2:$H$3001,Sales_Items!$A$2:$A$3001,A855))</f>
        <v/>
      </c>
      <c r="F855" s="13"/>
      <c r="G855" s="17" t="str">
        <f aca="false">IF(A855="","",E855-N(F855))</f>
        <v/>
      </c>
      <c r="H855" s="13"/>
      <c r="I855" s="17" t="str">
        <f aca="false">IF(A855="","",SUMIFS(Due_Payments!$C$2:$C$1001,Due_Payments!$B$2:$B$1001,A855))</f>
        <v/>
      </c>
      <c r="J855" s="17" t="str">
        <f aca="false">IF(A855="","",G855-N(H855)-I855)</f>
        <v/>
      </c>
      <c r="K855" s="7"/>
      <c r="L855" s="7"/>
      <c r="M855" s="7"/>
    </row>
    <row r="856" customFormat="false" ht="15" hidden="false" customHeight="true" outlineLevel="0" collapsed="false">
      <c r="A856" s="7"/>
      <c r="B856" s="15"/>
      <c r="C856" s="7"/>
      <c r="D856" s="7"/>
      <c r="E856" s="17" t="str">
        <f aca="false">IF(A856="","",SUMIFS(Sales_Items!$H$2:$H$3001,Sales_Items!$A$2:$A$3001,A856))</f>
        <v/>
      </c>
      <c r="F856" s="13"/>
      <c r="G856" s="17" t="str">
        <f aca="false">IF(A856="","",E856-N(F856))</f>
        <v/>
      </c>
      <c r="H856" s="13"/>
      <c r="I856" s="17" t="str">
        <f aca="false">IF(A856="","",SUMIFS(Due_Payments!$C$2:$C$1001,Due_Payments!$B$2:$B$1001,A856))</f>
        <v/>
      </c>
      <c r="J856" s="17" t="str">
        <f aca="false">IF(A856="","",G856-N(H856)-I856)</f>
        <v/>
      </c>
      <c r="K856" s="7"/>
      <c r="L856" s="7"/>
      <c r="M856" s="7"/>
    </row>
    <row r="857" customFormat="false" ht="15" hidden="false" customHeight="true" outlineLevel="0" collapsed="false">
      <c r="A857" s="7"/>
      <c r="B857" s="15"/>
      <c r="C857" s="7"/>
      <c r="D857" s="7"/>
      <c r="E857" s="17" t="str">
        <f aca="false">IF(A857="","",SUMIFS(Sales_Items!$H$2:$H$3001,Sales_Items!$A$2:$A$3001,A857))</f>
        <v/>
      </c>
      <c r="F857" s="13"/>
      <c r="G857" s="17" t="str">
        <f aca="false">IF(A857="","",E857-N(F857))</f>
        <v/>
      </c>
      <c r="H857" s="13"/>
      <c r="I857" s="17" t="str">
        <f aca="false">IF(A857="","",SUMIFS(Due_Payments!$C$2:$C$1001,Due_Payments!$B$2:$B$1001,A857))</f>
        <v/>
      </c>
      <c r="J857" s="17" t="str">
        <f aca="false">IF(A857="","",G857-N(H857)-I857)</f>
        <v/>
      </c>
      <c r="K857" s="7"/>
      <c r="L857" s="7"/>
      <c r="M857" s="7"/>
    </row>
    <row r="858" customFormat="false" ht="15" hidden="false" customHeight="true" outlineLevel="0" collapsed="false">
      <c r="A858" s="7"/>
      <c r="B858" s="15"/>
      <c r="C858" s="7"/>
      <c r="D858" s="7"/>
      <c r="E858" s="17" t="str">
        <f aca="false">IF(A858="","",SUMIFS(Sales_Items!$H$2:$H$3001,Sales_Items!$A$2:$A$3001,A858))</f>
        <v/>
      </c>
      <c r="F858" s="13"/>
      <c r="G858" s="17" t="str">
        <f aca="false">IF(A858="","",E858-N(F858))</f>
        <v/>
      </c>
      <c r="H858" s="13"/>
      <c r="I858" s="17" t="str">
        <f aca="false">IF(A858="","",SUMIFS(Due_Payments!$C$2:$C$1001,Due_Payments!$B$2:$B$1001,A858))</f>
        <v/>
      </c>
      <c r="J858" s="17" t="str">
        <f aca="false">IF(A858="","",G858-N(H858)-I858)</f>
        <v/>
      </c>
      <c r="K858" s="7"/>
      <c r="L858" s="7"/>
      <c r="M858" s="7"/>
    </row>
    <row r="859" customFormat="false" ht="15" hidden="false" customHeight="true" outlineLevel="0" collapsed="false">
      <c r="A859" s="7"/>
      <c r="B859" s="15"/>
      <c r="C859" s="7"/>
      <c r="D859" s="7"/>
      <c r="E859" s="17" t="str">
        <f aca="false">IF(A859="","",SUMIFS(Sales_Items!$H$2:$H$3001,Sales_Items!$A$2:$A$3001,A859))</f>
        <v/>
      </c>
      <c r="F859" s="13"/>
      <c r="G859" s="17" t="str">
        <f aca="false">IF(A859="","",E859-N(F859))</f>
        <v/>
      </c>
      <c r="H859" s="13"/>
      <c r="I859" s="17" t="str">
        <f aca="false">IF(A859="","",SUMIFS(Due_Payments!$C$2:$C$1001,Due_Payments!$B$2:$B$1001,A859))</f>
        <v/>
      </c>
      <c r="J859" s="17" t="str">
        <f aca="false">IF(A859="","",G859-N(H859)-I859)</f>
        <v/>
      </c>
      <c r="K859" s="7"/>
      <c r="L859" s="7"/>
      <c r="M859" s="7"/>
    </row>
    <row r="860" customFormat="false" ht="15" hidden="false" customHeight="true" outlineLevel="0" collapsed="false">
      <c r="A860" s="7"/>
      <c r="B860" s="15"/>
      <c r="C860" s="7"/>
      <c r="D860" s="7"/>
      <c r="E860" s="17" t="str">
        <f aca="false">IF(A860="","",SUMIFS(Sales_Items!$H$2:$H$3001,Sales_Items!$A$2:$A$3001,A860))</f>
        <v/>
      </c>
      <c r="F860" s="13"/>
      <c r="G860" s="17" t="str">
        <f aca="false">IF(A860="","",E860-N(F860))</f>
        <v/>
      </c>
      <c r="H860" s="13"/>
      <c r="I860" s="17" t="str">
        <f aca="false">IF(A860="","",SUMIFS(Due_Payments!$C$2:$C$1001,Due_Payments!$B$2:$B$1001,A860))</f>
        <v/>
      </c>
      <c r="J860" s="17" t="str">
        <f aca="false">IF(A860="","",G860-N(H860)-I860)</f>
        <v/>
      </c>
      <c r="K860" s="7"/>
      <c r="L860" s="7"/>
      <c r="M860" s="7"/>
    </row>
    <row r="861" customFormat="false" ht="15" hidden="false" customHeight="true" outlineLevel="0" collapsed="false">
      <c r="A861" s="7"/>
      <c r="B861" s="15"/>
      <c r="C861" s="7"/>
      <c r="D861" s="7"/>
      <c r="E861" s="17" t="str">
        <f aca="false">IF(A861="","",SUMIFS(Sales_Items!$H$2:$H$3001,Sales_Items!$A$2:$A$3001,A861))</f>
        <v/>
      </c>
      <c r="F861" s="13"/>
      <c r="G861" s="17" t="str">
        <f aca="false">IF(A861="","",E861-N(F861))</f>
        <v/>
      </c>
      <c r="H861" s="13"/>
      <c r="I861" s="17" t="str">
        <f aca="false">IF(A861="","",SUMIFS(Due_Payments!$C$2:$C$1001,Due_Payments!$B$2:$B$1001,A861))</f>
        <v/>
      </c>
      <c r="J861" s="17" t="str">
        <f aca="false">IF(A861="","",G861-N(H861)-I861)</f>
        <v/>
      </c>
      <c r="K861" s="7"/>
      <c r="L861" s="7"/>
      <c r="M861" s="7"/>
    </row>
    <row r="862" customFormat="false" ht="15" hidden="false" customHeight="true" outlineLevel="0" collapsed="false">
      <c r="A862" s="7"/>
      <c r="B862" s="15"/>
      <c r="C862" s="7"/>
      <c r="D862" s="7"/>
      <c r="E862" s="17" t="str">
        <f aca="false">IF(A862="","",SUMIFS(Sales_Items!$H$2:$H$3001,Sales_Items!$A$2:$A$3001,A862))</f>
        <v/>
      </c>
      <c r="F862" s="13"/>
      <c r="G862" s="17" t="str">
        <f aca="false">IF(A862="","",E862-N(F862))</f>
        <v/>
      </c>
      <c r="H862" s="13"/>
      <c r="I862" s="17" t="str">
        <f aca="false">IF(A862="","",SUMIFS(Due_Payments!$C$2:$C$1001,Due_Payments!$B$2:$B$1001,A862))</f>
        <v/>
      </c>
      <c r="J862" s="17" t="str">
        <f aca="false">IF(A862="","",G862-N(H862)-I862)</f>
        <v/>
      </c>
      <c r="K862" s="7"/>
      <c r="L862" s="7"/>
      <c r="M862" s="7"/>
    </row>
    <row r="863" customFormat="false" ht="15" hidden="false" customHeight="true" outlineLevel="0" collapsed="false">
      <c r="A863" s="7"/>
      <c r="B863" s="15"/>
      <c r="C863" s="7"/>
      <c r="D863" s="7"/>
      <c r="E863" s="17" t="str">
        <f aca="false">IF(A863="","",SUMIFS(Sales_Items!$H$2:$H$3001,Sales_Items!$A$2:$A$3001,A863))</f>
        <v/>
      </c>
      <c r="F863" s="13"/>
      <c r="G863" s="17" t="str">
        <f aca="false">IF(A863="","",E863-N(F863))</f>
        <v/>
      </c>
      <c r="H863" s="13"/>
      <c r="I863" s="17" t="str">
        <f aca="false">IF(A863="","",SUMIFS(Due_Payments!$C$2:$C$1001,Due_Payments!$B$2:$B$1001,A863))</f>
        <v/>
      </c>
      <c r="J863" s="17" t="str">
        <f aca="false">IF(A863="","",G863-N(H863)-I863)</f>
        <v/>
      </c>
      <c r="K863" s="7"/>
      <c r="L863" s="7"/>
      <c r="M863" s="7"/>
    </row>
    <row r="864" customFormat="false" ht="15" hidden="false" customHeight="true" outlineLevel="0" collapsed="false">
      <c r="A864" s="7"/>
      <c r="B864" s="15"/>
      <c r="C864" s="7"/>
      <c r="D864" s="7"/>
      <c r="E864" s="17" t="str">
        <f aca="false">IF(A864="","",SUMIFS(Sales_Items!$H$2:$H$3001,Sales_Items!$A$2:$A$3001,A864))</f>
        <v/>
      </c>
      <c r="F864" s="13"/>
      <c r="G864" s="17" t="str">
        <f aca="false">IF(A864="","",E864-N(F864))</f>
        <v/>
      </c>
      <c r="H864" s="13"/>
      <c r="I864" s="17" t="str">
        <f aca="false">IF(A864="","",SUMIFS(Due_Payments!$C$2:$C$1001,Due_Payments!$B$2:$B$1001,A864))</f>
        <v/>
      </c>
      <c r="J864" s="17" t="str">
        <f aca="false">IF(A864="","",G864-N(H864)-I864)</f>
        <v/>
      </c>
      <c r="K864" s="7"/>
      <c r="L864" s="7"/>
      <c r="M864" s="7"/>
    </row>
    <row r="865" customFormat="false" ht="15" hidden="false" customHeight="true" outlineLevel="0" collapsed="false">
      <c r="A865" s="7"/>
      <c r="B865" s="15"/>
      <c r="C865" s="7"/>
      <c r="D865" s="7"/>
      <c r="E865" s="17" t="str">
        <f aca="false">IF(A865="","",SUMIFS(Sales_Items!$H$2:$H$3001,Sales_Items!$A$2:$A$3001,A865))</f>
        <v/>
      </c>
      <c r="F865" s="13"/>
      <c r="G865" s="17" t="str">
        <f aca="false">IF(A865="","",E865-N(F865))</f>
        <v/>
      </c>
      <c r="H865" s="13"/>
      <c r="I865" s="17" t="str">
        <f aca="false">IF(A865="","",SUMIFS(Due_Payments!$C$2:$C$1001,Due_Payments!$B$2:$B$1001,A865))</f>
        <v/>
      </c>
      <c r="J865" s="17" t="str">
        <f aca="false">IF(A865="","",G865-N(H865)-I865)</f>
        <v/>
      </c>
      <c r="K865" s="7"/>
      <c r="L865" s="7"/>
      <c r="M865" s="7"/>
    </row>
    <row r="866" customFormat="false" ht="15" hidden="false" customHeight="true" outlineLevel="0" collapsed="false">
      <c r="A866" s="7"/>
      <c r="B866" s="15"/>
      <c r="C866" s="7"/>
      <c r="D866" s="7"/>
      <c r="E866" s="17" t="str">
        <f aca="false">IF(A866="","",SUMIFS(Sales_Items!$H$2:$H$3001,Sales_Items!$A$2:$A$3001,A866))</f>
        <v/>
      </c>
      <c r="F866" s="13"/>
      <c r="G866" s="17" t="str">
        <f aca="false">IF(A866="","",E866-N(F866))</f>
        <v/>
      </c>
      <c r="H866" s="13"/>
      <c r="I866" s="17" t="str">
        <f aca="false">IF(A866="","",SUMIFS(Due_Payments!$C$2:$C$1001,Due_Payments!$B$2:$B$1001,A866))</f>
        <v/>
      </c>
      <c r="J866" s="17" t="str">
        <f aca="false">IF(A866="","",G866-N(H866)-I866)</f>
        <v/>
      </c>
      <c r="K866" s="7"/>
      <c r="L866" s="7"/>
      <c r="M866" s="7"/>
    </row>
    <row r="867" customFormat="false" ht="15" hidden="false" customHeight="true" outlineLevel="0" collapsed="false">
      <c r="A867" s="7"/>
      <c r="B867" s="15"/>
      <c r="C867" s="7"/>
      <c r="D867" s="7"/>
      <c r="E867" s="17" t="str">
        <f aca="false">IF(A867="","",SUMIFS(Sales_Items!$H$2:$H$3001,Sales_Items!$A$2:$A$3001,A867))</f>
        <v/>
      </c>
      <c r="F867" s="13"/>
      <c r="G867" s="17" t="str">
        <f aca="false">IF(A867="","",E867-N(F867))</f>
        <v/>
      </c>
      <c r="H867" s="13"/>
      <c r="I867" s="17" t="str">
        <f aca="false">IF(A867="","",SUMIFS(Due_Payments!$C$2:$C$1001,Due_Payments!$B$2:$B$1001,A867))</f>
        <v/>
      </c>
      <c r="J867" s="17" t="str">
        <f aca="false">IF(A867="","",G867-N(H867)-I867)</f>
        <v/>
      </c>
      <c r="K867" s="7"/>
      <c r="L867" s="7"/>
      <c r="M867" s="7"/>
    </row>
    <row r="868" customFormat="false" ht="15" hidden="false" customHeight="true" outlineLevel="0" collapsed="false">
      <c r="A868" s="7"/>
      <c r="B868" s="15"/>
      <c r="C868" s="7"/>
      <c r="D868" s="7"/>
      <c r="E868" s="17" t="str">
        <f aca="false">IF(A868="","",SUMIFS(Sales_Items!$H$2:$H$3001,Sales_Items!$A$2:$A$3001,A868))</f>
        <v/>
      </c>
      <c r="F868" s="13"/>
      <c r="G868" s="17" t="str">
        <f aca="false">IF(A868="","",E868-N(F868))</f>
        <v/>
      </c>
      <c r="H868" s="13"/>
      <c r="I868" s="17" t="str">
        <f aca="false">IF(A868="","",SUMIFS(Due_Payments!$C$2:$C$1001,Due_Payments!$B$2:$B$1001,A868))</f>
        <v/>
      </c>
      <c r="J868" s="17" t="str">
        <f aca="false">IF(A868="","",G868-N(H868)-I868)</f>
        <v/>
      </c>
      <c r="K868" s="7"/>
      <c r="L868" s="7"/>
      <c r="M868" s="7"/>
    </row>
    <row r="869" customFormat="false" ht="15" hidden="false" customHeight="true" outlineLevel="0" collapsed="false">
      <c r="A869" s="7"/>
      <c r="B869" s="15"/>
      <c r="C869" s="7"/>
      <c r="D869" s="7"/>
      <c r="E869" s="17" t="str">
        <f aca="false">IF(A869="","",SUMIFS(Sales_Items!$H$2:$H$3001,Sales_Items!$A$2:$A$3001,A869))</f>
        <v/>
      </c>
      <c r="F869" s="13"/>
      <c r="G869" s="17" t="str">
        <f aca="false">IF(A869="","",E869-N(F869))</f>
        <v/>
      </c>
      <c r="H869" s="13"/>
      <c r="I869" s="17" t="str">
        <f aca="false">IF(A869="","",SUMIFS(Due_Payments!$C$2:$C$1001,Due_Payments!$B$2:$B$1001,A869))</f>
        <v/>
      </c>
      <c r="J869" s="17" t="str">
        <f aca="false">IF(A869="","",G869-N(H869)-I869)</f>
        <v/>
      </c>
      <c r="K869" s="7"/>
      <c r="L869" s="7"/>
      <c r="M869" s="7"/>
    </row>
    <row r="870" customFormat="false" ht="15" hidden="false" customHeight="true" outlineLevel="0" collapsed="false">
      <c r="A870" s="7"/>
      <c r="B870" s="15"/>
      <c r="C870" s="7"/>
      <c r="D870" s="7"/>
      <c r="E870" s="17" t="str">
        <f aca="false">IF(A870="","",SUMIFS(Sales_Items!$H$2:$H$3001,Sales_Items!$A$2:$A$3001,A870))</f>
        <v/>
      </c>
      <c r="F870" s="13"/>
      <c r="G870" s="17" t="str">
        <f aca="false">IF(A870="","",E870-N(F870))</f>
        <v/>
      </c>
      <c r="H870" s="13"/>
      <c r="I870" s="17" t="str">
        <f aca="false">IF(A870="","",SUMIFS(Due_Payments!$C$2:$C$1001,Due_Payments!$B$2:$B$1001,A870))</f>
        <v/>
      </c>
      <c r="J870" s="17" t="str">
        <f aca="false">IF(A870="","",G870-N(H870)-I870)</f>
        <v/>
      </c>
      <c r="K870" s="7"/>
      <c r="L870" s="7"/>
      <c r="M870" s="7"/>
    </row>
    <row r="871" customFormat="false" ht="15" hidden="false" customHeight="true" outlineLevel="0" collapsed="false">
      <c r="A871" s="7"/>
      <c r="B871" s="15"/>
      <c r="C871" s="7"/>
      <c r="D871" s="7"/>
      <c r="E871" s="17" t="str">
        <f aca="false">IF(A871="","",SUMIFS(Sales_Items!$H$2:$H$3001,Sales_Items!$A$2:$A$3001,A871))</f>
        <v/>
      </c>
      <c r="F871" s="13"/>
      <c r="G871" s="17" t="str">
        <f aca="false">IF(A871="","",E871-N(F871))</f>
        <v/>
      </c>
      <c r="H871" s="13"/>
      <c r="I871" s="17" t="str">
        <f aca="false">IF(A871="","",SUMIFS(Due_Payments!$C$2:$C$1001,Due_Payments!$B$2:$B$1001,A871))</f>
        <v/>
      </c>
      <c r="J871" s="17" t="str">
        <f aca="false">IF(A871="","",G871-N(H871)-I871)</f>
        <v/>
      </c>
      <c r="K871" s="7"/>
      <c r="L871" s="7"/>
      <c r="M871" s="7"/>
    </row>
    <row r="872" customFormat="false" ht="15" hidden="false" customHeight="true" outlineLevel="0" collapsed="false">
      <c r="A872" s="7"/>
      <c r="B872" s="15"/>
      <c r="C872" s="7"/>
      <c r="D872" s="7"/>
      <c r="E872" s="17" t="str">
        <f aca="false">IF(A872="","",SUMIFS(Sales_Items!$H$2:$H$3001,Sales_Items!$A$2:$A$3001,A872))</f>
        <v/>
      </c>
      <c r="F872" s="13"/>
      <c r="G872" s="17" t="str">
        <f aca="false">IF(A872="","",E872-N(F872))</f>
        <v/>
      </c>
      <c r="H872" s="13"/>
      <c r="I872" s="17" t="str">
        <f aca="false">IF(A872="","",SUMIFS(Due_Payments!$C$2:$C$1001,Due_Payments!$B$2:$B$1001,A872))</f>
        <v/>
      </c>
      <c r="J872" s="17" t="str">
        <f aca="false">IF(A872="","",G872-N(H872)-I872)</f>
        <v/>
      </c>
      <c r="K872" s="7"/>
      <c r="L872" s="7"/>
      <c r="M872" s="7"/>
    </row>
    <row r="873" customFormat="false" ht="15" hidden="false" customHeight="true" outlineLevel="0" collapsed="false">
      <c r="A873" s="7"/>
      <c r="B873" s="15"/>
      <c r="C873" s="7"/>
      <c r="D873" s="7"/>
      <c r="E873" s="17" t="str">
        <f aca="false">IF(A873="","",SUMIFS(Sales_Items!$H$2:$H$3001,Sales_Items!$A$2:$A$3001,A873))</f>
        <v/>
      </c>
      <c r="F873" s="13"/>
      <c r="G873" s="17" t="str">
        <f aca="false">IF(A873="","",E873-N(F873))</f>
        <v/>
      </c>
      <c r="H873" s="13"/>
      <c r="I873" s="17" t="str">
        <f aca="false">IF(A873="","",SUMIFS(Due_Payments!$C$2:$C$1001,Due_Payments!$B$2:$B$1001,A873))</f>
        <v/>
      </c>
      <c r="J873" s="17" t="str">
        <f aca="false">IF(A873="","",G873-N(H873)-I873)</f>
        <v/>
      </c>
      <c r="K873" s="7"/>
      <c r="L873" s="7"/>
      <c r="M873" s="7"/>
    </row>
    <row r="874" customFormat="false" ht="15" hidden="false" customHeight="true" outlineLevel="0" collapsed="false">
      <c r="A874" s="7"/>
      <c r="B874" s="15"/>
      <c r="C874" s="7"/>
      <c r="D874" s="7"/>
      <c r="E874" s="17" t="str">
        <f aca="false">IF(A874="","",SUMIFS(Sales_Items!$H$2:$H$3001,Sales_Items!$A$2:$A$3001,A874))</f>
        <v/>
      </c>
      <c r="F874" s="13"/>
      <c r="G874" s="17" t="str">
        <f aca="false">IF(A874="","",E874-N(F874))</f>
        <v/>
      </c>
      <c r="H874" s="13"/>
      <c r="I874" s="17" t="str">
        <f aca="false">IF(A874="","",SUMIFS(Due_Payments!$C$2:$C$1001,Due_Payments!$B$2:$B$1001,A874))</f>
        <v/>
      </c>
      <c r="J874" s="17" t="str">
        <f aca="false">IF(A874="","",G874-N(H874)-I874)</f>
        <v/>
      </c>
      <c r="K874" s="7"/>
      <c r="L874" s="7"/>
      <c r="M874" s="7"/>
    </row>
    <row r="875" customFormat="false" ht="15" hidden="false" customHeight="true" outlineLevel="0" collapsed="false">
      <c r="A875" s="7"/>
      <c r="B875" s="15"/>
      <c r="C875" s="7"/>
      <c r="D875" s="7"/>
      <c r="E875" s="17" t="str">
        <f aca="false">IF(A875="","",SUMIFS(Sales_Items!$H$2:$H$3001,Sales_Items!$A$2:$A$3001,A875))</f>
        <v/>
      </c>
      <c r="F875" s="13"/>
      <c r="G875" s="17" t="str">
        <f aca="false">IF(A875="","",E875-N(F875))</f>
        <v/>
      </c>
      <c r="H875" s="13"/>
      <c r="I875" s="17" t="str">
        <f aca="false">IF(A875="","",SUMIFS(Due_Payments!$C$2:$C$1001,Due_Payments!$B$2:$B$1001,A875))</f>
        <v/>
      </c>
      <c r="J875" s="17" t="str">
        <f aca="false">IF(A875="","",G875-N(H875)-I875)</f>
        <v/>
      </c>
      <c r="K875" s="7"/>
      <c r="L875" s="7"/>
      <c r="M875" s="7"/>
    </row>
    <row r="876" customFormat="false" ht="15" hidden="false" customHeight="true" outlineLevel="0" collapsed="false">
      <c r="A876" s="7"/>
      <c r="B876" s="15"/>
      <c r="C876" s="7"/>
      <c r="D876" s="7"/>
      <c r="E876" s="17" t="str">
        <f aca="false">IF(A876="","",SUMIFS(Sales_Items!$H$2:$H$3001,Sales_Items!$A$2:$A$3001,A876))</f>
        <v/>
      </c>
      <c r="F876" s="13"/>
      <c r="G876" s="17" t="str">
        <f aca="false">IF(A876="","",E876-N(F876))</f>
        <v/>
      </c>
      <c r="H876" s="13"/>
      <c r="I876" s="17" t="str">
        <f aca="false">IF(A876="","",SUMIFS(Due_Payments!$C$2:$C$1001,Due_Payments!$B$2:$B$1001,A876))</f>
        <v/>
      </c>
      <c r="J876" s="17" t="str">
        <f aca="false">IF(A876="","",G876-N(H876)-I876)</f>
        <v/>
      </c>
      <c r="K876" s="7"/>
      <c r="L876" s="7"/>
      <c r="M876" s="7"/>
    </row>
    <row r="877" customFormat="false" ht="15" hidden="false" customHeight="true" outlineLevel="0" collapsed="false">
      <c r="A877" s="7"/>
      <c r="B877" s="15"/>
      <c r="C877" s="7"/>
      <c r="D877" s="7"/>
      <c r="E877" s="17" t="str">
        <f aca="false">IF(A877="","",SUMIFS(Sales_Items!$H$2:$H$3001,Sales_Items!$A$2:$A$3001,A877))</f>
        <v/>
      </c>
      <c r="F877" s="13"/>
      <c r="G877" s="17" t="str">
        <f aca="false">IF(A877="","",E877-N(F877))</f>
        <v/>
      </c>
      <c r="H877" s="13"/>
      <c r="I877" s="17" t="str">
        <f aca="false">IF(A877="","",SUMIFS(Due_Payments!$C$2:$C$1001,Due_Payments!$B$2:$B$1001,A877))</f>
        <v/>
      </c>
      <c r="J877" s="17" t="str">
        <f aca="false">IF(A877="","",G877-N(H877)-I877)</f>
        <v/>
      </c>
      <c r="K877" s="7"/>
      <c r="L877" s="7"/>
      <c r="M877" s="7"/>
    </row>
    <row r="878" customFormat="false" ht="15" hidden="false" customHeight="true" outlineLevel="0" collapsed="false">
      <c r="A878" s="7"/>
      <c r="B878" s="15"/>
      <c r="C878" s="7"/>
      <c r="D878" s="7"/>
      <c r="E878" s="17" t="str">
        <f aca="false">IF(A878="","",SUMIFS(Sales_Items!$H$2:$H$3001,Sales_Items!$A$2:$A$3001,A878))</f>
        <v/>
      </c>
      <c r="F878" s="13"/>
      <c r="G878" s="17" t="str">
        <f aca="false">IF(A878="","",E878-N(F878))</f>
        <v/>
      </c>
      <c r="H878" s="13"/>
      <c r="I878" s="17" t="str">
        <f aca="false">IF(A878="","",SUMIFS(Due_Payments!$C$2:$C$1001,Due_Payments!$B$2:$B$1001,A878))</f>
        <v/>
      </c>
      <c r="J878" s="17" t="str">
        <f aca="false">IF(A878="","",G878-N(H878)-I878)</f>
        <v/>
      </c>
      <c r="K878" s="7"/>
      <c r="L878" s="7"/>
      <c r="M878" s="7"/>
    </row>
    <row r="879" customFormat="false" ht="15" hidden="false" customHeight="true" outlineLevel="0" collapsed="false">
      <c r="A879" s="7"/>
      <c r="B879" s="15"/>
      <c r="C879" s="7"/>
      <c r="D879" s="7"/>
      <c r="E879" s="17" t="str">
        <f aca="false">IF(A879="","",SUMIFS(Sales_Items!$H$2:$H$3001,Sales_Items!$A$2:$A$3001,A879))</f>
        <v/>
      </c>
      <c r="F879" s="13"/>
      <c r="G879" s="17" t="str">
        <f aca="false">IF(A879="","",E879-N(F879))</f>
        <v/>
      </c>
      <c r="H879" s="13"/>
      <c r="I879" s="17" t="str">
        <f aca="false">IF(A879="","",SUMIFS(Due_Payments!$C$2:$C$1001,Due_Payments!$B$2:$B$1001,A879))</f>
        <v/>
      </c>
      <c r="J879" s="17" t="str">
        <f aca="false">IF(A879="","",G879-N(H879)-I879)</f>
        <v/>
      </c>
      <c r="K879" s="7"/>
      <c r="L879" s="7"/>
      <c r="M879" s="7"/>
    </row>
    <row r="880" customFormat="false" ht="15" hidden="false" customHeight="true" outlineLevel="0" collapsed="false">
      <c r="A880" s="7"/>
      <c r="B880" s="15"/>
      <c r="C880" s="7"/>
      <c r="D880" s="7"/>
      <c r="E880" s="17" t="str">
        <f aca="false">IF(A880="","",SUMIFS(Sales_Items!$H$2:$H$3001,Sales_Items!$A$2:$A$3001,A880))</f>
        <v/>
      </c>
      <c r="F880" s="13"/>
      <c r="G880" s="17" t="str">
        <f aca="false">IF(A880="","",E880-N(F880))</f>
        <v/>
      </c>
      <c r="H880" s="13"/>
      <c r="I880" s="17" t="str">
        <f aca="false">IF(A880="","",SUMIFS(Due_Payments!$C$2:$C$1001,Due_Payments!$B$2:$B$1001,A880))</f>
        <v/>
      </c>
      <c r="J880" s="17" t="str">
        <f aca="false">IF(A880="","",G880-N(H880)-I880)</f>
        <v/>
      </c>
      <c r="K880" s="7"/>
      <c r="L880" s="7"/>
      <c r="M880" s="7"/>
    </row>
    <row r="881" customFormat="false" ht="15" hidden="false" customHeight="true" outlineLevel="0" collapsed="false">
      <c r="A881" s="7"/>
      <c r="B881" s="15"/>
      <c r="C881" s="7"/>
      <c r="D881" s="7"/>
      <c r="E881" s="17" t="str">
        <f aca="false">IF(A881="","",SUMIFS(Sales_Items!$H$2:$H$3001,Sales_Items!$A$2:$A$3001,A881))</f>
        <v/>
      </c>
      <c r="F881" s="13"/>
      <c r="G881" s="17" t="str">
        <f aca="false">IF(A881="","",E881-N(F881))</f>
        <v/>
      </c>
      <c r="H881" s="13"/>
      <c r="I881" s="17" t="str">
        <f aca="false">IF(A881="","",SUMIFS(Due_Payments!$C$2:$C$1001,Due_Payments!$B$2:$B$1001,A881))</f>
        <v/>
      </c>
      <c r="J881" s="17" t="str">
        <f aca="false">IF(A881="","",G881-N(H881)-I881)</f>
        <v/>
      </c>
      <c r="K881" s="7"/>
      <c r="L881" s="7"/>
      <c r="M881" s="7"/>
    </row>
    <row r="882" customFormat="false" ht="15" hidden="false" customHeight="true" outlineLevel="0" collapsed="false">
      <c r="A882" s="7"/>
      <c r="B882" s="15"/>
      <c r="C882" s="7"/>
      <c r="D882" s="7"/>
      <c r="E882" s="17" t="str">
        <f aca="false">IF(A882="","",SUMIFS(Sales_Items!$H$2:$H$3001,Sales_Items!$A$2:$A$3001,A882))</f>
        <v/>
      </c>
      <c r="F882" s="13"/>
      <c r="G882" s="17" t="str">
        <f aca="false">IF(A882="","",E882-N(F882))</f>
        <v/>
      </c>
      <c r="H882" s="13"/>
      <c r="I882" s="17" t="str">
        <f aca="false">IF(A882="","",SUMIFS(Due_Payments!$C$2:$C$1001,Due_Payments!$B$2:$B$1001,A882))</f>
        <v/>
      </c>
      <c r="J882" s="17" t="str">
        <f aca="false">IF(A882="","",G882-N(H882)-I882)</f>
        <v/>
      </c>
      <c r="K882" s="7"/>
      <c r="L882" s="7"/>
      <c r="M882" s="7"/>
    </row>
    <row r="883" customFormat="false" ht="15" hidden="false" customHeight="true" outlineLevel="0" collapsed="false">
      <c r="A883" s="7"/>
      <c r="B883" s="15"/>
      <c r="C883" s="7"/>
      <c r="D883" s="7"/>
      <c r="E883" s="17" t="str">
        <f aca="false">IF(A883="","",SUMIFS(Sales_Items!$H$2:$H$3001,Sales_Items!$A$2:$A$3001,A883))</f>
        <v/>
      </c>
      <c r="F883" s="13"/>
      <c r="G883" s="17" t="str">
        <f aca="false">IF(A883="","",E883-N(F883))</f>
        <v/>
      </c>
      <c r="H883" s="13"/>
      <c r="I883" s="17" t="str">
        <f aca="false">IF(A883="","",SUMIFS(Due_Payments!$C$2:$C$1001,Due_Payments!$B$2:$B$1001,A883))</f>
        <v/>
      </c>
      <c r="J883" s="17" t="str">
        <f aca="false">IF(A883="","",G883-N(H883)-I883)</f>
        <v/>
      </c>
      <c r="K883" s="7"/>
      <c r="L883" s="7"/>
      <c r="M883" s="7"/>
    </row>
    <row r="884" customFormat="false" ht="15" hidden="false" customHeight="true" outlineLevel="0" collapsed="false">
      <c r="A884" s="7"/>
      <c r="B884" s="15"/>
      <c r="C884" s="7"/>
      <c r="D884" s="7"/>
      <c r="E884" s="17" t="str">
        <f aca="false">IF(A884="","",SUMIFS(Sales_Items!$H$2:$H$3001,Sales_Items!$A$2:$A$3001,A884))</f>
        <v/>
      </c>
      <c r="F884" s="13"/>
      <c r="G884" s="17" t="str">
        <f aca="false">IF(A884="","",E884-N(F884))</f>
        <v/>
      </c>
      <c r="H884" s="13"/>
      <c r="I884" s="17" t="str">
        <f aca="false">IF(A884="","",SUMIFS(Due_Payments!$C$2:$C$1001,Due_Payments!$B$2:$B$1001,A884))</f>
        <v/>
      </c>
      <c r="J884" s="17" t="str">
        <f aca="false">IF(A884="","",G884-N(H884)-I884)</f>
        <v/>
      </c>
      <c r="K884" s="7"/>
      <c r="L884" s="7"/>
      <c r="M884" s="7"/>
    </row>
    <row r="885" customFormat="false" ht="15" hidden="false" customHeight="true" outlineLevel="0" collapsed="false">
      <c r="A885" s="7"/>
      <c r="B885" s="15"/>
      <c r="C885" s="7"/>
      <c r="D885" s="7"/>
      <c r="E885" s="17" t="str">
        <f aca="false">IF(A885="","",SUMIFS(Sales_Items!$H$2:$H$3001,Sales_Items!$A$2:$A$3001,A885))</f>
        <v/>
      </c>
      <c r="F885" s="13"/>
      <c r="G885" s="17" t="str">
        <f aca="false">IF(A885="","",E885-N(F885))</f>
        <v/>
      </c>
      <c r="H885" s="13"/>
      <c r="I885" s="17" t="str">
        <f aca="false">IF(A885="","",SUMIFS(Due_Payments!$C$2:$C$1001,Due_Payments!$B$2:$B$1001,A885))</f>
        <v/>
      </c>
      <c r="J885" s="17" t="str">
        <f aca="false">IF(A885="","",G885-N(H885)-I885)</f>
        <v/>
      </c>
      <c r="K885" s="7"/>
      <c r="L885" s="7"/>
      <c r="M885" s="7"/>
    </row>
    <row r="886" customFormat="false" ht="15" hidden="false" customHeight="true" outlineLevel="0" collapsed="false">
      <c r="A886" s="7"/>
      <c r="B886" s="15"/>
      <c r="C886" s="7"/>
      <c r="D886" s="7"/>
      <c r="E886" s="17" t="str">
        <f aca="false">IF(A886="","",SUMIFS(Sales_Items!$H$2:$H$3001,Sales_Items!$A$2:$A$3001,A886))</f>
        <v/>
      </c>
      <c r="F886" s="13"/>
      <c r="G886" s="17" t="str">
        <f aca="false">IF(A886="","",E886-N(F886))</f>
        <v/>
      </c>
      <c r="H886" s="13"/>
      <c r="I886" s="17" t="str">
        <f aca="false">IF(A886="","",SUMIFS(Due_Payments!$C$2:$C$1001,Due_Payments!$B$2:$B$1001,A886))</f>
        <v/>
      </c>
      <c r="J886" s="17" t="str">
        <f aca="false">IF(A886="","",G886-N(H886)-I886)</f>
        <v/>
      </c>
      <c r="K886" s="7"/>
      <c r="L886" s="7"/>
      <c r="M886" s="7"/>
    </row>
    <row r="887" customFormat="false" ht="15" hidden="false" customHeight="true" outlineLevel="0" collapsed="false">
      <c r="A887" s="7"/>
      <c r="B887" s="15"/>
      <c r="C887" s="7"/>
      <c r="D887" s="7"/>
      <c r="E887" s="17" t="str">
        <f aca="false">IF(A887="","",SUMIFS(Sales_Items!$H$2:$H$3001,Sales_Items!$A$2:$A$3001,A887))</f>
        <v/>
      </c>
      <c r="F887" s="13"/>
      <c r="G887" s="17" t="str">
        <f aca="false">IF(A887="","",E887-N(F887))</f>
        <v/>
      </c>
      <c r="H887" s="13"/>
      <c r="I887" s="17" t="str">
        <f aca="false">IF(A887="","",SUMIFS(Due_Payments!$C$2:$C$1001,Due_Payments!$B$2:$B$1001,A887))</f>
        <v/>
      </c>
      <c r="J887" s="17" t="str">
        <f aca="false">IF(A887="","",G887-N(H887)-I887)</f>
        <v/>
      </c>
      <c r="K887" s="7"/>
      <c r="L887" s="7"/>
      <c r="M887" s="7"/>
    </row>
    <row r="888" customFormat="false" ht="15" hidden="false" customHeight="true" outlineLevel="0" collapsed="false">
      <c r="A888" s="7"/>
      <c r="B888" s="15"/>
      <c r="C888" s="7"/>
      <c r="D888" s="7"/>
      <c r="E888" s="17" t="str">
        <f aca="false">IF(A888="","",SUMIFS(Sales_Items!$H$2:$H$3001,Sales_Items!$A$2:$A$3001,A888))</f>
        <v/>
      </c>
      <c r="F888" s="13"/>
      <c r="G888" s="17" t="str">
        <f aca="false">IF(A888="","",E888-N(F888))</f>
        <v/>
      </c>
      <c r="H888" s="13"/>
      <c r="I888" s="17" t="str">
        <f aca="false">IF(A888="","",SUMIFS(Due_Payments!$C$2:$C$1001,Due_Payments!$B$2:$B$1001,A888))</f>
        <v/>
      </c>
      <c r="J888" s="17" t="str">
        <f aca="false">IF(A888="","",G888-N(H888)-I888)</f>
        <v/>
      </c>
      <c r="K888" s="7"/>
      <c r="L888" s="7"/>
      <c r="M888" s="7"/>
    </row>
    <row r="889" customFormat="false" ht="15" hidden="false" customHeight="true" outlineLevel="0" collapsed="false">
      <c r="A889" s="7"/>
      <c r="B889" s="15"/>
      <c r="C889" s="7"/>
      <c r="D889" s="7"/>
      <c r="E889" s="17" t="str">
        <f aca="false">IF(A889="","",SUMIFS(Sales_Items!$H$2:$H$3001,Sales_Items!$A$2:$A$3001,A889))</f>
        <v/>
      </c>
      <c r="F889" s="13"/>
      <c r="G889" s="17" t="str">
        <f aca="false">IF(A889="","",E889-N(F889))</f>
        <v/>
      </c>
      <c r="H889" s="13"/>
      <c r="I889" s="17" t="str">
        <f aca="false">IF(A889="","",SUMIFS(Due_Payments!$C$2:$C$1001,Due_Payments!$B$2:$B$1001,A889))</f>
        <v/>
      </c>
      <c r="J889" s="17" t="str">
        <f aca="false">IF(A889="","",G889-N(H889)-I889)</f>
        <v/>
      </c>
      <c r="K889" s="7"/>
      <c r="L889" s="7"/>
      <c r="M889" s="7"/>
    </row>
    <row r="890" customFormat="false" ht="15" hidden="false" customHeight="true" outlineLevel="0" collapsed="false">
      <c r="A890" s="7"/>
      <c r="B890" s="15"/>
      <c r="C890" s="7"/>
      <c r="D890" s="7"/>
      <c r="E890" s="17" t="str">
        <f aca="false">IF(A890="","",SUMIFS(Sales_Items!$H$2:$H$3001,Sales_Items!$A$2:$A$3001,A890))</f>
        <v/>
      </c>
      <c r="F890" s="13"/>
      <c r="G890" s="17" t="str">
        <f aca="false">IF(A890="","",E890-N(F890))</f>
        <v/>
      </c>
      <c r="H890" s="13"/>
      <c r="I890" s="17" t="str">
        <f aca="false">IF(A890="","",SUMIFS(Due_Payments!$C$2:$C$1001,Due_Payments!$B$2:$B$1001,A890))</f>
        <v/>
      </c>
      <c r="J890" s="17" t="str">
        <f aca="false">IF(A890="","",G890-N(H890)-I890)</f>
        <v/>
      </c>
      <c r="K890" s="7"/>
      <c r="L890" s="7"/>
      <c r="M890" s="7"/>
    </row>
    <row r="891" customFormat="false" ht="15" hidden="false" customHeight="true" outlineLevel="0" collapsed="false">
      <c r="A891" s="7"/>
      <c r="B891" s="15"/>
      <c r="C891" s="7"/>
      <c r="D891" s="7"/>
      <c r="E891" s="17" t="str">
        <f aca="false">IF(A891="","",SUMIFS(Sales_Items!$H$2:$H$3001,Sales_Items!$A$2:$A$3001,A891))</f>
        <v/>
      </c>
      <c r="F891" s="13"/>
      <c r="G891" s="17" t="str">
        <f aca="false">IF(A891="","",E891-N(F891))</f>
        <v/>
      </c>
      <c r="H891" s="13"/>
      <c r="I891" s="17" t="str">
        <f aca="false">IF(A891="","",SUMIFS(Due_Payments!$C$2:$C$1001,Due_Payments!$B$2:$B$1001,A891))</f>
        <v/>
      </c>
      <c r="J891" s="17" t="str">
        <f aca="false">IF(A891="","",G891-N(H891)-I891)</f>
        <v/>
      </c>
      <c r="K891" s="7"/>
      <c r="L891" s="7"/>
      <c r="M891" s="7"/>
    </row>
    <row r="892" customFormat="false" ht="15" hidden="false" customHeight="true" outlineLevel="0" collapsed="false">
      <c r="A892" s="7"/>
      <c r="B892" s="15"/>
      <c r="C892" s="7"/>
      <c r="D892" s="7"/>
      <c r="E892" s="17" t="str">
        <f aca="false">IF(A892="","",SUMIFS(Sales_Items!$H$2:$H$3001,Sales_Items!$A$2:$A$3001,A892))</f>
        <v/>
      </c>
      <c r="F892" s="13"/>
      <c r="G892" s="17" t="str">
        <f aca="false">IF(A892="","",E892-N(F892))</f>
        <v/>
      </c>
      <c r="H892" s="13"/>
      <c r="I892" s="17" t="str">
        <f aca="false">IF(A892="","",SUMIFS(Due_Payments!$C$2:$C$1001,Due_Payments!$B$2:$B$1001,A892))</f>
        <v/>
      </c>
      <c r="J892" s="17" t="str">
        <f aca="false">IF(A892="","",G892-N(H892)-I892)</f>
        <v/>
      </c>
      <c r="K892" s="7"/>
      <c r="L892" s="7"/>
      <c r="M892" s="7"/>
    </row>
    <row r="893" customFormat="false" ht="15" hidden="false" customHeight="true" outlineLevel="0" collapsed="false">
      <c r="A893" s="7"/>
      <c r="B893" s="15"/>
      <c r="C893" s="7"/>
      <c r="D893" s="7"/>
      <c r="E893" s="17" t="str">
        <f aca="false">IF(A893="","",SUMIFS(Sales_Items!$H$2:$H$3001,Sales_Items!$A$2:$A$3001,A893))</f>
        <v/>
      </c>
      <c r="F893" s="13"/>
      <c r="G893" s="17" t="str">
        <f aca="false">IF(A893="","",E893-N(F893))</f>
        <v/>
      </c>
      <c r="H893" s="13"/>
      <c r="I893" s="17" t="str">
        <f aca="false">IF(A893="","",SUMIFS(Due_Payments!$C$2:$C$1001,Due_Payments!$B$2:$B$1001,A893))</f>
        <v/>
      </c>
      <c r="J893" s="17" t="str">
        <f aca="false">IF(A893="","",G893-N(H893)-I893)</f>
        <v/>
      </c>
      <c r="K893" s="7"/>
      <c r="L893" s="7"/>
      <c r="M893" s="7"/>
    </row>
    <row r="894" customFormat="false" ht="15" hidden="false" customHeight="true" outlineLevel="0" collapsed="false">
      <c r="A894" s="7"/>
      <c r="B894" s="15"/>
      <c r="C894" s="7"/>
      <c r="D894" s="7"/>
      <c r="E894" s="17" t="str">
        <f aca="false">IF(A894="","",SUMIFS(Sales_Items!$H$2:$H$3001,Sales_Items!$A$2:$A$3001,A894))</f>
        <v/>
      </c>
      <c r="F894" s="13"/>
      <c r="G894" s="17" t="str">
        <f aca="false">IF(A894="","",E894-N(F894))</f>
        <v/>
      </c>
      <c r="H894" s="13"/>
      <c r="I894" s="17" t="str">
        <f aca="false">IF(A894="","",SUMIFS(Due_Payments!$C$2:$C$1001,Due_Payments!$B$2:$B$1001,A894))</f>
        <v/>
      </c>
      <c r="J894" s="17" t="str">
        <f aca="false">IF(A894="","",G894-N(H894)-I894)</f>
        <v/>
      </c>
      <c r="K894" s="7"/>
      <c r="L894" s="7"/>
      <c r="M894" s="7"/>
    </row>
    <row r="895" customFormat="false" ht="15" hidden="false" customHeight="true" outlineLevel="0" collapsed="false">
      <c r="A895" s="7"/>
      <c r="B895" s="15"/>
      <c r="C895" s="7"/>
      <c r="D895" s="7"/>
      <c r="E895" s="17" t="str">
        <f aca="false">IF(A895="","",SUMIFS(Sales_Items!$H$2:$H$3001,Sales_Items!$A$2:$A$3001,A895))</f>
        <v/>
      </c>
      <c r="F895" s="13"/>
      <c r="G895" s="17" t="str">
        <f aca="false">IF(A895="","",E895-N(F895))</f>
        <v/>
      </c>
      <c r="H895" s="13"/>
      <c r="I895" s="17" t="str">
        <f aca="false">IF(A895="","",SUMIFS(Due_Payments!$C$2:$C$1001,Due_Payments!$B$2:$B$1001,A895))</f>
        <v/>
      </c>
      <c r="J895" s="17" t="str">
        <f aca="false">IF(A895="","",G895-N(H895)-I895)</f>
        <v/>
      </c>
      <c r="K895" s="7"/>
      <c r="L895" s="7"/>
      <c r="M895" s="7"/>
    </row>
    <row r="896" customFormat="false" ht="15" hidden="false" customHeight="true" outlineLevel="0" collapsed="false">
      <c r="A896" s="7"/>
      <c r="B896" s="15"/>
      <c r="C896" s="7"/>
      <c r="D896" s="7"/>
      <c r="E896" s="17" t="str">
        <f aca="false">IF(A896="","",SUMIFS(Sales_Items!$H$2:$H$3001,Sales_Items!$A$2:$A$3001,A896))</f>
        <v/>
      </c>
      <c r="F896" s="13"/>
      <c r="G896" s="17" t="str">
        <f aca="false">IF(A896="","",E896-N(F896))</f>
        <v/>
      </c>
      <c r="H896" s="13"/>
      <c r="I896" s="17" t="str">
        <f aca="false">IF(A896="","",SUMIFS(Due_Payments!$C$2:$C$1001,Due_Payments!$B$2:$B$1001,A896))</f>
        <v/>
      </c>
      <c r="J896" s="17" t="str">
        <f aca="false">IF(A896="","",G896-N(H896)-I896)</f>
        <v/>
      </c>
      <c r="K896" s="7"/>
      <c r="L896" s="7"/>
      <c r="M896" s="7"/>
    </row>
    <row r="897" customFormat="false" ht="15" hidden="false" customHeight="true" outlineLevel="0" collapsed="false">
      <c r="A897" s="7"/>
      <c r="B897" s="15"/>
      <c r="C897" s="7"/>
      <c r="D897" s="7"/>
      <c r="E897" s="17" t="str">
        <f aca="false">IF(A897="","",SUMIFS(Sales_Items!$H$2:$H$3001,Sales_Items!$A$2:$A$3001,A897))</f>
        <v/>
      </c>
      <c r="F897" s="13"/>
      <c r="G897" s="17" t="str">
        <f aca="false">IF(A897="","",E897-N(F897))</f>
        <v/>
      </c>
      <c r="H897" s="13"/>
      <c r="I897" s="17" t="str">
        <f aca="false">IF(A897="","",SUMIFS(Due_Payments!$C$2:$C$1001,Due_Payments!$B$2:$B$1001,A897))</f>
        <v/>
      </c>
      <c r="J897" s="17" t="str">
        <f aca="false">IF(A897="","",G897-N(H897)-I897)</f>
        <v/>
      </c>
      <c r="K897" s="7"/>
      <c r="L897" s="7"/>
      <c r="M897" s="7"/>
    </row>
    <row r="898" customFormat="false" ht="15" hidden="false" customHeight="true" outlineLevel="0" collapsed="false">
      <c r="A898" s="7"/>
      <c r="B898" s="15"/>
      <c r="C898" s="7"/>
      <c r="D898" s="7"/>
      <c r="E898" s="17" t="str">
        <f aca="false">IF(A898="","",SUMIFS(Sales_Items!$H$2:$H$3001,Sales_Items!$A$2:$A$3001,A898))</f>
        <v/>
      </c>
      <c r="F898" s="13"/>
      <c r="G898" s="17" t="str">
        <f aca="false">IF(A898="","",E898-N(F898))</f>
        <v/>
      </c>
      <c r="H898" s="13"/>
      <c r="I898" s="17" t="str">
        <f aca="false">IF(A898="","",SUMIFS(Due_Payments!$C$2:$C$1001,Due_Payments!$B$2:$B$1001,A898))</f>
        <v/>
      </c>
      <c r="J898" s="17" t="str">
        <f aca="false">IF(A898="","",G898-N(H898)-I898)</f>
        <v/>
      </c>
      <c r="K898" s="7"/>
      <c r="L898" s="7"/>
      <c r="M898" s="7"/>
    </row>
    <row r="899" customFormat="false" ht="15" hidden="false" customHeight="true" outlineLevel="0" collapsed="false">
      <c r="A899" s="7"/>
      <c r="B899" s="15"/>
      <c r="C899" s="7"/>
      <c r="D899" s="7"/>
      <c r="E899" s="17" t="str">
        <f aca="false">IF(A899="","",SUMIFS(Sales_Items!$H$2:$H$3001,Sales_Items!$A$2:$A$3001,A899))</f>
        <v/>
      </c>
      <c r="F899" s="13"/>
      <c r="G899" s="17" t="str">
        <f aca="false">IF(A899="","",E899-N(F899))</f>
        <v/>
      </c>
      <c r="H899" s="13"/>
      <c r="I899" s="17" t="str">
        <f aca="false">IF(A899="","",SUMIFS(Due_Payments!$C$2:$C$1001,Due_Payments!$B$2:$B$1001,A899))</f>
        <v/>
      </c>
      <c r="J899" s="17" t="str">
        <f aca="false">IF(A899="","",G899-N(H899)-I899)</f>
        <v/>
      </c>
      <c r="K899" s="7"/>
      <c r="L899" s="7"/>
      <c r="M899" s="7"/>
    </row>
    <row r="900" customFormat="false" ht="15" hidden="false" customHeight="true" outlineLevel="0" collapsed="false">
      <c r="A900" s="7"/>
      <c r="B900" s="15"/>
      <c r="C900" s="7"/>
      <c r="D900" s="7"/>
      <c r="E900" s="17" t="str">
        <f aca="false">IF(A900="","",SUMIFS(Sales_Items!$H$2:$H$3001,Sales_Items!$A$2:$A$3001,A900))</f>
        <v/>
      </c>
      <c r="F900" s="13"/>
      <c r="G900" s="17" t="str">
        <f aca="false">IF(A900="","",E900-N(F900))</f>
        <v/>
      </c>
      <c r="H900" s="13"/>
      <c r="I900" s="17" t="str">
        <f aca="false">IF(A900="","",SUMIFS(Due_Payments!$C$2:$C$1001,Due_Payments!$B$2:$B$1001,A900))</f>
        <v/>
      </c>
      <c r="J900" s="17" t="str">
        <f aca="false">IF(A900="","",G900-N(H900)-I900)</f>
        <v/>
      </c>
      <c r="K900" s="7"/>
      <c r="L900" s="7"/>
      <c r="M900" s="7"/>
    </row>
    <row r="901" customFormat="false" ht="15" hidden="false" customHeight="true" outlineLevel="0" collapsed="false">
      <c r="A901" s="7"/>
      <c r="B901" s="15"/>
      <c r="C901" s="7"/>
      <c r="D901" s="7"/>
      <c r="E901" s="17" t="str">
        <f aca="false">IF(A901="","",SUMIFS(Sales_Items!$H$2:$H$3001,Sales_Items!$A$2:$A$3001,A901))</f>
        <v/>
      </c>
      <c r="F901" s="13"/>
      <c r="G901" s="17" t="str">
        <f aca="false">IF(A901="","",E901-N(F901))</f>
        <v/>
      </c>
      <c r="H901" s="13"/>
      <c r="I901" s="17" t="str">
        <f aca="false">IF(A901="","",SUMIFS(Due_Payments!$C$2:$C$1001,Due_Payments!$B$2:$B$1001,A901))</f>
        <v/>
      </c>
      <c r="J901" s="17" t="str">
        <f aca="false">IF(A901="","",G901-N(H901)-I901)</f>
        <v/>
      </c>
      <c r="K901" s="7"/>
      <c r="L901" s="7"/>
      <c r="M901" s="7"/>
    </row>
    <row r="902" customFormat="false" ht="15" hidden="false" customHeight="true" outlineLevel="0" collapsed="false">
      <c r="A902" s="7"/>
      <c r="B902" s="15"/>
      <c r="C902" s="7"/>
      <c r="D902" s="7"/>
      <c r="E902" s="17" t="str">
        <f aca="false">IF(A902="","",SUMIFS(Sales_Items!$H$2:$H$3001,Sales_Items!$A$2:$A$3001,A902))</f>
        <v/>
      </c>
      <c r="F902" s="13"/>
      <c r="G902" s="17" t="str">
        <f aca="false">IF(A902="","",E902-N(F902))</f>
        <v/>
      </c>
      <c r="H902" s="13"/>
      <c r="I902" s="17" t="str">
        <f aca="false">IF(A902="","",SUMIFS(Due_Payments!$C$2:$C$1001,Due_Payments!$B$2:$B$1001,A902))</f>
        <v/>
      </c>
      <c r="J902" s="17" t="str">
        <f aca="false">IF(A902="","",G902-N(H902)-I902)</f>
        <v/>
      </c>
      <c r="K902" s="7"/>
      <c r="L902" s="7"/>
      <c r="M902" s="7"/>
    </row>
    <row r="903" customFormat="false" ht="15" hidden="false" customHeight="true" outlineLevel="0" collapsed="false">
      <c r="A903" s="7"/>
      <c r="B903" s="15"/>
      <c r="C903" s="7"/>
      <c r="D903" s="7"/>
      <c r="E903" s="17" t="str">
        <f aca="false">IF(A903="","",SUMIFS(Sales_Items!$H$2:$H$3001,Sales_Items!$A$2:$A$3001,A903))</f>
        <v/>
      </c>
      <c r="F903" s="13"/>
      <c r="G903" s="17" t="str">
        <f aca="false">IF(A903="","",E903-N(F903))</f>
        <v/>
      </c>
      <c r="H903" s="13"/>
      <c r="I903" s="17" t="str">
        <f aca="false">IF(A903="","",SUMIFS(Due_Payments!$C$2:$C$1001,Due_Payments!$B$2:$B$1001,A903))</f>
        <v/>
      </c>
      <c r="J903" s="17" t="str">
        <f aca="false">IF(A903="","",G903-N(H903)-I903)</f>
        <v/>
      </c>
      <c r="K903" s="7"/>
      <c r="L903" s="7"/>
      <c r="M903" s="7"/>
    </row>
    <row r="904" customFormat="false" ht="15" hidden="false" customHeight="true" outlineLevel="0" collapsed="false">
      <c r="A904" s="7"/>
      <c r="B904" s="15"/>
      <c r="C904" s="7"/>
      <c r="D904" s="7"/>
      <c r="E904" s="17" t="str">
        <f aca="false">IF(A904="","",SUMIFS(Sales_Items!$H$2:$H$3001,Sales_Items!$A$2:$A$3001,A904))</f>
        <v/>
      </c>
      <c r="F904" s="13"/>
      <c r="G904" s="17" t="str">
        <f aca="false">IF(A904="","",E904-N(F904))</f>
        <v/>
      </c>
      <c r="H904" s="13"/>
      <c r="I904" s="17" t="str">
        <f aca="false">IF(A904="","",SUMIFS(Due_Payments!$C$2:$C$1001,Due_Payments!$B$2:$B$1001,A904))</f>
        <v/>
      </c>
      <c r="J904" s="17" t="str">
        <f aca="false">IF(A904="","",G904-N(H904)-I904)</f>
        <v/>
      </c>
      <c r="K904" s="7"/>
      <c r="L904" s="7"/>
      <c r="M904" s="7"/>
    </row>
    <row r="905" customFormat="false" ht="15" hidden="false" customHeight="true" outlineLevel="0" collapsed="false">
      <c r="A905" s="7"/>
      <c r="B905" s="15"/>
      <c r="C905" s="7"/>
      <c r="D905" s="7"/>
      <c r="E905" s="17" t="str">
        <f aca="false">IF(A905="","",SUMIFS(Sales_Items!$H$2:$H$3001,Sales_Items!$A$2:$A$3001,A905))</f>
        <v/>
      </c>
      <c r="F905" s="13"/>
      <c r="G905" s="17" t="str">
        <f aca="false">IF(A905="","",E905-N(F905))</f>
        <v/>
      </c>
      <c r="H905" s="13"/>
      <c r="I905" s="17" t="str">
        <f aca="false">IF(A905="","",SUMIFS(Due_Payments!$C$2:$C$1001,Due_Payments!$B$2:$B$1001,A905))</f>
        <v/>
      </c>
      <c r="J905" s="17" t="str">
        <f aca="false">IF(A905="","",G905-N(H905)-I905)</f>
        <v/>
      </c>
      <c r="K905" s="7"/>
      <c r="L905" s="7"/>
      <c r="M905" s="7"/>
    </row>
    <row r="906" customFormat="false" ht="15" hidden="false" customHeight="true" outlineLevel="0" collapsed="false">
      <c r="A906" s="7"/>
      <c r="B906" s="15"/>
      <c r="C906" s="7"/>
      <c r="D906" s="7"/>
      <c r="E906" s="17" t="str">
        <f aca="false">IF(A906="","",SUMIFS(Sales_Items!$H$2:$H$3001,Sales_Items!$A$2:$A$3001,A906))</f>
        <v/>
      </c>
      <c r="F906" s="13"/>
      <c r="G906" s="17" t="str">
        <f aca="false">IF(A906="","",E906-N(F906))</f>
        <v/>
      </c>
      <c r="H906" s="13"/>
      <c r="I906" s="17" t="str">
        <f aca="false">IF(A906="","",SUMIFS(Due_Payments!$C$2:$C$1001,Due_Payments!$B$2:$B$1001,A906))</f>
        <v/>
      </c>
      <c r="J906" s="17" t="str">
        <f aca="false">IF(A906="","",G906-N(H906)-I906)</f>
        <v/>
      </c>
      <c r="K906" s="7"/>
      <c r="L906" s="7"/>
      <c r="M906" s="7"/>
    </row>
    <row r="907" customFormat="false" ht="15" hidden="false" customHeight="true" outlineLevel="0" collapsed="false">
      <c r="A907" s="7"/>
      <c r="B907" s="15"/>
      <c r="C907" s="7"/>
      <c r="D907" s="7"/>
      <c r="E907" s="17" t="str">
        <f aca="false">IF(A907="","",SUMIFS(Sales_Items!$H$2:$H$3001,Sales_Items!$A$2:$A$3001,A907))</f>
        <v/>
      </c>
      <c r="F907" s="13"/>
      <c r="G907" s="17" t="str">
        <f aca="false">IF(A907="","",E907-N(F907))</f>
        <v/>
      </c>
      <c r="H907" s="13"/>
      <c r="I907" s="17" t="str">
        <f aca="false">IF(A907="","",SUMIFS(Due_Payments!$C$2:$C$1001,Due_Payments!$B$2:$B$1001,A907))</f>
        <v/>
      </c>
      <c r="J907" s="17" t="str">
        <f aca="false">IF(A907="","",G907-N(H907)-I907)</f>
        <v/>
      </c>
      <c r="K907" s="7"/>
      <c r="L907" s="7"/>
      <c r="M907" s="7"/>
    </row>
    <row r="908" customFormat="false" ht="15" hidden="false" customHeight="true" outlineLevel="0" collapsed="false">
      <c r="A908" s="7"/>
      <c r="B908" s="15"/>
      <c r="C908" s="7"/>
      <c r="D908" s="7"/>
      <c r="E908" s="17" t="str">
        <f aca="false">IF(A908="","",SUMIFS(Sales_Items!$H$2:$H$3001,Sales_Items!$A$2:$A$3001,A908))</f>
        <v/>
      </c>
      <c r="F908" s="13"/>
      <c r="G908" s="17" t="str">
        <f aca="false">IF(A908="","",E908-N(F908))</f>
        <v/>
      </c>
      <c r="H908" s="13"/>
      <c r="I908" s="17" t="str">
        <f aca="false">IF(A908="","",SUMIFS(Due_Payments!$C$2:$C$1001,Due_Payments!$B$2:$B$1001,A908))</f>
        <v/>
      </c>
      <c r="J908" s="17" t="str">
        <f aca="false">IF(A908="","",G908-N(H908)-I908)</f>
        <v/>
      </c>
      <c r="K908" s="7"/>
      <c r="L908" s="7"/>
      <c r="M908" s="7"/>
    </row>
    <row r="909" customFormat="false" ht="15" hidden="false" customHeight="true" outlineLevel="0" collapsed="false">
      <c r="A909" s="7"/>
      <c r="B909" s="15"/>
      <c r="C909" s="7"/>
      <c r="D909" s="7"/>
      <c r="E909" s="17" t="str">
        <f aca="false">IF(A909="","",SUMIFS(Sales_Items!$H$2:$H$3001,Sales_Items!$A$2:$A$3001,A909))</f>
        <v/>
      </c>
      <c r="F909" s="13"/>
      <c r="G909" s="17" t="str">
        <f aca="false">IF(A909="","",E909-N(F909))</f>
        <v/>
      </c>
      <c r="H909" s="13"/>
      <c r="I909" s="17" t="str">
        <f aca="false">IF(A909="","",SUMIFS(Due_Payments!$C$2:$C$1001,Due_Payments!$B$2:$B$1001,A909))</f>
        <v/>
      </c>
      <c r="J909" s="17" t="str">
        <f aca="false">IF(A909="","",G909-N(H909)-I909)</f>
        <v/>
      </c>
      <c r="K909" s="7"/>
      <c r="L909" s="7"/>
      <c r="M909" s="7"/>
    </row>
    <row r="910" customFormat="false" ht="15" hidden="false" customHeight="true" outlineLevel="0" collapsed="false">
      <c r="A910" s="7"/>
      <c r="B910" s="15"/>
      <c r="C910" s="7"/>
      <c r="D910" s="7"/>
      <c r="E910" s="17" t="str">
        <f aca="false">IF(A910="","",SUMIFS(Sales_Items!$H$2:$H$3001,Sales_Items!$A$2:$A$3001,A910))</f>
        <v/>
      </c>
      <c r="F910" s="13"/>
      <c r="G910" s="17" t="str">
        <f aca="false">IF(A910="","",E910-N(F910))</f>
        <v/>
      </c>
      <c r="H910" s="13"/>
      <c r="I910" s="17" t="str">
        <f aca="false">IF(A910="","",SUMIFS(Due_Payments!$C$2:$C$1001,Due_Payments!$B$2:$B$1001,A910))</f>
        <v/>
      </c>
      <c r="J910" s="17" t="str">
        <f aca="false">IF(A910="","",G910-N(H910)-I910)</f>
        <v/>
      </c>
      <c r="K910" s="7"/>
      <c r="L910" s="7"/>
      <c r="M910" s="7"/>
    </row>
    <row r="911" customFormat="false" ht="15" hidden="false" customHeight="true" outlineLevel="0" collapsed="false">
      <c r="A911" s="7"/>
      <c r="B911" s="15"/>
      <c r="C911" s="7"/>
      <c r="D911" s="7"/>
      <c r="E911" s="17" t="str">
        <f aca="false">IF(A911="","",SUMIFS(Sales_Items!$H$2:$H$3001,Sales_Items!$A$2:$A$3001,A911))</f>
        <v/>
      </c>
      <c r="F911" s="13"/>
      <c r="G911" s="17" t="str">
        <f aca="false">IF(A911="","",E911-N(F911))</f>
        <v/>
      </c>
      <c r="H911" s="13"/>
      <c r="I911" s="17" t="str">
        <f aca="false">IF(A911="","",SUMIFS(Due_Payments!$C$2:$C$1001,Due_Payments!$B$2:$B$1001,A911))</f>
        <v/>
      </c>
      <c r="J911" s="17" t="str">
        <f aca="false">IF(A911="","",G911-N(H911)-I911)</f>
        <v/>
      </c>
      <c r="K911" s="7"/>
      <c r="L911" s="7"/>
      <c r="M911" s="7"/>
    </row>
    <row r="912" customFormat="false" ht="15" hidden="false" customHeight="true" outlineLevel="0" collapsed="false">
      <c r="A912" s="7"/>
      <c r="B912" s="15"/>
      <c r="C912" s="7"/>
      <c r="D912" s="7"/>
      <c r="E912" s="17" t="str">
        <f aca="false">IF(A912="","",SUMIFS(Sales_Items!$H$2:$H$3001,Sales_Items!$A$2:$A$3001,A912))</f>
        <v/>
      </c>
      <c r="F912" s="13"/>
      <c r="G912" s="17" t="str">
        <f aca="false">IF(A912="","",E912-N(F912))</f>
        <v/>
      </c>
      <c r="H912" s="13"/>
      <c r="I912" s="17" t="str">
        <f aca="false">IF(A912="","",SUMIFS(Due_Payments!$C$2:$C$1001,Due_Payments!$B$2:$B$1001,A912))</f>
        <v/>
      </c>
      <c r="J912" s="17" t="str">
        <f aca="false">IF(A912="","",G912-N(H912)-I912)</f>
        <v/>
      </c>
      <c r="K912" s="7"/>
      <c r="L912" s="7"/>
      <c r="M912" s="7"/>
    </row>
    <row r="913" customFormat="false" ht="15" hidden="false" customHeight="true" outlineLevel="0" collapsed="false">
      <c r="A913" s="7"/>
      <c r="B913" s="15"/>
      <c r="C913" s="7"/>
      <c r="D913" s="7"/>
      <c r="E913" s="17" t="str">
        <f aca="false">IF(A913="","",SUMIFS(Sales_Items!$H$2:$H$3001,Sales_Items!$A$2:$A$3001,A913))</f>
        <v/>
      </c>
      <c r="F913" s="13"/>
      <c r="G913" s="17" t="str">
        <f aca="false">IF(A913="","",E913-N(F913))</f>
        <v/>
      </c>
      <c r="H913" s="13"/>
      <c r="I913" s="17" t="str">
        <f aca="false">IF(A913="","",SUMIFS(Due_Payments!$C$2:$C$1001,Due_Payments!$B$2:$B$1001,A913))</f>
        <v/>
      </c>
      <c r="J913" s="17" t="str">
        <f aca="false">IF(A913="","",G913-N(H913)-I913)</f>
        <v/>
      </c>
      <c r="K913" s="7"/>
      <c r="L913" s="7"/>
      <c r="M913" s="7"/>
    </row>
    <row r="914" customFormat="false" ht="15" hidden="false" customHeight="true" outlineLevel="0" collapsed="false">
      <c r="A914" s="7"/>
      <c r="B914" s="15"/>
      <c r="C914" s="7"/>
      <c r="D914" s="7"/>
      <c r="E914" s="17" t="str">
        <f aca="false">IF(A914="","",SUMIFS(Sales_Items!$H$2:$H$3001,Sales_Items!$A$2:$A$3001,A914))</f>
        <v/>
      </c>
      <c r="F914" s="13"/>
      <c r="G914" s="17" t="str">
        <f aca="false">IF(A914="","",E914-N(F914))</f>
        <v/>
      </c>
      <c r="H914" s="13"/>
      <c r="I914" s="17" t="str">
        <f aca="false">IF(A914="","",SUMIFS(Due_Payments!$C$2:$C$1001,Due_Payments!$B$2:$B$1001,A914))</f>
        <v/>
      </c>
      <c r="J914" s="17" t="str">
        <f aca="false">IF(A914="","",G914-N(H914)-I914)</f>
        <v/>
      </c>
      <c r="K914" s="7"/>
      <c r="L914" s="7"/>
      <c r="M914" s="7"/>
    </row>
    <row r="915" customFormat="false" ht="15" hidden="false" customHeight="true" outlineLevel="0" collapsed="false">
      <c r="A915" s="7"/>
      <c r="B915" s="15"/>
      <c r="C915" s="7"/>
      <c r="D915" s="7"/>
      <c r="E915" s="17" t="str">
        <f aca="false">IF(A915="","",SUMIFS(Sales_Items!$H$2:$H$3001,Sales_Items!$A$2:$A$3001,A915))</f>
        <v/>
      </c>
      <c r="F915" s="13"/>
      <c r="G915" s="17" t="str">
        <f aca="false">IF(A915="","",E915-N(F915))</f>
        <v/>
      </c>
      <c r="H915" s="13"/>
      <c r="I915" s="17" t="str">
        <f aca="false">IF(A915="","",SUMIFS(Due_Payments!$C$2:$C$1001,Due_Payments!$B$2:$B$1001,A915))</f>
        <v/>
      </c>
      <c r="J915" s="17" t="str">
        <f aca="false">IF(A915="","",G915-N(H915)-I915)</f>
        <v/>
      </c>
      <c r="K915" s="7"/>
      <c r="L915" s="7"/>
      <c r="M915" s="7"/>
    </row>
    <row r="916" customFormat="false" ht="15" hidden="false" customHeight="true" outlineLevel="0" collapsed="false">
      <c r="A916" s="7"/>
      <c r="B916" s="15"/>
      <c r="C916" s="7"/>
      <c r="D916" s="7"/>
      <c r="E916" s="17" t="str">
        <f aca="false">IF(A916="","",SUMIFS(Sales_Items!$H$2:$H$3001,Sales_Items!$A$2:$A$3001,A916))</f>
        <v/>
      </c>
      <c r="F916" s="13"/>
      <c r="G916" s="17" t="str">
        <f aca="false">IF(A916="","",E916-N(F916))</f>
        <v/>
      </c>
      <c r="H916" s="13"/>
      <c r="I916" s="17" t="str">
        <f aca="false">IF(A916="","",SUMIFS(Due_Payments!$C$2:$C$1001,Due_Payments!$B$2:$B$1001,A916))</f>
        <v/>
      </c>
      <c r="J916" s="17" t="str">
        <f aca="false">IF(A916="","",G916-N(H916)-I916)</f>
        <v/>
      </c>
      <c r="K916" s="7"/>
      <c r="L916" s="7"/>
      <c r="M916" s="7"/>
    </row>
    <row r="917" customFormat="false" ht="15" hidden="false" customHeight="true" outlineLevel="0" collapsed="false">
      <c r="A917" s="7"/>
      <c r="B917" s="15"/>
      <c r="C917" s="7"/>
      <c r="D917" s="7"/>
      <c r="E917" s="17" t="str">
        <f aca="false">IF(A917="","",SUMIFS(Sales_Items!$H$2:$H$3001,Sales_Items!$A$2:$A$3001,A917))</f>
        <v/>
      </c>
      <c r="F917" s="13"/>
      <c r="G917" s="17" t="str">
        <f aca="false">IF(A917="","",E917-N(F917))</f>
        <v/>
      </c>
      <c r="H917" s="13"/>
      <c r="I917" s="17" t="str">
        <f aca="false">IF(A917="","",SUMIFS(Due_Payments!$C$2:$C$1001,Due_Payments!$B$2:$B$1001,A917))</f>
        <v/>
      </c>
      <c r="J917" s="17" t="str">
        <f aca="false">IF(A917="","",G917-N(H917)-I917)</f>
        <v/>
      </c>
      <c r="K917" s="7"/>
      <c r="L917" s="7"/>
      <c r="M917" s="7"/>
    </row>
    <row r="918" customFormat="false" ht="15" hidden="false" customHeight="true" outlineLevel="0" collapsed="false">
      <c r="A918" s="7"/>
      <c r="B918" s="15"/>
      <c r="C918" s="7"/>
      <c r="D918" s="7"/>
      <c r="E918" s="17" t="str">
        <f aca="false">IF(A918="","",SUMIFS(Sales_Items!$H$2:$H$3001,Sales_Items!$A$2:$A$3001,A918))</f>
        <v/>
      </c>
      <c r="F918" s="13"/>
      <c r="G918" s="17" t="str">
        <f aca="false">IF(A918="","",E918-N(F918))</f>
        <v/>
      </c>
      <c r="H918" s="13"/>
      <c r="I918" s="17" t="str">
        <f aca="false">IF(A918="","",SUMIFS(Due_Payments!$C$2:$C$1001,Due_Payments!$B$2:$B$1001,A918))</f>
        <v/>
      </c>
      <c r="J918" s="17" t="str">
        <f aca="false">IF(A918="","",G918-N(H918)-I918)</f>
        <v/>
      </c>
      <c r="K918" s="7"/>
      <c r="L918" s="7"/>
      <c r="M918" s="7"/>
    </row>
    <row r="919" customFormat="false" ht="15" hidden="false" customHeight="true" outlineLevel="0" collapsed="false">
      <c r="A919" s="7"/>
      <c r="B919" s="15"/>
      <c r="C919" s="7"/>
      <c r="D919" s="7"/>
      <c r="E919" s="17" t="str">
        <f aca="false">IF(A919="","",SUMIFS(Sales_Items!$H$2:$H$3001,Sales_Items!$A$2:$A$3001,A919))</f>
        <v/>
      </c>
      <c r="F919" s="13"/>
      <c r="G919" s="17" t="str">
        <f aca="false">IF(A919="","",E919-N(F919))</f>
        <v/>
      </c>
      <c r="H919" s="13"/>
      <c r="I919" s="17" t="str">
        <f aca="false">IF(A919="","",SUMIFS(Due_Payments!$C$2:$C$1001,Due_Payments!$B$2:$B$1001,A919))</f>
        <v/>
      </c>
      <c r="J919" s="17" t="str">
        <f aca="false">IF(A919="","",G919-N(H919)-I919)</f>
        <v/>
      </c>
      <c r="K919" s="7"/>
      <c r="L919" s="7"/>
      <c r="M919" s="7"/>
    </row>
    <row r="920" customFormat="false" ht="15" hidden="false" customHeight="true" outlineLevel="0" collapsed="false">
      <c r="A920" s="7"/>
      <c r="B920" s="15"/>
      <c r="C920" s="7"/>
      <c r="D920" s="7"/>
      <c r="E920" s="17" t="str">
        <f aca="false">IF(A920="","",SUMIFS(Sales_Items!$H$2:$H$3001,Sales_Items!$A$2:$A$3001,A920))</f>
        <v/>
      </c>
      <c r="F920" s="13"/>
      <c r="G920" s="17" t="str">
        <f aca="false">IF(A920="","",E920-N(F920))</f>
        <v/>
      </c>
      <c r="H920" s="13"/>
      <c r="I920" s="17" t="str">
        <f aca="false">IF(A920="","",SUMIFS(Due_Payments!$C$2:$C$1001,Due_Payments!$B$2:$B$1001,A920))</f>
        <v/>
      </c>
      <c r="J920" s="17" t="str">
        <f aca="false">IF(A920="","",G920-N(H920)-I920)</f>
        <v/>
      </c>
      <c r="K920" s="7"/>
      <c r="L920" s="7"/>
      <c r="M920" s="7"/>
    </row>
    <row r="921" customFormat="false" ht="15" hidden="false" customHeight="true" outlineLevel="0" collapsed="false">
      <c r="A921" s="7"/>
      <c r="B921" s="15"/>
      <c r="C921" s="7"/>
      <c r="D921" s="7"/>
      <c r="E921" s="17" t="str">
        <f aca="false">IF(A921="","",SUMIFS(Sales_Items!$H$2:$H$3001,Sales_Items!$A$2:$A$3001,A921))</f>
        <v/>
      </c>
      <c r="F921" s="13"/>
      <c r="G921" s="17" t="str">
        <f aca="false">IF(A921="","",E921-N(F921))</f>
        <v/>
      </c>
      <c r="H921" s="13"/>
      <c r="I921" s="17" t="str">
        <f aca="false">IF(A921="","",SUMIFS(Due_Payments!$C$2:$C$1001,Due_Payments!$B$2:$B$1001,A921))</f>
        <v/>
      </c>
      <c r="J921" s="17" t="str">
        <f aca="false">IF(A921="","",G921-N(H921)-I921)</f>
        <v/>
      </c>
      <c r="K921" s="7"/>
      <c r="L921" s="7"/>
      <c r="M921" s="7"/>
    </row>
    <row r="922" customFormat="false" ht="15" hidden="false" customHeight="true" outlineLevel="0" collapsed="false">
      <c r="A922" s="7"/>
      <c r="B922" s="15"/>
      <c r="C922" s="7"/>
      <c r="D922" s="7"/>
      <c r="E922" s="17" t="str">
        <f aca="false">IF(A922="","",SUMIFS(Sales_Items!$H$2:$H$3001,Sales_Items!$A$2:$A$3001,A922))</f>
        <v/>
      </c>
      <c r="F922" s="13"/>
      <c r="G922" s="17" t="str">
        <f aca="false">IF(A922="","",E922-N(F922))</f>
        <v/>
      </c>
      <c r="H922" s="13"/>
      <c r="I922" s="17" t="str">
        <f aca="false">IF(A922="","",SUMIFS(Due_Payments!$C$2:$C$1001,Due_Payments!$B$2:$B$1001,A922))</f>
        <v/>
      </c>
      <c r="J922" s="17" t="str">
        <f aca="false">IF(A922="","",G922-N(H922)-I922)</f>
        <v/>
      </c>
      <c r="K922" s="7"/>
      <c r="L922" s="7"/>
      <c r="M922" s="7"/>
    </row>
    <row r="923" customFormat="false" ht="15" hidden="false" customHeight="true" outlineLevel="0" collapsed="false">
      <c r="A923" s="7"/>
      <c r="B923" s="15"/>
      <c r="C923" s="7"/>
      <c r="D923" s="7"/>
      <c r="E923" s="17" t="str">
        <f aca="false">IF(A923="","",SUMIFS(Sales_Items!$H$2:$H$3001,Sales_Items!$A$2:$A$3001,A923))</f>
        <v/>
      </c>
      <c r="F923" s="13"/>
      <c r="G923" s="17" t="str">
        <f aca="false">IF(A923="","",E923-N(F923))</f>
        <v/>
      </c>
      <c r="H923" s="13"/>
      <c r="I923" s="17" t="str">
        <f aca="false">IF(A923="","",SUMIFS(Due_Payments!$C$2:$C$1001,Due_Payments!$B$2:$B$1001,A923))</f>
        <v/>
      </c>
      <c r="J923" s="17" t="str">
        <f aca="false">IF(A923="","",G923-N(H923)-I923)</f>
        <v/>
      </c>
      <c r="K923" s="7"/>
      <c r="L923" s="7"/>
      <c r="M923" s="7"/>
    </row>
    <row r="924" customFormat="false" ht="15" hidden="false" customHeight="true" outlineLevel="0" collapsed="false">
      <c r="A924" s="7"/>
      <c r="B924" s="15"/>
      <c r="C924" s="7"/>
      <c r="D924" s="7"/>
      <c r="E924" s="17" t="str">
        <f aca="false">IF(A924="","",SUMIFS(Sales_Items!$H$2:$H$3001,Sales_Items!$A$2:$A$3001,A924))</f>
        <v/>
      </c>
      <c r="F924" s="13"/>
      <c r="G924" s="17" t="str">
        <f aca="false">IF(A924="","",E924-N(F924))</f>
        <v/>
      </c>
      <c r="H924" s="13"/>
      <c r="I924" s="17" t="str">
        <f aca="false">IF(A924="","",SUMIFS(Due_Payments!$C$2:$C$1001,Due_Payments!$B$2:$B$1001,A924))</f>
        <v/>
      </c>
      <c r="J924" s="17" t="str">
        <f aca="false">IF(A924="","",G924-N(H924)-I924)</f>
        <v/>
      </c>
      <c r="K924" s="7"/>
      <c r="L924" s="7"/>
      <c r="M924" s="7"/>
    </row>
    <row r="925" customFormat="false" ht="15" hidden="false" customHeight="true" outlineLevel="0" collapsed="false">
      <c r="A925" s="7"/>
      <c r="B925" s="15"/>
      <c r="C925" s="7"/>
      <c r="D925" s="7"/>
      <c r="E925" s="17" t="str">
        <f aca="false">IF(A925="","",SUMIFS(Sales_Items!$H$2:$H$3001,Sales_Items!$A$2:$A$3001,A925))</f>
        <v/>
      </c>
      <c r="F925" s="13"/>
      <c r="G925" s="17" t="str">
        <f aca="false">IF(A925="","",E925-N(F925))</f>
        <v/>
      </c>
      <c r="H925" s="13"/>
      <c r="I925" s="17" t="str">
        <f aca="false">IF(A925="","",SUMIFS(Due_Payments!$C$2:$C$1001,Due_Payments!$B$2:$B$1001,A925))</f>
        <v/>
      </c>
      <c r="J925" s="17" t="str">
        <f aca="false">IF(A925="","",G925-N(H925)-I925)</f>
        <v/>
      </c>
      <c r="K925" s="7"/>
      <c r="L925" s="7"/>
      <c r="M925" s="7"/>
    </row>
    <row r="926" customFormat="false" ht="15" hidden="false" customHeight="true" outlineLevel="0" collapsed="false">
      <c r="A926" s="7"/>
      <c r="B926" s="15"/>
      <c r="C926" s="7"/>
      <c r="D926" s="7"/>
      <c r="E926" s="17" t="str">
        <f aca="false">IF(A926="","",SUMIFS(Sales_Items!$H$2:$H$3001,Sales_Items!$A$2:$A$3001,A926))</f>
        <v/>
      </c>
      <c r="F926" s="13"/>
      <c r="G926" s="17" t="str">
        <f aca="false">IF(A926="","",E926-N(F926))</f>
        <v/>
      </c>
      <c r="H926" s="13"/>
      <c r="I926" s="17" t="str">
        <f aca="false">IF(A926="","",SUMIFS(Due_Payments!$C$2:$C$1001,Due_Payments!$B$2:$B$1001,A926))</f>
        <v/>
      </c>
      <c r="J926" s="17" t="str">
        <f aca="false">IF(A926="","",G926-N(H926)-I926)</f>
        <v/>
      </c>
      <c r="K926" s="7"/>
      <c r="L926" s="7"/>
      <c r="M926" s="7"/>
    </row>
    <row r="927" customFormat="false" ht="15" hidden="false" customHeight="true" outlineLevel="0" collapsed="false">
      <c r="A927" s="7"/>
      <c r="B927" s="15"/>
      <c r="C927" s="7"/>
      <c r="D927" s="7"/>
      <c r="E927" s="17" t="str">
        <f aca="false">IF(A927="","",SUMIFS(Sales_Items!$H$2:$H$3001,Sales_Items!$A$2:$A$3001,A927))</f>
        <v/>
      </c>
      <c r="F927" s="13"/>
      <c r="G927" s="17" t="str">
        <f aca="false">IF(A927="","",E927-N(F927))</f>
        <v/>
      </c>
      <c r="H927" s="13"/>
      <c r="I927" s="17" t="str">
        <f aca="false">IF(A927="","",SUMIFS(Due_Payments!$C$2:$C$1001,Due_Payments!$B$2:$B$1001,A927))</f>
        <v/>
      </c>
      <c r="J927" s="17" t="str">
        <f aca="false">IF(A927="","",G927-N(H927)-I927)</f>
        <v/>
      </c>
      <c r="K927" s="7"/>
      <c r="L927" s="7"/>
      <c r="M927" s="7"/>
    </row>
    <row r="928" customFormat="false" ht="15" hidden="false" customHeight="true" outlineLevel="0" collapsed="false">
      <c r="A928" s="7"/>
      <c r="B928" s="15"/>
      <c r="C928" s="7"/>
      <c r="D928" s="7"/>
      <c r="E928" s="17" t="str">
        <f aca="false">IF(A928="","",SUMIFS(Sales_Items!$H$2:$H$3001,Sales_Items!$A$2:$A$3001,A928))</f>
        <v/>
      </c>
      <c r="F928" s="13"/>
      <c r="G928" s="17" t="str">
        <f aca="false">IF(A928="","",E928-N(F928))</f>
        <v/>
      </c>
      <c r="H928" s="13"/>
      <c r="I928" s="17" t="str">
        <f aca="false">IF(A928="","",SUMIFS(Due_Payments!$C$2:$C$1001,Due_Payments!$B$2:$B$1001,A928))</f>
        <v/>
      </c>
      <c r="J928" s="17" t="str">
        <f aca="false">IF(A928="","",G928-N(H928)-I928)</f>
        <v/>
      </c>
      <c r="K928" s="7"/>
      <c r="L928" s="7"/>
      <c r="M928" s="7"/>
    </row>
    <row r="929" customFormat="false" ht="15" hidden="false" customHeight="true" outlineLevel="0" collapsed="false">
      <c r="A929" s="7"/>
      <c r="B929" s="15"/>
      <c r="C929" s="7"/>
      <c r="D929" s="7"/>
      <c r="E929" s="17" t="str">
        <f aca="false">IF(A929="","",SUMIFS(Sales_Items!$H$2:$H$3001,Sales_Items!$A$2:$A$3001,A929))</f>
        <v/>
      </c>
      <c r="F929" s="13"/>
      <c r="G929" s="17" t="str">
        <f aca="false">IF(A929="","",E929-N(F929))</f>
        <v/>
      </c>
      <c r="H929" s="13"/>
      <c r="I929" s="17" t="str">
        <f aca="false">IF(A929="","",SUMIFS(Due_Payments!$C$2:$C$1001,Due_Payments!$B$2:$B$1001,A929))</f>
        <v/>
      </c>
      <c r="J929" s="17" t="str">
        <f aca="false">IF(A929="","",G929-N(H929)-I929)</f>
        <v/>
      </c>
      <c r="K929" s="7"/>
      <c r="L929" s="7"/>
      <c r="M929" s="7"/>
    </row>
    <row r="930" customFormat="false" ht="15" hidden="false" customHeight="true" outlineLevel="0" collapsed="false">
      <c r="A930" s="7"/>
      <c r="B930" s="15"/>
      <c r="C930" s="7"/>
      <c r="D930" s="7"/>
      <c r="E930" s="17" t="str">
        <f aca="false">IF(A930="","",SUMIFS(Sales_Items!$H$2:$H$3001,Sales_Items!$A$2:$A$3001,A930))</f>
        <v/>
      </c>
      <c r="F930" s="13"/>
      <c r="G930" s="17" t="str">
        <f aca="false">IF(A930="","",E930-N(F930))</f>
        <v/>
      </c>
      <c r="H930" s="13"/>
      <c r="I930" s="17" t="str">
        <f aca="false">IF(A930="","",SUMIFS(Due_Payments!$C$2:$C$1001,Due_Payments!$B$2:$B$1001,A930))</f>
        <v/>
      </c>
      <c r="J930" s="17" t="str">
        <f aca="false">IF(A930="","",G930-N(H930)-I930)</f>
        <v/>
      </c>
      <c r="K930" s="7"/>
      <c r="L930" s="7"/>
      <c r="M930" s="7"/>
    </row>
    <row r="931" customFormat="false" ht="15" hidden="false" customHeight="true" outlineLevel="0" collapsed="false">
      <c r="A931" s="7"/>
      <c r="B931" s="15"/>
      <c r="C931" s="7"/>
      <c r="D931" s="7"/>
      <c r="E931" s="17" t="str">
        <f aca="false">IF(A931="","",SUMIFS(Sales_Items!$H$2:$H$3001,Sales_Items!$A$2:$A$3001,A931))</f>
        <v/>
      </c>
      <c r="F931" s="13"/>
      <c r="G931" s="17" t="str">
        <f aca="false">IF(A931="","",E931-N(F931))</f>
        <v/>
      </c>
      <c r="H931" s="13"/>
      <c r="I931" s="17" t="str">
        <f aca="false">IF(A931="","",SUMIFS(Due_Payments!$C$2:$C$1001,Due_Payments!$B$2:$B$1001,A931))</f>
        <v/>
      </c>
      <c r="J931" s="17" t="str">
        <f aca="false">IF(A931="","",G931-N(H931)-I931)</f>
        <v/>
      </c>
      <c r="K931" s="7"/>
      <c r="L931" s="7"/>
      <c r="M931" s="7"/>
    </row>
    <row r="932" customFormat="false" ht="15" hidden="false" customHeight="true" outlineLevel="0" collapsed="false">
      <c r="A932" s="7"/>
      <c r="B932" s="15"/>
      <c r="C932" s="7"/>
      <c r="D932" s="7"/>
      <c r="E932" s="17" t="str">
        <f aca="false">IF(A932="","",SUMIFS(Sales_Items!$H$2:$H$3001,Sales_Items!$A$2:$A$3001,A932))</f>
        <v/>
      </c>
      <c r="F932" s="13"/>
      <c r="G932" s="17" t="str">
        <f aca="false">IF(A932="","",E932-N(F932))</f>
        <v/>
      </c>
      <c r="H932" s="13"/>
      <c r="I932" s="17" t="str">
        <f aca="false">IF(A932="","",SUMIFS(Due_Payments!$C$2:$C$1001,Due_Payments!$B$2:$B$1001,A932))</f>
        <v/>
      </c>
      <c r="J932" s="17" t="str">
        <f aca="false">IF(A932="","",G932-N(H932)-I932)</f>
        <v/>
      </c>
      <c r="K932" s="7"/>
      <c r="L932" s="7"/>
      <c r="M932" s="7"/>
    </row>
    <row r="933" customFormat="false" ht="15" hidden="false" customHeight="true" outlineLevel="0" collapsed="false">
      <c r="A933" s="7"/>
      <c r="B933" s="15"/>
      <c r="C933" s="7"/>
      <c r="D933" s="7"/>
      <c r="E933" s="17" t="str">
        <f aca="false">IF(A933="","",SUMIFS(Sales_Items!$H$2:$H$3001,Sales_Items!$A$2:$A$3001,A933))</f>
        <v/>
      </c>
      <c r="F933" s="13"/>
      <c r="G933" s="17" t="str">
        <f aca="false">IF(A933="","",E933-N(F933))</f>
        <v/>
      </c>
      <c r="H933" s="13"/>
      <c r="I933" s="17" t="str">
        <f aca="false">IF(A933="","",SUMIFS(Due_Payments!$C$2:$C$1001,Due_Payments!$B$2:$B$1001,A933))</f>
        <v/>
      </c>
      <c r="J933" s="17" t="str">
        <f aca="false">IF(A933="","",G933-N(H933)-I933)</f>
        <v/>
      </c>
      <c r="K933" s="7"/>
      <c r="L933" s="7"/>
      <c r="M933" s="7"/>
    </row>
    <row r="934" customFormat="false" ht="15" hidden="false" customHeight="true" outlineLevel="0" collapsed="false">
      <c r="A934" s="7"/>
      <c r="B934" s="15"/>
      <c r="C934" s="7"/>
      <c r="D934" s="7"/>
      <c r="E934" s="17" t="str">
        <f aca="false">IF(A934="","",SUMIFS(Sales_Items!$H$2:$H$3001,Sales_Items!$A$2:$A$3001,A934))</f>
        <v/>
      </c>
      <c r="F934" s="13"/>
      <c r="G934" s="17" t="str">
        <f aca="false">IF(A934="","",E934-N(F934))</f>
        <v/>
      </c>
      <c r="H934" s="13"/>
      <c r="I934" s="17" t="str">
        <f aca="false">IF(A934="","",SUMIFS(Due_Payments!$C$2:$C$1001,Due_Payments!$B$2:$B$1001,A934))</f>
        <v/>
      </c>
      <c r="J934" s="17" t="str">
        <f aca="false">IF(A934="","",G934-N(H934)-I934)</f>
        <v/>
      </c>
      <c r="K934" s="7"/>
      <c r="L934" s="7"/>
      <c r="M934" s="7"/>
    </row>
    <row r="935" customFormat="false" ht="15" hidden="false" customHeight="true" outlineLevel="0" collapsed="false">
      <c r="A935" s="7"/>
      <c r="B935" s="15"/>
      <c r="C935" s="7"/>
      <c r="D935" s="7"/>
      <c r="E935" s="17" t="str">
        <f aca="false">IF(A935="","",SUMIFS(Sales_Items!$H$2:$H$3001,Sales_Items!$A$2:$A$3001,A935))</f>
        <v/>
      </c>
      <c r="F935" s="13"/>
      <c r="G935" s="17" t="str">
        <f aca="false">IF(A935="","",E935-N(F935))</f>
        <v/>
      </c>
      <c r="H935" s="13"/>
      <c r="I935" s="17" t="str">
        <f aca="false">IF(A935="","",SUMIFS(Due_Payments!$C$2:$C$1001,Due_Payments!$B$2:$B$1001,A935))</f>
        <v/>
      </c>
      <c r="J935" s="17" t="str">
        <f aca="false">IF(A935="","",G935-N(H935)-I935)</f>
        <v/>
      </c>
      <c r="K935" s="7"/>
      <c r="L935" s="7"/>
      <c r="M935" s="7"/>
    </row>
    <row r="936" customFormat="false" ht="15" hidden="false" customHeight="true" outlineLevel="0" collapsed="false">
      <c r="A936" s="7"/>
      <c r="B936" s="15"/>
      <c r="C936" s="7"/>
      <c r="D936" s="7"/>
      <c r="E936" s="17" t="str">
        <f aca="false">IF(A936="","",SUMIFS(Sales_Items!$H$2:$H$3001,Sales_Items!$A$2:$A$3001,A936))</f>
        <v/>
      </c>
      <c r="F936" s="13"/>
      <c r="G936" s="17" t="str">
        <f aca="false">IF(A936="","",E936-N(F936))</f>
        <v/>
      </c>
      <c r="H936" s="13"/>
      <c r="I936" s="17" t="str">
        <f aca="false">IF(A936="","",SUMIFS(Due_Payments!$C$2:$C$1001,Due_Payments!$B$2:$B$1001,A936))</f>
        <v/>
      </c>
      <c r="J936" s="17" t="str">
        <f aca="false">IF(A936="","",G936-N(H936)-I936)</f>
        <v/>
      </c>
      <c r="K936" s="7"/>
      <c r="L936" s="7"/>
      <c r="M936" s="7"/>
    </row>
    <row r="937" customFormat="false" ht="15" hidden="false" customHeight="true" outlineLevel="0" collapsed="false">
      <c r="A937" s="7"/>
      <c r="B937" s="15"/>
      <c r="C937" s="7"/>
      <c r="D937" s="7"/>
      <c r="E937" s="17" t="str">
        <f aca="false">IF(A937="","",SUMIFS(Sales_Items!$H$2:$H$3001,Sales_Items!$A$2:$A$3001,A937))</f>
        <v/>
      </c>
      <c r="F937" s="13"/>
      <c r="G937" s="17" t="str">
        <f aca="false">IF(A937="","",E937-N(F937))</f>
        <v/>
      </c>
      <c r="H937" s="13"/>
      <c r="I937" s="17" t="str">
        <f aca="false">IF(A937="","",SUMIFS(Due_Payments!$C$2:$C$1001,Due_Payments!$B$2:$B$1001,A937))</f>
        <v/>
      </c>
      <c r="J937" s="17" t="str">
        <f aca="false">IF(A937="","",G937-N(H937)-I937)</f>
        <v/>
      </c>
      <c r="K937" s="7"/>
      <c r="L937" s="7"/>
      <c r="M937" s="7"/>
    </row>
    <row r="938" customFormat="false" ht="15" hidden="false" customHeight="true" outlineLevel="0" collapsed="false">
      <c r="A938" s="7"/>
      <c r="B938" s="15"/>
      <c r="C938" s="7"/>
      <c r="D938" s="7"/>
      <c r="E938" s="17" t="str">
        <f aca="false">IF(A938="","",SUMIFS(Sales_Items!$H$2:$H$3001,Sales_Items!$A$2:$A$3001,A938))</f>
        <v/>
      </c>
      <c r="F938" s="13"/>
      <c r="G938" s="17" t="str">
        <f aca="false">IF(A938="","",E938-N(F938))</f>
        <v/>
      </c>
      <c r="H938" s="13"/>
      <c r="I938" s="17" t="str">
        <f aca="false">IF(A938="","",SUMIFS(Due_Payments!$C$2:$C$1001,Due_Payments!$B$2:$B$1001,A938))</f>
        <v/>
      </c>
      <c r="J938" s="17" t="str">
        <f aca="false">IF(A938="","",G938-N(H938)-I938)</f>
        <v/>
      </c>
      <c r="K938" s="7"/>
      <c r="L938" s="7"/>
      <c r="M938" s="7"/>
    </row>
    <row r="939" customFormat="false" ht="15" hidden="false" customHeight="true" outlineLevel="0" collapsed="false">
      <c r="A939" s="7"/>
      <c r="B939" s="15"/>
      <c r="C939" s="7"/>
      <c r="D939" s="7"/>
      <c r="E939" s="17" t="str">
        <f aca="false">IF(A939="","",SUMIFS(Sales_Items!$H$2:$H$3001,Sales_Items!$A$2:$A$3001,A939))</f>
        <v/>
      </c>
      <c r="F939" s="13"/>
      <c r="G939" s="17" t="str">
        <f aca="false">IF(A939="","",E939-N(F939))</f>
        <v/>
      </c>
      <c r="H939" s="13"/>
      <c r="I939" s="17" t="str">
        <f aca="false">IF(A939="","",SUMIFS(Due_Payments!$C$2:$C$1001,Due_Payments!$B$2:$B$1001,A939))</f>
        <v/>
      </c>
      <c r="J939" s="17" t="str">
        <f aca="false">IF(A939="","",G939-N(H939)-I939)</f>
        <v/>
      </c>
      <c r="K939" s="7"/>
      <c r="L939" s="7"/>
      <c r="M939" s="7"/>
    </row>
    <row r="940" customFormat="false" ht="15" hidden="false" customHeight="true" outlineLevel="0" collapsed="false">
      <c r="A940" s="7"/>
      <c r="B940" s="15"/>
      <c r="C940" s="7"/>
      <c r="D940" s="7"/>
      <c r="E940" s="17" t="str">
        <f aca="false">IF(A940="","",SUMIFS(Sales_Items!$H$2:$H$3001,Sales_Items!$A$2:$A$3001,A940))</f>
        <v/>
      </c>
      <c r="F940" s="13"/>
      <c r="G940" s="17" t="str">
        <f aca="false">IF(A940="","",E940-N(F940))</f>
        <v/>
      </c>
      <c r="H940" s="13"/>
      <c r="I940" s="17" t="str">
        <f aca="false">IF(A940="","",SUMIFS(Due_Payments!$C$2:$C$1001,Due_Payments!$B$2:$B$1001,A940))</f>
        <v/>
      </c>
      <c r="J940" s="17" t="str">
        <f aca="false">IF(A940="","",G940-N(H940)-I940)</f>
        <v/>
      </c>
      <c r="K940" s="7"/>
      <c r="L940" s="7"/>
      <c r="M940" s="7"/>
    </row>
    <row r="941" customFormat="false" ht="15" hidden="false" customHeight="true" outlineLevel="0" collapsed="false">
      <c r="A941" s="7"/>
      <c r="B941" s="15"/>
      <c r="C941" s="7"/>
      <c r="D941" s="7"/>
      <c r="E941" s="17" t="str">
        <f aca="false">IF(A941="","",SUMIFS(Sales_Items!$H$2:$H$3001,Sales_Items!$A$2:$A$3001,A941))</f>
        <v/>
      </c>
      <c r="F941" s="13"/>
      <c r="G941" s="17" t="str">
        <f aca="false">IF(A941="","",E941-N(F941))</f>
        <v/>
      </c>
      <c r="H941" s="13"/>
      <c r="I941" s="17" t="str">
        <f aca="false">IF(A941="","",SUMIFS(Due_Payments!$C$2:$C$1001,Due_Payments!$B$2:$B$1001,A941))</f>
        <v/>
      </c>
      <c r="J941" s="17" t="str">
        <f aca="false">IF(A941="","",G941-N(H941)-I941)</f>
        <v/>
      </c>
      <c r="K941" s="7"/>
      <c r="L941" s="7"/>
      <c r="M941" s="7"/>
    </row>
    <row r="942" customFormat="false" ht="15" hidden="false" customHeight="true" outlineLevel="0" collapsed="false">
      <c r="A942" s="7"/>
      <c r="B942" s="15"/>
      <c r="C942" s="7"/>
      <c r="D942" s="7"/>
      <c r="E942" s="17" t="str">
        <f aca="false">IF(A942="","",SUMIFS(Sales_Items!$H$2:$H$3001,Sales_Items!$A$2:$A$3001,A942))</f>
        <v/>
      </c>
      <c r="F942" s="13"/>
      <c r="G942" s="17" t="str">
        <f aca="false">IF(A942="","",E942-N(F942))</f>
        <v/>
      </c>
      <c r="H942" s="13"/>
      <c r="I942" s="17" t="str">
        <f aca="false">IF(A942="","",SUMIFS(Due_Payments!$C$2:$C$1001,Due_Payments!$B$2:$B$1001,A942))</f>
        <v/>
      </c>
      <c r="J942" s="17" t="str">
        <f aca="false">IF(A942="","",G942-N(H942)-I942)</f>
        <v/>
      </c>
      <c r="K942" s="7"/>
      <c r="L942" s="7"/>
      <c r="M942" s="7"/>
    </row>
    <row r="943" customFormat="false" ht="15" hidden="false" customHeight="true" outlineLevel="0" collapsed="false">
      <c r="A943" s="7"/>
      <c r="B943" s="15"/>
      <c r="C943" s="7"/>
      <c r="D943" s="7"/>
      <c r="E943" s="17" t="str">
        <f aca="false">IF(A943="","",SUMIFS(Sales_Items!$H$2:$H$3001,Sales_Items!$A$2:$A$3001,A943))</f>
        <v/>
      </c>
      <c r="F943" s="13"/>
      <c r="G943" s="17" t="str">
        <f aca="false">IF(A943="","",E943-N(F943))</f>
        <v/>
      </c>
      <c r="H943" s="13"/>
      <c r="I943" s="17" t="str">
        <f aca="false">IF(A943="","",SUMIFS(Due_Payments!$C$2:$C$1001,Due_Payments!$B$2:$B$1001,A943))</f>
        <v/>
      </c>
      <c r="J943" s="17" t="str">
        <f aca="false">IF(A943="","",G943-N(H943)-I943)</f>
        <v/>
      </c>
      <c r="K943" s="7"/>
      <c r="L943" s="7"/>
      <c r="M943" s="7"/>
    </row>
    <row r="944" customFormat="false" ht="15" hidden="false" customHeight="true" outlineLevel="0" collapsed="false">
      <c r="A944" s="7"/>
      <c r="B944" s="15"/>
      <c r="C944" s="7"/>
      <c r="D944" s="7"/>
      <c r="E944" s="17" t="str">
        <f aca="false">IF(A944="","",SUMIFS(Sales_Items!$H$2:$H$3001,Sales_Items!$A$2:$A$3001,A944))</f>
        <v/>
      </c>
      <c r="F944" s="13"/>
      <c r="G944" s="17" t="str">
        <f aca="false">IF(A944="","",E944-N(F944))</f>
        <v/>
      </c>
      <c r="H944" s="13"/>
      <c r="I944" s="17" t="str">
        <f aca="false">IF(A944="","",SUMIFS(Due_Payments!$C$2:$C$1001,Due_Payments!$B$2:$B$1001,A944))</f>
        <v/>
      </c>
      <c r="J944" s="17" t="str">
        <f aca="false">IF(A944="","",G944-N(H944)-I944)</f>
        <v/>
      </c>
      <c r="K944" s="7"/>
      <c r="L944" s="7"/>
      <c r="M944" s="7"/>
    </row>
    <row r="945" customFormat="false" ht="15" hidden="false" customHeight="true" outlineLevel="0" collapsed="false">
      <c r="A945" s="7"/>
      <c r="B945" s="15"/>
      <c r="C945" s="7"/>
      <c r="D945" s="7"/>
      <c r="E945" s="17" t="str">
        <f aca="false">IF(A945="","",SUMIFS(Sales_Items!$H$2:$H$3001,Sales_Items!$A$2:$A$3001,A945))</f>
        <v/>
      </c>
      <c r="F945" s="13"/>
      <c r="G945" s="17" t="str">
        <f aca="false">IF(A945="","",E945-N(F945))</f>
        <v/>
      </c>
      <c r="H945" s="13"/>
      <c r="I945" s="17" t="str">
        <f aca="false">IF(A945="","",SUMIFS(Due_Payments!$C$2:$C$1001,Due_Payments!$B$2:$B$1001,A945))</f>
        <v/>
      </c>
      <c r="J945" s="17" t="str">
        <f aca="false">IF(A945="","",G945-N(H945)-I945)</f>
        <v/>
      </c>
      <c r="K945" s="7"/>
      <c r="L945" s="7"/>
      <c r="M945" s="7"/>
    </row>
    <row r="946" customFormat="false" ht="15" hidden="false" customHeight="true" outlineLevel="0" collapsed="false">
      <c r="A946" s="7"/>
      <c r="B946" s="15"/>
      <c r="C946" s="7"/>
      <c r="D946" s="7"/>
      <c r="E946" s="17" t="str">
        <f aca="false">IF(A946="","",SUMIFS(Sales_Items!$H$2:$H$3001,Sales_Items!$A$2:$A$3001,A946))</f>
        <v/>
      </c>
      <c r="F946" s="13"/>
      <c r="G946" s="17" t="str">
        <f aca="false">IF(A946="","",E946-N(F946))</f>
        <v/>
      </c>
      <c r="H946" s="13"/>
      <c r="I946" s="17" t="str">
        <f aca="false">IF(A946="","",SUMIFS(Due_Payments!$C$2:$C$1001,Due_Payments!$B$2:$B$1001,A946))</f>
        <v/>
      </c>
      <c r="J946" s="17" t="str">
        <f aca="false">IF(A946="","",G946-N(H946)-I946)</f>
        <v/>
      </c>
      <c r="K946" s="7"/>
      <c r="L946" s="7"/>
      <c r="M946" s="7"/>
    </row>
    <row r="947" customFormat="false" ht="15" hidden="false" customHeight="true" outlineLevel="0" collapsed="false">
      <c r="A947" s="7"/>
      <c r="B947" s="15"/>
      <c r="C947" s="7"/>
      <c r="D947" s="7"/>
      <c r="E947" s="17" t="str">
        <f aca="false">IF(A947="","",SUMIFS(Sales_Items!$H$2:$H$3001,Sales_Items!$A$2:$A$3001,A947))</f>
        <v/>
      </c>
      <c r="F947" s="13"/>
      <c r="G947" s="17" t="str">
        <f aca="false">IF(A947="","",E947-N(F947))</f>
        <v/>
      </c>
      <c r="H947" s="13"/>
      <c r="I947" s="17" t="str">
        <f aca="false">IF(A947="","",SUMIFS(Due_Payments!$C$2:$C$1001,Due_Payments!$B$2:$B$1001,A947))</f>
        <v/>
      </c>
      <c r="J947" s="17" t="str">
        <f aca="false">IF(A947="","",G947-N(H947)-I947)</f>
        <v/>
      </c>
      <c r="K947" s="7"/>
      <c r="L947" s="7"/>
      <c r="M947" s="7"/>
    </row>
    <row r="948" customFormat="false" ht="15" hidden="false" customHeight="true" outlineLevel="0" collapsed="false">
      <c r="A948" s="7"/>
      <c r="B948" s="15"/>
      <c r="C948" s="7"/>
      <c r="D948" s="7"/>
      <c r="E948" s="17" t="str">
        <f aca="false">IF(A948="","",SUMIFS(Sales_Items!$H$2:$H$3001,Sales_Items!$A$2:$A$3001,A948))</f>
        <v/>
      </c>
      <c r="F948" s="13"/>
      <c r="G948" s="17" t="str">
        <f aca="false">IF(A948="","",E948-N(F948))</f>
        <v/>
      </c>
      <c r="H948" s="13"/>
      <c r="I948" s="17" t="str">
        <f aca="false">IF(A948="","",SUMIFS(Due_Payments!$C$2:$C$1001,Due_Payments!$B$2:$B$1001,A948))</f>
        <v/>
      </c>
      <c r="J948" s="17" t="str">
        <f aca="false">IF(A948="","",G948-N(H948)-I948)</f>
        <v/>
      </c>
      <c r="K948" s="7"/>
      <c r="L948" s="7"/>
      <c r="M948" s="7"/>
    </row>
    <row r="949" customFormat="false" ht="15" hidden="false" customHeight="true" outlineLevel="0" collapsed="false">
      <c r="A949" s="7"/>
      <c r="B949" s="15"/>
      <c r="C949" s="7"/>
      <c r="D949" s="7"/>
      <c r="E949" s="17" t="str">
        <f aca="false">IF(A949="","",SUMIFS(Sales_Items!$H$2:$H$3001,Sales_Items!$A$2:$A$3001,A949))</f>
        <v/>
      </c>
      <c r="F949" s="13"/>
      <c r="G949" s="17" t="str">
        <f aca="false">IF(A949="","",E949-N(F949))</f>
        <v/>
      </c>
      <c r="H949" s="13"/>
      <c r="I949" s="17" t="str">
        <f aca="false">IF(A949="","",SUMIFS(Due_Payments!$C$2:$C$1001,Due_Payments!$B$2:$B$1001,A949))</f>
        <v/>
      </c>
      <c r="J949" s="17" t="str">
        <f aca="false">IF(A949="","",G949-N(H949)-I949)</f>
        <v/>
      </c>
      <c r="K949" s="7"/>
      <c r="L949" s="7"/>
      <c r="M949" s="7"/>
    </row>
    <row r="950" customFormat="false" ht="15" hidden="false" customHeight="true" outlineLevel="0" collapsed="false">
      <c r="A950" s="7"/>
      <c r="B950" s="15"/>
      <c r="C950" s="7"/>
      <c r="D950" s="7"/>
      <c r="E950" s="17" t="str">
        <f aca="false">IF(A950="","",SUMIFS(Sales_Items!$H$2:$H$3001,Sales_Items!$A$2:$A$3001,A950))</f>
        <v/>
      </c>
      <c r="F950" s="13"/>
      <c r="G950" s="17" t="str">
        <f aca="false">IF(A950="","",E950-N(F950))</f>
        <v/>
      </c>
      <c r="H950" s="13"/>
      <c r="I950" s="17" t="str">
        <f aca="false">IF(A950="","",SUMIFS(Due_Payments!$C$2:$C$1001,Due_Payments!$B$2:$B$1001,A950))</f>
        <v/>
      </c>
      <c r="J950" s="17" t="str">
        <f aca="false">IF(A950="","",G950-N(H950)-I950)</f>
        <v/>
      </c>
      <c r="K950" s="7"/>
      <c r="L950" s="7"/>
      <c r="M950" s="7"/>
    </row>
    <row r="951" customFormat="false" ht="15" hidden="false" customHeight="true" outlineLevel="0" collapsed="false">
      <c r="A951" s="7"/>
      <c r="B951" s="15"/>
      <c r="C951" s="7"/>
      <c r="D951" s="7"/>
      <c r="E951" s="17" t="str">
        <f aca="false">IF(A951="","",SUMIFS(Sales_Items!$H$2:$H$3001,Sales_Items!$A$2:$A$3001,A951))</f>
        <v/>
      </c>
      <c r="F951" s="13"/>
      <c r="G951" s="17" t="str">
        <f aca="false">IF(A951="","",E951-N(F951))</f>
        <v/>
      </c>
      <c r="H951" s="13"/>
      <c r="I951" s="17" t="str">
        <f aca="false">IF(A951="","",SUMIFS(Due_Payments!$C$2:$C$1001,Due_Payments!$B$2:$B$1001,A951))</f>
        <v/>
      </c>
      <c r="J951" s="17" t="str">
        <f aca="false">IF(A951="","",G951-N(H951)-I951)</f>
        <v/>
      </c>
      <c r="K951" s="7"/>
      <c r="L951" s="7"/>
      <c r="M951" s="7"/>
    </row>
    <row r="952" customFormat="false" ht="15" hidden="false" customHeight="true" outlineLevel="0" collapsed="false">
      <c r="A952" s="7"/>
      <c r="B952" s="15"/>
      <c r="C952" s="7"/>
      <c r="D952" s="7"/>
      <c r="E952" s="17" t="str">
        <f aca="false">IF(A952="","",SUMIFS(Sales_Items!$H$2:$H$3001,Sales_Items!$A$2:$A$3001,A952))</f>
        <v/>
      </c>
      <c r="F952" s="13"/>
      <c r="G952" s="17" t="str">
        <f aca="false">IF(A952="","",E952-N(F952))</f>
        <v/>
      </c>
      <c r="H952" s="13"/>
      <c r="I952" s="17" t="str">
        <f aca="false">IF(A952="","",SUMIFS(Due_Payments!$C$2:$C$1001,Due_Payments!$B$2:$B$1001,A952))</f>
        <v/>
      </c>
      <c r="J952" s="17" t="str">
        <f aca="false">IF(A952="","",G952-N(H952)-I952)</f>
        <v/>
      </c>
      <c r="K952" s="7"/>
      <c r="L952" s="7"/>
      <c r="M952" s="7"/>
    </row>
    <row r="953" customFormat="false" ht="15" hidden="false" customHeight="true" outlineLevel="0" collapsed="false">
      <c r="A953" s="7"/>
      <c r="B953" s="15"/>
      <c r="C953" s="7"/>
      <c r="D953" s="7"/>
      <c r="E953" s="17" t="str">
        <f aca="false">IF(A953="","",SUMIFS(Sales_Items!$H$2:$H$3001,Sales_Items!$A$2:$A$3001,A953))</f>
        <v/>
      </c>
      <c r="F953" s="13"/>
      <c r="G953" s="17" t="str">
        <f aca="false">IF(A953="","",E953-N(F953))</f>
        <v/>
      </c>
      <c r="H953" s="13"/>
      <c r="I953" s="17" t="str">
        <f aca="false">IF(A953="","",SUMIFS(Due_Payments!$C$2:$C$1001,Due_Payments!$B$2:$B$1001,A953))</f>
        <v/>
      </c>
      <c r="J953" s="17" t="str">
        <f aca="false">IF(A953="","",G953-N(H953)-I953)</f>
        <v/>
      </c>
      <c r="K953" s="7"/>
      <c r="L953" s="7"/>
      <c r="M953" s="7"/>
    </row>
    <row r="954" customFormat="false" ht="15" hidden="false" customHeight="true" outlineLevel="0" collapsed="false">
      <c r="A954" s="7"/>
      <c r="B954" s="15"/>
      <c r="C954" s="7"/>
      <c r="D954" s="7"/>
      <c r="E954" s="17" t="str">
        <f aca="false">IF(A954="","",SUMIFS(Sales_Items!$H$2:$H$3001,Sales_Items!$A$2:$A$3001,A954))</f>
        <v/>
      </c>
      <c r="F954" s="13"/>
      <c r="G954" s="17" t="str">
        <f aca="false">IF(A954="","",E954-N(F954))</f>
        <v/>
      </c>
      <c r="H954" s="13"/>
      <c r="I954" s="17" t="str">
        <f aca="false">IF(A954="","",SUMIFS(Due_Payments!$C$2:$C$1001,Due_Payments!$B$2:$B$1001,A954))</f>
        <v/>
      </c>
      <c r="J954" s="17" t="str">
        <f aca="false">IF(A954="","",G954-N(H954)-I954)</f>
        <v/>
      </c>
      <c r="K954" s="7"/>
      <c r="L954" s="7"/>
      <c r="M954" s="7"/>
    </row>
    <row r="955" customFormat="false" ht="15" hidden="false" customHeight="true" outlineLevel="0" collapsed="false">
      <c r="A955" s="7"/>
      <c r="B955" s="15"/>
      <c r="C955" s="7"/>
      <c r="D955" s="7"/>
      <c r="E955" s="17" t="str">
        <f aca="false">IF(A955="","",SUMIFS(Sales_Items!$H$2:$H$3001,Sales_Items!$A$2:$A$3001,A955))</f>
        <v/>
      </c>
      <c r="F955" s="13"/>
      <c r="G955" s="17" t="str">
        <f aca="false">IF(A955="","",E955-N(F955))</f>
        <v/>
      </c>
      <c r="H955" s="13"/>
      <c r="I955" s="17" t="str">
        <f aca="false">IF(A955="","",SUMIFS(Due_Payments!$C$2:$C$1001,Due_Payments!$B$2:$B$1001,A955))</f>
        <v/>
      </c>
      <c r="J955" s="17" t="str">
        <f aca="false">IF(A955="","",G955-N(H955)-I955)</f>
        <v/>
      </c>
      <c r="K955" s="7"/>
      <c r="L955" s="7"/>
      <c r="M955" s="7"/>
    </row>
    <row r="956" customFormat="false" ht="15" hidden="false" customHeight="true" outlineLevel="0" collapsed="false">
      <c r="A956" s="7"/>
      <c r="B956" s="15"/>
      <c r="C956" s="7"/>
      <c r="D956" s="7"/>
      <c r="E956" s="17" t="str">
        <f aca="false">IF(A956="","",SUMIFS(Sales_Items!$H$2:$H$3001,Sales_Items!$A$2:$A$3001,A956))</f>
        <v/>
      </c>
      <c r="F956" s="13"/>
      <c r="G956" s="17" t="str">
        <f aca="false">IF(A956="","",E956-N(F956))</f>
        <v/>
      </c>
      <c r="H956" s="13"/>
      <c r="I956" s="17" t="str">
        <f aca="false">IF(A956="","",SUMIFS(Due_Payments!$C$2:$C$1001,Due_Payments!$B$2:$B$1001,A956))</f>
        <v/>
      </c>
      <c r="J956" s="17" t="str">
        <f aca="false">IF(A956="","",G956-N(H956)-I956)</f>
        <v/>
      </c>
      <c r="K956" s="7"/>
      <c r="L956" s="7"/>
      <c r="M956" s="7"/>
    </row>
    <row r="957" customFormat="false" ht="15" hidden="false" customHeight="true" outlineLevel="0" collapsed="false">
      <c r="A957" s="7"/>
      <c r="B957" s="15"/>
      <c r="C957" s="7"/>
      <c r="D957" s="7"/>
      <c r="E957" s="17" t="str">
        <f aca="false">IF(A957="","",SUMIFS(Sales_Items!$H$2:$H$3001,Sales_Items!$A$2:$A$3001,A957))</f>
        <v/>
      </c>
      <c r="F957" s="13"/>
      <c r="G957" s="17" t="str">
        <f aca="false">IF(A957="","",E957-N(F957))</f>
        <v/>
      </c>
      <c r="H957" s="13"/>
      <c r="I957" s="17" t="str">
        <f aca="false">IF(A957="","",SUMIFS(Due_Payments!$C$2:$C$1001,Due_Payments!$B$2:$B$1001,A957))</f>
        <v/>
      </c>
      <c r="J957" s="17" t="str">
        <f aca="false">IF(A957="","",G957-N(H957)-I957)</f>
        <v/>
      </c>
      <c r="K957" s="7"/>
      <c r="L957" s="7"/>
      <c r="M957" s="7"/>
    </row>
    <row r="958" customFormat="false" ht="15" hidden="false" customHeight="true" outlineLevel="0" collapsed="false">
      <c r="A958" s="7"/>
      <c r="B958" s="15"/>
      <c r="C958" s="7"/>
      <c r="D958" s="7"/>
      <c r="E958" s="17" t="str">
        <f aca="false">IF(A958="","",SUMIFS(Sales_Items!$H$2:$H$3001,Sales_Items!$A$2:$A$3001,A958))</f>
        <v/>
      </c>
      <c r="F958" s="13"/>
      <c r="G958" s="17" t="str">
        <f aca="false">IF(A958="","",E958-N(F958))</f>
        <v/>
      </c>
      <c r="H958" s="13"/>
      <c r="I958" s="17" t="str">
        <f aca="false">IF(A958="","",SUMIFS(Due_Payments!$C$2:$C$1001,Due_Payments!$B$2:$B$1001,A958))</f>
        <v/>
      </c>
      <c r="J958" s="17" t="str">
        <f aca="false">IF(A958="","",G958-N(H958)-I958)</f>
        <v/>
      </c>
      <c r="K958" s="7"/>
      <c r="L958" s="7"/>
      <c r="M958" s="7"/>
    </row>
    <row r="959" customFormat="false" ht="15" hidden="false" customHeight="true" outlineLevel="0" collapsed="false">
      <c r="A959" s="7"/>
      <c r="B959" s="15"/>
      <c r="C959" s="7"/>
      <c r="D959" s="7"/>
      <c r="E959" s="17" t="str">
        <f aca="false">IF(A959="","",SUMIFS(Sales_Items!$H$2:$H$3001,Sales_Items!$A$2:$A$3001,A959))</f>
        <v/>
      </c>
      <c r="F959" s="13"/>
      <c r="G959" s="17" t="str">
        <f aca="false">IF(A959="","",E959-N(F959))</f>
        <v/>
      </c>
      <c r="H959" s="13"/>
      <c r="I959" s="17" t="str">
        <f aca="false">IF(A959="","",SUMIFS(Due_Payments!$C$2:$C$1001,Due_Payments!$B$2:$B$1001,A959))</f>
        <v/>
      </c>
      <c r="J959" s="17" t="str">
        <f aca="false">IF(A959="","",G959-N(H959)-I959)</f>
        <v/>
      </c>
      <c r="K959" s="7"/>
      <c r="L959" s="7"/>
      <c r="M959" s="7"/>
    </row>
    <row r="960" customFormat="false" ht="15" hidden="false" customHeight="true" outlineLevel="0" collapsed="false">
      <c r="A960" s="7"/>
      <c r="B960" s="15"/>
      <c r="C960" s="7"/>
      <c r="D960" s="7"/>
      <c r="E960" s="17" t="str">
        <f aca="false">IF(A960="","",SUMIFS(Sales_Items!$H$2:$H$3001,Sales_Items!$A$2:$A$3001,A960))</f>
        <v/>
      </c>
      <c r="F960" s="13"/>
      <c r="G960" s="17" t="str">
        <f aca="false">IF(A960="","",E960-N(F960))</f>
        <v/>
      </c>
      <c r="H960" s="13"/>
      <c r="I960" s="17" t="str">
        <f aca="false">IF(A960="","",SUMIFS(Due_Payments!$C$2:$C$1001,Due_Payments!$B$2:$B$1001,A960))</f>
        <v/>
      </c>
      <c r="J960" s="17" t="str">
        <f aca="false">IF(A960="","",G960-N(H960)-I960)</f>
        <v/>
      </c>
      <c r="K960" s="7"/>
      <c r="L960" s="7"/>
      <c r="M960" s="7"/>
    </row>
    <row r="961" customFormat="false" ht="15" hidden="false" customHeight="true" outlineLevel="0" collapsed="false">
      <c r="A961" s="7"/>
      <c r="B961" s="15"/>
      <c r="C961" s="7"/>
      <c r="D961" s="7"/>
      <c r="E961" s="17" t="str">
        <f aca="false">IF(A961="","",SUMIFS(Sales_Items!$H$2:$H$3001,Sales_Items!$A$2:$A$3001,A961))</f>
        <v/>
      </c>
      <c r="F961" s="13"/>
      <c r="G961" s="17" t="str">
        <f aca="false">IF(A961="","",E961-N(F961))</f>
        <v/>
      </c>
      <c r="H961" s="13"/>
      <c r="I961" s="17" t="str">
        <f aca="false">IF(A961="","",SUMIFS(Due_Payments!$C$2:$C$1001,Due_Payments!$B$2:$B$1001,A961))</f>
        <v/>
      </c>
      <c r="J961" s="17" t="str">
        <f aca="false">IF(A961="","",G961-N(H961)-I961)</f>
        <v/>
      </c>
      <c r="K961" s="7"/>
      <c r="L961" s="7"/>
      <c r="M961" s="7"/>
    </row>
    <row r="962" customFormat="false" ht="15" hidden="false" customHeight="true" outlineLevel="0" collapsed="false">
      <c r="A962" s="7"/>
      <c r="B962" s="15"/>
      <c r="C962" s="7"/>
      <c r="D962" s="7"/>
      <c r="E962" s="17" t="str">
        <f aca="false">IF(A962="","",SUMIFS(Sales_Items!$H$2:$H$3001,Sales_Items!$A$2:$A$3001,A962))</f>
        <v/>
      </c>
      <c r="F962" s="13"/>
      <c r="G962" s="17" t="str">
        <f aca="false">IF(A962="","",E962-N(F962))</f>
        <v/>
      </c>
      <c r="H962" s="13"/>
      <c r="I962" s="17" t="str">
        <f aca="false">IF(A962="","",SUMIFS(Due_Payments!$C$2:$C$1001,Due_Payments!$B$2:$B$1001,A962))</f>
        <v/>
      </c>
      <c r="J962" s="17" t="str">
        <f aca="false">IF(A962="","",G962-N(H962)-I962)</f>
        <v/>
      </c>
      <c r="K962" s="7"/>
      <c r="L962" s="7"/>
      <c r="M962" s="7"/>
    </row>
    <row r="963" customFormat="false" ht="15" hidden="false" customHeight="true" outlineLevel="0" collapsed="false">
      <c r="A963" s="7"/>
      <c r="B963" s="15"/>
      <c r="C963" s="7"/>
      <c r="D963" s="7"/>
      <c r="E963" s="17" t="str">
        <f aca="false">IF(A963="","",SUMIFS(Sales_Items!$H$2:$H$3001,Sales_Items!$A$2:$A$3001,A963))</f>
        <v/>
      </c>
      <c r="F963" s="13"/>
      <c r="G963" s="17" t="str">
        <f aca="false">IF(A963="","",E963-N(F963))</f>
        <v/>
      </c>
      <c r="H963" s="13"/>
      <c r="I963" s="17" t="str">
        <f aca="false">IF(A963="","",SUMIFS(Due_Payments!$C$2:$C$1001,Due_Payments!$B$2:$B$1001,A963))</f>
        <v/>
      </c>
      <c r="J963" s="17" t="str">
        <f aca="false">IF(A963="","",G963-N(H963)-I963)</f>
        <v/>
      </c>
      <c r="K963" s="7"/>
      <c r="L963" s="7"/>
      <c r="M963" s="7"/>
    </row>
    <row r="964" customFormat="false" ht="15" hidden="false" customHeight="true" outlineLevel="0" collapsed="false">
      <c r="A964" s="7"/>
      <c r="B964" s="15"/>
      <c r="C964" s="7"/>
      <c r="D964" s="7"/>
      <c r="E964" s="17" t="str">
        <f aca="false">IF(A964="","",SUMIFS(Sales_Items!$H$2:$H$3001,Sales_Items!$A$2:$A$3001,A964))</f>
        <v/>
      </c>
      <c r="F964" s="13"/>
      <c r="G964" s="17" t="str">
        <f aca="false">IF(A964="","",E964-N(F964))</f>
        <v/>
      </c>
      <c r="H964" s="13"/>
      <c r="I964" s="17" t="str">
        <f aca="false">IF(A964="","",SUMIFS(Due_Payments!$C$2:$C$1001,Due_Payments!$B$2:$B$1001,A964))</f>
        <v/>
      </c>
      <c r="J964" s="17" t="str">
        <f aca="false">IF(A964="","",G964-N(H964)-I964)</f>
        <v/>
      </c>
      <c r="K964" s="7"/>
      <c r="L964" s="7"/>
      <c r="M964" s="7"/>
    </row>
    <row r="965" customFormat="false" ht="15" hidden="false" customHeight="true" outlineLevel="0" collapsed="false">
      <c r="A965" s="7"/>
      <c r="B965" s="15"/>
      <c r="C965" s="7"/>
      <c r="D965" s="7"/>
      <c r="E965" s="17" t="str">
        <f aca="false">IF(A965="","",SUMIFS(Sales_Items!$H$2:$H$3001,Sales_Items!$A$2:$A$3001,A965))</f>
        <v/>
      </c>
      <c r="F965" s="13"/>
      <c r="G965" s="17" t="str">
        <f aca="false">IF(A965="","",E965-N(F965))</f>
        <v/>
      </c>
      <c r="H965" s="13"/>
      <c r="I965" s="17" t="str">
        <f aca="false">IF(A965="","",SUMIFS(Due_Payments!$C$2:$C$1001,Due_Payments!$B$2:$B$1001,A965))</f>
        <v/>
      </c>
      <c r="J965" s="17" t="str">
        <f aca="false">IF(A965="","",G965-N(H965)-I965)</f>
        <v/>
      </c>
      <c r="K965" s="7"/>
      <c r="L965" s="7"/>
      <c r="M965" s="7"/>
    </row>
    <row r="966" customFormat="false" ht="15" hidden="false" customHeight="true" outlineLevel="0" collapsed="false">
      <c r="A966" s="7"/>
      <c r="B966" s="15"/>
      <c r="C966" s="7"/>
      <c r="D966" s="7"/>
      <c r="E966" s="17" t="str">
        <f aca="false">IF(A966="","",SUMIFS(Sales_Items!$H$2:$H$3001,Sales_Items!$A$2:$A$3001,A966))</f>
        <v/>
      </c>
      <c r="F966" s="13"/>
      <c r="G966" s="17" t="str">
        <f aca="false">IF(A966="","",E966-N(F966))</f>
        <v/>
      </c>
      <c r="H966" s="13"/>
      <c r="I966" s="17" t="str">
        <f aca="false">IF(A966="","",SUMIFS(Due_Payments!$C$2:$C$1001,Due_Payments!$B$2:$B$1001,A966))</f>
        <v/>
      </c>
      <c r="J966" s="17" t="str">
        <f aca="false">IF(A966="","",G966-N(H966)-I966)</f>
        <v/>
      </c>
      <c r="K966" s="7"/>
      <c r="L966" s="7"/>
      <c r="M966" s="7"/>
    </row>
    <row r="967" customFormat="false" ht="15" hidden="false" customHeight="true" outlineLevel="0" collapsed="false">
      <c r="A967" s="7"/>
      <c r="B967" s="15"/>
      <c r="C967" s="7"/>
      <c r="D967" s="7"/>
      <c r="E967" s="17" t="str">
        <f aca="false">IF(A967="","",SUMIFS(Sales_Items!$H$2:$H$3001,Sales_Items!$A$2:$A$3001,A967))</f>
        <v/>
      </c>
      <c r="F967" s="13"/>
      <c r="G967" s="17" t="str">
        <f aca="false">IF(A967="","",E967-N(F967))</f>
        <v/>
      </c>
      <c r="H967" s="13"/>
      <c r="I967" s="17" t="str">
        <f aca="false">IF(A967="","",SUMIFS(Due_Payments!$C$2:$C$1001,Due_Payments!$B$2:$B$1001,A967))</f>
        <v/>
      </c>
      <c r="J967" s="17" t="str">
        <f aca="false">IF(A967="","",G967-N(H967)-I967)</f>
        <v/>
      </c>
      <c r="K967" s="7"/>
      <c r="L967" s="7"/>
      <c r="M967" s="7"/>
    </row>
    <row r="968" customFormat="false" ht="15" hidden="false" customHeight="true" outlineLevel="0" collapsed="false">
      <c r="A968" s="7"/>
      <c r="B968" s="15"/>
      <c r="C968" s="7"/>
      <c r="D968" s="7"/>
      <c r="E968" s="17" t="str">
        <f aca="false">IF(A968="","",SUMIFS(Sales_Items!$H$2:$H$3001,Sales_Items!$A$2:$A$3001,A968))</f>
        <v/>
      </c>
      <c r="F968" s="13"/>
      <c r="G968" s="17" t="str">
        <f aca="false">IF(A968="","",E968-N(F968))</f>
        <v/>
      </c>
      <c r="H968" s="13"/>
      <c r="I968" s="17" t="str">
        <f aca="false">IF(A968="","",SUMIFS(Due_Payments!$C$2:$C$1001,Due_Payments!$B$2:$B$1001,A968))</f>
        <v/>
      </c>
      <c r="J968" s="17" t="str">
        <f aca="false">IF(A968="","",G968-N(H968)-I968)</f>
        <v/>
      </c>
      <c r="K968" s="7"/>
      <c r="L968" s="7"/>
      <c r="M968" s="7"/>
    </row>
    <row r="969" customFormat="false" ht="15" hidden="false" customHeight="true" outlineLevel="0" collapsed="false">
      <c r="A969" s="7"/>
      <c r="B969" s="15"/>
      <c r="C969" s="7"/>
      <c r="D969" s="7"/>
      <c r="E969" s="17" t="str">
        <f aca="false">IF(A969="","",SUMIFS(Sales_Items!$H$2:$H$3001,Sales_Items!$A$2:$A$3001,A969))</f>
        <v/>
      </c>
      <c r="F969" s="13"/>
      <c r="G969" s="17" t="str">
        <f aca="false">IF(A969="","",E969-N(F969))</f>
        <v/>
      </c>
      <c r="H969" s="13"/>
      <c r="I969" s="17" t="str">
        <f aca="false">IF(A969="","",SUMIFS(Due_Payments!$C$2:$C$1001,Due_Payments!$B$2:$B$1001,A969))</f>
        <v/>
      </c>
      <c r="J969" s="17" t="str">
        <f aca="false">IF(A969="","",G969-N(H969)-I969)</f>
        <v/>
      </c>
      <c r="K969" s="7"/>
      <c r="L969" s="7"/>
      <c r="M969" s="7"/>
    </row>
    <row r="970" customFormat="false" ht="15" hidden="false" customHeight="true" outlineLevel="0" collapsed="false">
      <c r="A970" s="7"/>
      <c r="B970" s="15"/>
      <c r="C970" s="7"/>
      <c r="D970" s="7"/>
      <c r="E970" s="17" t="str">
        <f aca="false">IF(A970="","",SUMIFS(Sales_Items!$H$2:$H$3001,Sales_Items!$A$2:$A$3001,A970))</f>
        <v/>
      </c>
      <c r="F970" s="13"/>
      <c r="G970" s="17" t="str">
        <f aca="false">IF(A970="","",E970-N(F970))</f>
        <v/>
      </c>
      <c r="H970" s="13"/>
      <c r="I970" s="17" t="str">
        <f aca="false">IF(A970="","",SUMIFS(Due_Payments!$C$2:$C$1001,Due_Payments!$B$2:$B$1001,A970))</f>
        <v/>
      </c>
      <c r="J970" s="17" t="str">
        <f aca="false">IF(A970="","",G970-N(H970)-I970)</f>
        <v/>
      </c>
      <c r="K970" s="7"/>
      <c r="L970" s="7"/>
      <c r="M970" s="7"/>
    </row>
    <row r="971" customFormat="false" ht="15" hidden="false" customHeight="true" outlineLevel="0" collapsed="false">
      <c r="A971" s="7"/>
      <c r="B971" s="15"/>
      <c r="C971" s="7"/>
      <c r="D971" s="7"/>
      <c r="E971" s="17" t="str">
        <f aca="false">IF(A971="","",SUMIFS(Sales_Items!$H$2:$H$3001,Sales_Items!$A$2:$A$3001,A971))</f>
        <v/>
      </c>
      <c r="F971" s="13"/>
      <c r="G971" s="17" t="str">
        <f aca="false">IF(A971="","",E971-N(F971))</f>
        <v/>
      </c>
      <c r="H971" s="13"/>
      <c r="I971" s="17" t="str">
        <f aca="false">IF(A971="","",SUMIFS(Due_Payments!$C$2:$C$1001,Due_Payments!$B$2:$B$1001,A971))</f>
        <v/>
      </c>
      <c r="J971" s="17" t="str">
        <f aca="false">IF(A971="","",G971-N(H971)-I971)</f>
        <v/>
      </c>
      <c r="K971" s="7"/>
      <c r="L971" s="7"/>
      <c r="M971" s="7"/>
    </row>
    <row r="972" customFormat="false" ht="15" hidden="false" customHeight="true" outlineLevel="0" collapsed="false">
      <c r="A972" s="7"/>
      <c r="B972" s="15"/>
      <c r="C972" s="7"/>
      <c r="D972" s="7"/>
      <c r="E972" s="17" t="str">
        <f aca="false">IF(A972="","",SUMIFS(Sales_Items!$H$2:$H$3001,Sales_Items!$A$2:$A$3001,A972))</f>
        <v/>
      </c>
      <c r="F972" s="13"/>
      <c r="G972" s="17" t="str">
        <f aca="false">IF(A972="","",E972-N(F972))</f>
        <v/>
      </c>
      <c r="H972" s="13"/>
      <c r="I972" s="17" t="str">
        <f aca="false">IF(A972="","",SUMIFS(Due_Payments!$C$2:$C$1001,Due_Payments!$B$2:$B$1001,A972))</f>
        <v/>
      </c>
      <c r="J972" s="17" t="str">
        <f aca="false">IF(A972="","",G972-N(H972)-I972)</f>
        <v/>
      </c>
      <c r="K972" s="7"/>
      <c r="L972" s="7"/>
      <c r="M972" s="7"/>
    </row>
    <row r="973" customFormat="false" ht="15" hidden="false" customHeight="true" outlineLevel="0" collapsed="false">
      <c r="A973" s="7"/>
      <c r="B973" s="15"/>
      <c r="C973" s="7"/>
      <c r="D973" s="7"/>
      <c r="E973" s="17" t="str">
        <f aca="false">IF(A973="","",SUMIFS(Sales_Items!$H$2:$H$3001,Sales_Items!$A$2:$A$3001,A973))</f>
        <v/>
      </c>
      <c r="F973" s="13"/>
      <c r="G973" s="17" t="str">
        <f aca="false">IF(A973="","",E973-N(F973))</f>
        <v/>
      </c>
      <c r="H973" s="13"/>
      <c r="I973" s="17" t="str">
        <f aca="false">IF(A973="","",SUMIFS(Due_Payments!$C$2:$C$1001,Due_Payments!$B$2:$B$1001,A973))</f>
        <v/>
      </c>
      <c r="J973" s="17" t="str">
        <f aca="false">IF(A973="","",G973-N(H973)-I973)</f>
        <v/>
      </c>
      <c r="K973" s="7"/>
      <c r="L973" s="7"/>
      <c r="M973" s="7"/>
    </row>
    <row r="974" customFormat="false" ht="15" hidden="false" customHeight="true" outlineLevel="0" collapsed="false">
      <c r="A974" s="7"/>
      <c r="B974" s="15"/>
      <c r="C974" s="7"/>
      <c r="D974" s="7"/>
      <c r="E974" s="17" t="str">
        <f aca="false">IF(A974="","",SUMIFS(Sales_Items!$H$2:$H$3001,Sales_Items!$A$2:$A$3001,A974))</f>
        <v/>
      </c>
      <c r="F974" s="13"/>
      <c r="G974" s="17" t="str">
        <f aca="false">IF(A974="","",E974-N(F974))</f>
        <v/>
      </c>
      <c r="H974" s="13"/>
      <c r="I974" s="17" t="str">
        <f aca="false">IF(A974="","",SUMIFS(Due_Payments!$C$2:$C$1001,Due_Payments!$B$2:$B$1001,A974))</f>
        <v/>
      </c>
      <c r="J974" s="17" t="str">
        <f aca="false">IF(A974="","",G974-N(H974)-I974)</f>
        <v/>
      </c>
      <c r="K974" s="7"/>
      <c r="L974" s="7"/>
      <c r="M974" s="7"/>
    </row>
    <row r="975" customFormat="false" ht="15" hidden="false" customHeight="true" outlineLevel="0" collapsed="false">
      <c r="A975" s="7"/>
      <c r="B975" s="15"/>
      <c r="C975" s="7"/>
      <c r="D975" s="7"/>
      <c r="E975" s="17" t="str">
        <f aca="false">IF(A975="","",SUMIFS(Sales_Items!$H$2:$H$3001,Sales_Items!$A$2:$A$3001,A975))</f>
        <v/>
      </c>
      <c r="F975" s="13"/>
      <c r="G975" s="17" t="str">
        <f aca="false">IF(A975="","",E975-N(F975))</f>
        <v/>
      </c>
      <c r="H975" s="13"/>
      <c r="I975" s="17" t="str">
        <f aca="false">IF(A975="","",SUMIFS(Due_Payments!$C$2:$C$1001,Due_Payments!$B$2:$B$1001,A975))</f>
        <v/>
      </c>
      <c r="J975" s="17" t="str">
        <f aca="false">IF(A975="","",G975-N(H975)-I975)</f>
        <v/>
      </c>
      <c r="K975" s="7"/>
      <c r="L975" s="7"/>
      <c r="M975" s="7"/>
    </row>
    <row r="976" customFormat="false" ht="15" hidden="false" customHeight="true" outlineLevel="0" collapsed="false">
      <c r="A976" s="7"/>
      <c r="B976" s="15"/>
      <c r="C976" s="7"/>
      <c r="D976" s="7"/>
      <c r="E976" s="17" t="str">
        <f aca="false">IF(A976="","",SUMIFS(Sales_Items!$H$2:$H$3001,Sales_Items!$A$2:$A$3001,A976))</f>
        <v/>
      </c>
      <c r="F976" s="13"/>
      <c r="G976" s="17" t="str">
        <f aca="false">IF(A976="","",E976-N(F976))</f>
        <v/>
      </c>
      <c r="H976" s="13"/>
      <c r="I976" s="17" t="str">
        <f aca="false">IF(A976="","",SUMIFS(Due_Payments!$C$2:$C$1001,Due_Payments!$B$2:$B$1001,A976))</f>
        <v/>
      </c>
      <c r="J976" s="17" t="str">
        <f aca="false">IF(A976="","",G976-N(H976)-I976)</f>
        <v/>
      </c>
      <c r="K976" s="7"/>
      <c r="L976" s="7"/>
      <c r="M976" s="7"/>
    </row>
    <row r="977" customFormat="false" ht="15" hidden="false" customHeight="true" outlineLevel="0" collapsed="false">
      <c r="A977" s="7"/>
      <c r="B977" s="15"/>
      <c r="C977" s="7"/>
      <c r="D977" s="7"/>
      <c r="E977" s="17" t="str">
        <f aca="false">IF(A977="","",SUMIFS(Sales_Items!$H$2:$H$3001,Sales_Items!$A$2:$A$3001,A977))</f>
        <v/>
      </c>
      <c r="F977" s="13"/>
      <c r="G977" s="17" t="str">
        <f aca="false">IF(A977="","",E977-N(F977))</f>
        <v/>
      </c>
      <c r="H977" s="13"/>
      <c r="I977" s="17" t="str">
        <f aca="false">IF(A977="","",SUMIFS(Due_Payments!$C$2:$C$1001,Due_Payments!$B$2:$B$1001,A977))</f>
        <v/>
      </c>
      <c r="J977" s="17" t="str">
        <f aca="false">IF(A977="","",G977-N(H977)-I977)</f>
        <v/>
      </c>
      <c r="K977" s="7"/>
      <c r="L977" s="7"/>
      <c r="M977" s="7"/>
    </row>
    <row r="978" customFormat="false" ht="15" hidden="false" customHeight="true" outlineLevel="0" collapsed="false">
      <c r="A978" s="7"/>
      <c r="B978" s="15"/>
      <c r="C978" s="7"/>
      <c r="D978" s="7"/>
      <c r="E978" s="17" t="str">
        <f aca="false">IF(A978="","",SUMIFS(Sales_Items!$H$2:$H$3001,Sales_Items!$A$2:$A$3001,A978))</f>
        <v/>
      </c>
      <c r="F978" s="13"/>
      <c r="G978" s="17" t="str">
        <f aca="false">IF(A978="","",E978-N(F978))</f>
        <v/>
      </c>
      <c r="H978" s="13"/>
      <c r="I978" s="17" t="str">
        <f aca="false">IF(A978="","",SUMIFS(Due_Payments!$C$2:$C$1001,Due_Payments!$B$2:$B$1001,A978))</f>
        <v/>
      </c>
      <c r="J978" s="17" t="str">
        <f aca="false">IF(A978="","",G978-N(H978)-I978)</f>
        <v/>
      </c>
      <c r="K978" s="7"/>
      <c r="L978" s="7"/>
      <c r="M978" s="7"/>
    </row>
    <row r="979" customFormat="false" ht="15" hidden="false" customHeight="true" outlineLevel="0" collapsed="false">
      <c r="A979" s="7"/>
      <c r="B979" s="15"/>
      <c r="C979" s="7"/>
      <c r="D979" s="7"/>
      <c r="E979" s="17" t="str">
        <f aca="false">IF(A979="","",SUMIFS(Sales_Items!$H$2:$H$3001,Sales_Items!$A$2:$A$3001,A979))</f>
        <v/>
      </c>
      <c r="F979" s="13"/>
      <c r="G979" s="17" t="str">
        <f aca="false">IF(A979="","",E979-N(F979))</f>
        <v/>
      </c>
      <c r="H979" s="13"/>
      <c r="I979" s="17" t="str">
        <f aca="false">IF(A979="","",SUMIFS(Due_Payments!$C$2:$C$1001,Due_Payments!$B$2:$B$1001,A979))</f>
        <v/>
      </c>
      <c r="J979" s="17" t="str">
        <f aca="false">IF(A979="","",G979-N(H979)-I979)</f>
        <v/>
      </c>
      <c r="K979" s="7"/>
      <c r="L979" s="7"/>
      <c r="M979" s="7"/>
    </row>
    <row r="980" customFormat="false" ht="15" hidden="false" customHeight="true" outlineLevel="0" collapsed="false">
      <c r="A980" s="7"/>
      <c r="B980" s="15"/>
      <c r="C980" s="7"/>
      <c r="D980" s="7"/>
      <c r="E980" s="17" t="str">
        <f aca="false">IF(A980="","",SUMIFS(Sales_Items!$H$2:$H$3001,Sales_Items!$A$2:$A$3001,A980))</f>
        <v/>
      </c>
      <c r="F980" s="13"/>
      <c r="G980" s="17" t="str">
        <f aca="false">IF(A980="","",E980-N(F980))</f>
        <v/>
      </c>
      <c r="H980" s="13"/>
      <c r="I980" s="17" t="str">
        <f aca="false">IF(A980="","",SUMIFS(Due_Payments!$C$2:$C$1001,Due_Payments!$B$2:$B$1001,A980))</f>
        <v/>
      </c>
      <c r="J980" s="17" t="str">
        <f aca="false">IF(A980="","",G980-N(H980)-I980)</f>
        <v/>
      </c>
      <c r="K980" s="7"/>
      <c r="L980" s="7"/>
      <c r="M980" s="7"/>
    </row>
    <row r="981" customFormat="false" ht="15" hidden="false" customHeight="true" outlineLevel="0" collapsed="false">
      <c r="A981" s="7"/>
      <c r="B981" s="15"/>
      <c r="C981" s="7"/>
      <c r="D981" s="7"/>
      <c r="E981" s="17" t="str">
        <f aca="false">IF(A981="","",SUMIFS(Sales_Items!$H$2:$H$3001,Sales_Items!$A$2:$A$3001,A981))</f>
        <v/>
      </c>
      <c r="F981" s="13"/>
      <c r="G981" s="17" t="str">
        <f aca="false">IF(A981="","",E981-N(F981))</f>
        <v/>
      </c>
      <c r="H981" s="13"/>
      <c r="I981" s="17" t="str">
        <f aca="false">IF(A981="","",SUMIFS(Due_Payments!$C$2:$C$1001,Due_Payments!$B$2:$B$1001,A981))</f>
        <v/>
      </c>
      <c r="J981" s="17" t="str">
        <f aca="false">IF(A981="","",G981-N(H981)-I981)</f>
        <v/>
      </c>
      <c r="K981" s="7"/>
      <c r="L981" s="7"/>
      <c r="M981" s="7"/>
    </row>
    <row r="982" customFormat="false" ht="15" hidden="false" customHeight="true" outlineLevel="0" collapsed="false">
      <c r="A982" s="7"/>
      <c r="B982" s="15"/>
      <c r="C982" s="7"/>
      <c r="D982" s="7"/>
      <c r="E982" s="17" t="str">
        <f aca="false">IF(A982="","",SUMIFS(Sales_Items!$H$2:$H$3001,Sales_Items!$A$2:$A$3001,A982))</f>
        <v/>
      </c>
      <c r="F982" s="13"/>
      <c r="G982" s="17" t="str">
        <f aca="false">IF(A982="","",E982-N(F982))</f>
        <v/>
      </c>
      <c r="H982" s="13"/>
      <c r="I982" s="17" t="str">
        <f aca="false">IF(A982="","",SUMIFS(Due_Payments!$C$2:$C$1001,Due_Payments!$B$2:$B$1001,A982))</f>
        <v/>
      </c>
      <c r="J982" s="17" t="str">
        <f aca="false">IF(A982="","",G982-N(H982)-I982)</f>
        <v/>
      </c>
      <c r="K982" s="7"/>
      <c r="L982" s="7"/>
      <c r="M982" s="7"/>
    </row>
    <row r="983" customFormat="false" ht="15" hidden="false" customHeight="true" outlineLevel="0" collapsed="false">
      <c r="A983" s="7"/>
      <c r="B983" s="15"/>
      <c r="C983" s="7"/>
      <c r="D983" s="7"/>
      <c r="E983" s="17" t="str">
        <f aca="false">IF(A983="","",SUMIFS(Sales_Items!$H$2:$H$3001,Sales_Items!$A$2:$A$3001,A983))</f>
        <v/>
      </c>
      <c r="F983" s="13"/>
      <c r="G983" s="17" t="str">
        <f aca="false">IF(A983="","",E983-N(F983))</f>
        <v/>
      </c>
      <c r="H983" s="13"/>
      <c r="I983" s="17" t="str">
        <f aca="false">IF(A983="","",SUMIFS(Due_Payments!$C$2:$C$1001,Due_Payments!$B$2:$B$1001,A983))</f>
        <v/>
      </c>
      <c r="J983" s="17" t="str">
        <f aca="false">IF(A983="","",G983-N(H983)-I983)</f>
        <v/>
      </c>
      <c r="K983" s="7"/>
      <c r="L983" s="7"/>
      <c r="M983" s="7"/>
    </row>
    <row r="984" customFormat="false" ht="15" hidden="false" customHeight="true" outlineLevel="0" collapsed="false">
      <c r="A984" s="7"/>
      <c r="B984" s="15"/>
      <c r="C984" s="7"/>
      <c r="D984" s="7"/>
      <c r="E984" s="17" t="str">
        <f aca="false">IF(A984="","",SUMIFS(Sales_Items!$H$2:$H$3001,Sales_Items!$A$2:$A$3001,A984))</f>
        <v/>
      </c>
      <c r="F984" s="13"/>
      <c r="G984" s="17" t="str">
        <f aca="false">IF(A984="","",E984-N(F984))</f>
        <v/>
      </c>
      <c r="H984" s="13"/>
      <c r="I984" s="17" t="str">
        <f aca="false">IF(A984="","",SUMIFS(Due_Payments!$C$2:$C$1001,Due_Payments!$B$2:$B$1001,A984))</f>
        <v/>
      </c>
      <c r="J984" s="17" t="str">
        <f aca="false">IF(A984="","",G984-N(H984)-I984)</f>
        <v/>
      </c>
      <c r="K984" s="7"/>
      <c r="L984" s="7"/>
      <c r="M984" s="7"/>
    </row>
    <row r="985" customFormat="false" ht="15" hidden="false" customHeight="true" outlineLevel="0" collapsed="false">
      <c r="A985" s="7"/>
      <c r="B985" s="15"/>
      <c r="C985" s="7"/>
      <c r="D985" s="7"/>
      <c r="E985" s="17" t="str">
        <f aca="false">IF(A985="","",SUMIFS(Sales_Items!$H$2:$H$3001,Sales_Items!$A$2:$A$3001,A985))</f>
        <v/>
      </c>
      <c r="F985" s="13"/>
      <c r="G985" s="17" t="str">
        <f aca="false">IF(A985="","",E985-N(F985))</f>
        <v/>
      </c>
      <c r="H985" s="13"/>
      <c r="I985" s="17" t="str">
        <f aca="false">IF(A985="","",SUMIFS(Due_Payments!$C$2:$C$1001,Due_Payments!$B$2:$B$1001,A985))</f>
        <v/>
      </c>
      <c r="J985" s="17" t="str">
        <f aca="false">IF(A985="","",G985-N(H985)-I985)</f>
        <v/>
      </c>
      <c r="K985" s="7"/>
      <c r="L985" s="7"/>
      <c r="M985" s="7"/>
    </row>
    <row r="986" customFormat="false" ht="15" hidden="false" customHeight="true" outlineLevel="0" collapsed="false">
      <c r="A986" s="7"/>
      <c r="B986" s="15"/>
      <c r="C986" s="7"/>
      <c r="D986" s="7"/>
      <c r="E986" s="17" t="str">
        <f aca="false">IF(A986="","",SUMIFS(Sales_Items!$H$2:$H$3001,Sales_Items!$A$2:$A$3001,A986))</f>
        <v/>
      </c>
      <c r="F986" s="13"/>
      <c r="G986" s="17" t="str">
        <f aca="false">IF(A986="","",E986-N(F986))</f>
        <v/>
      </c>
      <c r="H986" s="13"/>
      <c r="I986" s="17" t="str">
        <f aca="false">IF(A986="","",SUMIFS(Due_Payments!$C$2:$C$1001,Due_Payments!$B$2:$B$1001,A986))</f>
        <v/>
      </c>
      <c r="J986" s="17" t="str">
        <f aca="false">IF(A986="","",G986-N(H986)-I986)</f>
        <v/>
      </c>
      <c r="K986" s="7"/>
      <c r="L986" s="7"/>
      <c r="M986" s="7"/>
    </row>
    <row r="987" customFormat="false" ht="15" hidden="false" customHeight="true" outlineLevel="0" collapsed="false">
      <c r="A987" s="7"/>
      <c r="B987" s="15"/>
      <c r="C987" s="7"/>
      <c r="D987" s="7"/>
      <c r="E987" s="17" t="str">
        <f aca="false">IF(A987="","",SUMIFS(Sales_Items!$H$2:$H$3001,Sales_Items!$A$2:$A$3001,A987))</f>
        <v/>
      </c>
      <c r="F987" s="13"/>
      <c r="G987" s="17" t="str">
        <f aca="false">IF(A987="","",E987-N(F987))</f>
        <v/>
      </c>
      <c r="H987" s="13"/>
      <c r="I987" s="17" t="str">
        <f aca="false">IF(A987="","",SUMIFS(Due_Payments!$C$2:$C$1001,Due_Payments!$B$2:$B$1001,A987))</f>
        <v/>
      </c>
      <c r="J987" s="17" t="str">
        <f aca="false">IF(A987="","",G987-N(H987)-I987)</f>
        <v/>
      </c>
      <c r="K987" s="7"/>
      <c r="L987" s="7"/>
      <c r="M987" s="7"/>
    </row>
    <row r="988" customFormat="false" ht="15" hidden="false" customHeight="true" outlineLevel="0" collapsed="false">
      <c r="A988" s="7"/>
      <c r="B988" s="15"/>
      <c r="C988" s="7"/>
      <c r="D988" s="7"/>
      <c r="E988" s="17" t="str">
        <f aca="false">IF(A988="","",SUMIFS(Sales_Items!$H$2:$H$3001,Sales_Items!$A$2:$A$3001,A988))</f>
        <v/>
      </c>
      <c r="F988" s="13"/>
      <c r="G988" s="17" t="str">
        <f aca="false">IF(A988="","",E988-N(F988))</f>
        <v/>
      </c>
      <c r="H988" s="13"/>
      <c r="I988" s="17" t="str">
        <f aca="false">IF(A988="","",SUMIFS(Due_Payments!$C$2:$C$1001,Due_Payments!$B$2:$B$1001,A988))</f>
        <v/>
      </c>
      <c r="J988" s="17" t="str">
        <f aca="false">IF(A988="","",G988-N(H988)-I988)</f>
        <v/>
      </c>
      <c r="K988" s="7"/>
      <c r="L988" s="7"/>
      <c r="M988" s="7"/>
    </row>
    <row r="989" customFormat="false" ht="15" hidden="false" customHeight="true" outlineLevel="0" collapsed="false">
      <c r="A989" s="7"/>
      <c r="B989" s="15"/>
      <c r="C989" s="7"/>
      <c r="D989" s="7"/>
      <c r="E989" s="17" t="str">
        <f aca="false">IF(A989="","",SUMIFS(Sales_Items!$H$2:$H$3001,Sales_Items!$A$2:$A$3001,A989))</f>
        <v/>
      </c>
      <c r="F989" s="13"/>
      <c r="G989" s="17" t="str">
        <f aca="false">IF(A989="","",E989-N(F989))</f>
        <v/>
      </c>
      <c r="H989" s="13"/>
      <c r="I989" s="17" t="str">
        <f aca="false">IF(A989="","",SUMIFS(Due_Payments!$C$2:$C$1001,Due_Payments!$B$2:$B$1001,A989))</f>
        <v/>
      </c>
      <c r="J989" s="17" t="str">
        <f aca="false">IF(A989="","",G989-N(H989)-I989)</f>
        <v/>
      </c>
      <c r="K989" s="7"/>
      <c r="L989" s="7"/>
      <c r="M989" s="7"/>
    </row>
    <row r="990" customFormat="false" ht="15" hidden="false" customHeight="true" outlineLevel="0" collapsed="false">
      <c r="A990" s="7"/>
      <c r="B990" s="15"/>
      <c r="C990" s="7"/>
      <c r="D990" s="7"/>
      <c r="E990" s="17" t="str">
        <f aca="false">IF(A990="","",SUMIFS(Sales_Items!$H$2:$H$3001,Sales_Items!$A$2:$A$3001,A990))</f>
        <v/>
      </c>
      <c r="F990" s="13"/>
      <c r="G990" s="17" t="str">
        <f aca="false">IF(A990="","",E990-N(F990))</f>
        <v/>
      </c>
      <c r="H990" s="13"/>
      <c r="I990" s="17" t="str">
        <f aca="false">IF(A990="","",SUMIFS(Due_Payments!$C$2:$C$1001,Due_Payments!$B$2:$B$1001,A990))</f>
        <v/>
      </c>
      <c r="J990" s="17" t="str">
        <f aca="false">IF(A990="","",G990-N(H990)-I990)</f>
        <v/>
      </c>
      <c r="K990" s="7"/>
      <c r="L990" s="7"/>
      <c r="M990" s="7"/>
    </row>
    <row r="991" customFormat="false" ht="15" hidden="false" customHeight="true" outlineLevel="0" collapsed="false">
      <c r="A991" s="7"/>
      <c r="B991" s="15"/>
      <c r="C991" s="7"/>
      <c r="D991" s="7"/>
      <c r="E991" s="17" t="str">
        <f aca="false">IF(A991="","",SUMIFS(Sales_Items!$H$2:$H$3001,Sales_Items!$A$2:$A$3001,A991))</f>
        <v/>
      </c>
      <c r="F991" s="13"/>
      <c r="G991" s="17" t="str">
        <f aca="false">IF(A991="","",E991-N(F991))</f>
        <v/>
      </c>
      <c r="H991" s="13"/>
      <c r="I991" s="17" t="str">
        <f aca="false">IF(A991="","",SUMIFS(Due_Payments!$C$2:$C$1001,Due_Payments!$B$2:$B$1001,A991))</f>
        <v/>
      </c>
      <c r="J991" s="17" t="str">
        <f aca="false">IF(A991="","",G991-N(H991)-I991)</f>
        <v/>
      </c>
      <c r="K991" s="7"/>
      <c r="L991" s="7"/>
      <c r="M991" s="7"/>
    </row>
    <row r="992" customFormat="false" ht="15" hidden="false" customHeight="true" outlineLevel="0" collapsed="false">
      <c r="A992" s="7"/>
      <c r="B992" s="15"/>
      <c r="C992" s="7"/>
      <c r="D992" s="7"/>
      <c r="E992" s="17" t="str">
        <f aca="false">IF(A992="","",SUMIFS(Sales_Items!$H$2:$H$3001,Sales_Items!$A$2:$A$3001,A992))</f>
        <v/>
      </c>
      <c r="F992" s="13"/>
      <c r="G992" s="17" t="str">
        <f aca="false">IF(A992="","",E992-N(F992))</f>
        <v/>
      </c>
      <c r="H992" s="13"/>
      <c r="I992" s="17" t="str">
        <f aca="false">IF(A992="","",SUMIFS(Due_Payments!$C$2:$C$1001,Due_Payments!$B$2:$B$1001,A992))</f>
        <v/>
      </c>
      <c r="J992" s="17" t="str">
        <f aca="false">IF(A992="","",G992-N(H992)-I992)</f>
        <v/>
      </c>
      <c r="K992" s="7"/>
      <c r="L992" s="7"/>
      <c r="M992" s="7"/>
    </row>
    <row r="993" customFormat="false" ht="15" hidden="false" customHeight="true" outlineLevel="0" collapsed="false">
      <c r="A993" s="7"/>
      <c r="B993" s="15"/>
      <c r="C993" s="7"/>
      <c r="D993" s="7"/>
      <c r="E993" s="17" t="str">
        <f aca="false">IF(A993="","",SUMIFS(Sales_Items!$H$2:$H$3001,Sales_Items!$A$2:$A$3001,A993))</f>
        <v/>
      </c>
      <c r="F993" s="13"/>
      <c r="G993" s="17" t="str">
        <f aca="false">IF(A993="","",E993-N(F993))</f>
        <v/>
      </c>
      <c r="H993" s="13"/>
      <c r="I993" s="17" t="str">
        <f aca="false">IF(A993="","",SUMIFS(Due_Payments!$C$2:$C$1001,Due_Payments!$B$2:$B$1001,A993))</f>
        <v/>
      </c>
      <c r="J993" s="17" t="str">
        <f aca="false">IF(A993="","",G993-N(H993)-I993)</f>
        <v/>
      </c>
      <c r="K993" s="7"/>
      <c r="L993" s="7"/>
      <c r="M993" s="7"/>
    </row>
    <row r="994" customFormat="false" ht="15" hidden="false" customHeight="true" outlineLevel="0" collapsed="false">
      <c r="A994" s="7"/>
      <c r="B994" s="15"/>
      <c r="C994" s="7"/>
      <c r="D994" s="7"/>
      <c r="E994" s="17" t="str">
        <f aca="false">IF(A994="","",SUMIFS(Sales_Items!$H$2:$H$3001,Sales_Items!$A$2:$A$3001,A994))</f>
        <v/>
      </c>
      <c r="F994" s="13"/>
      <c r="G994" s="17" t="str">
        <f aca="false">IF(A994="","",E994-N(F994))</f>
        <v/>
      </c>
      <c r="H994" s="13"/>
      <c r="I994" s="17" t="str">
        <f aca="false">IF(A994="","",SUMIFS(Due_Payments!$C$2:$C$1001,Due_Payments!$B$2:$B$1001,A994))</f>
        <v/>
      </c>
      <c r="J994" s="17" t="str">
        <f aca="false">IF(A994="","",G994-N(H994)-I994)</f>
        <v/>
      </c>
      <c r="K994" s="7"/>
      <c r="L994" s="7"/>
      <c r="M994" s="7"/>
    </row>
    <row r="995" customFormat="false" ht="15" hidden="false" customHeight="true" outlineLevel="0" collapsed="false">
      <c r="A995" s="7"/>
      <c r="B995" s="15"/>
      <c r="C995" s="7"/>
      <c r="D995" s="7"/>
      <c r="E995" s="17" t="str">
        <f aca="false">IF(A995="","",SUMIFS(Sales_Items!$H$2:$H$3001,Sales_Items!$A$2:$A$3001,A995))</f>
        <v/>
      </c>
      <c r="F995" s="13"/>
      <c r="G995" s="17" t="str">
        <f aca="false">IF(A995="","",E995-N(F995))</f>
        <v/>
      </c>
      <c r="H995" s="13"/>
      <c r="I995" s="17" t="str">
        <f aca="false">IF(A995="","",SUMIFS(Due_Payments!$C$2:$C$1001,Due_Payments!$B$2:$B$1001,A995))</f>
        <v/>
      </c>
      <c r="J995" s="17" t="str">
        <f aca="false">IF(A995="","",G995-N(H995)-I995)</f>
        <v/>
      </c>
      <c r="K995" s="7"/>
      <c r="L995" s="7"/>
      <c r="M995" s="7"/>
    </row>
    <row r="996" customFormat="false" ht="15" hidden="false" customHeight="true" outlineLevel="0" collapsed="false">
      <c r="A996" s="7"/>
      <c r="B996" s="15"/>
      <c r="C996" s="7"/>
      <c r="D996" s="7"/>
      <c r="E996" s="17" t="str">
        <f aca="false">IF(A996="","",SUMIFS(Sales_Items!$H$2:$H$3001,Sales_Items!$A$2:$A$3001,A996))</f>
        <v/>
      </c>
      <c r="F996" s="13"/>
      <c r="G996" s="17" t="str">
        <f aca="false">IF(A996="","",E996-N(F996))</f>
        <v/>
      </c>
      <c r="H996" s="13"/>
      <c r="I996" s="17" t="str">
        <f aca="false">IF(A996="","",SUMIFS(Due_Payments!$C$2:$C$1001,Due_Payments!$B$2:$B$1001,A996))</f>
        <v/>
      </c>
      <c r="J996" s="17" t="str">
        <f aca="false">IF(A996="","",G996-N(H996)-I996)</f>
        <v/>
      </c>
      <c r="K996" s="7"/>
      <c r="L996" s="7"/>
      <c r="M996" s="7"/>
    </row>
    <row r="997" customFormat="false" ht="15" hidden="false" customHeight="true" outlineLevel="0" collapsed="false">
      <c r="A997" s="7"/>
      <c r="B997" s="15"/>
      <c r="C997" s="7"/>
      <c r="D997" s="7"/>
      <c r="E997" s="17" t="str">
        <f aca="false">IF(A997="","",SUMIFS(Sales_Items!$H$2:$H$3001,Sales_Items!$A$2:$A$3001,A997))</f>
        <v/>
      </c>
      <c r="F997" s="13"/>
      <c r="G997" s="17" t="str">
        <f aca="false">IF(A997="","",E997-N(F997))</f>
        <v/>
      </c>
      <c r="H997" s="13"/>
      <c r="I997" s="17" t="str">
        <f aca="false">IF(A997="","",SUMIFS(Due_Payments!$C$2:$C$1001,Due_Payments!$B$2:$B$1001,A997))</f>
        <v/>
      </c>
      <c r="J997" s="17" t="str">
        <f aca="false">IF(A997="","",G997-N(H997)-I997)</f>
        <v/>
      </c>
      <c r="K997" s="7"/>
      <c r="L997" s="7"/>
      <c r="M997" s="7"/>
    </row>
    <row r="998" customFormat="false" ht="15" hidden="false" customHeight="true" outlineLevel="0" collapsed="false">
      <c r="A998" s="7"/>
      <c r="B998" s="15"/>
      <c r="C998" s="7"/>
      <c r="D998" s="7"/>
      <c r="E998" s="17" t="str">
        <f aca="false">IF(A998="","",SUMIFS(Sales_Items!$H$2:$H$3001,Sales_Items!$A$2:$A$3001,A998))</f>
        <v/>
      </c>
      <c r="F998" s="13"/>
      <c r="G998" s="17" t="str">
        <f aca="false">IF(A998="","",E998-N(F998))</f>
        <v/>
      </c>
      <c r="H998" s="13"/>
      <c r="I998" s="17" t="str">
        <f aca="false">IF(A998="","",SUMIFS(Due_Payments!$C$2:$C$1001,Due_Payments!$B$2:$B$1001,A998))</f>
        <v/>
      </c>
      <c r="J998" s="17" t="str">
        <f aca="false">IF(A998="","",G998-N(H998)-I998)</f>
        <v/>
      </c>
      <c r="K998" s="7"/>
      <c r="L998" s="7"/>
      <c r="M998" s="7"/>
    </row>
    <row r="999" customFormat="false" ht="15" hidden="false" customHeight="true" outlineLevel="0" collapsed="false">
      <c r="A999" s="7"/>
      <c r="B999" s="15"/>
      <c r="C999" s="7"/>
      <c r="D999" s="7"/>
      <c r="E999" s="17" t="str">
        <f aca="false">IF(A999="","",SUMIFS(Sales_Items!$H$2:$H$3001,Sales_Items!$A$2:$A$3001,A999))</f>
        <v/>
      </c>
      <c r="F999" s="13"/>
      <c r="G999" s="17" t="str">
        <f aca="false">IF(A999="","",E999-N(F999))</f>
        <v/>
      </c>
      <c r="H999" s="13"/>
      <c r="I999" s="17" t="str">
        <f aca="false">IF(A999="","",SUMIFS(Due_Payments!$C$2:$C$1001,Due_Payments!$B$2:$B$1001,A999))</f>
        <v/>
      </c>
      <c r="J999" s="17" t="str">
        <f aca="false">IF(A999="","",G999-N(H999)-I999)</f>
        <v/>
      </c>
      <c r="K999" s="7"/>
      <c r="L999" s="7"/>
      <c r="M999" s="7"/>
    </row>
    <row r="1000" customFormat="false" ht="15" hidden="false" customHeight="true" outlineLevel="0" collapsed="false">
      <c r="A1000" s="7"/>
      <c r="B1000" s="15"/>
      <c r="C1000" s="7"/>
      <c r="D1000" s="7"/>
      <c r="E1000" s="17" t="str">
        <f aca="false">IF(A1000="","",SUMIFS(Sales_Items!$H$2:$H$3001,Sales_Items!$A$2:$A$3001,A1000))</f>
        <v/>
      </c>
      <c r="F1000" s="13"/>
      <c r="G1000" s="17" t="str">
        <f aca="false">IF(A1000="","",E1000-N(F1000))</f>
        <v/>
      </c>
      <c r="H1000" s="13"/>
      <c r="I1000" s="17" t="str">
        <f aca="false">IF(A1000="","",SUMIFS(Due_Payments!$C$2:$C$1001,Due_Payments!$B$2:$B$1001,A1000))</f>
        <v/>
      </c>
      <c r="J1000" s="17" t="str">
        <f aca="false">IF(A1000="","",G1000-N(H1000)-I1000)</f>
        <v/>
      </c>
      <c r="K1000" s="7"/>
      <c r="L1000" s="7"/>
      <c r="M1000" s="7"/>
    </row>
    <row r="1001" customFormat="false" ht="15" hidden="false" customHeight="true" outlineLevel="0" collapsed="false">
      <c r="A1001" s="7"/>
      <c r="B1001" s="15"/>
      <c r="C1001" s="7"/>
      <c r="D1001" s="7"/>
      <c r="E1001" s="17" t="str">
        <f aca="false">IF(A1001="","",SUMIFS(Sales_Items!$H$2:$H$3001,Sales_Items!$A$2:$A$3001,A1001))</f>
        <v/>
      </c>
      <c r="F1001" s="13"/>
      <c r="G1001" s="17" t="str">
        <f aca="false">IF(A1001="","",E1001-N(F1001))</f>
        <v/>
      </c>
      <c r="H1001" s="13"/>
      <c r="I1001" s="17" t="str">
        <f aca="false">IF(A1001="","",SUMIFS(Due_Payments!$C$2:$C$1001,Due_Payments!$B$2:$B$1001,A1001))</f>
        <v/>
      </c>
      <c r="J1001" s="17" t="str">
        <f aca="false">IF(A1001="","",G1001-N(H1001)-I1001)</f>
        <v/>
      </c>
      <c r="K1001" s="7"/>
      <c r="L1001" s="7"/>
      <c r="M1001" s="7"/>
    </row>
  </sheetData>
  <dataValidations count="1">
    <dataValidation allowBlank="true" errorStyle="stop" operator="between" showDropDown="false" showErrorMessage="false" showInputMessage="false" sqref="K2:K1001" type="list">
      <formula1>Settings!$F$3:$F$8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4"/>
    <col collapsed="false" customWidth="true" hidden="false" outlineLevel="0" max="4" min="4" style="1" width="30"/>
    <col collapsed="false" customWidth="true" hidden="false" outlineLevel="0" max="5" min="5" style="1" width="8"/>
    <col collapsed="false" customWidth="true" hidden="false" outlineLevel="0" max="6" min="6" style="1" width="12"/>
    <col collapsed="false" customWidth="true" hidden="false" outlineLevel="0" max="10" min="7" style="1" width="14"/>
  </cols>
  <sheetData>
    <row r="1" customFormat="false" ht="31.5" hidden="false" customHeight="true" outlineLevel="0" collapsed="false">
      <c r="A1" s="11" t="s">
        <v>186</v>
      </c>
      <c r="B1" s="12" t="s">
        <v>124</v>
      </c>
      <c r="C1" s="11" t="s">
        <v>125</v>
      </c>
      <c r="D1" s="12" t="s">
        <v>126</v>
      </c>
      <c r="E1" s="11" t="s">
        <v>127</v>
      </c>
      <c r="F1" s="11" t="s">
        <v>1141</v>
      </c>
      <c r="G1" s="11" t="s">
        <v>1142</v>
      </c>
      <c r="H1" s="12" t="s">
        <v>1143</v>
      </c>
      <c r="I1" s="12" t="s">
        <v>1144</v>
      </c>
      <c r="J1" s="12" t="s">
        <v>1145</v>
      </c>
    </row>
    <row r="2" customFormat="false" ht="15" hidden="false" customHeight="true" outlineLevel="0" collapsed="false">
      <c r="A2" s="7" t="s">
        <v>197</v>
      </c>
      <c r="B2" s="18" t="n">
        <f aca="false">IF(A2="","",IFERROR(INDEX(Sales_Memo!$B$2:$B$1001,MATCH(A2,Sales_Memo!$A$2:$A$1001,0)),""))</f>
        <v>46237</v>
      </c>
      <c r="C2" s="7" t="s">
        <v>82</v>
      </c>
      <c r="D2" s="16" t="str">
        <f aca="false">IF(C2="","",IFERROR(INDEX(Products!$B$2:$B$501,MATCH(C2,Products!$A$2:$A$501,0)),"CODE NOT FOUND"))</f>
        <v>Clutch Cable</v>
      </c>
      <c r="E2" s="7" t="n">
        <v>1</v>
      </c>
      <c r="F2" s="13" t="n">
        <v>190</v>
      </c>
      <c r="G2" s="13" t="n">
        <v>110</v>
      </c>
      <c r="H2" s="17" t="n">
        <f aca="false">IF(OR(E2="",F2=""),"",E2*F2)</f>
        <v>190</v>
      </c>
      <c r="I2" s="17" t="n">
        <f aca="false">IF(OR(E2="",G2=""),"",E2*G2)</f>
        <v>110</v>
      </c>
      <c r="J2" s="17" t="n">
        <f aca="false">IF(H2="","",H2-I2)</f>
        <v>80</v>
      </c>
    </row>
    <row r="3" customFormat="false" ht="15" hidden="false" customHeight="true" outlineLevel="0" collapsed="false">
      <c r="A3" s="7" t="s">
        <v>197</v>
      </c>
      <c r="B3" s="18" t="n">
        <f aca="false">IF(A3="","",IFERROR(INDEX(Sales_Memo!$B$2:$B$1001,MATCH(A3,Sales_Memo!$A$2:$A$1001,0)),""))</f>
        <v>46237</v>
      </c>
      <c r="C3" s="7" t="s">
        <v>119</v>
      </c>
      <c r="D3" s="16" t="str">
        <f aca="false">IF(C3="","",IFERROR(INDEX(Products!$B$2:$B$501,MATCH(C3,Products!$A$2:$A$501,0)),"CODE NOT FOUND"))</f>
        <v>Chain Lube Spray</v>
      </c>
      <c r="E3" s="7" t="n">
        <v>1</v>
      </c>
      <c r="F3" s="13" t="n">
        <v>270</v>
      </c>
      <c r="G3" s="13" t="n">
        <v>170</v>
      </c>
      <c r="H3" s="17" t="n">
        <f aca="false">IF(OR(E3="",F3=""),"",E3*F3)</f>
        <v>270</v>
      </c>
      <c r="I3" s="17" t="n">
        <f aca="false">IF(OR(E3="",G3=""),"",E3*G3)</f>
        <v>170</v>
      </c>
      <c r="J3" s="17" t="n">
        <f aca="false">IF(H3="","",H3-I3)</f>
        <v>100</v>
      </c>
    </row>
    <row r="4" customFormat="false" ht="15" hidden="false" customHeight="true" outlineLevel="0" collapsed="false">
      <c r="A4" s="7" t="s">
        <v>197</v>
      </c>
      <c r="B4" s="18" t="n">
        <f aca="false">IF(A4="","",IFERROR(INDEX(Sales_Memo!$B$2:$B$1001,MATCH(A4,Sales_Memo!$A$2:$A$1001,0)),""))</f>
        <v>46237</v>
      </c>
      <c r="C4" s="7" t="s">
        <v>77</v>
      </c>
      <c r="D4" s="16" t="str">
        <f aca="false">IF(C4="","",IFERROR(INDEX(Products!$B$2:$B$501,MATCH(C4,Products!$A$2:$A$501,0)),"CODE NOT FOUND"))</f>
        <v>Brake Pad Set - Front</v>
      </c>
      <c r="E4" s="7" t="n">
        <v>1</v>
      </c>
      <c r="F4" s="13" t="n">
        <v>480</v>
      </c>
      <c r="G4" s="13" t="n">
        <v>320</v>
      </c>
      <c r="H4" s="17" t="n">
        <f aca="false">IF(OR(E4="",F4=""),"",E4*F4)</f>
        <v>480</v>
      </c>
      <c r="I4" s="17" t="n">
        <f aca="false">IF(OR(E4="",G4=""),"",E4*G4)</f>
        <v>320</v>
      </c>
      <c r="J4" s="17" t="n">
        <f aca="false">IF(H4="","",H4-I4)</f>
        <v>160</v>
      </c>
    </row>
    <row r="5" customFormat="false" ht="15" hidden="false" customHeight="true" outlineLevel="0" collapsed="false">
      <c r="A5" s="7" t="s">
        <v>201</v>
      </c>
      <c r="B5" s="18" t="n">
        <f aca="false">IF(A5="","",IFERROR(INDEX(Sales_Memo!$B$2:$B$1001,MATCH(A5,Sales_Memo!$A$2:$A$1001,0)),""))</f>
        <v>46237</v>
      </c>
      <c r="C5" s="7" t="s">
        <v>102</v>
      </c>
      <c r="D5" s="16" t="str">
        <f aca="false">IF(C5="","",IFERROR(INDEX(Products!$B$2:$B$501,MATCH(C5,Products!$A$2:$A$501,0)),"CODE NOT FOUND"))</f>
        <v>Headlight Bulb H4</v>
      </c>
      <c r="E5" s="7" t="n">
        <v>1</v>
      </c>
      <c r="F5" s="13" t="n">
        <v>240</v>
      </c>
      <c r="G5" s="13" t="n">
        <v>140</v>
      </c>
      <c r="H5" s="17" t="n">
        <f aca="false">IF(OR(E5="",F5=""),"",E5*F5)</f>
        <v>240</v>
      </c>
      <c r="I5" s="17" t="n">
        <f aca="false">IF(OR(E5="",G5=""),"",E5*G5)</f>
        <v>140</v>
      </c>
      <c r="J5" s="17" t="n">
        <f aca="false">IF(H5="","",H5-I5)</f>
        <v>100</v>
      </c>
    </row>
    <row r="6" customFormat="false" ht="15" hidden="false" customHeight="true" outlineLevel="0" collapsed="false">
      <c r="A6" s="7" t="s">
        <v>201</v>
      </c>
      <c r="B6" s="18" t="n">
        <f aca="false">IF(A6="","",IFERROR(INDEX(Sales_Memo!$B$2:$B$1001,MATCH(A6,Sales_Memo!$A$2:$A$1001,0)),""))</f>
        <v>46237</v>
      </c>
      <c r="C6" s="7" t="s">
        <v>99</v>
      </c>
      <c r="D6" s="16" t="str">
        <f aca="false">IF(C6="","",IFERROR(INDEX(Products!$B$2:$B$501,MATCH(C6,Products!$A$2:$A$501,0)),"CODE NOT FOUND"))</f>
        <v>Engine Oil 20W-50 (1L)</v>
      </c>
      <c r="E6" s="7" t="n">
        <v>2</v>
      </c>
      <c r="F6" s="13" t="n">
        <v>990</v>
      </c>
      <c r="G6" s="13" t="n">
        <v>780</v>
      </c>
      <c r="H6" s="17" t="n">
        <f aca="false">IF(OR(E6="",F6=""),"",E6*F6)</f>
        <v>1980</v>
      </c>
      <c r="I6" s="17" t="n">
        <f aca="false">IF(OR(E6="",G6=""),"",E6*G6)</f>
        <v>1560</v>
      </c>
      <c r="J6" s="17" t="n">
        <f aca="false">IF(H6="","",H6-I6)</f>
        <v>420</v>
      </c>
    </row>
    <row r="7" customFormat="false" ht="15" hidden="false" customHeight="true" outlineLevel="0" collapsed="false">
      <c r="A7" s="7" t="s">
        <v>205</v>
      </c>
      <c r="B7" s="18" t="n">
        <f aca="false">IF(A7="","",IFERROR(INDEX(Sales_Memo!$B$2:$B$1001,MATCH(A7,Sales_Memo!$A$2:$A$1001,0)),""))</f>
        <v>46237</v>
      </c>
      <c r="C7" s="7" t="s">
        <v>90</v>
      </c>
      <c r="D7" s="16" t="str">
        <f aca="false">IF(C7="","",IFERROR(INDEX(Products!$B$2:$B$501,MATCH(C7,Products!$A$2:$A$501,0)),"CODE NOT FOUND"))</f>
        <v>Air Filter 150cc</v>
      </c>
      <c r="E7" s="7" t="n">
        <v>3</v>
      </c>
      <c r="F7" s="13" t="n">
        <v>340</v>
      </c>
      <c r="G7" s="13" t="n">
        <v>210</v>
      </c>
      <c r="H7" s="17" t="n">
        <f aca="false">IF(OR(E7="",F7=""),"",E7*F7)</f>
        <v>1020</v>
      </c>
      <c r="I7" s="17" t="n">
        <f aca="false">IF(OR(E7="",G7=""),"",E7*G7)</f>
        <v>630</v>
      </c>
      <c r="J7" s="17" t="n">
        <f aca="false">IF(H7="","",H7-I7)</f>
        <v>390</v>
      </c>
    </row>
    <row r="8" customFormat="false" ht="15" hidden="false" customHeight="true" outlineLevel="0" collapsed="false">
      <c r="A8" s="7" t="s">
        <v>209</v>
      </c>
      <c r="B8" s="18" t="n">
        <f aca="false">IF(A8="","",IFERROR(INDEX(Sales_Memo!$B$2:$B$1001,MATCH(A8,Sales_Memo!$A$2:$A$1001,0)),""))</f>
        <v>46237</v>
      </c>
      <c r="C8" s="7" t="s">
        <v>99</v>
      </c>
      <c r="D8" s="16" t="str">
        <f aca="false">IF(C8="","",IFERROR(INDEX(Products!$B$2:$B$501,MATCH(C8,Products!$A$2:$A$501,0)),"CODE NOT FOUND"))</f>
        <v>Engine Oil 20W-50 (1L)</v>
      </c>
      <c r="E8" s="7" t="n">
        <v>1</v>
      </c>
      <c r="F8" s="13" t="n">
        <v>990</v>
      </c>
      <c r="G8" s="13" t="n">
        <v>780</v>
      </c>
      <c r="H8" s="17" t="n">
        <f aca="false">IF(OR(E8="",F8=""),"",E8*F8)</f>
        <v>990</v>
      </c>
      <c r="I8" s="17" t="n">
        <f aca="false">IF(OR(E8="",G8=""),"",E8*G8)</f>
        <v>780</v>
      </c>
      <c r="J8" s="17" t="n">
        <f aca="false">IF(H8="","",H8-I8)</f>
        <v>210</v>
      </c>
    </row>
    <row r="9" customFormat="false" ht="15" hidden="false" customHeight="true" outlineLevel="0" collapsed="false">
      <c r="A9" s="7" t="s">
        <v>212</v>
      </c>
      <c r="B9" s="18" t="n">
        <f aca="false">IF(A9="","",IFERROR(INDEX(Sales_Memo!$B$2:$B$1001,MATCH(A9,Sales_Memo!$A$2:$A$1001,0)),""))</f>
        <v>46237</v>
      </c>
      <c r="C9" s="7" t="s">
        <v>90</v>
      </c>
      <c r="D9" s="16" t="str">
        <f aca="false">IF(C9="","",IFERROR(INDEX(Products!$B$2:$B$501,MATCH(C9,Products!$A$2:$A$501,0)),"CODE NOT FOUND"))</f>
        <v>Air Filter 150cc</v>
      </c>
      <c r="E9" s="7" t="n">
        <v>1</v>
      </c>
      <c r="F9" s="13" t="n">
        <v>340</v>
      </c>
      <c r="G9" s="13" t="n">
        <v>210</v>
      </c>
      <c r="H9" s="17" t="n">
        <f aca="false">IF(OR(E9="",F9=""),"",E9*F9)</f>
        <v>340</v>
      </c>
      <c r="I9" s="17" t="n">
        <f aca="false">IF(OR(E9="",G9=""),"",E9*G9)</f>
        <v>210</v>
      </c>
      <c r="J9" s="17" t="n">
        <f aca="false">IF(H9="","",H9-I9)</f>
        <v>130</v>
      </c>
    </row>
    <row r="10" customFormat="false" ht="15" hidden="false" customHeight="true" outlineLevel="0" collapsed="false">
      <c r="A10" s="7" t="s">
        <v>216</v>
      </c>
      <c r="B10" s="18" t="n">
        <f aca="false">IF(A10="","",IFERROR(INDEX(Sales_Memo!$B$2:$B$1001,MATCH(A10,Sales_Memo!$A$2:$A$1001,0)),""))</f>
        <v>46237</v>
      </c>
      <c r="C10" s="7" t="s">
        <v>90</v>
      </c>
      <c r="D10" s="16" t="str">
        <f aca="false">IF(C10="","",IFERROR(INDEX(Products!$B$2:$B$501,MATCH(C10,Products!$A$2:$A$501,0)),"CODE NOT FOUND"))</f>
        <v>Air Filter 150cc</v>
      </c>
      <c r="E10" s="7" t="n">
        <v>2</v>
      </c>
      <c r="F10" s="13" t="n">
        <v>340</v>
      </c>
      <c r="G10" s="13" t="n">
        <v>210</v>
      </c>
      <c r="H10" s="17" t="n">
        <f aca="false">IF(OR(E10="",F10=""),"",E10*F10)</f>
        <v>680</v>
      </c>
      <c r="I10" s="17" t="n">
        <f aca="false">IF(OR(E10="",G10=""),"",E10*G10)</f>
        <v>420</v>
      </c>
      <c r="J10" s="17" t="n">
        <f aca="false">IF(H10="","",H10-I10)</f>
        <v>260</v>
      </c>
    </row>
    <row r="11" customFormat="false" ht="15" hidden="false" customHeight="true" outlineLevel="0" collapsed="false">
      <c r="A11" s="7" t="s">
        <v>220</v>
      </c>
      <c r="B11" s="18" t="n">
        <f aca="false">IF(A11="","",IFERROR(INDEX(Sales_Memo!$B$2:$B$1001,MATCH(A11,Sales_Memo!$A$2:$A$1001,0)),""))</f>
        <v>46237</v>
      </c>
      <c r="C11" s="7" t="s">
        <v>82</v>
      </c>
      <c r="D11" s="16" t="str">
        <f aca="false">IF(C11="","",IFERROR(INDEX(Products!$B$2:$B$501,MATCH(C11,Products!$A$2:$A$501,0)),"CODE NOT FOUND"))</f>
        <v>Clutch Cable</v>
      </c>
      <c r="E11" s="7" t="n">
        <v>2</v>
      </c>
      <c r="F11" s="13" t="n">
        <v>190</v>
      </c>
      <c r="G11" s="13" t="n">
        <v>110</v>
      </c>
      <c r="H11" s="17" t="n">
        <f aca="false">IF(OR(E11="",F11=""),"",E11*F11)</f>
        <v>380</v>
      </c>
      <c r="I11" s="17" t="n">
        <f aca="false">IF(OR(E11="",G11=""),"",E11*G11)</f>
        <v>220</v>
      </c>
      <c r="J11" s="17" t="n">
        <f aca="false">IF(H11="","",H11-I11)</f>
        <v>160</v>
      </c>
    </row>
    <row r="12" customFormat="false" ht="15" hidden="false" customHeight="true" outlineLevel="0" collapsed="false">
      <c r="A12" s="7" t="s">
        <v>224</v>
      </c>
      <c r="B12" s="18" t="n">
        <f aca="false">IF(A12="","",IFERROR(INDEX(Sales_Memo!$B$2:$B$1001,MATCH(A12,Sales_Memo!$A$2:$A$1001,0)),""))</f>
        <v>46237</v>
      </c>
      <c r="C12" s="7" t="s">
        <v>93</v>
      </c>
      <c r="D12" s="16" t="str">
        <f aca="false">IF(C12="","",IFERROR(INDEX(Products!$B$2:$B$501,MATCH(C12,Products!$A$2:$A$501,0)),"CODE NOT FOUND"))</f>
        <v>Chain &amp; Sprocket Kit</v>
      </c>
      <c r="E12" s="7" t="n">
        <v>1</v>
      </c>
      <c r="F12" s="13" t="n">
        <v>2350</v>
      </c>
      <c r="G12" s="13" t="n">
        <v>1750</v>
      </c>
      <c r="H12" s="17" t="n">
        <f aca="false">IF(OR(E12="",F12=""),"",E12*F12)</f>
        <v>2350</v>
      </c>
      <c r="I12" s="17" t="n">
        <f aca="false">IF(OR(E12="",G12=""),"",E12*G12)</f>
        <v>1750</v>
      </c>
      <c r="J12" s="17" t="n">
        <f aca="false">IF(H12="","",H12-I12)</f>
        <v>600</v>
      </c>
    </row>
    <row r="13" customFormat="false" ht="15" hidden="false" customHeight="true" outlineLevel="0" collapsed="false">
      <c r="A13" s="7" t="s">
        <v>228</v>
      </c>
      <c r="B13" s="18" t="n">
        <f aca="false">IF(A13="","",IFERROR(INDEX(Sales_Memo!$B$2:$B$1001,MATCH(A13,Sales_Memo!$A$2:$A$1001,0)),""))</f>
        <v>46237</v>
      </c>
      <c r="C13" s="7" t="s">
        <v>82</v>
      </c>
      <c r="D13" s="16" t="str">
        <f aca="false">IF(C13="","",IFERROR(INDEX(Products!$B$2:$B$501,MATCH(C13,Products!$A$2:$A$501,0)),"CODE NOT FOUND"))</f>
        <v>Clutch Cable</v>
      </c>
      <c r="E13" s="7" t="n">
        <v>1</v>
      </c>
      <c r="F13" s="13" t="n">
        <v>190</v>
      </c>
      <c r="G13" s="13" t="n">
        <v>110</v>
      </c>
      <c r="H13" s="17" t="n">
        <f aca="false">IF(OR(E13="",F13=""),"",E13*F13)</f>
        <v>190</v>
      </c>
      <c r="I13" s="17" t="n">
        <f aca="false">IF(OR(E13="",G13=""),"",E13*G13)</f>
        <v>110</v>
      </c>
      <c r="J13" s="17" t="n">
        <f aca="false">IF(H13="","",H13-I13)</f>
        <v>80</v>
      </c>
    </row>
    <row r="14" customFormat="false" ht="15" hidden="false" customHeight="true" outlineLevel="0" collapsed="false">
      <c r="A14" s="7" t="s">
        <v>228</v>
      </c>
      <c r="B14" s="18" t="n">
        <f aca="false">IF(A14="","",IFERROR(INDEX(Sales_Memo!$B$2:$B$1001,MATCH(A14,Sales_Memo!$A$2:$A$1001,0)),""))</f>
        <v>46237</v>
      </c>
      <c r="C14" s="7" t="s">
        <v>90</v>
      </c>
      <c r="D14" s="16" t="str">
        <f aca="false">IF(C14="","",IFERROR(INDEX(Products!$B$2:$B$501,MATCH(C14,Products!$A$2:$A$501,0)),"CODE NOT FOUND"))</f>
        <v>Air Filter 150cc</v>
      </c>
      <c r="E14" s="7" t="n">
        <v>2</v>
      </c>
      <c r="F14" s="13" t="n">
        <v>340</v>
      </c>
      <c r="G14" s="13" t="n">
        <v>210</v>
      </c>
      <c r="H14" s="17" t="n">
        <f aca="false">IF(OR(E14="",F14=""),"",E14*F14)</f>
        <v>680</v>
      </c>
      <c r="I14" s="17" t="n">
        <f aca="false">IF(OR(E14="",G14=""),"",E14*G14)</f>
        <v>420</v>
      </c>
      <c r="J14" s="17" t="n">
        <f aca="false">IF(H14="","",H14-I14)</f>
        <v>260</v>
      </c>
    </row>
    <row r="15" customFormat="false" ht="15" hidden="false" customHeight="true" outlineLevel="0" collapsed="false">
      <c r="A15" s="7" t="s">
        <v>232</v>
      </c>
      <c r="B15" s="18" t="n">
        <f aca="false">IF(A15="","",IFERROR(INDEX(Sales_Memo!$B$2:$B$1001,MATCH(A15,Sales_Memo!$A$2:$A$1001,0)),""))</f>
        <v>46237</v>
      </c>
      <c r="C15" s="7" t="s">
        <v>119</v>
      </c>
      <c r="D15" s="16" t="str">
        <f aca="false">IF(C15="","",IFERROR(INDEX(Products!$B$2:$B$501,MATCH(C15,Products!$A$2:$A$501,0)),"CODE NOT FOUND"))</f>
        <v>Chain Lube Spray</v>
      </c>
      <c r="E15" s="7" t="n">
        <v>3</v>
      </c>
      <c r="F15" s="13" t="n">
        <v>270</v>
      </c>
      <c r="G15" s="13" t="n">
        <v>170</v>
      </c>
      <c r="H15" s="17" t="n">
        <f aca="false">IF(OR(E15="",F15=""),"",E15*F15)</f>
        <v>810</v>
      </c>
      <c r="I15" s="17" t="n">
        <f aca="false">IF(OR(E15="",G15=""),"",E15*G15)</f>
        <v>510</v>
      </c>
      <c r="J15" s="17" t="n">
        <f aca="false">IF(H15="","",H15-I15)</f>
        <v>300</v>
      </c>
    </row>
    <row r="16" customFormat="false" ht="15" hidden="false" customHeight="true" outlineLevel="0" collapsed="false">
      <c r="A16" s="7" t="s">
        <v>234</v>
      </c>
      <c r="B16" s="18" t="n">
        <f aca="false">IF(A16="","",IFERROR(INDEX(Sales_Memo!$B$2:$B$1001,MATCH(A16,Sales_Memo!$A$2:$A$1001,0)),""))</f>
        <v>46237</v>
      </c>
      <c r="C16" s="7" t="s">
        <v>121</v>
      </c>
      <c r="D16" s="16" t="str">
        <f aca="false">IF(C16="","",IFERROR(INDEX(Products!$B$2:$B$501,MATCH(C16,Products!$A$2:$A$501,0)),"CODE NOT FOUND"))</f>
        <v>Handle Grip Set</v>
      </c>
      <c r="E16" s="7" t="n">
        <v>1</v>
      </c>
      <c r="F16" s="13" t="n">
        <v>280</v>
      </c>
      <c r="G16" s="13" t="n">
        <v>160</v>
      </c>
      <c r="H16" s="17" t="n">
        <f aca="false">IF(OR(E16="",F16=""),"",E16*F16)</f>
        <v>280</v>
      </c>
      <c r="I16" s="17" t="n">
        <f aca="false">IF(OR(E16="",G16=""),"",E16*G16)</f>
        <v>160</v>
      </c>
      <c r="J16" s="17" t="n">
        <f aca="false">IF(H16="","",H16-I16)</f>
        <v>120</v>
      </c>
    </row>
    <row r="17" customFormat="false" ht="15" hidden="false" customHeight="true" outlineLevel="0" collapsed="false">
      <c r="A17" s="7" t="s">
        <v>236</v>
      </c>
      <c r="B17" s="18" t="n">
        <f aca="false">IF(A17="","",IFERROR(INDEX(Sales_Memo!$B$2:$B$1001,MATCH(A17,Sales_Memo!$A$2:$A$1001,0)),""))</f>
        <v>46237</v>
      </c>
      <c r="C17" s="7" t="s">
        <v>90</v>
      </c>
      <c r="D17" s="16" t="str">
        <f aca="false">IF(C17="","",IFERROR(INDEX(Products!$B$2:$B$501,MATCH(C17,Products!$A$2:$A$501,0)),"CODE NOT FOUND"))</f>
        <v>Air Filter 150cc</v>
      </c>
      <c r="E17" s="7" t="n">
        <v>1</v>
      </c>
      <c r="F17" s="13" t="n">
        <v>340</v>
      </c>
      <c r="G17" s="13" t="n">
        <v>210</v>
      </c>
      <c r="H17" s="17" t="n">
        <f aca="false">IF(OR(E17="",F17=""),"",E17*F17)</f>
        <v>340</v>
      </c>
      <c r="I17" s="17" t="n">
        <f aca="false">IF(OR(E17="",G17=""),"",E17*G17)</f>
        <v>210</v>
      </c>
      <c r="J17" s="17" t="n">
        <f aca="false">IF(H17="","",H17-I17)</f>
        <v>130</v>
      </c>
    </row>
    <row r="18" customFormat="false" ht="15" hidden="false" customHeight="true" outlineLevel="0" collapsed="false">
      <c r="A18" s="7" t="s">
        <v>238</v>
      </c>
      <c r="B18" s="18" t="n">
        <f aca="false">IF(A18="","",IFERROR(INDEX(Sales_Memo!$B$2:$B$1001,MATCH(A18,Sales_Memo!$A$2:$A$1001,0)),""))</f>
        <v>46238</v>
      </c>
      <c r="C18" s="7" t="s">
        <v>90</v>
      </c>
      <c r="D18" s="16" t="str">
        <f aca="false">IF(C18="","",IFERROR(INDEX(Products!$B$2:$B$501,MATCH(C18,Products!$A$2:$A$501,0)),"CODE NOT FOUND"))</f>
        <v>Air Filter 150cc</v>
      </c>
      <c r="E18" s="7" t="n">
        <v>2</v>
      </c>
      <c r="F18" s="13" t="n">
        <v>340</v>
      </c>
      <c r="G18" s="13" t="n">
        <v>210</v>
      </c>
      <c r="H18" s="17" t="n">
        <f aca="false">IF(OR(E18="",F18=""),"",E18*F18)</f>
        <v>680</v>
      </c>
      <c r="I18" s="17" t="n">
        <f aca="false">IF(OR(E18="",G18=""),"",E18*G18)</f>
        <v>420</v>
      </c>
      <c r="J18" s="17" t="n">
        <f aca="false">IF(H18="","",H18-I18)</f>
        <v>260</v>
      </c>
    </row>
    <row r="19" customFormat="false" ht="15" hidden="false" customHeight="true" outlineLevel="0" collapsed="false">
      <c r="A19" s="7" t="s">
        <v>240</v>
      </c>
      <c r="B19" s="18" t="n">
        <f aca="false">IF(A19="","",IFERROR(INDEX(Sales_Memo!$B$2:$B$1001,MATCH(A19,Sales_Memo!$A$2:$A$1001,0)),""))</f>
        <v>46238</v>
      </c>
      <c r="C19" s="7" t="s">
        <v>121</v>
      </c>
      <c r="D19" s="16" t="str">
        <f aca="false">IF(C19="","",IFERROR(INDEX(Products!$B$2:$B$501,MATCH(C19,Products!$A$2:$A$501,0)),"CODE NOT FOUND"))</f>
        <v>Handle Grip Set</v>
      </c>
      <c r="E19" s="7" t="n">
        <v>3</v>
      </c>
      <c r="F19" s="13" t="n">
        <v>280</v>
      </c>
      <c r="G19" s="13" t="n">
        <v>160</v>
      </c>
      <c r="H19" s="17" t="n">
        <f aca="false">IF(OR(E19="",F19=""),"",E19*F19)</f>
        <v>840</v>
      </c>
      <c r="I19" s="17" t="n">
        <f aca="false">IF(OR(E19="",G19=""),"",E19*G19)</f>
        <v>480</v>
      </c>
      <c r="J19" s="17" t="n">
        <f aca="false">IF(H19="","",H19-I19)</f>
        <v>360</v>
      </c>
    </row>
    <row r="20" customFormat="false" ht="15" hidden="false" customHeight="true" outlineLevel="0" collapsed="false">
      <c r="A20" s="7" t="s">
        <v>244</v>
      </c>
      <c r="B20" s="18" t="n">
        <f aca="false">IF(A20="","",IFERROR(INDEX(Sales_Memo!$B$2:$B$1001,MATCH(A20,Sales_Memo!$A$2:$A$1001,0)),""))</f>
        <v>46238</v>
      </c>
      <c r="C20" s="7" t="s">
        <v>82</v>
      </c>
      <c r="D20" s="16" t="str">
        <f aca="false">IF(C20="","",IFERROR(INDEX(Products!$B$2:$B$501,MATCH(C20,Products!$A$2:$A$501,0)),"CODE NOT FOUND"))</f>
        <v>Clutch Cable</v>
      </c>
      <c r="E20" s="7" t="n">
        <v>2</v>
      </c>
      <c r="F20" s="13" t="n">
        <v>190</v>
      </c>
      <c r="G20" s="13" t="n">
        <v>110</v>
      </c>
      <c r="H20" s="17" t="n">
        <f aca="false">IF(OR(E20="",F20=""),"",E20*F20)</f>
        <v>380</v>
      </c>
      <c r="I20" s="17" t="n">
        <f aca="false">IF(OR(E20="",G20=""),"",E20*G20)</f>
        <v>220</v>
      </c>
      <c r="J20" s="17" t="n">
        <f aca="false">IF(H20="","",H20-I20)</f>
        <v>160</v>
      </c>
    </row>
    <row r="21" customFormat="false" ht="15" hidden="false" customHeight="true" outlineLevel="0" collapsed="false">
      <c r="A21" s="7" t="s">
        <v>244</v>
      </c>
      <c r="B21" s="18" t="n">
        <f aca="false">IF(A21="","",IFERROR(INDEX(Sales_Memo!$B$2:$B$1001,MATCH(A21,Sales_Memo!$A$2:$A$1001,0)),""))</f>
        <v>46238</v>
      </c>
      <c r="C21" s="7" t="s">
        <v>119</v>
      </c>
      <c r="D21" s="16" t="str">
        <f aca="false">IF(C21="","",IFERROR(INDEX(Products!$B$2:$B$501,MATCH(C21,Products!$A$2:$A$501,0)),"CODE NOT FOUND"))</f>
        <v>Chain Lube Spray</v>
      </c>
      <c r="E21" s="7" t="n">
        <v>3</v>
      </c>
      <c r="F21" s="13" t="n">
        <v>270</v>
      </c>
      <c r="G21" s="13" t="n">
        <v>170</v>
      </c>
      <c r="H21" s="17" t="n">
        <f aca="false">IF(OR(E21="",F21=""),"",E21*F21)</f>
        <v>810</v>
      </c>
      <c r="I21" s="17" t="n">
        <f aca="false">IF(OR(E21="",G21=""),"",E21*G21)</f>
        <v>510</v>
      </c>
      <c r="J21" s="17" t="n">
        <f aca="false">IF(H21="","",H21-I21)</f>
        <v>300</v>
      </c>
    </row>
    <row r="22" customFormat="false" ht="15" hidden="false" customHeight="true" outlineLevel="0" collapsed="false">
      <c r="A22" s="7" t="s">
        <v>246</v>
      </c>
      <c r="B22" s="18" t="n">
        <f aca="false">IF(A22="","",IFERROR(INDEX(Sales_Memo!$B$2:$B$1001,MATCH(A22,Sales_Memo!$A$2:$A$1001,0)),""))</f>
        <v>46238</v>
      </c>
      <c r="C22" s="7" t="s">
        <v>121</v>
      </c>
      <c r="D22" s="16" t="str">
        <f aca="false">IF(C22="","",IFERROR(INDEX(Products!$B$2:$B$501,MATCH(C22,Products!$A$2:$A$501,0)),"CODE NOT FOUND"))</f>
        <v>Handle Grip Set</v>
      </c>
      <c r="E22" s="7" t="n">
        <v>1</v>
      </c>
      <c r="F22" s="13" t="n">
        <v>280</v>
      </c>
      <c r="G22" s="13" t="n">
        <v>160</v>
      </c>
      <c r="H22" s="17" t="n">
        <f aca="false">IF(OR(E22="",F22=""),"",E22*F22)</f>
        <v>280</v>
      </c>
      <c r="I22" s="17" t="n">
        <f aca="false">IF(OR(E22="",G22=""),"",E22*G22)</f>
        <v>160</v>
      </c>
      <c r="J22" s="17" t="n">
        <f aca="false">IF(H22="","",H22-I22)</f>
        <v>120</v>
      </c>
    </row>
    <row r="23" customFormat="false" ht="15" hidden="false" customHeight="true" outlineLevel="0" collapsed="false">
      <c r="A23" s="7" t="s">
        <v>246</v>
      </c>
      <c r="B23" s="18" t="n">
        <f aca="false">IF(A23="","",IFERROR(INDEX(Sales_Memo!$B$2:$B$1001,MATCH(A23,Sales_Memo!$A$2:$A$1001,0)),""))</f>
        <v>46238</v>
      </c>
      <c r="C23" s="7" t="s">
        <v>114</v>
      </c>
      <c r="D23" s="16" t="str">
        <f aca="false">IF(C23="","",IFERROR(INDEX(Products!$B$2:$B$501,MATCH(C23,Products!$A$2:$A$501,0)),"CODE NOT FOUND"))</f>
        <v>Side Mirror (Pair)</v>
      </c>
      <c r="E23" s="7" t="n">
        <v>2</v>
      </c>
      <c r="F23" s="13" t="n">
        <v>620</v>
      </c>
      <c r="G23" s="13" t="n">
        <v>380</v>
      </c>
      <c r="H23" s="17" t="n">
        <f aca="false">IF(OR(E23="",F23=""),"",E23*F23)</f>
        <v>1240</v>
      </c>
      <c r="I23" s="17" t="n">
        <f aca="false">IF(OR(E23="",G23=""),"",E23*G23)</f>
        <v>760</v>
      </c>
      <c r="J23" s="17" t="n">
        <f aca="false">IF(H23="","",H23-I23)</f>
        <v>480</v>
      </c>
    </row>
    <row r="24" customFormat="false" ht="15" hidden="false" customHeight="true" outlineLevel="0" collapsed="false">
      <c r="A24" s="7" t="s">
        <v>248</v>
      </c>
      <c r="B24" s="18" t="n">
        <f aca="false">IF(A24="","",IFERROR(INDEX(Sales_Memo!$B$2:$B$1001,MATCH(A24,Sales_Memo!$A$2:$A$1001,0)),""))</f>
        <v>46238</v>
      </c>
      <c r="C24" s="7" t="s">
        <v>99</v>
      </c>
      <c r="D24" s="16" t="str">
        <f aca="false">IF(C24="","",IFERROR(INDEX(Products!$B$2:$B$501,MATCH(C24,Products!$A$2:$A$501,0)),"CODE NOT FOUND"))</f>
        <v>Engine Oil 20W-50 (1L)</v>
      </c>
      <c r="E24" s="7" t="n">
        <v>1</v>
      </c>
      <c r="F24" s="13" t="n">
        <v>990</v>
      </c>
      <c r="G24" s="13" t="n">
        <v>780</v>
      </c>
      <c r="H24" s="17" t="n">
        <f aca="false">IF(OR(E24="",F24=""),"",E24*F24)</f>
        <v>990</v>
      </c>
      <c r="I24" s="17" t="n">
        <f aca="false">IF(OR(E24="",G24=""),"",E24*G24)</f>
        <v>780</v>
      </c>
      <c r="J24" s="17" t="n">
        <f aca="false">IF(H24="","",H24-I24)</f>
        <v>210</v>
      </c>
    </row>
    <row r="25" customFormat="false" ht="15" hidden="false" customHeight="true" outlineLevel="0" collapsed="false">
      <c r="A25" s="7" t="s">
        <v>251</v>
      </c>
      <c r="B25" s="18" t="n">
        <f aca="false">IF(A25="","",IFERROR(INDEX(Sales_Memo!$B$2:$B$1001,MATCH(A25,Sales_Memo!$A$2:$A$1001,0)),""))</f>
        <v>46238</v>
      </c>
      <c r="C25" s="7" t="s">
        <v>82</v>
      </c>
      <c r="D25" s="16" t="str">
        <f aca="false">IF(C25="","",IFERROR(INDEX(Products!$B$2:$B$501,MATCH(C25,Products!$A$2:$A$501,0)),"CODE NOT FOUND"))</f>
        <v>Clutch Cable</v>
      </c>
      <c r="E25" s="7" t="n">
        <v>1</v>
      </c>
      <c r="F25" s="13" t="n">
        <v>190</v>
      </c>
      <c r="G25" s="13" t="n">
        <v>110</v>
      </c>
      <c r="H25" s="17" t="n">
        <f aca="false">IF(OR(E25="",F25=""),"",E25*F25)</f>
        <v>190</v>
      </c>
      <c r="I25" s="17" t="n">
        <f aca="false">IF(OR(E25="",G25=""),"",E25*G25)</f>
        <v>110</v>
      </c>
      <c r="J25" s="17" t="n">
        <f aca="false">IF(H25="","",H25-I25)</f>
        <v>80</v>
      </c>
    </row>
    <row r="26" customFormat="false" ht="15" hidden="false" customHeight="true" outlineLevel="0" collapsed="false">
      <c r="A26" s="7" t="s">
        <v>251</v>
      </c>
      <c r="B26" s="18" t="n">
        <f aca="false">IF(A26="","",IFERROR(INDEX(Sales_Memo!$B$2:$B$1001,MATCH(A26,Sales_Memo!$A$2:$A$1001,0)),""))</f>
        <v>46238</v>
      </c>
      <c r="C26" s="7" t="s">
        <v>121</v>
      </c>
      <c r="D26" s="16" t="str">
        <f aca="false">IF(C26="","",IFERROR(INDEX(Products!$B$2:$B$501,MATCH(C26,Products!$A$2:$A$501,0)),"CODE NOT FOUND"))</f>
        <v>Handle Grip Set</v>
      </c>
      <c r="E26" s="7" t="n">
        <v>1</v>
      </c>
      <c r="F26" s="13" t="n">
        <v>280</v>
      </c>
      <c r="G26" s="13" t="n">
        <v>160</v>
      </c>
      <c r="H26" s="17" t="n">
        <f aca="false">IF(OR(E26="",F26=""),"",E26*F26)</f>
        <v>280</v>
      </c>
      <c r="I26" s="17" t="n">
        <f aca="false">IF(OR(E26="",G26=""),"",E26*G26)</f>
        <v>160</v>
      </c>
      <c r="J26" s="17" t="n">
        <f aca="false">IF(H26="","",H26-I26)</f>
        <v>120</v>
      </c>
    </row>
    <row r="27" customFormat="false" ht="15" hidden="false" customHeight="true" outlineLevel="0" collapsed="false">
      <c r="A27" s="7" t="s">
        <v>253</v>
      </c>
      <c r="B27" s="18" t="n">
        <f aca="false">IF(A27="","",IFERROR(INDEX(Sales_Memo!$B$2:$B$1001,MATCH(A27,Sales_Memo!$A$2:$A$1001,0)),""))</f>
        <v>46238</v>
      </c>
      <c r="C27" s="7" t="s">
        <v>77</v>
      </c>
      <c r="D27" s="16" t="str">
        <f aca="false">IF(C27="","",IFERROR(INDEX(Products!$B$2:$B$501,MATCH(C27,Products!$A$2:$A$501,0)),"CODE NOT FOUND"))</f>
        <v>Brake Pad Set - Front</v>
      </c>
      <c r="E27" s="7" t="n">
        <v>1</v>
      </c>
      <c r="F27" s="13" t="n">
        <v>480</v>
      </c>
      <c r="G27" s="13" t="n">
        <v>320</v>
      </c>
      <c r="H27" s="17" t="n">
        <f aca="false">IF(OR(E27="",F27=""),"",E27*F27)</f>
        <v>480</v>
      </c>
      <c r="I27" s="17" t="n">
        <f aca="false">IF(OR(E27="",G27=""),"",E27*G27)</f>
        <v>320</v>
      </c>
      <c r="J27" s="17" t="n">
        <f aca="false">IF(H27="","",H27-I27)</f>
        <v>160</v>
      </c>
    </row>
    <row r="28" customFormat="false" ht="15" hidden="false" customHeight="true" outlineLevel="0" collapsed="false">
      <c r="A28" s="7" t="s">
        <v>255</v>
      </c>
      <c r="B28" s="18" t="n">
        <f aca="false">IF(A28="","",IFERROR(INDEX(Sales_Memo!$B$2:$B$1001,MATCH(A28,Sales_Memo!$A$2:$A$1001,0)),""))</f>
        <v>46239</v>
      </c>
      <c r="C28" s="7" t="s">
        <v>82</v>
      </c>
      <c r="D28" s="16" t="str">
        <f aca="false">IF(C28="","",IFERROR(INDEX(Products!$B$2:$B$501,MATCH(C28,Products!$A$2:$A$501,0)),"CODE NOT FOUND"))</f>
        <v>Clutch Cable</v>
      </c>
      <c r="E28" s="7" t="n">
        <v>2</v>
      </c>
      <c r="F28" s="13" t="n">
        <v>190</v>
      </c>
      <c r="G28" s="13" t="n">
        <v>110</v>
      </c>
      <c r="H28" s="17" t="n">
        <f aca="false">IF(OR(E28="",F28=""),"",E28*F28)</f>
        <v>380</v>
      </c>
      <c r="I28" s="17" t="n">
        <f aca="false">IF(OR(E28="",G28=""),"",E28*G28)</f>
        <v>220</v>
      </c>
      <c r="J28" s="17" t="n">
        <f aca="false">IF(H28="","",H28-I28)</f>
        <v>160</v>
      </c>
    </row>
    <row r="29" customFormat="false" ht="15" hidden="false" customHeight="true" outlineLevel="0" collapsed="false">
      <c r="A29" s="7" t="s">
        <v>258</v>
      </c>
      <c r="B29" s="18" t="n">
        <f aca="false">IF(A29="","",IFERROR(INDEX(Sales_Memo!$B$2:$B$1001,MATCH(A29,Sales_Memo!$A$2:$A$1001,0)),""))</f>
        <v>46239</v>
      </c>
      <c r="C29" s="7" t="s">
        <v>102</v>
      </c>
      <c r="D29" s="16" t="str">
        <f aca="false">IF(C29="","",IFERROR(INDEX(Products!$B$2:$B$501,MATCH(C29,Products!$A$2:$A$501,0)),"CODE NOT FOUND"))</f>
        <v>Headlight Bulb H4</v>
      </c>
      <c r="E29" s="7" t="n">
        <v>1</v>
      </c>
      <c r="F29" s="13" t="n">
        <v>240</v>
      </c>
      <c r="G29" s="13" t="n">
        <v>140</v>
      </c>
      <c r="H29" s="17" t="n">
        <f aca="false">IF(OR(E29="",F29=""),"",E29*F29)</f>
        <v>240</v>
      </c>
      <c r="I29" s="17" t="n">
        <f aca="false">IF(OR(E29="",G29=""),"",E29*G29)</f>
        <v>140</v>
      </c>
      <c r="J29" s="17" t="n">
        <f aca="false">IF(H29="","",H29-I29)</f>
        <v>100</v>
      </c>
    </row>
    <row r="30" customFormat="false" ht="15" hidden="false" customHeight="true" outlineLevel="0" collapsed="false">
      <c r="A30" s="7" t="s">
        <v>262</v>
      </c>
      <c r="B30" s="18" t="n">
        <f aca="false">IF(A30="","",IFERROR(INDEX(Sales_Memo!$B$2:$B$1001,MATCH(A30,Sales_Memo!$A$2:$A$1001,0)),""))</f>
        <v>46239</v>
      </c>
      <c r="C30" s="7" t="s">
        <v>86</v>
      </c>
      <c r="D30" s="16" t="str">
        <f aca="false">IF(C30="","",IFERROR(INDEX(Products!$B$2:$B$501,MATCH(C30,Products!$A$2:$A$501,0)),"CODE NOT FOUND"))</f>
        <v>Spark Plug CPR8EA-9</v>
      </c>
      <c r="E30" s="7" t="n">
        <v>1</v>
      </c>
      <c r="F30" s="13" t="n">
        <v>260</v>
      </c>
      <c r="G30" s="13" t="n">
        <v>175</v>
      </c>
      <c r="H30" s="17" t="n">
        <f aca="false">IF(OR(E30="",F30=""),"",E30*F30)</f>
        <v>260</v>
      </c>
      <c r="I30" s="17" t="n">
        <f aca="false">IF(OR(E30="",G30=""),"",E30*G30)</f>
        <v>175</v>
      </c>
      <c r="J30" s="17" t="n">
        <f aca="false">IF(H30="","",H30-I30)</f>
        <v>85</v>
      </c>
    </row>
    <row r="31" customFormat="false" ht="15" hidden="false" customHeight="true" outlineLevel="0" collapsed="false">
      <c r="A31" s="7" t="s">
        <v>266</v>
      </c>
      <c r="B31" s="18" t="n">
        <f aca="false">IF(A31="","",IFERROR(INDEX(Sales_Memo!$B$2:$B$1001,MATCH(A31,Sales_Memo!$A$2:$A$1001,0)),""))</f>
        <v>46239</v>
      </c>
      <c r="C31" s="7" t="s">
        <v>114</v>
      </c>
      <c r="D31" s="16" t="str">
        <f aca="false">IF(C31="","",IFERROR(INDEX(Products!$B$2:$B$501,MATCH(C31,Products!$A$2:$A$501,0)),"CODE NOT FOUND"))</f>
        <v>Side Mirror (Pair)</v>
      </c>
      <c r="E31" s="7" t="n">
        <v>1</v>
      </c>
      <c r="F31" s="13" t="n">
        <v>620</v>
      </c>
      <c r="G31" s="13" t="n">
        <v>380</v>
      </c>
      <c r="H31" s="17" t="n">
        <f aca="false">IF(OR(E31="",F31=""),"",E31*F31)</f>
        <v>620</v>
      </c>
      <c r="I31" s="17" t="n">
        <f aca="false">IF(OR(E31="",G31=""),"",E31*G31)</f>
        <v>380</v>
      </c>
      <c r="J31" s="17" t="n">
        <f aca="false">IF(H31="","",H31-I31)</f>
        <v>240</v>
      </c>
    </row>
    <row r="32" customFormat="false" ht="15" hidden="false" customHeight="true" outlineLevel="0" collapsed="false">
      <c r="A32" s="7" t="s">
        <v>266</v>
      </c>
      <c r="B32" s="18" t="n">
        <f aca="false">IF(A32="","",IFERROR(INDEX(Sales_Memo!$B$2:$B$1001,MATCH(A32,Sales_Memo!$A$2:$A$1001,0)),""))</f>
        <v>46239</v>
      </c>
      <c r="C32" s="7" t="s">
        <v>119</v>
      </c>
      <c r="D32" s="16" t="str">
        <f aca="false">IF(C32="","",IFERROR(INDEX(Products!$B$2:$B$501,MATCH(C32,Products!$A$2:$A$501,0)),"CODE NOT FOUND"))</f>
        <v>Chain Lube Spray</v>
      </c>
      <c r="E32" s="7" t="n">
        <v>2</v>
      </c>
      <c r="F32" s="13" t="n">
        <v>270</v>
      </c>
      <c r="G32" s="13" t="n">
        <v>170</v>
      </c>
      <c r="H32" s="17" t="n">
        <f aca="false">IF(OR(E32="",F32=""),"",E32*F32)</f>
        <v>540</v>
      </c>
      <c r="I32" s="17" t="n">
        <f aca="false">IF(OR(E32="",G32=""),"",E32*G32)</f>
        <v>340</v>
      </c>
      <c r="J32" s="17" t="n">
        <f aca="false">IF(H32="","",H32-I32)</f>
        <v>200</v>
      </c>
    </row>
    <row r="33" customFormat="false" ht="15" hidden="false" customHeight="true" outlineLevel="0" collapsed="false">
      <c r="A33" s="7" t="s">
        <v>266</v>
      </c>
      <c r="B33" s="18" t="n">
        <f aca="false">IF(A33="","",IFERROR(INDEX(Sales_Memo!$B$2:$B$1001,MATCH(A33,Sales_Memo!$A$2:$A$1001,0)),""))</f>
        <v>46239</v>
      </c>
      <c r="C33" s="7" t="s">
        <v>86</v>
      </c>
      <c r="D33" s="16" t="str">
        <f aca="false">IF(C33="","",IFERROR(INDEX(Products!$B$2:$B$501,MATCH(C33,Products!$A$2:$A$501,0)),"CODE NOT FOUND"))</f>
        <v>Spark Plug CPR8EA-9</v>
      </c>
      <c r="E33" s="7" t="n">
        <v>2</v>
      </c>
      <c r="F33" s="13" t="n">
        <v>260</v>
      </c>
      <c r="G33" s="13" t="n">
        <v>175</v>
      </c>
      <c r="H33" s="17" t="n">
        <f aca="false">IF(OR(E33="",F33=""),"",E33*F33)</f>
        <v>520</v>
      </c>
      <c r="I33" s="17" t="n">
        <f aca="false">IF(OR(E33="",G33=""),"",E33*G33)</f>
        <v>350</v>
      </c>
      <c r="J33" s="17" t="n">
        <f aca="false">IF(H33="","",H33-I33)</f>
        <v>170</v>
      </c>
    </row>
    <row r="34" customFormat="false" ht="15" hidden="false" customHeight="true" outlineLevel="0" collapsed="false">
      <c r="A34" s="7" t="s">
        <v>268</v>
      </c>
      <c r="B34" s="18" t="n">
        <f aca="false">IF(A34="","",IFERROR(INDEX(Sales_Memo!$B$2:$B$1001,MATCH(A34,Sales_Memo!$A$2:$A$1001,0)),""))</f>
        <v>46239</v>
      </c>
      <c r="C34" s="7" t="s">
        <v>102</v>
      </c>
      <c r="D34" s="16" t="str">
        <f aca="false">IF(C34="","",IFERROR(INDEX(Products!$B$2:$B$501,MATCH(C34,Products!$A$2:$A$501,0)),"CODE NOT FOUND"))</f>
        <v>Headlight Bulb H4</v>
      </c>
      <c r="E34" s="7" t="n">
        <v>2</v>
      </c>
      <c r="F34" s="13" t="n">
        <v>240</v>
      </c>
      <c r="G34" s="13" t="n">
        <v>140</v>
      </c>
      <c r="H34" s="17" t="n">
        <f aca="false">IF(OR(E34="",F34=""),"",E34*F34)</f>
        <v>480</v>
      </c>
      <c r="I34" s="17" t="n">
        <f aca="false">IF(OR(E34="",G34=""),"",E34*G34)</f>
        <v>280</v>
      </c>
      <c r="J34" s="17" t="n">
        <f aca="false">IF(H34="","",H34-I34)</f>
        <v>200</v>
      </c>
    </row>
    <row r="35" customFormat="false" ht="15" hidden="false" customHeight="true" outlineLevel="0" collapsed="false">
      <c r="A35" s="7" t="s">
        <v>269</v>
      </c>
      <c r="B35" s="18" t="n">
        <f aca="false">IF(A35="","",IFERROR(INDEX(Sales_Memo!$B$2:$B$1001,MATCH(A35,Sales_Memo!$A$2:$A$1001,0)),""))</f>
        <v>46239</v>
      </c>
      <c r="C35" s="7" t="s">
        <v>102</v>
      </c>
      <c r="D35" s="16" t="str">
        <f aca="false">IF(C35="","",IFERROR(INDEX(Products!$B$2:$B$501,MATCH(C35,Products!$A$2:$A$501,0)),"CODE NOT FOUND"))</f>
        <v>Headlight Bulb H4</v>
      </c>
      <c r="E35" s="7" t="n">
        <v>2</v>
      </c>
      <c r="F35" s="13" t="n">
        <v>240</v>
      </c>
      <c r="G35" s="13" t="n">
        <v>140</v>
      </c>
      <c r="H35" s="17" t="n">
        <f aca="false">IF(OR(E35="",F35=""),"",E35*F35)</f>
        <v>480</v>
      </c>
      <c r="I35" s="17" t="n">
        <f aca="false">IF(OR(E35="",G35=""),"",E35*G35)</f>
        <v>280</v>
      </c>
      <c r="J35" s="17" t="n">
        <f aca="false">IF(H35="","",H35-I35)</f>
        <v>200</v>
      </c>
    </row>
    <row r="36" customFormat="false" ht="15" hidden="false" customHeight="true" outlineLevel="0" collapsed="false">
      <c r="A36" s="7" t="s">
        <v>270</v>
      </c>
      <c r="B36" s="18" t="n">
        <f aca="false">IF(A36="","",IFERROR(INDEX(Sales_Memo!$B$2:$B$1001,MATCH(A36,Sales_Memo!$A$2:$A$1001,0)),""))</f>
        <v>46239</v>
      </c>
      <c r="C36" s="7" t="s">
        <v>102</v>
      </c>
      <c r="D36" s="16" t="str">
        <f aca="false">IF(C36="","",IFERROR(INDEX(Products!$B$2:$B$501,MATCH(C36,Products!$A$2:$A$501,0)),"CODE NOT FOUND"))</f>
        <v>Headlight Bulb H4</v>
      </c>
      <c r="E36" s="7" t="n">
        <v>2</v>
      </c>
      <c r="F36" s="13" t="n">
        <v>240</v>
      </c>
      <c r="G36" s="13" t="n">
        <v>140</v>
      </c>
      <c r="H36" s="17" t="n">
        <f aca="false">IF(OR(E36="",F36=""),"",E36*F36)</f>
        <v>480</v>
      </c>
      <c r="I36" s="17" t="n">
        <f aca="false">IF(OR(E36="",G36=""),"",E36*G36)</f>
        <v>280</v>
      </c>
      <c r="J36" s="17" t="n">
        <f aca="false">IF(H36="","",H36-I36)</f>
        <v>200</v>
      </c>
    </row>
    <row r="37" customFormat="false" ht="15" hidden="false" customHeight="true" outlineLevel="0" collapsed="false">
      <c r="A37" s="7" t="s">
        <v>270</v>
      </c>
      <c r="B37" s="18" t="n">
        <f aca="false">IF(A37="","",IFERROR(INDEX(Sales_Memo!$B$2:$B$1001,MATCH(A37,Sales_Memo!$A$2:$A$1001,0)),""))</f>
        <v>46239</v>
      </c>
      <c r="C37" s="7" t="s">
        <v>93</v>
      </c>
      <c r="D37" s="16" t="str">
        <f aca="false">IF(C37="","",IFERROR(INDEX(Products!$B$2:$B$501,MATCH(C37,Products!$A$2:$A$501,0)),"CODE NOT FOUND"))</f>
        <v>Chain &amp; Sprocket Kit</v>
      </c>
      <c r="E37" s="7" t="n">
        <v>1</v>
      </c>
      <c r="F37" s="13" t="n">
        <v>2350</v>
      </c>
      <c r="G37" s="13" t="n">
        <v>1750</v>
      </c>
      <c r="H37" s="17" t="n">
        <f aca="false">IF(OR(E37="",F37=""),"",E37*F37)</f>
        <v>2350</v>
      </c>
      <c r="I37" s="17" t="n">
        <f aca="false">IF(OR(E37="",G37=""),"",E37*G37)</f>
        <v>1750</v>
      </c>
      <c r="J37" s="17" t="n">
        <f aca="false">IF(H37="","",H37-I37)</f>
        <v>600</v>
      </c>
    </row>
    <row r="38" customFormat="false" ht="15" hidden="false" customHeight="true" outlineLevel="0" collapsed="false">
      <c r="A38" s="7" t="s">
        <v>270</v>
      </c>
      <c r="B38" s="18" t="n">
        <f aca="false">IF(A38="","",IFERROR(INDEX(Sales_Memo!$B$2:$B$1001,MATCH(A38,Sales_Memo!$A$2:$A$1001,0)),""))</f>
        <v>46239</v>
      </c>
      <c r="C38" s="7" t="s">
        <v>99</v>
      </c>
      <c r="D38" s="16" t="str">
        <f aca="false">IF(C38="","",IFERROR(INDEX(Products!$B$2:$B$501,MATCH(C38,Products!$A$2:$A$501,0)),"CODE NOT FOUND"))</f>
        <v>Engine Oil 20W-50 (1L)</v>
      </c>
      <c r="E38" s="7" t="n">
        <v>3</v>
      </c>
      <c r="F38" s="13" t="n">
        <v>990</v>
      </c>
      <c r="G38" s="13" t="n">
        <v>780</v>
      </c>
      <c r="H38" s="17" t="n">
        <f aca="false">IF(OR(E38="",F38=""),"",E38*F38)</f>
        <v>2970</v>
      </c>
      <c r="I38" s="17" t="n">
        <f aca="false">IF(OR(E38="",G38=""),"",E38*G38)</f>
        <v>2340</v>
      </c>
      <c r="J38" s="17" t="n">
        <f aca="false">IF(H38="","",H38-I38)</f>
        <v>630</v>
      </c>
    </row>
    <row r="39" customFormat="false" ht="15" hidden="false" customHeight="true" outlineLevel="0" collapsed="false">
      <c r="A39" s="7" t="s">
        <v>272</v>
      </c>
      <c r="B39" s="18" t="n">
        <f aca="false">IF(A39="","",IFERROR(INDEX(Sales_Memo!$B$2:$B$1001,MATCH(A39,Sales_Memo!$A$2:$A$1001,0)),""))</f>
        <v>46239</v>
      </c>
      <c r="C39" s="7" t="s">
        <v>77</v>
      </c>
      <c r="D39" s="16" t="str">
        <f aca="false">IF(C39="","",IFERROR(INDEX(Products!$B$2:$B$501,MATCH(C39,Products!$A$2:$A$501,0)),"CODE NOT FOUND"))</f>
        <v>Brake Pad Set - Front</v>
      </c>
      <c r="E39" s="7" t="n">
        <v>1</v>
      </c>
      <c r="F39" s="13" t="n">
        <v>480</v>
      </c>
      <c r="G39" s="13" t="n">
        <v>320</v>
      </c>
      <c r="H39" s="17" t="n">
        <f aca="false">IF(OR(E39="",F39=""),"",E39*F39)</f>
        <v>480</v>
      </c>
      <c r="I39" s="17" t="n">
        <f aca="false">IF(OR(E39="",G39=""),"",E39*G39)</f>
        <v>320</v>
      </c>
      <c r="J39" s="17" t="n">
        <f aca="false">IF(H39="","",H39-I39)</f>
        <v>160</v>
      </c>
    </row>
    <row r="40" customFormat="false" ht="15" hidden="false" customHeight="true" outlineLevel="0" collapsed="false">
      <c r="A40" s="7" t="s">
        <v>272</v>
      </c>
      <c r="B40" s="18" t="n">
        <f aca="false">IF(A40="","",IFERROR(INDEX(Sales_Memo!$B$2:$B$1001,MATCH(A40,Sales_Memo!$A$2:$A$1001,0)),""))</f>
        <v>46239</v>
      </c>
      <c r="C40" s="7" t="s">
        <v>96</v>
      </c>
      <c r="D40" s="16" t="str">
        <f aca="false">IF(C40="","",IFERROR(INDEX(Products!$B$2:$B$501,MATCH(C40,Products!$A$2:$A$501,0)),"CODE NOT FOUND"))</f>
        <v>Engine Oil 10W-30 (1L)</v>
      </c>
      <c r="E40" s="7" t="n">
        <v>3</v>
      </c>
      <c r="F40" s="13" t="n">
        <v>780</v>
      </c>
      <c r="G40" s="13" t="n">
        <v>620</v>
      </c>
      <c r="H40" s="17" t="n">
        <f aca="false">IF(OR(E40="",F40=""),"",E40*F40)</f>
        <v>2340</v>
      </c>
      <c r="I40" s="17" t="n">
        <f aca="false">IF(OR(E40="",G40=""),"",E40*G40)</f>
        <v>1860</v>
      </c>
      <c r="J40" s="17" t="n">
        <f aca="false">IF(H40="","",H40-I40)</f>
        <v>480</v>
      </c>
    </row>
    <row r="41" customFormat="false" ht="15" hidden="false" customHeight="true" outlineLevel="0" collapsed="false">
      <c r="A41" s="7" t="s">
        <v>274</v>
      </c>
      <c r="B41" s="18" t="n">
        <f aca="false">IF(A41="","",IFERROR(INDEX(Sales_Memo!$B$2:$B$1001,MATCH(A41,Sales_Memo!$A$2:$A$1001,0)),""))</f>
        <v>46240</v>
      </c>
      <c r="C41" s="7" t="s">
        <v>82</v>
      </c>
      <c r="D41" s="16" t="str">
        <f aca="false">IF(C41="","",IFERROR(INDEX(Products!$B$2:$B$501,MATCH(C41,Products!$A$2:$A$501,0)),"CODE NOT FOUND"))</f>
        <v>Clutch Cable</v>
      </c>
      <c r="E41" s="7" t="n">
        <v>2</v>
      </c>
      <c r="F41" s="13" t="n">
        <v>190</v>
      </c>
      <c r="G41" s="13" t="n">
        <v>110</v>
      </c>
      <c r="H41" s="17" t="n">
        <f aca="false">IF(OR(E41="",F41=""),"",E41*F41)</f>
        <v>380</v>
      </c>
      <c r="I41" s="17" t="n">
        <f aca="false">IF(OR(E41="",G41=""),"",E41*G41)</f>
        <v>220</v>
      </c>
      <c r="J41" s="17" t="n">
        <f aca="false">IF(H41="","",H41-I41)</f>
        <v>160</v>
      </c>
    </row>
    <row r="42" customFormat="false" ht="15" hidden="false" customHeight="true" outlineLevel="0" collapsed="false">
      <c r="A42" s="7" t="s">
        <v>274</v>
      </c>
      <c r="B42" s="18" t="n">
        <f aca="false">IF(A42="","",IFERROR(INDEX(Sales_Memo!$B$2:$B$1001,MATCH(A42,Sales_Memo!$A$2:$A$1001,0)),""))</f>
        <v>46240</v>
      </c>
      <c r="C42" s="7" t="s">
        <v>102</v>
      </c>
      <c r="D42" s="16" t="str">
        <f aca="false">IF(C42="","",IFERROR(INDEX(Products!$B$2:$B$501,MATCH(C42,Products!$A$2:$A$501,0)),"CODE NOT FOUND"))</f>
        <v>Headlight Bulb H4</v>
      </c>
      <c r="E42" s="7" t="n">
        <v>2</v>
      </c>
      <c r="F42" s="13" t="n">
        <v>240</v>
      </c>
      <c r="G42" s="13" t="n">
        <v>140</v>
      </c>
      <c r="H42" s="17" t="n">
        <f aca="false">IF(OR(E42="",F42=""),"",E42*F42)</f>
        <v>480</v>
      </c>
      <c r="I42" s="17" t="n">
        <f aca="false">IF(OR(E42="",G42=""),"",E42*G42)</f>
        <v>280</v>
      </c>
      <c r="J42" s="17" t="n">
        <f aca="false">IF(H42="","",H42-I42)</f>
        <v>200</v>
      </c>
    </row>
    <row r="43" customFormat="false" ht="15" hidden="false" customHeight="true" outlineLevel="0" collapsed="false">
      <c r="A43" s="7" t="s">
        <v>278</v>
      </c>
      <c r="B43" s="18" t="n">
        <f aca="false">IF(A43="","",IFERROR(INDEX(Sales_Memo!$B$2:$B$1001,MATCH(A43,Sales_Memo!$A$2:$A$1001,0)),""))</f>
        <v>46240</v>
      </c>
      <c r="C43" s="7" t="s">
        <v>119</v>
      </c>
      <c r="D43" s="16" t="str">
        <f aca="false">IF(C43="","",IFERROR(INDEX(Products!$B$2:$B$501,MATCH(C43,Products!$A$2:$A$501,0)),"CODE NOT FOUND"))</f>
        <v>Chain Lube Spray</v>
      </c>
      <c r="E43" s="7" t="n">
        <v>2</v>
      </c>
      <c r="F43" s="13" t="n">
        <v>270</v>
      </c>
      <c r="G43" s="13" t="n">
        <v>170</v>
      </c>
      <c r="H43" s="17" t="n">
        <f aca="false">IF(OR(E43="",F43=""),"",E43*F43)</f>
        <v>540</v>
      </c>
      <c r="I43" s="17" t="n">
        <f aca="false">IF(OR(E43="",G43=""),"",E43*G43)</f>
        <v>340</v>
      </c>
      <c r="J43" s="17" t="n">
        <f aca="false">IF(H43="","",H43-I43)</f>
        <v>200</v>
      </c>
    </row>
    <row r="44" customFormat="false" ht="15" hidden="false" customHeight="true" outlineLevel="0" collapsed="false">
      <c r="A44" s="7" t="s">
        <v>280</v>
      </c>
      <c r="B44" s="18" t="n">
        <f aca="false">IF(A44="","",IFERROR(INDEX(Sales_Memo!$B$2:$B$1001,MATCH(A44,Sales_Memo!$A$2:$A$1001,0)),""))</f>
        <v>46240</v>
      </c>
      <c r="C44" s="7" t="s">
        <v>96</v>
      </c>
      <c r="D44" s="16" t="str">
        <f aca="false">IF(C44="","",IFERROR(INDEX(Products!$B$2:$B$501,MATCH(C44,Products!$A$2:$A$501,0)),"CODE NOT FOUND"))</f>
        <v>Engine Oil 10W-30 (1L)</v>
      </c>
      <c r="E44" s="7" t="n">
        <v>1</v>
      </c>
      <c r="F44" s="13" t="n">
        <v>780</v>
      </c>
      <c r="G44" s="13" t="n">
        <v>620</v>
      </c>
      <c r="H44" s="17" t="n">
        <f aca="false">IF(OR(E44="",F44=""),"",E44*F44)</f>
        <v>780</v>
      </c>
      <c r="I44" s="17" t="n">
        <f aca="false">IF(OR(E44="",G44=""),"",E44*G44)</f>
        <v>620</v>
      </c>
      <c r="J44" s="17" t="n">
        <f aca="false">IF(H44="","",H44-I44)</f>
        <v>160</v>
      </c>
    </row>
    <row r="45" customFormat="false" ht="15" hidden="false" customHeight="true" outlineLevel="0" collapsed="false">
      <c r="A45" s="7" t="s">
        <v>281</v>
      </c>
      <c r="B45" s="18" t="n">
        <f aca="false">IF(A45="","",IFERROR(INDEX(Sales_Memo!$B$2:$B$1001,MATCH(A45,Sales_Memo!$A$2:$A$1001,0)),""))</f>
        <v>46240</v>
      </c>
      <c r="C45" s="7" t="s">
        <v>90</v>
      </c>
      <c r="D45" s="16" t="str">
        <f aca="false">IF(C45="","",IFERROR(INDEX(Products!$B$2:$B$501,MATCH(C45,Products!$A$2:$A$501,0)),"CODE NOT FOUND"))</f>
        <v>Air Filter 150cc</v>
      </c>
      <c r="E45" s="7" t="n">
        <v>2</v>
      </c>
      <c r="F45" s="13" t="n">
        <v>340</v>
      </c>
      <c r="G45" s="13" t="n">
        <v>210</v>
      </c>
      <c r="H45" s="17" t="n">
        <f aca="false">IF(OR(E45="",F45=""),"",E45*F45)</f>
        <v>680</v>
      </c>
      <c r="I45" s="17" t="n">
        <f aca="false">IF(OR(E45="",G45=""),"",E45*G45)</f>
        <v>420</v>
      </c>
      <c r="J45" s="17" t="n">
        <f aca="false">IF(H45="","",H45-I45)</f>
        <v>260</v>
      </c>
    </row>
    <row r="46" customFormat="false" ht="15" hidden="false" customHeight="true" outlineLevel="0" collapsed="false">
      <c r="A46" s="7" t="s">
        <v>284</v>
      </c>
      <c r="B46" s="18" t="n">
        <f aca="false">IF(A46="","",IFERROR(INDEX(Sales_Memo!$B$2:$B$1001,MATCH(A46,Sales_Memo!$A$2:$A$1001,0)),""))</f>
        <v>46240</v>
      </c>
      <c r="C46" s="7" t="s">
        <v>90</v>
      </c>
      <c r="D46" s="16" t="str">
        <f aca="false">IF(C46="","",IFERROR(INDEX(Products!$B$2:$B$501,MATCH(C46,Products!$A$2:$A$501,0)),"CODE NOT FOUND"))</f>
        <v>Air Filter 150cc</v>
      </c>
      <c r="E46" s="7" t="n">
        <v>1</v>
      </c>
      <c r="F46" s="13" t="n">
        <v>340</v>
      </c>
      <c r="G46" s="13" t="n">
        <v>210</v>
      </c>
      <c r="H46" s="17" t="n">
        <f aca="false">IF(OR(E46="",F46=""),"",E46*F46)</f>
        <v>340</v>
      </c>
      <c r="I46" s="17" t="n">
        <f aca="false">IF(OR(E46="",G46=""),"",E46*G46)</f>
        <v>210</v>
      </c>
      <c r="J46" s="17" t="n">
        <f aca="false">IF(H46="","",H46-I46)</f>
        <v>130</v>
      </c>
    </row>
    <row r="47" customFormat="false" ht="15" hidden="false" customHeight="true" outlineLevel="0" collapsed="false">
      <c r="A47" s="7" t="s">
        <v>284</v>
      </c>
      <c r="B47" s="18" t="n">
        <f aca="false">IF(A47="","",IFERROR(INDEX(Sales_Memo!$B$2:$B$1001,MATCH(A47,Sales_Memo!$A$2:$A$1001,0)),""))</f>
        <v>46240</v>
      </c>
      <c r="C47" s="7" t="s">
        <v>119</v>
      </c>
      <c r="D47" s="16" t="str">
        <f aca="false">IF(C47="","",IFERROR(INDEX(Products!$B$2:$B$501,MATCH(C47,Products!$A$2:$A$501,0)),"CODE NOT FOUND"))</f>
        <v>Chain Lube Spray</v>
      </c>
      <c r="E47" s="7" t="n">
        <v>2</v>
      </c>
      <c r="F47" s="13" t="n">
        <v>270</v>
      </c>
      <c r="G47" s="13" t="n">
        <v>170</v>
      </c>
      <c r="H47" s="17" t="n">
        <f aca="false">IF(OR(E47="",F47=""),"",E47*F47)</f>
        <v>540</v>
      </c>
      <c r="I47" s="17" t="n">
        <f aca="false">IF(OR(E47="",G47=""),"",E47*G47)</f>
        <v>340</v>
      </c>
      <c r="J47" s="17" t="n">
        <f aca="false">IF(H47="","",H47-I47)</f>
        <v>200</v>
      </c>
    </row>
    <row r="48" customFormat="false" ht="15" hidden="false" customHeight="true" outlineLevel="0" collapsed="false">
      <c r="A48" s="7" t="s">
        <v>288</v>
      </c>
      <c r="B48" s="18" t="n">
        <f aca="false">IF(A48="","",IFERROR(INDEX(Sales_Memo!$B$2:$B$1001,MATCH(A48,Sales_Memo!$A$2:$A$1001,0)),""))</f>
        <v>46240</v>
      </c>
      <c r="C48" s="7" t="s">
        <v>86</v>
      </c>
      <c r="D48" s="16" t="str">
        <f aca="false">IF(C48="","",IFERROR(INDEX(Products!$B$2:$B$501,MATCH(C48,Products!$A$2:$A$501,0)),"CODE NOT FOUND"))</f>
        <v>Spark Plug CPR8EA-9</v>
      </c>
      <c r="E48" s="7" t="n">
        <v>3</v>
      </c>
      <c r="F48" s="13" t="n">
        <v>260</v>
      </c>
      <c r="G48" s="13" t="n">
        <v>175</v>
      </c>
      <c r="H48" s="17" t="n">
        <f aca="false">IF(OR(E48="",F48=""),"",E48*F48)</f>
        <v>780</v>
      </c>
      <c r="I48" s="17" t="n">
        <f aca="false">IF(OR(E48="",G48=""),"",E48*G48)</f>
        <v>525</v>
      </c>
      <c r="J48" s="17" t="n">
        <f aca="false">IF(H48="","",H48-I48)</f>
        <v>255</v>
      </c>
    </row>
    <row r="49" customFormat="false" ht="15" hidden="false" customHeight="true" outlineLevel="0" collapsed="false">
      <c r="A49" s="7" t="s">
        <v>288</v>
      </c>
      <c r="B49" s="18" t="n">
        <f aca="false">IF(A49="","",IFERROR(INDEX(Sales_Memo!$B$2:$B$1001,MATCH(A49,Sales_Memo!$A$2:$A$1001,0)),""))</f>
        <v>46240</v>
      </c>
      <c r="C49" s="7" t="s">
        <v>77</v>
      </c>
      <c r="D49" s="16" t="str">
        <f aca="false">IF(C49="","",IFERROR(INDEX(Products!$B$2:$B$501,MATCH(C49,Products!$A$2:$A$501,0)),"CODE NOT FOUND"))</f>
        <v>Brake Pad Set - Front</v>
      </c>
      <c r="E49" s="7" t="n">
        <v>1</v>
      </c>
      <c r="F49" s="13" t="n">
        <v>480</v>
      </c>
      <c r="G49" s="13" t="n">
        <v>320</v>
      </c>
      <c r="H49" s="17" t="n">
        <f aca="false">IF(OR(E49="",F49=""),"",E49*F49)</f>
        <v>480</v>
      </c>
      <c r="I49" s="17" t="n">
        <f aca="false">IF(OR(E49="",G49=""),"",E49*G49)</f>
        <v>320</v>
      </c>
      <c r="J49" s="17" t="n">
        <f aca="false">IF(H49="","",H49-I49)</f>
        <v>160</v>
      </c>
    </row>
    <row r="50" customFormat="false" ht="15" hidden="false" customHeight="true" outlineLevel="0" collapsed="false">
      <c r="A50" s="7" t="s">
        <v>290</v>
      </c>
      <c r="B50" s="18" t="n">
        <f aca="false">IF(A50="","",IFERROR(INDEX(Sales_Memo!$B$2:$B$1001,MATCH(A50,Sales_Memo!$A$2:$A$1001,0)),""))</f>
        <v>46240</v>
      </c>
      <c r="C50" s="7" t="s">
        <v>119</v>
      </c>
      <c r="D50" s="16" t="str">
        <f aca="false">IF(C50="","",IFERROR(INDEX(Products!$B$2:$B$501,MATCH(C50,Products!$A$2:$A$501,0)),"CODE NOT FOUND"))</f>
        <v>Chain Lube Spray</v>
      </c>
      <c r="E50" s="7" t="n">
        <v>1</v>
      </c>
      <c r="F50" s="13" t="n">
        <v>270</v>
      </c>
      <c r="G50" s="13" t="n">
        <v>170</v>
      </c>
      <c r="H50" s="17" t="n">
        <f aca="false">IF(OR(E50="",F50=""),"",E50*F50)</f>
        <v>270</v>
      </c>
      <c r="I50" s="17" t="n">
        <f aca="false">IF(OR(E50="",G50=""),"",E50*G50)</f>
        <v>170</v>
      </c>
      <c r="J50" s="17" t="n">
        <f aca="false">IF(H50="","",H50-I50)</f>
        <v>100</v>
      </c>
    </row>
    <row r="51" customFormat="false" ht="15" hidden="false" customHeight="true" outlineLevel="0" collapsed="false">
      <c r="A51" s="7" t="s">
        <v>292</v>
      </c>
      <c r="B51" s="18" t="n">
        <f aca="false">IF(A51="","",IFERROR(INDEX(Sales_Memo!$B$2:$B$1001,MATCH(A51,Sales_Memo!$A$2:$A$1001,0)),""))</f>
        <v>46240</v>
      </c>
      <c r="C51" s="7" t="s">
        <v>102</v>
      </c>
      <c r="D51" s="16" t="str">
        <f aca="false">IF(C51="","",IFERROR(INDEX(Products!$B$2:$B$501,MATCH(C51,Products!$A$2:$A$501,0)),"CODE NOT FOUND"))</f>
        <v>Headlight Bulb H4</v>
      </c>
      <c r="E51" s="7" t="n">
        <v>2</v>
      </c>
      <c r="F51" s="13" t="n">
        <v>240</v>
      </c>
      <c r="G51" s="13" t="n">
        <v>140</v>
      </c>
      <c r="H51" s="17" t="n">
        <f aca="false">IF(OR(E51="",F51=""),"",E51*F51)</f>
        <v>480</v>
      </c>
      <c r="I51" s="17" t="n">
        <f aca="false">IF(OR(E51="",G51=""),"",E51*G51)</f>
        <v>280</v>
      </c>
      <c r="J51" s="17" t="n">
        <f aca="false">IF(H51="","",H51-I51)</f>
        <v>200</v>
      </c>
    </row>
    <row r="52" customFormat="false" ht="15" hidden="false" customHeight="true" outlineLevel="0" collapsed="false">
      <c r="A52" s="7" t="s">
        <v>292</v>
      </c>
      <c r="B52" s="18" t="n">
        <f aca="false">IF(A52="","",IFERROR(INDEX(Sales_Memo!$B$2:$B$1001,MATCH(A52,Sales_Memo!$A$2:$A$1001,0)),""))</f>
        <v>46240</v>
      </c>
      <c r="C52" s="7" t="s">
        <v>121</v>
      </c>
      <c r="D52" s="16" t="str">
        <f aca="false">IF(C52="","",IFERROR(INDEX(Products!$B$2:$B$501,MATCH(C52,Products!$A$2:$A$501,0)),"CODE NOT FOUND"))</f>
        <v>Handle Grip Set</v>
      </c>
      <c r="E52" s="7" t="n">
        <v>1</v>
      </c>
      <c r="F52" s="13" t="n">
        <v>280</v>
      </c>
      <c r="G52" s="13" t="n">
        <v>160</v>
      </c>
      <c r="H52" s="17" t="n">
        <f aca="false">IF(OR(E52="",F52=""),"",E52*F52)</f>
        <v>280</v>
      </c>
      <c r="I52" s="17" t="n">
        <f aca="false">IF(OR(E52="",G52=""),"",E52*G52)</f>
        <v>160</v>
      </c>
      <c r="J52" s="17" t="n">
        <f aca="false">IF(H52="","",H52-I52)</f>
        <v>120</v>
      </c>
    </row>
    <row r="53" customFormat="false" ht="15" hidden="false" customHeight="true" outlineLevel="0" collapsed="false">
      <c r="A53" s="7" t="s">
        <v>292</v>
      </c>
      <c r="B53" s="18" t="n">
        <f aca="false">IF(A53="","",IFERROR(INDEX(Sales_Memo!$B$2:$B$1001,MATCH(A53,Sales_Memo!$A$2:$A$1001,0)),""))</f>
        <v>46240</v>
      </c>
      <c r="C53" s="7" t="s">
        <v>82</v>
      </c>
      <c r="D53" s="16" t="str">
        <f aca="false">IF(C53="","",IFERROR(INDEX(Products!$B$2:$B$501,MATCH(C53,Products!$A$2:$A$501,0)),"CODE NOT FOUND"))</f>
        <v>Clutch Cable</v>
      </c>
      <c r="E53" s="7" t="n">
        <v>2</v>
      </c>
      <c r="F53" s="13" t="n">
        <v>190</v>
      </c>
      <c r="G53" s="13" t="n">
        <v>110</v>
      </c>
      <c r="H53" s="17" t="n">
        <f aca="false">IF(OR(E53="",F53=""),"",E53*F53)</f>
        <v>380</v>
      </c>
      <c r="I53" s="17" t="n">
        <f aca="false">IF(OR(E53="",G53=""),"",E53*G53)</f>
        <v>220</v>
      </c>
      <c r="J53" s="17" t="n">
        <f aca="false">IF(H53="","",H53-I53)</f>
        <v>160</v>
      </c>
    </row>
    <row r="54" customFormat="false" ht="15" hidden="false" customHeight="true" outlineLevel="0" collapsed="false">
      <c r="A54" s="7" t="s">
        <v>296</v>
      </c>
      <c r="B54" s="18" t="n">
        <f aca="false">IF(A54="","",IFERROR(INDEX(Sales_Memo!$B$2:$B$1001,MATCH(A54,Sales_Memo!$A$2:$A$1001,0)),""))</f>
        <v>46240</v>
      </c>
      <c r="C54" s="7" t="s">
        <v>114</v>
      </c>
      <c r="D54" s="16" t="str">
        <f aca="false">IF(C54="","",IFERROR(INDEX(Products!$B$2:$B$501,MATCH(C54,Products!$A$2:$A$501,0)),"CODE NOT FOUND"))</f>
        <v>Side Mirror (Pair)</v>
      </c>
      <c r="E54" s="7" t="n">
        <v>1</v>
      </c>
      <c r="F54" s="13" t="n">
        <v>620</v>
      </c>
      <c r="G54" s="13" t="n">
        <v>380</v>
      </c>
      <c r="H54" s="17" t="n">
        <f aca="false">IF(OR(E54="",F54=""),"",E54*F54)</f>
        <v>620</v>
      </c>
      <c r="I54" s="17" t="n">
        <f aca="false">IF(OR(E54="",G54=""),"",E54*G54)</f>
        <v>380</v>
      </c>
      <c r="J54" s="17" t="n">
        <f aca="false">IF(H54="","",H54-I54)</f>
        <v>240</v>
      </c>
    </row>
    <row r="55" customFormat="false" ht="15" hidden="false" customHeight="true" outlineLevel="0" collapsed="false">
      <c r="A55" s="7" t="s">
        <v>296</v>
      </c>
      <c r="B55" s="18" t="n">
        <f aca="false">IF(A55="","",IFERROR(INDEX(Sales_Memo!$B$2:$B$1001,MATCH(A55,Sales_Memo!$A$2:$A$1001,0)),""))</f>
        <v>46240</v>
      </c>
      <c r="C55" s="7" t="s">
        <v>82</v>
      </c>
      <c r="D55" s="16" t="str">
        <f aca="false">IF(C55="","",IFERROR(INDEX(Products!$B$2:$B$501,MATCH(C55,Products!$A$2:$A$501,0)),"CODE NOT FOUND"))</f>
        <v>Clutch Cable</v>
      </c>
      <c r="E55" s="7" t="n">
        <v>2</v>
      </c>
      <c r="F55" s="13" t="n">
        <v>190</v>
      </c>
      <c r="G55" s="13" t="n">
        <v>110</v>
      </c>
      <c r="H55" s="17" t="n">
        <f aca="false">IF(OR(E55="",F55=""),"",E55*F55)</f>
        <v>380</v>
      </c>
      <c r="I55" s="17" t="n">
        <f aca="false">IF(OR(E55="",G55=""),"",E55*G55)</f>
        <v>220</v>
      </c>
      <c r="J55" s="17" t="n">
        <f aca="false">IF(H55="","",H55-I55)</f>
        <v>160</v>
      </c>
    </row>
    <row r="56" customFormat="false" ht="15" hidden="false" customHeight="true" outlineLevel="0" collapsed="false">
      <c r="A56" s="7" t="s">
        <v>298</v>
      </c>
      <c r="B56" s="18" t="n">
        <f aca="false">IF(A56="","",IFERROR(INDEX(Sales_Memo!$B$2:$B$1001,MATCH(A56,Sales_Memo!$A$2:$A$1001,0)),""))</f>
        <v>46240</v>
      </c>
      <c r="C56" s="7" t="s">
        <v>90</v>
      </c>
      <c r="D56" s="16" t="str">
        <f aca="false">IF(C56="","",IFERROR(INDEX(Products!$B$2:$B$501,MATCH(C56,Products!$A$2:$A$501,0)),"CODE NOT FOUND"))</f>
        <v>Air Filter 150cc</v>
      </c>
      <c r="E56" s="7" t="n">
        <v>1</v>
      </c>
      <c r="F56" s="13" t="n">
        <v>340</v>
      </c>
      <c r="G56" s="13" t="n">
        <v>210</v>
      </c>
      <c r="H56" s="17" t="n">
        <f aca="false">IF(OR(E56="",F56=""),"",E56*F56)</f>
        <v>340</v>
      </c>
      <c r="I56" s="17" t="n">
        <f aca="false">IF(OR(E56="",G56=""),"",E56*G56)</f>
        <v>210</v>
      </c>
      <c r="J56" s="17" t="n">
        <f aca="false">IF(H56="","",H56-I56)</f>
        <v>130</v>
      </c>
    </row>
    <row r="57" customFormat="false" ht="15" hidden="false" customHeight="true" outlineLevel="0" collapsed="false">
      <c r="A57" s="7" t="s">
        <v>299</v>
      </c>
      <c r="B57" s="18" t="n">
        <f aca="false">IF(A57="","",IFERROR(INDEX(Sales_Memo!$B$2:$B$1001,MATCH(A57,Sales_Memo!$A$2:$A$1001,0)),""))</f>
        <v>46240</v>
      </c>
      <c r="C57" s="7" t="s">
        <v>90</v>
      </c>
      <c r="D57" s="16" t="str">
        <f aca="false">IF(C57="","",IFERROR(INDEX(Products!$B$2:$B$501,MATCH(C57,Products!$A$2:$A$501,0)),"CODE NOT FOUND"))</f>
        <v>Air Filter 150cc</v>
      </c>
      <c r="E57" s="7" t="n">
        <v>1</v>
      </c>
      <c r="F57" s="13" t="n">
        <v>340</v>
      </c>
      <c r="G57" s="13" t="n">
        <v>210</v>
      </c>
      <c r="H57" s="17" t="n">
        <f aca="false">IF(OR(E57="",F57=""),"",E57*F57)</f>
        <v>340</v>
      </c>
      <c r="I57" s="17" t="n">
        <f aca="false">IF(OR(E57="",G57=""),"",E57*G57)</f>
        <v>210</v>
      </c>
      <c r="J57" s="17" t="n">
        <f aca="false">IF(H57="","",H57-I57)</f>
        <v>130</v>
      </c>
    </row>
    <row r="58" customFormat="false" ht="15" hidden="false" customHeight="true" outlineLevel="0" collapsed="false">
      <c r="A58" s="7" t="s">
        <v>302</v>
      </c>
      <c r="B58" s="18" t="n">
        <f aca="false">IF(A58="","",IFERROR(INDEX(Sales_Memo!$B$2:$B$1001,MATCH(A58,Sales_Memo!$A$2:$A$1001,0)),""))</f>
        <v>46242</v>
      </c>
      <c r="C58" s="7" t="s">
        <v>86</v>
      </c>
      <c r="D58" s="16" t="str">
        <f aca="false">IF(C58="","",IFERROR(INDEX(Products!$B$2:$B$501,MATCH(C58,Products!$A$2:$A$501,0)),"CODE NOT FOUND"))</f>
        <v>Spark Plug CPR8EA-9</v>
      </c>
      <c r="E58" s="7" t="n">
        <v>1</v>
      </c>
      <c r="F58" s="13" t="n">
        <v>260</v>
      </c>
      <c r="G58" s="13" t="n">
        <v>175</v>
      </c>
      <c r="H58" s="17" t="n">
        <f aca="false">IF(OR(E58="",F58=""),"",E58*F58)</f>
        <v>260</v>
      </c>
      <c r="I58" s="17" t="n">
        <f aca="false">IF(OR(E58="",G58=""),"",E58*G58)</f>
        <v>175</v>
      </c>
      <c r="J58" s="17" t="n">
        <f aca="false">IF(H58="","",H58-I58)</f>
        <v>85</v>
      </c>
    </row>
    <row r="59" customFormat="false" ht="15" hidden="false" customHeight="true" outlineLevel="0" collapsed="false">
      <c r="A59" s="7" t="s">
        <v>302</v>
      </c>
      <c r="B59" s="18" t="n">
        <f aca="false">IF(A59="","",IFERROR(INDEX(Sales_Memo!$B$2:$B$1001,MATCH(A59,Sales_Memo!$A$2:$A$1001,0)),""))</f>
        <v>46242</v>
      </c>
      <c r="C59" s="7" t="s">
        <v>82</v>
      </c>
      <c r="D59" s="16" t="str">
        <f aca="false">IF(C59="","",IFERROR(INDEX(Products!$B$2:$B$501,MATCH(C59,Products!$A$2:$A$501,0)),"CODE NOT FOUND"))</f>
        <v>Clutch Cable</v>
      </c>
      <c r="E59" s="7" t="n">
        <v>1</v>
      </c>
      <c r="F59" s="13" t="n">
        <v>190</v>
      </c>
      <c r="G59" s="13" t="n">
        <v>110</v>
      </c>
      <c r="H59" s="17" t="n">
        <f aca="false">IF(OR(E59="",F59=""),"",E59*F59)</f>
        <v>190</v>
      </c>
      <c r="I59" s="17" t="n">
        <f aca="false">IF(OR(E59="",G59=""),"",E59*G59)</f>
        <v>110</v>
      </c>
      <c r="J59" s="17" t="n">
        <f aca="false">IF(H59="","",H59-I59)</f>
        <v>80</v>
      </c>
    </row>
    <row r="60" customFormat="false" ht="15" hidden="false" customHeight="true" outlineLevel="0" collapsed="false">
      <c r="A60" s="7" t="s">
        <v>304</v>
      </c>
      <c r="B60" s="18" t="n">
        <f aca="false">IF(A60="","",IFERROR(INDEX(Sales_Memo!$B$2:$B$1001,MATCH(A60,Sales_Memo!$A$2:$A$1001,0)),""))</f>
        <v>46242</v>
      </c>
      <c r="C60" s="7" t="s">
        <v>99</v>
      </c>
      <c r="D60" s="16" t="str">
        <f aca="false">IF(C60="","",IFERROR(INDEX(Products!$B$2:$B$501,MATCH(C60,Products!$A$2:$A$501,0)),"CODE NOT FOUND"))</f>
        <v>Engine Oil 20W-50 (1L)</v>
      </c>
      <c r="E60" s="7" t="n">
        <v>2</v>
      </c>
      <c r="F60" s="13" t="n">
        <v>990</v>
      </c>
      <c r="G60" s="13" t="n">
        <v>780</v>
      </c>
      <c r="H60" s="17" t="n">
        <f aca="false">IF(OR(E60="",F60=""),"",E60*F60)</f>
        <v>1980</v>
      </c>
      <c r="I60" s="17" t="n">
        <f aca="false">IF(OR(E60="",G60=""),"",E60*G60)</f>
        <v>1560</v>
      </c>
      <c r="J60" s="17" t="n">
        <f aca="false">IF(H60="","",H60-I60)</f>
        <v>420</v>
      </c>
    </row>
    <row r="61" customFormat="false" ht="15" hidden="false" customHeight="true" outlineLevel="0" collapsed="false">
      <c r="A61" s="7" t="s">
        <v>306</v>
      </c>
      <c r="B61" s="18" t="n">
        <f aca="false">IF(A61="","",IFERROR(INDEX(Sales_Memo!$B$2:$B$1001,MATCH(A61,Sales_Memo!$A$2:$A$1001,0)),""))</f>
        <v>46242</v>
      </c>
      <c r="C61" s="7" t="s">
        <v>96</v>
      </c>
      <c r="D61" s="16" t="str">
        <f aca="false">IF(C61="","",IFERROR(INDEX(Products!$B$2:$B$501,MATCH(C61,Products!$A$2:$A$501,0)),"CODE NOT FOUND"))</f>
        <v>Engine Oil 10W-30 (1L)</v>
      </c>
      <c r="E61" s="7" t="n">
        <v>1</v>
      </c>
      <c r="F61" s="13" t="n">
        <v>780</v>
      </c>
      <c r="G61" s="13" t="n">
        <v>620</v>
      </c>
      <c r="H61" s="17" t="n">
        <f aca="false">IF(OR(E61="",F61=""),"",E61*F61)</f>
        <v>780</v>
      </c>
      <c r="I61" s="17" t="n">
        <f aca="false">IF(OR(E61="",G61=""),"",E61*G61)</f>
        <v>620</v>
      </c>
      <c r="J61" s="17" t="n">
        <f aca="false">IF(H61="","",H61-I61)</f>
        <v>160</v>
      </c>
    </row>
    <row r="62" customFormat="false" ht="15" hidden="false" customHeight="true" outlineLevel="0" collapsed="false">
      <c r="A62" s="7" t="s">
        <v>310</v>
      </c>
      <c r="B62" s="18" t="n">
        <f aca="false">IF(A62="","",IFERROR(INDEX(Sales_Memo!$B$2:$B$1001,MATCH(A62,Sales_Memo!$A$2:$A$1001,0)),""))</f>
        <v>46242</v>
      </c>
      <c r="C62" s="7" t="s">
        <v>82</v>
      </c>
      <c r="D62" s="16" t="str">
        <f aca="false">IF(C62="","",IFERROR(INDEX(Products!$B$2:$B$501,MATCH(C62,Products!$A$2:$A$501,0)),"CODE NOT FOUND"))</f>
        <v>Clutch Cable</v>
      </c>
      <c r="E62" s="7" t="n">
        <v>3</v>
      </c>
      <c r="F62" s="13" t="n">
        <v>190</v>
      </c>
      <c r="G62" s="13" t="n">
        <v>110</v>
      </c>
      <c r="H62" s="17" t="n">
        <f aca="false">IF(OR(E62="",F62=""),"",E62*F62)</f>
        <v>570</v>
      </c>
      <c r="I62" s="17" t="n">
        <f aca="false">IF(OR(E62="",G62=""),"",E62*G62)</f>
        <v>330</v>
      </c>
      <c r="J62" s="17" t="n">
        <f aca="false">IF(H62="","",H62-I62)</f>
        <v>240</v>
      </c>
    </row>
    <row r="63" customFormat="false" ht="15" hidden="false" customHeight="true" outlineLevel="0" collapsed="false">
      <c r="A63" s="7" t="s">
        <v>310</v>
      </c>
      <c r="B63" s="18" t="n">
        <f aca="false">IF(A63="","",IFERROR(INDEX(Sales_Memo!$B$2:$B$1001,MATCH(A63,Sales_Memo!$A$2:$A$1001,0)),""))</f>
        <v>46242</v>
      </c>
      <c r="C63" s="7" t="s">
        <v>121</v>
      </c>
      <c r="D63" s="16" t="str">
        <f aca="false">IF(C63="","",IFERROR(INDEX(Products!$B$2:$B$501,MATCH(C63,Products!$A$2:$A$501,0)),"CODE NOT FOUND"))</f>
        <v>Handle Grip Set</v>
      </c>
      <c r="E63" s="7" t="n">
        <v>3</v>
      </c>
      <c r="F63" s="13" t="n">
        <v>280</v>
      </c>
      <c r="G63" s="13" t="n">
        <v>160</v>
      </c>
      <c r="H63" s="17" t="n">
        <f aca="false">IF(OR(E63="",F63=""),"",E63*F63)</f>
        <v>840</v>
      </c>
      <c r="I63" s="17" t="n">
        <f aca="false">IF(OR(E63="",G63=""),"",E63*G63)</f>
        <v>480</v>
      </c>
      <c r="J63" s="17" t="n">
        <f aca="false">IF(H63="","",H63-I63)</f>
        <v>360</v>
      </c>
    </row>
    <row r="64" customFormat="false" ht="15" hidden="false" customHeight="true" outlineLevel="0" collapsed="false">
      <c r="A64" s="7" t="s">
        <v>312</v>
      </c>
      <c r="B64" s="18" t="n">
        <f aca="false">IF(A64="","",IFERROR(INDEX(Sales_Memo!$B$2:$B$1001,MATCH(A64,Sales_Memo!$A$2:$A$1001,0)),""))</f>
        <v>46242</v>
      </c>
      <c r="C64" s="7" t="s">
        <v>121</v>
      </c>
      <c r="D64" s="16" t="str">
        <f aca="false">IF(C64="","",IFERROR(INDEX(Products!$B$2:$B$501,MATCH(C64,Products!$A$2:$A$501,0)),"CODE NOT FOUND"))</f>
        <v>Handle Grip Set</v>
      </c>
      <c r="E64" s="7" t="n">
        <v>1</v>
      </c>
      <c r="F64" s="13" t="n">
        <v>280</v>
      </c>
      <c r="G64" s="13" t="n">
        <v>160</v>
      </c>
      <c r="H64" s="17" t="n">
        <f aca="false">IF(OR(E64="",F64=""),"",E64*F64)</f>
        <v>280</v>
      </c>
      <c r="I64" s="17" t="n">
        <f aca="false">IF(OR(E64="",G64=""),"",E64*G64)</f>
        <v>160</v>
      </c>
      <c r="J64" s="17" t="n">
        <f aca="false">IF(H64="","",H64-I64)</f>
        <v>120</v>
      </c>
    </row>
    <row r="65" customFormat="false" ht="15" hidden="false" customHeight="true" outlineLevel="0" collapsed="false">
      <c r="A65" s="7" t="s">
        <v>312</v>
      </c>
      <c r="B65" s="18" t="n">
        <f aca="false">IF(A65="","",IFERROR(INDEX(Sales_Memo!$B$2:$B$1001,MATCH(A65,Sales_Memo!$A$2:$A$1001,0)),""))</f>
        <v>46242</v>
      </c>
      <c r="C65" s="7" t="s">
        <v>116</v>
      </c>
      <c r="D65" s="16" t="str">
        <f aca="false">IF(C65="","",IFERROR(INDEX(Products!$B$2:$B$501,MATCH(C65,Products!$A$2:$A$501,0)),"CODE NOT FOUND"))</f>
        <v>Helmet Full Face</v>
      </c>
      <c r="E65" s="7" t="n">
        <v>1</v>
      </c>
      <c r="F65" s="13" t="n">
        <v>1750</v>
      </c>
      <c r="G65" s="13" t="n">
        <v>1250</v>
      </c>
      <c r="H65" s="17" t="n">
        <f aca="false">IF(OR(E65="",F65=""),"",E65*F65)</f>
        <v>1750</v>
      </c>
      <c r="I65" s="17" t="n">
        <f aca="false">IF(OR(E65="",G65=""),"",E65*G65)</f>
        <v>1250</v>
      </c>
      <c r="J65" s="17" t="n">
        <f aca="false">IF(H65="","",H65-I65)</f>
        <v>500</v>
      </c>
    </row>
    <row r="66" customFormat="false" ht="15" hidden="false" customHeight="true" outlineLevel="0" collapsed="false">
      <c r="A66" s="7" t="s">
        <v>314</v>
      </c>
      <c r="B66" s="18" t="n">
        <f aca="false">IF(A66="","",IFERROR(INDEX(Sales_Memo!$B$2:$B$1001,MATCH(A66,Sales_Memo!$A$2:$A$1001,0)),""))</f>
        <v>46242</v>
      </c>
      <c r="C66" s="7" t="s">
        <v>102</v>
      </c>
      <c r="D66" s="16" t="str">
        <f aca="false">IF(C66="","",IFERROR(INDEX(Products!$B$2:$B$501,MATCH(C66,Products!$A$2:$A$501,0)),"CODE NOT FOUND"))</f>
        <v>Headlight Bulb H4</v>
      </c>
      <c r="E66" s="7" t="n">
        <v>3</v>
      </c>
      <c r="F66" s="13" t="n">
        <v>240</v>
      </c>
      <c r="G66" s="13" t="n">
        <v>140</v>
      </c>
      <c r="H66" s="17" t="n">
        <f aca="false">IF(OR(E66="",F66=""),"",E66*F66)</f>
        <v>720</v>
      </c>
      <c r="I66" s="17" t="n">
        <f aca="false">IF(OR(E66="",G66=""),"",E66*G66)</f>
        <v>420</v>
      </c>
      <c r="J66" s="17" t="n">
        <f aca="false">IF(H66="","",H66-I66)</f>
        <v>300</v>
      </c>
    </row>
    <row r="67" customFormat="false" ht="15" hidden="false" customHeight="true" outlineLevel="0" collapsed="false">
      <c r="A67" s="7" t="s">
        <v>314</v>
      </c>
      <c r="B67" s="18" t="n">
        <f aca="false">IF(A67="","",IFERROR(INDEX(Sales_Memo!$B$2:$B$1001,MATCH(A67,Sales_Memo!$A$2:$A$1001,0)),""))</f>
        <v>46242</v>
      </c>
      <c r="C67" s="7" t="s">
        <v>99</v>
      </c>
      <c r="D67" s="16" t="str">
        <f aca="false">IF(C67="","",IFERROR(INDEX(Products!$B$2:$B$501,MATCH(C67,Products!$A$2:$A$501,0)),"CODE NOT FOUND"))</f>
        <v>Engine Oil 20W-50 (1L)</v>
      </c>
      <c r="E67" s="7" t="n">
        <v>3</v>
      </c>
      <c r="F67" s="13" t="n">
        <v>990</v>
      </c>
      <c r="G67" s="13" t="n">
        <v>780</v>
      </c>
      <c r="H67" s="17" t="n">
        <f aca="false">IF(OR(E67="",F67=""),"",E67*F67)</f>
        <v>2970</v>
      </c>
      <c r="I67" s="17" t="n">
        <f aca="false">IF(OR(E67="",G67=""),"",E67*G67)</f>
        <v>2340</v>
      </c>
      <c r="J67" s="17" t="n">
        <f aca="false">IF(H67="","",H67-I67)</f>
        <v>630</v>
      </c>
    </row>
    <row r="68" customFormat="false" ht="15" hidden="false" customHeight="true" outlineLevel="0" collapsed="false">
      <c r="A68" s="7" t="s">
        <v>316</v>
      </c>
      <c r="B68" s="18" t="n">
        <f aca="false">IF(A68="","",IFERROR(INDEX(Sales_Memo!$B$2:$B$1001,MATCH(A68,Sales_Memo!$A$2:$A$1001,0)),""))</f>
        <v>46242</v>
      </c>
      <c r="C68" s="7" t="s">
        <v>86</v>
      </c>
      <c r="D68" s="16" t="str">
        <f aca="false">IF(C68="","",IFERROR(INDEX(Products!$B$2:$B$501,MATCH(C68,Products!$A$2:$A$501,0)),"CODE NOT FOUND"))</f>
        <v>Spark Plug CPR8EA-9</v>
      </c>
      <c r="E68" s="7" t="n">
        <v>1</v>
      </c>
      <c r="F68" s="13" t="n">
        <v>260</v>
      </c>
      <c r="G68" s="13" t="n">
        <v>175</v>
      </c>
      <c r="H68" s="17" t="n">
        <f aca="false">IF(OR(E68="",F68=""),"",E68*F68)</f>
        <v>260</v>
      </c>
      <c r="I68" s="17" t="n">
        <f aca="false">IF(OR(E68="",G68=""),"",E68*G68)</f>
        <v>175</v>
      </c>
      <c r="J68" s="17" t="n">
        <f aca="false">IF(H68="","",H68-I68)</f>
        <v>85</v>
      </c>
    </row>
    <row r="69" customFormat="false" ht="15" hidden="false" customHeight="true" outlineLevel="0" collapsed="false">
      <c r="A69" s="7" t="s">
        <v>318</v>
      </c>
      <c r="B69" s="18" t="n">
        <f aca="false">IF(A69="","",IFERROR(INDEX(Sales_Memo!$B$2:$B$1001,MATCH(A69,Sales_Memo!$A$2:$A$1001,0)),""))</f>
        <v>46242</v>
      </c>
      <c r="C69" s="7" t="s">
        <v>99</v>
      </c>
      <c r="D69" s="16" t="str">
        <f aca="false">IF(C69="","",IFERROR(INDEX(Products!$B$2:$B$501,MATCH(C69,Products!$A$2:$A$501,0)),"CODE NOT FOUND"))</f>
        <v>Engine Oil 20W-50 (1L)</v>
      </c>
      <c r="E69" s="7" t="n">
        <v>3</v>
      </c>
      <c r="F69" s="13" t="n">
        <v>990</v>
      </c>
      <c r="G69" s="13" t="n">
        <v>780</v>
      </c>
      <c r="H69" s="17" t="n">
        <f aca="false">IF(OR(E69="",F69=""),"",E69*F69)</f>
        <v>2970</v>
      </c>
      <c r="I69" s="17" t="n">
        <f aca="false">IF(OR(E69="",G69=""),"",E69*G69)</f>
        <v>2340</v>
      </c>
      <c r="J69" s="17" t="n">
        <f aca="false">IF(H69="","",H69-I69)</f>
        <v>630</v>
      </c>
    </row>
    <row r="70" customFormat="false" ht="15" hidden="false" customHeight="true" outlineLevel="0" collapsed="false">
      <c r="A70" s="7" t="s">
        <v>318</v>
      </c>
      <c r="B70" s="18" t="n">
        <f aca="false">IF(A70="","",IFERROR(INDEX(Sales_Memo!$B$2:$B$1001,MATCH(A70,Sales_Memo!$A$2:$A$1001,0)),""))</f>
        <v>46242</v>
      </c>
      <c r="C70" s="7" t="s">
        <v>77</v>
      </c>
      <c r="D70" s="16" t="str">
        <f aca="false">IF(C70="","",IFERROR(INDEX(Products!$B$2:$B$501,MATCH(C70,Products!$A$2:$A$501,0)),"CODE NOT FOUND"))</f>
        <v>Brake Pad Set - Front</v>
      </c>
      <c r="E70" s="7" t="n">
        <v>2</v>
      </c>
      <c r="F70" s="13" t="n">
        <v>480</v>
      </c>
      <c r="G70" s="13" t="n">
        <v>320</v>
      </c>
      <c r="H70" s="17" t="n">
        <f aca="false">IF(OR(E70="",F70=""),"",E70*F70)</f>
        <v>960</v>
      </c>
      <c r="I70" s="17" t="n">
        <f aca="false">IF(OR(E70="",G70=""),"",E70*G70)</f>
        <v>640</v>
      </c>
      <c r="J70" s="17" t="n">
        <f aca="false">IF(H70="","",H70-I70)</f>
        <v>320</v>
      </c>
    </row>
    <row r="71" customFormat="false" ht="15" hidden="false" customHeight="true" outlineLevel="0" collapsed="false">
      <c r="A71" s="7" t="s">
        <v>320</v>
      </c>
      <c r="B71" s="18" t="n">
        <f aca="false">IF(A71="","",IFERROR(INDEX(Sales_Memo!$B$2:$B$1001,MATCH(A71,Sales_Memo!$A$2:$A$1001,0)),""))</f>
        <v>46242</v>
      </c>
      <c r="C71" s="7" t="s">
        <v>119</v>
      </c>
      <c r="D71" s="16" t="str">
        <f aca="false">IF(C71="","",IFERROR(INDEX(Products!$B$2:$B$501,MATCH(C71,Products!$A$2:$A$501,0)),"CODE NOT FOUND"))</f>
        <v>Chain Lube Spray</v>
      </c>
      <c r="E71" s="7" t="n">
        <v>3</v>
      </c>
      <c r="F71" s="13" t="n">
        <v>270</v>
      </c>
      <c r="G71" s="13" t="n">
        <v>170</v>
      </c>
      <c r="H71" s="17" t="n">
        <f aca="false">IF(OR(E71="",F71=""),"",E71*F71)</f>
        <v>810</v>
      </c>
      <c r="I71" s="17" t="n">
        <f aca="false">IF(OR(E71="",G71=""),"",E71*G71)</f>
        <v>510</v>
      </c>
      <c r="J71" s="17" t="n">
        <f aca="false">IF(H71="","",H71-I71)</f>
        <v>300</v>
      </c>
    </row>
    <row r="72" customFormat="false" ht="15" hidden="false" customHeight="true" outlineLevel="0" collapsed="false">
      <c r="A72" s="7" t="s">
        <v>320</v>
      </c>
      <c r="B72" s="18" t="n">
        <f aca="false">IF(A72="","",IFERROR(INDEX(Sales_Memo!$B$2:$B$1001,MATCH(A72,Sales_Memo!$A$2:$A$1001,0)),""))</f>
        <v>46242</v>
      </c>
      <c r="C72" s="7" t="s">
        <v>96</v>
      </c>
      <c r="D72" s="16" t="str">
        <f aca="false">IF(C72="","",IFERROR(INDEX(Products!$B$2:$B$501,MATCH(C72,Products!$A$2:$A$501,0)),"CODE NOT FOUND"))</f>
        <v>Engine Oil 10W-30 (1L)</v>
      </c>
      <c r="E72" s="7" t="n">
        <v>1</v>
      </c>
      <c r="F72" s="13" t="n">
        <v>780</v>
      </c>
      <c r="G72" s="13" t="n">
        <v>620</v>
      </c>
      <c r="H72" s="17" t="n">
        <f aca="false">IF(OR(E72="",F72=""),"",E72*F72)</f>
        <v>780</v>
      </c>
      <c r="I72" s="17" t="n">
        <f aca="false">IF(OR(E72="",G72=""),"",E72*G72)</f>
        <v>620</v>
      </c>
      <c r="J72" s="17" t="n">
        <f aca="false">IF(H72="","",H72-I72)</f>
        <v>160</v>
      </c>
    </row>
    <row r="73" customFormat="false" ht="15" hidden="false" customHeight="true" outlineLevel="0" collapsed="false">
      <c r="A73" s="7" t="s">
        <v>322</v>
      </c>
      <c r="B73" s="18" t="n">
        <f aca="false">IF(A73="","",IFERROR(INDEX(Sales_Memo!$B$2:$B$1001,MATCH(A73,Sales_Memo!$A$2:$A$1001,0)),""))</f>
        <v>46242</v>
      </c>
      <c r="C73" s="7" t="s">
        <v>86</v>
      </c>
      <c r="D73" s="16" t="str">
        <f aca="false">IF(C73="","",IFERROR(INDEX(Products!$B$2:$B$501,MATCH(C73,Products!$A$2:$A$501,0)),"CODE NOT FOUND"))</f>
        <v>Spark Plug CPR8EA-9</v>
      </c>
      <c r="E73" s="7" t="n">
        <v>2</v>
      </c>
      <c r="F73" s="13" t="n">
        <v>260</v>
      </c>
      <c r="G73" s="13" t="n">
        <v>175</v>
      </c>
      <c r="H73" s="17" t="n">
        <f aca="false">IF(OR(E73="",F73=""),"",E73*F73)</f>
        <v>520</v>
      </c>
      <c r="I73" s="17" t="n">
        <f aca="false">IF(OR(E73="",G73=""),"",E73*G73)</f>
        <v>350</v>
      </c>
      <c r="J73" s="17" t="n">
        <f aca="false">IF(H73="","",H73-I73)</f>
        <v>170</v>
      </c>
    </row>
    <row r="74" customFormat="false" ht="15" hidden="false" customHeight="true" outlineLevel="0" collapsed="false">
      <c r="A74" s="7" t="s">
        <v>324</v>
      </c>
      <c r="B74" s="18" t="n">
        <f aca="false">IF(A74="","",IFERROR(INDEX(Sales_Memo!$B$2:$B$1001,MATCH(A74,Sales_Memo!$A$2:$A$1001,0)),""))</f>
        <v>46242</v>
      </c>
      <c r="C74" s="7" t="s">
        <v>86</v>
      </c>
      <c r="D74" s="16" t="str">
        <f aca="false">IF(C74="","",IFERROR(INDEX(Products!$B$2:$B$501,MATCH(C74,Products!$A$2:$A$501,0)),"CODE NOT FOUND"))</f>
        <v>Spark Plug CPR8EA-9</v>
      </c>
      <c r="E74" s="7" t="n">
        <v>1</v>
      </c>
      <c r="F74" s="13" t="n">
        <v>260</v>
      </c>
      <c r="G74" s="13" t="n">
        <v>175</v>
      </c>
      <c r="H74" s="17" t="n">
        <f aca="false">IF(OR(E74="",F74=""),"",E74*F74)</f>
        <v>260</v>
      </c>
      <c r="I74" s="17" t="n">
        <f aca="false">IF(OR(E74="",G74=""),"",E74*G74)</f>
        <v>175</v>
      </c>
      <c r="J74" s="17" t="n">
        <f aca="false">IF(H74="","",H74-I74)</f>
        <v>85</v>
      </c>
    </row>
    <row r="75" customFormat="false" ht="15" hidden="false" customHeight="true" outlineLevel="0" collapsed="false">
      <c r="A75" s="7" t="s">
        <v>324</v>
      </c>
      <c r="B75" s="18" t="n">
        <f aca="false">IF(A75="","",IFERROR(INDEX(Sales_Memo!$B$2:$B$1001,MATCH(A75,Sales_Memo!$A$2:$A$1001,0)),""))</f>
        <v>46242</v>
      </c>
      <c r="C75" s="7" t="s">
        <v>90</v>
      </c>
      <c r="D75" s="16" t="str">
        <f aca="false">IF(C75="","",IFERROR(INDEX(Products!$B$2:$B$501,MATCH(C75,Products!$A$2:$A$501,0)),"CODE NOT FOUND"))</f>
        <v>Air Filter 150cc</v>
      </c>
      <c r="E75" s="7" t="n">
        <v>1</v>
      </c>
      <c r="F75" s="13" t="n">
        <v>340</v>
      </c>
      <c r="G75" s="13" t="n">
        <v>210</v>
      </c>
      <c r="H75" s="17" t="n">
        <f aca="false">IF(OR(E75="",F75=""),"",E75*F75)</f>
        <v>340</v>
      </c>
      <c r="I75" s="17" t="n">
        <f aca="false">IF(OR(E75="",G75=""),"",E75*G75)</f>
        <v>210</v>
      </c>
      <c r="J75" s="17" t="n">
        <f aca="false">IF(H75="","",H75-I75)</f>
        <v>130</v>
      </c>
    </row>
    <row r="76" customFormat="false" ht="15" hidden="false" customHeight="true" outlineLevel="0" collapsed="false">
      <c r="A76" s="7" t="s">
        <v>326</v>
      </c>
      <c r="B76" s="18" t="n">
        <f aca="false">IF(A76="","",IFERROR(INDEX(Sales_Memo!$B$2:$B$1001,MATCH(A76,Sales_Memo!$A$2:$A$1001,0)),""))</f>
        <v>46243</v>
      </c>
      <c r="C76" s="7" t="s">
        <v>82</v>
      </c>
      <c r="D76" s="16" t="str">
        <f aca="false">IF(C76="","",IFERROR(INDEX(Products!$B$2:$B$501,MATCH(C76,Products!$A$2:$A$501,0)),"CODE NOT FOUND"))</f>
        <v>Clutch Cable</v>
      </c>
      <c r="E76" s="7" t="n">
        <v>1</v>
      </c>
      <c r="F76" s="13" t="n">
        <v>190</v>
      </c>
      <c r="G76" s="13" t="n">
        <v>110</v>
      </c>
      <c r="H76" s="17" t="n">
        <f aca="false">IF(OR(E76="",F76=""),"",E76*F76)</f>
        <v>190</v>
      </c>
      <c r="I76" s="17" t="n">
        <f aca="false">IF(OR(E76="",G76=""),"",E76*G76)</f>
        <v>110</v>
      </c>
      <c r="J76" s="17" t="n">
        <f aca="false">IF(H76="","",H76-I76)</f>
        <v>80</v>
      </c>
    </row>
    <row r="77" customFormat="false" ht="15" hidden="false" customHeight="true" outlineLevel="0" collapsed="false">
      <c r="A77" s="7" t="s">
        <v>328</v>
      </c>
      <c r="B77" s="18" t="n">
        <f aca="false">IF(A77="","",IFERROR(INDEX(Sales_Memo!$B$2:$B$1001,MATCH(A77,Sales_Memo!$A$2:$A$1001,0)),""))</f>
        <v>46243</v>
      </c>
      <c r="C77" s="7" t="s">
        <v>96</v>
      </c>
      <c r="D77" s="16" t="str">
        <f aca="false">IF(C77="","",IFERROR(INDEX(Products!$B$2:$B$501,MATCH(C77,Products!$A$2:$A$501,0)),"CODE NOT FOUND"))</f>
        <v>Engine Oil 10W-30 (1L)</v>
      </c>
      <c r="E77" s="7" t="n">
        <v>2</v>
      </c>
      <c r="F77" s="13" t="n">
        <v>780</v>
      </c>
      <c r="G77" s="13" t="n">
        <v>620</v>
      </c>
      <c r="H77" s="17" t="n">
        <f aca="false">IF(OR(E77="",F77=""),"",E77*F77)</f>
        <v>1560</v>
      </c>
      <c r="I77" s="17" t="n">
        <f aca="false">IF(OR(E77="",G77=""),"",E77*G77)</f>
        <v>1240</v>
      </c>
      <c r="J77" s="17" t="n">
        <f aca="false">IF(H77="","",H77-I77)</f>
        <v>320</v>
      </c>
    </row>
    <row r="78" customFormat="false" ht="15" hidden="false" customHeight="true" outlineLevel="0" collapsed="false">
      <c r="A78" s="7" t="s">
        <v>328</v>
      </c>
      <c r="B78" s="18" t="n">
        <f aca="false">IF(A78="","",IFERROR(INDEX(Sales_Memo!$B$2:$B$1001,MATCH(A78,Sales_Memo!$A$2:$A$1001,0)),""))</f>
        <v>46243</v>
      </c>
      <c r="C78" s="7" t="s">
        <v>114</v>
      </c>
      <c r="D78" s="16" t="str">
        <f aca="false">IF(C78="","",IFERROR(INDEX(Products!$B$2:$B$501,MATCH(C78,Products!$A$2:$A$501,0)),"CODE NOT FOUND"))</f>
        <v>Side Mirror (Pair)</v>
      </c>
      <c r="E78" s="7" t="n">
        <v>1</v>
      </c>
      <c r="F78" s="13" t="n">
        <v>620</v>
      </c>
      <c r="G78" s="13" t="n">
        <v>380</v>
      </c>
      <c r="H78" s="17" t="n">
        <f aca="false">IF(OR(E78="",F78=""),"",E78*F78)</f>
        <v>620</v>
      </c>
      <c r="I78" s="17" t="n">
        <f aca="false">IF(OR(E78="",G78=""),"",E78*G78)</f>
        <v>380</v>
      </c>
      <c r="J78" s="17" t="n">
        <f aca="false">IF(H78="","",H78-I78)</f>
        <v>240</v>
      </c>
    </row>
    <row r="79" customFormat="false" ht="15" hidden="false" customHeight="true" outlineLevel="0" collapsed="false">
      <c r="A79" s="7" t="s">
        <v>332</v>
      </c>
      <c r="B79" s="18" t="n">
        <f aca="false">IF(A79="","",IFERROR(INDEX(Sales_Memo!$B$2:$B$1001,MATCH(A79,Sales_Memo!$A$2:$A$1001,0)),""))</f>
        <v>46243</v>
      </c>
      <c r="C79" s="7" t="s">
        <v>99</v>
      </c>
      <c r="D79" s="16" t="str">
        <f aca="false">IF(C79="","",IFERROR(INDEX(Products!$B$2:$B$501,MATCH(C79,Products!$A$2:$A$501,0)),"CODE NOT FOUND"))</f>
        <v>Engine Oil 20W-50 (1L)</v>
      </c>
      <c r="E79" s="7" t="n">
        <v>2</v>
      </c>
      <c r="F79" s="13" t="n">
        <v>990</v>
      </c>
      <c r="G79" s="13" t="n">
        <v>780</v>
      </c>
      <c r="H79" s="17" t="n">
        <f aca="false">IF(OR(E79="",F79=""),"",E79*F79)</f>
        <v>1980</v>
      </c>
      <c r="I79" s="17" t="n">
        <f aca="false">IF(OR(E79="",G79=""),"",E79*G79)</f>
        <v>1560</v>
      </c>
      <c r="J79" s="17" t="n">
        <f aca="false">IF(H79="","",H79-I79)</f>
        <v>420</v>
      </c>
    </row>
    <row r="80" customFormat="false" ht="15" hidden="false" customHeight="true" outlineLevel="0" collapsed="false">
      <c r="A80" s="7" t="s">
        <v>332</v>
      </c>
      <c r="B80" s="18" t="n">
        <f aca="false">IF(A80="","",IFERROR(INDEX(Sales_Memo!$B$2:$B$1001,MATCH(A80,Sales_Memo!$A$2:$A$1001,0)),""))</f>
        <v>46243</v>
      </c>
      <c r="C80" s="7" t="s">
        <v>77</v>
      </c>
      <c r="D80" s="16" t="str">
        <f aca="false">IF(C80="","",IFERROR(INDEX(Products!$B$2:$B$501,MATCH(C80,Products!$A$2:$A$501,0)),"CODE NOT FOUND"))</f>
        <v>Brake Pad Set - Front</v>
      </c>
      <c r="E80" s="7" t="n">
        <v>2</v>
      </c>
      <c r="F80" s="13" t="n">
        <v>480</v>
      </c>
      <c r="G80" s="13" t="n">
        <v>320</v>
      </c>
      <c r="H80" s="17" t="n">
        <f aca="false">IF(OR(E80="",F80=""),"",E80*F80)</f>
        <v>960</v>
      </c>
      <c r="I80" s="17" t="n">
        <f aca="false">IF(OR(E80="",G80=""),"",E80*G80)</f>
        <v>640</v>
      </c>
      <c r="J80" s="17" t="n">
        <f aca="false">IF(H80="","",H80-I80)</f>
        <v>320</v>
      </c>
    </row>
    <row r="81" customFormat="false" ht="15" hidden="false" customHeight="true" outlineLevel="0" collapsed="false">
      <c r="A81" s="7" t="s">
        <v>332</v>
      </c>
      <c r="B81" s="18" t="n">
        <f aca="false">IF(A81="","",IFERROR(INDEX(Sales_Memo!$B$2:$B$1001,MATCH(A81,Sales_Memo!$A$2:$A$1001,0)),""))</f>
        <v>46243</v>
      </c>
      <c r="C81" s="7" t="s">
        <v>119</v>
      </c>
      <c r="D81" s="16" t="str">
        <f aca="false">IF(C81="","",IFERROR(INDEX(Products!$B$2:$B$501,MATCH(C81,Products!$A$2:$A$501,0)),"CODE NOT FOUND"))</f>
        <v>Chain Lube Spray</v>
      </c>
      <c r="E81" s="7" t="n">
        <v>3</v>
      </c>
      <c r="F81" s="13" t="n">
        <v>270</v>
      </c>
      <c r="G81" s="13" t="n">
        <v>170</v>
      </c>
      <c r="H81" s="17" t="n">
        <f aca="false">IF(OR(E81="",F81=""),"",E81*F81)</f>
        <v>810</v>
      </c>
      <c r="I81" s="17" t="n">
        <f aca="false">IF(OR(E81="",G81=""),"",E81*G81)</f>
        <v>510</v>
      </c>
      <c r="J81" s="17" t="n">
        <f aca="false">IF(H81="","",H81-I81)</f>
        <v>300</v>
      </c>
    </row>
    <row r="82" customFormat="false" ht="15" hidden="false" customHeight="true" outlineLevel="0" collapsed="false">
      <c r="A82" s="7" t="s">
        <v>334</v>
      </c>
      <c r="B82" s="18" t="n">
        <f aca="false">IF(A82="","",IFERROR(INDEX(Sales_Memo!$B$2:$B$1001,MATCH(A82,Sales_Memo!$A$2:$A$1001,0)),""))</f>
        <v>46243</v>
      </c>
      <c r="C82" s="7" t="s">
        <v>82</v>
      </c>
      <c r="D82" s="16" t="str">
        <f aca="false">IF(C82="","",IFERROR(INDEX(Products!$B$2:$B$501,MATCH(C82,Products!$A$2:$A$501,0)),"CODE NOT FOUND"))</f>
        <v>Clutch Cable</v>
      </c>
      <c r="E82" s="7" t="n">
        <v>1</v>
      </c>
      <c r="F82" s="13" t="n">
        <v>190</v>
      </c>
      <c r="G82" s="13" t="n">
        <v>110</v>
      </c>
      <c r="H82" s="17" t="n">
        <f aca="false">IF(OR(E82="",F82=""),"",E82*F82)</f>
        <v>190</v>
      </c>
      <c r="I82" s="17" t="n">
        <f aca="false">IF(OR(E82="",G82=""),"",E82*G82)</f>
        <v>110</v>
      </c>
      <c r="J82" s="17" t="n">
        <f aca="false">IF(H82="","",H82-I82)</f>
        <v>80</v>
      </c>
    </row>
    <row r="83" customFormat="false" ht="15" hidden="false" customHeight="true" outlineLevel="0" collapsed="false">
      <c r="A83" s="7" t="s">
        <v>334</v>
      </c>
      <c r="B83" s="18" t="n">
        <f aca="false">IF(A83="","",IFERROR(INDEX(Sales_Memo!$B$2:$B$1001,MATCH(A83,Sales_Memo!$A$2:$A$1001,0)),""))</f>
        <v>46243</v>
      </c>
      <c r="C83" s="7" t="s">
        <v>119</v>
      </c>
      <c r="D83" s="16" t="str">
        <f aca="false">IF(C83="","",IFERROR(INDEX(Products!$B$2:$B$501,MATCH(C83,Products!$A$2:$A$501,0)),"CODE NOT FOUND"))</f>
        <v>Chain Lube Spray</v>
      </c>
      <c r="E83" s="7" t="n">
        <v>3</v>
      </c>
      <c r="F83" s="13" t="n">
        <v>270</v>
      </c>
      <c r="G83" s="13" t="n">
        <v>170</v>
      </c>
      <c r="H83" s="17" t="n">
        <f aca="false">IF(OR(E83="",F83=""),"",E83*F83)</f>
        <v>810</v>
      </c>
      <c r="I83" s="17" t="n">
        <f aca="false">IF(OR(E83="",G83=""),"",E83*G83)</f>
        <v>510</v>
      </c>
      <c r="J83" s="17" t="n">
        <f aca="false">IF(H83="","",H83-I83)</f>
        <v>300</v>
      </c>
    </row>
    <row r="84" customFormat="false" ht="15" hidden="false" customHeight="true" outlineLevel="0" collapsed="false">
      <c r="A84" s="7" t="s">
        <v>334</v>
      </c>
      <c r="B84" s="18" t="n">
        <f aca="false">IF(A84="","",IFERROR(INDEX(Sales_Memo!$B$2:$B$1001,MATCH(A84,Sales_Memo!$A$2:$A$1001,0)),""))</f>
        <v>46243</v>
      </c>
      <c r="C84" s="7" t="s">
        <v>102</v>
      </c>
      <c r="D84" s="16" t="str">
        <f aca="false">IF(C84="","",IFERROR(INDEX(Products!$B$2:$B$501,MATCH(C84,Products!$A$2:$A$501,0)),"CODE NOT FOUND"))</f>
        <v>Headlight Bulb H4</v>
      </c>
      <c r="E84" s="7" t="n">
        <v>1</v>
      </c>
      <c r="F84" s="13" t="n">
        <v>240</v>
      </c>
      <c r="G84" s="13" t="n">
        <v>140</v>
      </c>
      <c r="H84" s="17" t="n">
        <f aca="false">IF(OR(E84="",F84=""),"",E84*F84)</f>
        <v>240</v>
      </c>
      <c r="I84" s="17" t="n">
        <f aca="false">IF(OR(E84="",G84=""),"",E84*G84)</f>
        <v>140</v>
      </c>
      <c r="J84" s="17" t="n">
        <f aca="false">IF(H84="","",H84-I84)</f>
        <v>100</v>
      </c>
    </row>
    <row r="85" customFormat="false" ht="15" hidden="false" customHeight="true" outlineLevel="0" collapsed="false">
      <c r="A85" s="7" t="s">
        <v>336</v>
      </c>
      <c r="B85" s="18" t="n">
        <f aca="false">IF(A85="","",IFERROR(INDEX(Sales_Memo!$B$2:$B$1001,MATCH(A85,Sales_Memo!$A$2:$A$1001,0)),""))</f>
        <v>46243</v>
      </c>
      <c r="C85" s="7" t="s">
        <v>119</v>
      </c>
      <c r="D85" s="16" t="str">
        <f aca="false">IF(C85="","",IFERROR(INDEX(Products!$B$2:$B$501,MATCH(C85,Products!$A$2:$A$501,0)),"CODE NOT FOUND"))</f>
        <v>Chain Lube Spray</v>
      </c>
      <c r="E85" s="7" t="n">
        <v>1</v>
      </c>
      <c r="F85" s="13" t="n">
        <v>270</v>
      </c>
      <c r="G85" s="13" t="n">
        <v>170</v>
      </c>
      <c r="H85" s="17" t="n">
        <f aca="false">IF(OR(E85="",F85=""),"",E85*F85)</f>
        <v>270</v>
      </c>
      <c r="I85" s="17" t="n">
        <f aca="false">IF(OR(E85="",G85=""),"",E85*G85)</f>
        <v>170</v>
      </c>
      <c r="J85" s="17" t="n">
        <f aca="false">IF(H85="","",H85-I85)</f>
        <v>100</v>
      </c>
    </row>
    <row r="86" customFormat="false" ht="15" hidden="false" customHeight="true" outlineLevel="0" collapsed="false">
      <c r="A86" s="7" t="s">
        <v>338</v>
      </c>
      <c r="B86" s="18" t="n">
        <f aca="false">IF(A86="","",IFERROR(INDEX(Sales_Memo!$B$2:$B$1001,MATCH(A86,Sales_Memo!$A$2:$A$1001,0)),""))</f>
        <v>46243</v>
      </c>
      <c r="C86" s="7" t="s">
        <v>86</v>
      </c>
      <c r="D86" s="16" t="str">
        <f aca="false">IF(C86="","",IFERROR(INDEX(Products!$B$2:$B$501,MATCH(C86,Products!$A$2:$A$501,0)),"CODE NOT FOUND"))</f>
        <v>Spark Plug CPR8EA-9</v>
      </c>
      <c r="E86" s="7" t="n">
        <v>1</v>
      </c>
      <c r="F86" s="13" t="n">
        <v>260</v>
      </c>
      <c r="G86" s="13" t="n">
        <v>175</v>
      </c>
      <c r="H86" s="17" t="n">
        <f aca="false">IF(OR(E86="",F86=""),"",E86*F86)</f>
        <v>260</v>
      </c>
      <c r="I86" s="17" t="n">
        <f aca="false">IF(OR(E86="",G86=""),"",E86*G86)</f>
        <v>175</v>
      </c>
      <c r="J86" s="17" t="n">
        <f aca="false">IF(H86="","",H86-I86)</f>
        <v>85</v>
      </c>
    </row>
    <row r="87" customFormat="false" ht="15" hidden="false" customHeight="true" outlineLevel="0" collapsed="false">
      <c r="A87" s="7" t="s">
        <v>339</v>
      </c>
      <c r="B87" s="18" t="n">
        <f aca="false">IF(A87="","",IFERROR(INDEX(Sales_Memo!$B$2:$B$1001,MATCH(A87,Sales_Memo!$A$2:$A$1001,0)),""))</f>
        <v>46243</v>
      </c>
      <c r="C87" s="7" t="s">
        <v>82</v>
      </c>
      <c r="D87" s="16" t="str">
        <f aca="false">IF(C87="","",IFERROR(INDEX(Products!$B$2:$B$501,MATCH(C87,Products!$A$2:$A$501,0)),"CODE NOT FOUND"))</f>
        <v>Clutch Cable</v>
      </c>
      <c r="E87" s="7" t="n">
        <v>2</v>
      </c>
      <c r="F87" s="13" t="n">
        <v>190</v>
      </c>
      <c r="G87" s="13" t="n">
        <v>110</v>
      </c>
      <c r="H87" s="17" t="n">
        <f aca="false">IF(OR(E87="",F87=""),"",E87*F87)</f>
        <v>380</v>
      </c>
      <c r="I87" s="17" t="n">
        <f aca="false">IF(OR(E87="",G87=""),"",E87*G87)</f>
        <v>220</v>
      </c>
      <c r="J87" s="17" t="n">
        <f aca="false">IF(H87="","",H87-I87)</f>
        <v>160</v>
      </c>
    </row>
    <row r="88" customFormat="false" ht="15" hidden="false" customHeight="true" outlineLevel="0" collapsed="false">
      <c r="A88" s="7" t="s">
        <v>340</v>
      </c>
      <c r="B88" s="18" t="n">
        <f aca="false">IF(A88="","",IFERROR(INDEX(Sales_Memo!$B$2:$B$1001,MATCH(A88,Sales_Memo!$A$2:$A$1001,0)),""))</f>
        <v>46244</v>
      </c>
      <c r="C88" s="7" t="s">
        <v>96</v>
      </c>
      <c r="D88" s="16" t="str">
        <f aca="false">IF(C88="","",IFERROR(INDEX(Products!$B$2:$B$501,MATCH(C88,Products!$A$2:$A$501,0)),"CODE NOT FOUND"))</f>
        <v>Engine Oil 10W-30 (1L)</v>
      </c>
      <c r="E88" s="7" t="n">
        <v>1</v>
      </c>
      <c r="F88" s="13" t="n">
        <v>780</v>
      </c>
      <c r="G88" s="13" t="n">
        <v>620</v>
      </c>
      <c r="H88" s="17" t="n">
        <f aca="false">IF(OR(E88="",F88=""),"",E88*F88)</f>
        <v>780</v>
      </c>
      <c r="I88" s="17" t="n">
        <f aca="false">IF(OR(E88="",G88=""),"",E88*G88)</f>
        <v>620</v>
      </c>
      <c r="J88" s="17" t="n">
        <f aca="false">IF(H88="","",H88-I88)</f>
        <v>160</v>
      </c>
    </row>
    <row r="89" customFormat="false" ht="15" hidden="false" customHeight="true" outlineLevel="0" collapsed="false">
      <c r="A89" s="7" t="s">
        <v>341</v>
      </c>
      <c r="B89" s="18" t="n">
        <f aca="false">IF(A89="","",IFERROR(INDEX(Sales_Memo!$B$2:$B$1001,MATCH(A89,Sales_Memo!$A$2:$A$1001,0)),""))</f>
        <v>46244</v>
      </c>
      <c r="C89" s="7" t="s">
        <v>82</v>
      </c>
      <c r="D89" s="16" t="str">
        <f aca="false">IF(C89="","",IFERROR(INDEX(Products!$B$2:$B$501,MATCH(C89,Products!$A$2:$A$501,0)),"CODE NOT FOUND"))</f>
        <v>Clutch Cable</v>
      </c>
      <c r="E89" s="7" t="n">
        <v>1</v>
      </c>
      <c r="F89" s="13" t="n">
        <v>190</v>
      </c>
      <c r="G89" s="13" t="n">
        <v>110</v>
      </c>
      <c r="H89" s="17" t="n">
        <f aca="false">IF(OR(E89="",F89=""),"",E89*F89)</f>
        <v>190</v>
      </c>
      <c r="I89" s="17" t="n">
        <f aca="false">IF(OR(E89="",G89=""),"",E89*G89)</f>
        <v>110</v>
      </c>
      <c r="J89" s="17" t="n">
        <f aca="false">IF(H89="","",H89-I89)</f>
        <v>80</v>
      </c>
    </row>
    <row r="90" customFormat="false" ht="15" hidden="false" customHeight="true" outlineLevel="0" collapsed="false">
      <c r="A90" s="7" t="s">
        <v>343</v>
      </c>
      <c r="B90" s="18" t="n">
        <f aca="false">IF(A90="","",IFERROR(INDEX(Sales_Memo!$B$2:$B$1001,MATCH(A90,Sales_Memo!$A$2:$A$1001,0)),""))</f>
        <v>46244</v>
      </c>
      <c r="C90" s="7" t="s">
        <v>82</v>
      </c>
      <c r="D90" s="16" t="str">
        <f aca="false">IF(C90="","",IFERROR(INDEX(Products!$B$2:$B$501,MATCH(C90,Products!$A$2:$A$501,0)),"CODE NOT FOUND"))</f>
        <v>Clutch Cable</v>
      </c>
      <c r="E90" s="7" t="n">
        <v>1</v>
      </c>
      <c r="F90" s="13" t="n">
        <v>190</v>
      </c>
      <c r="G90" s="13" t="n">
        <v>110</v>
      </c>
      <c r="H90" s="17" t="n">
        <f aca="false">IF(OR(E90="",F90=""),"",E90*F90)</f>
        <v>190</v>
      </c>
      <c r="I90" s="17" t="n">
        <f aca="false">IF(OR(E90="",G90=""),"",E90*G90)</f>
        <v>110</v>
      </c>
      <c r="J90" s="17" t="n">
        <f aca="false">IF(H90="","",H90-I90)</f>
        <v>80</v>
      </c>
    </row>
    <row r="91" customFormat="false" ht="15" hidden="false" customHeight="true" outlineLevel="0" collapsed="false">
      <c r="A91" s="7" t="s">
        <v>343</v>
      </c>
      <c r="B91" s="18" t="n">
        <f aca="false">IF(A91="","",IFERROR(INDEX(Sales_Memo!$B$2:$B$1001,MATCH(A91,Sales_Memo!$A$2:$A$1001,0)),""))</f>
        <v>46244</v>
      </c>
      <c r="C91" s="7" t="s">
        <v>86</v>
      </c>
      <c r="D91" s="16" t="str">
        <f aca="false">IF(C91="","",IFERROR(INDEX(Products!$B$2:$B$501,MATCH(C91,Products!$A$2:$A$501,0)),"CODE NOT FOUND"))</f>
        <v>Spark Plug CPR8EA-9</v>
      </c>
      <c r="E91" s="7" t="n">
        <v>2</v>
      </c>
      <c r="F91" s="13" t="n">
        <v>260</v>
      </c>
      <c r="G91" s="13" t="n">
        <v>175</v>
      </c>
      <c r="H91" s="17" t="n">
        <f aca="false">IF(OR(E91="",F91=""),"",E91*F91)</f>
        <v>520</v>
      </c>
      <c r="I91" s="17" t="n">
        <f aca="false">IF(OR(E91="",G91=""),"",E91*G91)</f>
        <v>350</v>
      </c>
      <c r="J91" s="17" t="n">
        <f aca="false">IF(H91="","",H91-I91)</f>
        <v>170</v>
      </c>
    </row>
    <row r="92" customFormat="false" ht="15" hidden="false" customHeight="true" outlineLevel="0" collapsed="false">
      <c r="A92" s="7" t="s">
        <v>347</v>
      </c>
      <c r="B92" s="18" t="n">
        <f aca="false">IF(A92="","",IFERROR(INDEX(Sales_Memo!$B$2:$B$1001,MATCH(A92,Sales_Memo!$A$2:$A$1001,0)),""))</f>
        <v>46244</v>
      </c>
      <c r="C92" s="7" t="s">
        <v>77</v>
      </c>
      <c r="D92" s="16" t="str">
        <f aca="false">IF(C92="","",IFERROR(INDEX(Products!$B$2:$B$501,MATCH(C92,Products!$A$2:$A$501,0)),"CODE NOT FOUND"))</f>
        <v>Brake Pad Set - Front</v>
      </c>
      <c r="E92" s="7" t="n">
        <v>1</v>
      </c>
      <c r="F92" s="13" t="n">
        <v>480</v>
      </c>
      <c r="G92" s="13" t="n">
        <v>320</v>
      </c>
      <c r="H92" s="17" t="n">
        <f aca="false">IF(OR(E92="",F92=""),"",E92*F92)</f>
        <v>480</v>
      </c>
      <c r="I92" s="17" t="n">
        <f aca="false">IF(OR(E92="",G92=""),"",E92*G92)</f>
        <v>320</v>
      </c>
      <c r="J92" s="17" t="n">
        <f aca="false">IF(H92="","",H92-I92)</f>
        <v>160</v>
      </c>
    </row>
    <row r="93" customFormat="false" ht="15" hidden="false" customHeight="true" outlineLevel="0" collapsed="false">
      <c r="A93" s="7" t="s">
        <v>349</v>
      </c>
      <c r="B93" s="18" t="n">
        <f aca="false">IF(A93="","",IFERROR(INDEX(Sales_Memo!$B$2:$B$1001,MATCH(A93,Sales_Memo!$A$2:$A$1001,0)),""))</f>
        <v>46244</v>
      </c>
      <c r="C93" s="7" t="s">
        <v>90</v>
      </c>
      <c r="D93" s="16" t="str">
        <f aca="false">IF(C93="","",IFERROR(INDEX(Products!$B$2:$B$501,MATCH(C93,Products!$A$2:$A$501,0)),"CODE NOT FOUND"))</f>
        <v>Air Filter 150cc</v>
      </c>
      <c r="E93" s="7" t="n">
        <v>1</v>
      </c>
      <c r="F93" s="13" t="n">
        <v>340</v>
      </c>
      <c r="G93" s="13" t="n">
        <v>210</v>
      </c>
      <c r="H93" s="17" t="n">
        <f aca="false">IF(OR(E93="",F93=""),"",E93*F93)</f>
        <v>340</v>
      </c>
      <c r="I93" s="17" t="n">
        <f aca="false">IF(OR(E93="",G93=""),"",E93*G93)</f>
        <v>210</v>
      </c>
      <c r="J93" s="17" t="n">
        <f aca="false">IF(H93="","",H93-I93)</f>
        <v>130</v>
      </c>
    </row>
    <row r="94" customFormat="false" ht="15" hidden="false" customHeight="true" outlineLevel="0" collapsed="false">
      <c r="A94" s="7" t="s">
        <v>349</v>
      </c>
      <c r="B94" s="18" t="n">
        <f aca="false">IF(A94="","",IFERROR(INDEX(Sales_Memo!$B$2:$B$1001,MATCH(A94,Sales_Memo!$A$2:$A$1001,0)),""))</f>
        <v>46244</v>
      </c>
      <c r="C94" s="7" t="s">
        <v>102</v>
      </c>
      <c r="D94" s="16" t="str">
        <f aca="false">IF(C94="","",IFERROR(INDEX(Products!$B$2:$B$501,MATCH(C94,Products!$A$2:$A$501,0)),"CODE NOT FOUND"))</f>
        <v>Headlight Bulb H4</v>
      </c>
      <c r="E94" s="7" t="n">
        <v>1</v>
      </c>
      <c r="F94" s="13" t="n">
        <v>240</v>
      </c>
      <c r="G94" s="13" t="n">
        <v>140</v>
      </c>
      <c r="H94" s="17" t="n">
        <f aca="false">IF(OR(E94="",F94=""),"",E94*F94)</f>
        <v>240</v>
      </c>
      <c r="I94" s="17" t="n">
        <f aca="false">IF(OR(E94="",G94=""),"",E94*G94)</f>
        <v>140</v>
      </c>
      <c r="J94" s="17" t="n">
        <f aca="false">IF(H94="","",H94-I94)</f>
        <v>100</v>
      </c>
    </row>
    <row r="95" customFormat="false" ht="15" hidden="false" customHeight="true" outlineLevel="0" collapsed="false">
      <c r="A95" s="7" t="s">
        <v>349</v>
      </c>
      <c r="B95" s="18" t="n">
        <f aca="false">IF(A95="","",IFERROR(INDEX(Sales_Memo!$B$2:$B$1001,MATCH(A95,Sales_Memo!$A$2:$A$1001,0)),""))</f>
        <v>46244</v>
      </c>
      <c r="C95" s="7" t="s">
        <v>99</v>
      </c>
      <c r="D95" s="16" t="str">
        <f aca="false">IF(C95="","",IFERROR(INDEX(Products!$B$2:$B$501,MATCH(C95,Products!$A$2:$A$501,0)),"CODE NOT FOUND"))</f>
        <v>Engine Oil 20W-50 (1L)</v>
      </c>
      <c r="E95" s="7" t="n">
        <v>1</v>
      </c>
      <c r="F95" s="13" t="n">
        <v>990</v>
      </c>
      <c r="G95" s="13" t="n">
        <v>780</v>
      </c>
      <c r="H95" s="17" t="n">
        <f aca="false">IF(OR(E95="",F95=""),"",E95*F95)</f>
        <v>990</v>
      </c>
      <c r="I95" s="17" t="n">
        <f aca="false">IF(OR(E95="",G95=""),"",E95*G95)</f>
        <v>780</v>
      </c>
      <c r="J95" s="17" t="n">
        <f aca="false">IF(H95="","",H95-I95)</f>
        <v>210</v>
      </c>
    </row>
    <row r="96" customFormat="false" ht="15" hidden="false" customHeight="true" outlineLevel="0" collapsed="false">
      <c r="A96" s="7" t="s">
        <v>353</v>
      </c>
      <c r="B96" s="18" t="n">
        <f aca="false">IF(A96="","",IFERROR(INDEX(Sales_Memo!$B$2:$B$1001,MATCH(A96,Sales_Memo!$A$2:$A$1001,0)),""))</f>
        <v>46244</v>
      </c>
      <c r="C96" s="7" t="s">
        <v>102</v>
      </c>
      <c r="D96" s="16" t="str">
        <f aca="false">IF(C96="","",IFERROR(INDEX(Products!$B$2:$B$501,MATCH(C96,Products!$A$2:$A$501,0)),"CODE NOT FOUND"))</f>
        <v>Headlight Bulb H4</v>
      </c>
      <c r="E96" s="7" t="n">
        <v>1</v>
      </c>
      <c r="F96" s="13" t="n">
        <v>240</v>
      </c>
      <c r="G96" s="13" t="n">
        <v>140</v>
      </c>
      <c r="H96" s="17" t="n">
        <f aca="false">IF(OR(E96="",F96=""),"",E96*F96)</f>
        <v>240</v>
      </c>
      <c r="I96" s="17" t="n">
        <f aca="false">IF(OR(E96="",G96=""),"",E96*G96)</f>
        <v>140</v>
      </c>
      <c r="J96" s="17" t="n">
        <f aca="false">IF(H96="","",H96-I96)</f>
        <v>100</v>
      </c>
    </row>
    <row r="97" customFormat="false" ht="15" hidden="false" customHeight="true" outlineLevel="0" collapsed="false">
      <c r="A97" s="7" t="s">
        <v>353</v>
      </c>
      <c r="B97" s="18" t="n">
        <f aca="false">IF(A97="","",IFERROR(INDEX(Sales_Memo!$B$2:$B$1001,MATCH(A97,Sales_Memo!$A$2:$A$1001,0)),""))</f>
        <v>46244</v>
      </c>
      <c r="C97" s="7" t="s">
        <v>96</v>
      </c>
      <c r="D97" s="16" t="str">
        <f aca="false">IF(C97="","",IFERROR(INDEX(Products!$B$2:$B$501,MATCH(C97,Products!$A$2:$A$501,0)),"CODE NOT FOUND"))</f>
        <v>Engine Oil 10W-30 (1L)</v>
      </c>
      <c r="E97" s="7" t="n">
        <v>2</v>
      </c>
      <c r="F97" s="13" t="n">
        <v>780</v>
      </c>
      <c r="G97" s="13" t="n">
        <v>620</v>
      </c>
      <c r="H97" s="17" t="n">
        <f aca="false">IF(OR(E97="",F97=""),"",E97*F97)</f>
        <v>1560</v>
      </c>
      <c r="I97" s="17" t="n">
        <f aca="false">IF(OR(E97="",G97=""),"",E97*G97)</f>
        <v>1240</v>
      </c>
      <c r="J97" s="17" t="n">
        <f aca="false">IF(H97="","",H97-I97)</f>
        <v>320</v>
      </c>
    </row>
    <row r="98" customFormat="false" ht="15" hidden="false" customHeight="true" outlineLevel="0" collapsed="false">
      <c r="A98" s="7" t="s">
        <v>355</v>
      </c>
      <c r="B98" s="18" t="n">
        <f aca="false">IF(A98="","",IFERROR(INDEX(Sales_Memo!$B$2:$B$1001,MATCH(A98,Sales_Memo!$A$2:$A$1001,0)),""))</f>
        <v>46244</v>
      </c>
      <c r="C98" s="7" t="s">
        <v>114</v>
      </c>
      <c r="D98" s="16" t="str">
        <f aca="false">IF(C98="","",IFERROR(INDEX(Products!$B$2:$B$501,MATCH(C98,Products!$A$2:$A$501,0)),"CODE NOT FOUND"))</f>
        <v>Side Mirror (Pair)</v>
      </c>
      <c r="E98" s="7" t="n">
        <v>1</v>
      </c>
      <c r="F98" s="13" t="n">
        <v>620</v>
      </c>
      <c r="G98" s="13" t="n">
        <v>380</v>
      </c>
      <c r="H98" s="17" t="n">
        <f aca="false">IF(OR(E98="",F98=""),"",E98*F98)</f>
        <v>620</v>
      </c>
      <c r="I98" s="17" t="n">
        <f aca="false">IF(OR(E98="",G98=""),"",E98*G98)</f>
        <v>380</v>
      </c>
      <c r="J98" s="17" t="n">
        <f aca="false">IF(H98="","",H98-I98)</f>
        <v>240</v>
      </c>
    </row>
    <row r="99" customFormat="false" ht="15" hidden="false" customHeight="true" outlineLevel="0" collapsed="false">
      <c r="A99" s="7" t="s">
        <v>355</v>
      </c>
      <c r="B99" s="18" t="n">
        <f aca="false">IF(A99="","",IFERROR(INDEX(Sales_Memo!$B$2:$B$1001,MATCH(A99,Sales_Memo!$A$2:$A$1001,0)),""))</f>
        <v>46244</v>
      </c>
      <c r="C99" s="7" t="s">
        <v>119</v>
      </c>
      <c r="D99" s="16" t="str">
        <f aca="false">IF(C99="","",IFERROR(INDEX(Products!$B$2:$B$501,MATCH(C99,Products!$A$2:$A$501,0)),"CODE NOT FOUND"))</f>
        <v>Chain Lube Spray</v>
      </c>
      <c r="E99" s="7" t="n">
        <v>2</v>
      </c>
      <c r="F99" s="13" t="n">
        <v>270</v>
      </c>
      <c r="G99" s="13" t="n">
        <v>170</v>
      </c>
      <c r="H99" s="17" t="n">
        <f aca="false">IF(OR(E99="",F99=""),"",E99*F99)</f>
        <v>540</v>
      </c>
      <c r="I99" s="17" t="n">
        <f aca="false">IF(OR(E99="",G99=""),"",E99*G99)</f>
        <v>340</v>
      </c>
      <c r="J99" s="17" t="n">
        <f aca="false">IF(H99="","",H99-I99)</f>
        <v>200</v>
      </c>
    </row>
    <row r="100" customFormat="false" ht="15" hidden="false" customHeight="true" outlineLevel="0" collapsed="false">
      <c r="A100" s="7" t="s">
        <v>355</v>
      </c>
      <c r="B100" s="18" t="n">
        <f aca="false">IF(A100="","",IFERROR(INDEX(Sales_Memo!$B$2:$B$1001,MATCH(A100,Sales_Memo!$A$2:$A$1001,0)),""))</f>
        <v>46244</v>
      </c>
      <c r="C100" s="7" t="s">
        <v>82</v>
      </c>
      <c r="D100" s="16" t="str">
        <f aca="false">IF(C100="","",IFERROR(INDEX(Products!$B$2:$B$501,MATCH(C100,Products!$A$2:$A$501,0)),"CODE NOT FOUND"))</f>
        <v>Clutch Cable</v>
      </c>
      <c r="E100" s="7" t="n">
        <v>2</v>
      </c>
      <c r="F100" s="13" t="n">
        <v>190</v>
      </c>
      <c r="G100" s="13" t="n">
        <v>110</v>
      </c>
      <c r="H100" s="17" t="n">
        <f aca="false">IF(OR(E100="",F100=""),"",E100*F100)</f>
        <v>380</v>
      </c>
      <c r="I100" s="17" t="n">
        <f aca="false">IF(OR(E100="",G100=""),"",E100*G100)</f>
        <v>220</v>
      </c>
      <c r="J100" s="17" t="n">
        <f aca="false">IF(H100="","",H100-I100)</f>
        <v>160</v>
      </c>
    </row>
    <row r="101" customFormat="false" ht="15" hidden="false" customHeight="true" outlineLevel="0" collapsed="false">
      <c r="A101" s="7" t="s">
        <v>357</v>
      </c>
      <c r="B101" s="18" t="n">
        <f aca="false">IF(A101="","",IFERROR(INDEX(Sales_Memo!$B$2:$B$1001,MATCH(A101,Sales_Memo!$A$2:$A$1001,0)),""))</f>
        <v>46244</v>
      </c>
      <c r="C101" s="7" t="s">
        <v>90</v>
      </c>
      <c r="D101" s="16" t="str">
        <f aca="false">IF(C101="","",IFERROR(INDEX(Products!$B$2:$B$501,MATCH(C101,Products!$A$2:$A$501,0)),"CODE NOT FOUND"))</f>
        <v>Air Filter 150cc</v>
      </c>
      <c r="E101" s="7" t="n">
        <v>1</v>
      </c>
      <c r="F101" s="13" t="n">
        <v>340</v>
      </c>
      <c r="G101" s="13" t="n">
        <v>210</v>
      </c>
      <c r="H101" s="17" t="n">
        <f aca="false">IF(OR(E101="",F101=""),"",E101*F101)</f>
        <v>340</v>
      </c>
      <c r="I101" s="17" t="n">
        <f aca="false">IF(OR(E101="",G101=""),"",E101*G101)</f>
        <v>210</v>
      </c>
      <c r="J101" s="17" t="n">
        <f aca="false">IF(H101="","",H101-I101)</f>
        <v>130</v>
      </c>
    </row>
    <row r="102" customFormat="false" ht="15" hidden="false" customHeight="true" outlineLevel="0" collapsed="false">
      <c r="A102" s="7" t="s">
        <v>358</v>
      </c>
      <c r="B102" s="18" t="n">
        <f aca="false">IF(A102="","",IFERROR(INDEX(Sales_Memo!$B$2:$B$1001,MATCH(A102,Sales_Memo!$A$2:$A$1001,0)),""))</f>
        <v>46244</v>
      </c>
      <c r="C102" s="7" t="s">
        <v>77</v>
      </c>
      <c r="D102" s="16" t="str">
        <f aca="false">IF(C102="","",IFERROR(INDEX(Products!$B$2:$B$501,MATCH(C102,Products!$A$2:$A$501,0)),"CODE NOT FOUND"))</f>
        <v>Brake Pad Set - Front</v>
      </c>
      <c r="E102" s="7" t="n">
        <v>2</v>
      </c>
      <c r="F102" s="13" t="n">
        <v>480</v>
      </c>
      <c r="G102" s="13" t="n">
        <v>320</v>
      </c>
      <c r="H102" s="17" t="n">
        <f aca="false">IF(OR(E102="",F102=""),"",E102*F102)</f>
        <v>960</v>
      </c>
      <c r="I102" s="17" t="n">
        <f aca="false">IF(OR(E102="",G102=""),"",E102*G102)</f>
        <v>640</v>
      </c>
      <c r="J102" s="17" t="n">
        <f aca="false">IF(H102="","",H102-I102)</f>
        <v>320</v>
      </c>
    </row>
    <row r="103" customFormat="false" ht="15" hidden="false" customHeight="true" outlineLevel="0" collapsed="false">
      <c r="A103" s="7" t="s">
        <v>358</v>
      </c>
      <c r="B103" s="18" t="n">
        <f aca="false">IF(A103="","",IFERROR(INDEX(Sales_Memo!$B$2:$B$1001,MATCH(A103,Sales_Memo!$A$2:$A$1001,0)),""))</f>
        <v>46244</v>
      </c>
      <c r="C103" s="7" t="s">
        <v>121</v>
      </c>
      <c r="D103" s="16" t="str">
        <f aca="false">IF(C103="","",IFERROR(INDEX(Products!$B$2:$B$501,MATCH(C103,Products!$A$2:$A$501,0)),"CODE NOT FOUND"))</f>
        <v>Handle Grip Set</v>
      </c>
      <c r="E103" s="7" t="n">
        <v>2</v>
      </c>
      <c r="F103" s="13" t="n">
        <v>280</v>
      </c>
      <c r="G103" s="13" t="n">
        <v>160</v>
      </c>
      <c r="H103" s="17" t="n">
        <f aca="false">IF(OR(E103="",F103=""),"",E103*F103)</f>
        <v>560</v>
      </c>
      <c r="I103" s="17" t="n">
        <f aca="false">IF(OR(E103="",G103=""),"",E103*G103)</f>
        <v>320</v>
      </c>
      <c r="J103" s="17" t="n">
        <f aca="false">IF(H103="","",H103-I103)</f>
        <v>240</v>
      </c>
    </row>
    <row r="104" customFormat="false" ht="15" hidden="false" customHeight="true" outlineLevel="0" collapsed="false">
      <c r="A104" s="7" t="s">
        <v>359</v>
      </c>
      <c r="B104" s="18" t="n">
        <f aca="false">IF(A104="","",IFERROR(INDEX(Sales_Memo!$B$2:$B$1001,MATCH(A104,Sales_Memo!$A$2:$A$1001,0)),""))</f>
        <v>46244</v>
      </c>
      <c r="C104" s="7" t="s">
        <v>82</v>
      </c>
      <c r="D104" s="16" t="str">
        <f aca="false">IF(C104="","",IFERROR(INDEX(Products!$B$2:$B$501,MATCH(C104,Products!$A$2:$A$501,0)),"CODE NOT FOUND"))</f>
        <v>Clutch Cable</v>
      </c>
      <c r="E104" s="7" t="n">
        <v>3</v>
      </c>
      <c r="F104" s="13" t="n">
        <v>190</v>
      </c>
      <c r="G104" s="13" t="n">
        <v>110</v>
      </c>
      <c r="H104" s="17" t="n">
        <f aca="false">IF(OR(E104="",F104=""),"",E104*F104)</f>
        <v>570</v>
      </c>
      <c r="I104" s="17" t="n">
        <f aca="false">IF(OR(E104="",G104=""),"",E104*G104)</f>
        <v>330</v>
      </c>
      <c r="J104" s="17" t="n">
        <f aca="false">IF(H104="","",H104-I104)</f>
        <v>240</v>
      </c>
    </row>
    <row r="105" customFormat="false" ht="15" hidden="false" customHeight="true" outlineLevel="0" collapsed="false">
      <c r="A105" s="7" t="s">
        <v>359</v>
      </c>
      <c r="B105" s="18" t="n">
        <f aca="false">IF(A105="","",IFERROR(INDEX(Sales_Memo!$B$2:$B$1001,MATCH(A105,Sales_Memo!$A$2:$A$1001,0)),""))</f>
        <v>46244</v>
      </c>
      <c r="C105" s="7" t="s">
        <v>121</v>
      </c>
      <c r="D105" s="16" t="str">
        <f aca="false">IF(C105="","",IFERROR(INDEX(Products!$B$2:$B$501,MATCH(C105,Products!$A$2:$A$501,0)),"CODE NOT FOUND"))</f>
        <v>Handle Grip Set</v>
      </c>
      <c r="E105" s="7" t="n">
        <v>1</v>
      </c>
      <c r="F105" s="13" t="n">
        <v>280</v>
      </c>
      <c r="G105" s="13" t="n">
        <v>160</v>
      </c>
      <c r="H105" s="17" t="n">
        <f aca="false">IF(OR(E105="",F105=""),"",E105*F105)</f>
        <v>280</v>
      </c>
      <c r="I105" s="17" t="n">
        <f aca="false">IF(OR(E105="",G105=""),"",E105*G105)</f>
        <v>160</v>
      </c>
      <c r="J105" s="17" t="n">
        <f aca="false">IF(H105="","",H105-I105)</f>
        <v>120</v>
      </c>
    </row>
    <row r="106" customFormat="false" ht="15" hidden="false" customHeight="true" outlineLevel="0" collapsed="false">
      <c r="A106" s="7" t="s">
        <v>360</v>
      </c>
      <c r="B106" s="18" t="n">
        <f aca="false">IF(A106="","",IFERROR(INDEX(Sales_Memo!$B$2:$B$1001,MATCH(A106,Sales_Memo!$A$2:$A$1001,0)),""))</f>
        <v>46244</v>
      </c>
      <c r="C106" s="7" t="s">
        <v>102</v>
      </c>
      <c r="D106" s="16" t="str">
        <f aca="false">IF(C106="","",IFERROR(INDEX(Products!$B$2:$B$501,MATCH(C106,Products!$A$2:$A$501,0)),"CODE NOT FOUND"))</f>
        <v>Headlight Bulb H4</v>
      </c>
      <c r="E106" s="7" t="n">
        <v>1</v>
      </c>
      <c r="F106" s="13" t="n">
        <v>240</v>
      </c>
      <c r="G106" s="13" t="n">
        <v>140</v>
      </c>
      <c r="H106" s="17" t="n">
        <f aca="false">IF(OR(E106="",F106=""),"",E106*F106)</f>
        <v>240</v>
      </c>
      <c r="I106" s="17" t="n">
        <f aca="false">IF(OR(E106="",G106=""),"",E106*G106)</f>
        <v>140</v>
      </c>
      <c r="J106" s="17" t="n">
        <f aca="false">IF(H106="","",H106-I106)</f>
        <v>100</v>
      </c>
    </row>
    <row r="107" customFormat="false" ht="15" hidden="false" customHeight="true" outlineLevel="0" collapsed="false">
      <c r="A107" s="7" t="s">
        <v>361</v>
      </c>
      <c r="B107" s="18" t="n">
        <f aca="false">IF(A107="","",IFERROR(INDEX(Sales_Memo!$B$2:$B$1001,MATCH(A107,Sales_Memo!$A$2:$A$1001,0)),""))</f>
        <v>46244</v>
      </c>
      <c r="C107" s="7" t="s">
        <v>102</v>
      </c>
      <c r="D107" s="16" t="str">
        <f aca="false">IF(C107="","",IFERROR(INDEX(Products!$B$2:$B$501,MATCH(C107,Products!$A$2:$A$501,0)),"CODE NOT FOUND"))</f>
        <v>Headlight Bulb H4</v>
      </c>
      <c r="E107" s="7" t="n">
        <v>1</v>
      </c>
      <c r="F107" s="13" t="n">
        <v>240</v>
      </c>
      <c r="G107" s="13" t="n">
        <v>140</v>
      </c>
      <c r="H107" s="17" t="n">
        <f aca="false">IF(OR(E107="",F107=""),"",E107*F107)</f>
        <v>240</v>
      </c>
      <c r="I107" s="17" t="n">
        <f aca="false">IF(OR(E107="",G107=""),"",E107*G107)</f>
        <v>140</v>
      </c>
      <c r="J107" s="17" t="n">
        <f aca="false">IF(H107="","",H107-I107)</f>
        <v>100</v>
      </c>
    </row>
    <row r="108" customFormat="false" ht="15" hidden="false" customHeight="true" outlineLevel="0" collapsed="false">
      <c r="A108" s="7" t="s">
        <v>362</v>
      </c>
      <c r="B108" s="18" t="n">
        <f aca="false">IF(A108="","",IFERROR(INDEX(Sales_Memo!$B$2:$B$1001,MATCH(A108,Sales_Memo!$A$2:$A$1001,0)),""))</f>
        <v>46245</v>
      </c>
      <c r="C108" s="7" t="s">
        <v>96</v>
      </c>
      <c r="D108" s="16" t="str">
        <f aca="false">IF(C108="","",IFERROR(INDEX(Products!$B$2:$B$501,MATCH(C108,Products!$A$2:$A$501,0)),"CODE NOT FOUND"))</f>
        <v>Engine Oil 10W-30 (1L)</v>
      </c>
      <c r="E108" s="7" t="n">
        <v>3</v>
      </c>
      <c r="F108" s="13" t="n">
        <v>780</v>
      </c>
      <c r="G108" s="13" t="n">
        <v>620</v>
      </c>
      <c r="H108" s="17" t="n">
        <f aca="false">IF(OR(E108="",F108=""),"",E108*F108)</f>
        <v>2340</v>
      </c>
      <c r="I108" s="17" t="n">
        <f aca="false">IF(OR(E108="",G108=""),"",E108*G108)</f>
        <v>1860</v>
      </c>
      <c r="J108" s="17" t="n">
        <f aca="false">IF(H108="","",H108-I108)</f>
        <v>480</v>
      </c>
    </row>
    <row r="109" customFormat="false" ht="15" hidden="false" customHeight="true" outlineLevel="0" collapsed="false">
      <c r="A109" s="7" t="s">
        <v>362</v>
      </c>
      <c r="B109" s="18" t="n">
        <f aca="false">IF(A109="","",IFERROR(INDEX(Sales_Memo!$B$2:$B$1001,MATCH(A109,Sales_Memo!$A$2:$A$1001,0)),""))</f>
        <v>46245</v>
      </c>
      <c r="C109" s="7" t="s">
        <v>102</v>
      </c>
      <c r="D109" s="16" t="str">
        <f aca="false">IF(C109="","",IFERROR(INDEX(Products!$B$2:$B$501,MATCH(C109,Products!$A$2:$A$501,0)),"CODE NOT FOUND"))</f>
        <v>Headlight Bulb H4</v>
      </c>
      <c r="E109" s="7" t="n">
        <v>1</v>
      </c>
      <c r="F109" s="13" t="n">
        <v>240</v>
      </c>
      <c r="G109" s="13" t="n">
        <v>140</v>
      </c>
      <c r="H109" s="17" t="n">
        <f aca="false">IF(OR(E109="",F109=""),"",E109*F109)</f>
        <v>240</v>
      </c>
      <c r="I109" s="17" t="n">
        <f aca="false">IF(OR(E109="",G109=""),"",E109*G109)</f>
        <v>140</v>
      </c>
      <c r="J109" s="17" t="n">
        <f aca="false">IF(H109="","",H109-I109)</f>
        <v>100</v>
      </c>
    </row>
    <row r="110" customFormat="false" ht="15" hidden="false" customHeight="true" outlineLevel="0" collapsed="false">
      <c r="A110" s="7" t="s">
        <v>364</v>
      </c>
      <c r="B110" s="18" t="n">
        <f aca="false">IF(A110="","",IFERROR(INDEX(Sales_Memo!$B$2:$B$1001,MATCH(A110,Sales_Memo!$A$2:$A$1001,0)),""))</f>
        <v>46245</v>
      </c>
      <c r="C110" s="7" t="s">
        <v>102</v>
      </c>
      <c r="D110" s="16" t="str">
        <f aca="false">IF(C110="","",IFERROR(INDEX(Products!$B$2:$B$501,MATCH(C110,Products!$A$2:$A$501,0)),"CODE NOT FOUND"))</f>
        <v>Headlight Bulb H4</v>
      </c>
      <c r="E110" s="7" t="n">
        <v>1</v>
      </c>
      <c r="F110" s="13" t="n">
        <v>240</v>
      </c>
      <c r="G110" s="13" t="n">
        <v>140</v>
      </c>
      <c r="H110" s="17" t="n">
        <f aca="false">IF(OR(E110="",F110=""),"",E110*F110)</f>
        <v>240</v>
      </c>
      <c r="I110" s="17" t="n">
        <f aca="false">IF(OR(E110="",G110=""),"",E110*G110)</f>
        <v>140</v>
      </c>
      <c r="J110" s="17" t="n">
        <f aca="false">IF(H110="","",H110-I110)</f>
        <v>100</v>
      </c>
    </row>
    <row r="111" customFormat="false" ht="15" hidden="false" customHeight="true" outlineLevel="0" collapsed="false">
      <c r="A111" s="7" t="s">
        <v>364</v>
      </c>
      <c r="B111" s="18" t="n">
        <f aca="false">IF(A111="","",IFERROR(INDEX(Sales_Memo!$B$2:$B$1001,MATCH(A111,Sales_Memo!$A$2:$A$1001,0)),""))</f>
        <v>46245</v>
      </c>
      <c r="C111" s="7" t="s">
        <v>90</v>
      </c>
      <c r="D111" s="16" t="str">
        <f aca="false">IF(C111="","",IFERROR(INDEX(Products!$B$2:$B$501,MATCH(C111,Products!$A$2:$A$501,0)),"CODE NOT FOUND"))</f>
        <v>Air Filter 150cc</v>
      </c>
      <c r="E111" s="7" t="n">
        <v>1</v>
      </c>
      <c r="F111" s="13" t="n">
        <v>340</v>
      </c>
      <c r="G111" s="13" t="n">
        <v>210</v>
      </c>
      <c r="H111" s="17" t="n">
        <f aca="false">IF(OR(E111="",F111=""),"",E111*F111)</f>
        <v>340</v>
      </c>
      <c r="I111" s="17" t="n">
        <f aca="false">IF(OR(E111="",G111=""),"",E111*G111)</f>
        <v>210</v>
      </c>
      <c r="J111" s="17" t="n">
        <f aca="false">IF(H111="","",H111-I111)</f>
        <v>130</v>
      </c>
    </row>
    <row r="112" customFormat="false" ht="15" hidden="false" customHeight="true" outlineLevel="0" collapsed="false">
      <c r="A112" s="7" t="s">
        <v>366</v>
      </c>
      <c r="B112" s="18" t="n">
        <f aca="false">IF(A112="","",IFERROR(INDEX(Sales_Memo!$B$2:$B$1001,MATCH(A112,Sales_Memo!$A$2:$A$1001,0)),""))</f>
        <v>46245</v>
      </c>
      <c r="C112" s="7" t="s">
        <v>102</v>
      </c>
      <c r="D112" s="16" t="str">
        <f aca="false">IF(C112="","",IFERROR(INDEX(Products!$B$2:$B$501,MATCH(C112,Products!$A$2:$A$501,0)),"CODE NOT FOUND"))</f>
        <v>Headlight Bulb H4</v>
      </c>
      <c r="E112" s="7" t="n">
        <v>1</v>
      </c>
      <c r="F112" s="13" t="n">
        <v>240</v>
      </c>
      <c r="G112" s="13" t="n">
        <v>140</v>
      </c>
      <c r="H112" s="17" t="n">
        <f aca="false">IF(OR(E112="",F112=""),"",E112*F112)</f>
        <v>240</v>
      </c>
      <c r="I112" s="17" t="n">
        <f aca="false">IF(OR(E112="",G112=""),"",E112*G112)</f>
        <v>140</v>
      </c>
      <c r="J112" s="17" t="n">
        <f aca="false">IF(H112="","",H112-I112)</f>
        <v>100</v>
      </c>
    </row>
    <row r="113" customFormat="false" ht="15" hidden="false" customHeight="true" outlineLevel="0" collapsed="false">
      <c r="A113" s="7" t="s">
        <v>366</v>
      </c>
      <c r="B113" s="18" t="n">
        <f aca="false">IF(A113="","",IFERROR(INDEX(Sales_Memo!$B$2:$B$1001,MATCH(A113,Sales_Memo!$A$2:$A$1001,0)),""))</f>
        <v>46245</v>
      </c>
      <c r="C113" s="7" t="s">
        <v>90</v>
      </c>
      <c r="D113" s="16" t="str">
        <f aca="false">IF(C113="","",IFERROR(INDEX(Products!$B$2:$B$501,MATCH(C113,Products!$A$2:$A$501,0)),"CODE NOT FOUND"))</f>
        <v>Air Filter 150cc</v>
      </c>
      <c r="E113" s="7" t="n">
        <v>2</v>
      </c>
      <c r="F113" s="13" t="n">
        <v>340</v>
      </c>
      <c r="G113" s="13" t="n">
        <v>210</v>
      </c>
      <c r="H113" s="17" t="n">
        <f aca="false">IF(OR(E113="",F113=""),"",E113*F113)</f>
        <v>680</v>
      </c>
      <c r="I113" s="17" t="n">
        <f aca="false">IF(OR(E113="",G113=""),"",E113*G113)</f>
        <v>420</v>
      </c>
      <c r="J113" s="17" t="n">
        <f aca="false">IF(H113="","",H113-I113)</f>
        <v>260</v>
      </c>
    </row>
    <row r="114" customFormat="false" ht="15" hidden="false" customHeight="true" outlineLevel="0" collapsed="false">
      <c r="A114" s="7" t="s">
        <v>368</v>
      </c>
      <c r="B114" s="18" t="n">
        <f aca="false">IF(A114="","",IFERROR(INDEX(Sales_Memo!$B$2:$B$1001,MATCH(A114,Sales_Memo!$A$2:$A$1001,0)),""))</f>
        <v>46245</v>
      </c>
      <c r="C114" s="7" t="s">
        <v>99</v>
      </c>
      <c r="D114" s="16" t="str">
        <f aca="false">IF(C114="","",IFERROR(INDEX(Products!$B$2:$B$501,MATCH(C114,Products!$A$2:$A$501,0)),"CODE NOT FOUND"))</f>
        <v>Engine Oil 20W-50 (1L)</v>
      </c>
      <c r="E114" s="7" t="n">
        <v>2</v>
      </c>
      <c r="F114" s="13" t="n">
        <v>990</v>
      </c>
      <c r="G114" s="13" t="n">
        <v>780</v>
      </c>
      <c r="H114" s="17" t="n">
        <f aca="false">IF(OR(E114="",F114=""),"",E114*F114)</f>
        <v>1980</v>
      </c>
      <c r="I114" s="17" t="n">
        <f aca="false">IF(OR(E114="",G114=""),"",E114*G114)</f>
        <v>1560</v>
      </c>
      <c r="J114" s="17" t="n">
        <f aca="false">IF(H114="","",H114-I114)</f>
        <v>420</v>
      </c>
    </row>
    <row r="115" customFormat="false" ht="15" hidden="false" customHeight="true" outlineLevel="0" collapsed="false">
      <c r="A115" s="7" t="s">
        <v>371</v>
      </c>
      <c r="B115" s="18" t="n">
        <f aca="false">IF(A115="","",IFERROR(INDEX(Sales_Memo!$B$2:$B$1001,MATCH(A115,Sales_Memo!$A$2:$A$1001,0)),""))</f>
        <v>46245</v>
      </c>
      <c r="C115" s="7" t="s">
        <v>86</v>
      </c>
      <c r="D115" s="16" t="str">
        <f aca="false">IF(C115="","",IFERROR(INDEX(Products!$B$2:$B$501,MATCH(C115,Products!$A$2:$A$501,0)),"CODE NOT FOUND"))</f>
        <v>Spark Plug CPR8EA-9</v>
      </c>
      <c r="E115" s="7" t="n">
        <v>1</v>
      </c>
      <c r="F115" s="13" t="n">
        <v>260</v>
      </c>
      <c r="G115" s="13" t="n">
        <v>175</v>
      </c>
      <c r="H115" s="17" t="n">
        <f aca="false">IF(OR(E115="",F115=""),"",E115*F115)</f>
        <v>260</v>
      </c>
      <c r="I115" s="17" t="n">
        <f aca="false">IF(OR(E115="",G115=""),"",E115*G115)</f>
        <v>175</v>
      </c>
      <c r="J115" s="17" t="n">
        <f aca="false">IF(H115="","",H115-I115)</f>
        <v>85</v>
      </c>
    </row>
    <row r="116" customFormat="false" ht="15" hidden="false" customHeight="true" outlineLevel="0" collapsed="false">
      <c r="A116" s="7" t="s">
        <v>371</v>
      </c>
      <c r="B116" s="18" t="n">
        <f aca="false">IF(A116="","",IFERROR(INDEX(Sales_Memo!$B$2:$B$1001,MATCH(A116,Sales_Memo!$A$2:$A$1001,0)),""))</f>
        <v>46245</v>
      </c>
      <c r="C116" s="7" t="s">
        <v>119</v>
      </c>
      <c r="D116" s="16" t="str">
        <f aca="false">IF(C116="","",IFERROR(INDEX(Products!$B$2:$B$501,MATCH(C116,Products!$A$2:$A$501,0)),"CODE NOT FOUND"))</f>
        <v>Chain Lube Spray</v>
      </c>
      <c r="E116" s="7" t="n">
        <v>3</v>
      </c>
      <c r="F116" s="13" t="n">
        <v>270</v>
      </c>
      <c r="G116" s="13" t="n">
        <v>170</v>
      </c>
      <c r="H116" s="17" t="n">
        <f aca="false">IF(OR(E116="",F116=""),"",E116*F116)</f>
        <v>810</v>
      </c>
      <c r="I116" s="17" t="n">
        <f aca="false">IF(OR(E116="",G116=""),"",E116*G116)</f>
        <v>510</v>
      </c>
      <c r="J116" s="17" t="n">
        <f aca="false">IF(H116="","",H116-I116)</f>
        <v>300</v>
      </c>
    </row>
    <row r="117" customFormat="false" ht="15" hidden="false" customHeight="true" outlineLevel="0" collapsed="false">
      <c r="A117" s="7" t="s">
        <v>371</v>
      </c>
      <c r="B117" s="18" t="n">
        <f aca="false">IF(A117="","",IFERROR(INDEX(Sales_Memo!$B$2:$B$1001,MATCH(A117,Sales_Memo!$A$2:$A$1001,0)),""))</f>
        <v>46245</v>
      </c>
      <c r="C117" s="7" t="s">
        <v>77</v>
      </c>
      <c r="D117" s="16" t="str">
        <f aca="false">IF(C117="","",IFERROR(INDEX(Products!$B$2:$B$501,MATCH(C117,Products!$A$2:$A$501,0)),"CODE NOT FOUND"))</f>
        <v>Brake Pad Set - Front</v>
      </c>
      <c r="E117" s="7" t="n">
        <v>1</v>
      </c>
      <c r="F117" s="13" t="n">
        <v>480</v>
      </c>
      <c r="G117" s="13" t="n">
        <v>320</v>
      </c>
      <c r="H117" s="17" t="n">
        <f aca="false">IF(OR(E117="",F117=""),"",E117*F117)</f>
        <v>480</v>
      </c>
      <c r="I117" s="17" t="n">
        <f aca="false">IF(OR(E117="",G117=""),"",E117*G117)</f>
        <v>320</v>
      </c>
      <c r="J117" s="17" t="n">
        <f aca="false">IF(H117="","",H117-I117)</f>
        <v>160</v>
      </c>
    </row>
    <row r="118" customFormat="false" ht="15" hidden="false" customHeight="true" outlineLevel="0" collapsed="false">
      <c r="A118" s="7" t="s">
        <v>373</v>
      </c>
      <c r="B118" s="18" t="n">
        <f aca="false">IF(A118="","",IFERROR(INDEX(Sales_Memo!$B$2:$B$1001,MATCH(A118,Sales_Memo!$A$2:$A$1001,0)),""))</f>
        <v>46245</v>
      </c>
      <c r="C118" s="7" t="s">
        <v>90</v>
      </c>
      <c r="D118" s="16" t="str">
        <f aca="false">IF(C118="","",IFERROR(INDEX(Products!$B$2:$B$501,MATCH(C118,Products!$A$2:$A$501,0)),"CODE NOT FOUND"))</f>
        <v>Air Filter 150cc</v>
      </c>
      <c r="E118" s="7" t="n">
        <v>3</v>
      </c>
      <c r="F118" s="13" t="n">
        <v>340</v>
      </c>
      <c r="G118" s="13" t="n">
        <v>210</v>
      </c>
      <c r="H118" s="17" t="n">
        <f aca="false">IF(OR(E118="",F118=""),"",E118*F118)</f>
        <v>1020</v>
      </c>
      <c r="I118" s="17" t="n">
        <f aca="false">IF(OR(E118="",G118=""),"",E118*G118)</f>
        <v>630</v>
      </c>
      <c r="J118" s="17" t="n">
        <f aca="false">IF(H118="","",H118-I118)</f>
        <v>390</v>
      </c>
    </row>
    <row r="119" customFormat="false" ht="15" hidden="false" customHeight="true" outlineLevel="0" collapsed="false">
      <c r="A119" s="7" t="s">
        <v>373</v>
      </c>
      <c r="B119" s="18" t="n">
        <f aca="false">IF(A119="","",IFERROR(INDEX(Sales_Memo!$B$2:$B$1001,MATCH(A119,Sales_Memo!$A$2:$A$1001,0)),""))</f>
        <v>46245</v>
      </c>
      <c r="C119" s="7" t="s">
        <v>121</v>
      </c>
      <c r="D119" s="16" t="str">
        <f aca="false">IF(C119="","",IFERROR(INDEX(Products!$B$2:$B$501,MATCH(C119,Products!$A$2:$A$501,0)),"CODE NOT FOUND"))</f>
        <v>Handle Grip Set</v>
      </c>
      <c r="E119" s="7" t="n">
        <v>1</v>
      </c>
      <c r="F119" s="13" t="n">
        <v>280</v>
      </c>
      <c r="G119" s="13" t="n">
        <v>160</v>
      </c>
      <c r="H119" s="17" t="n">
        <f aca="false">IF(OR(E119="",F119=""),"",E119*F119)</f>
        <v>280</v>
      </c>
      <c r="I119" s="17" t="n">
        <f aca="false">IF(OR(E119="",G119=""),"",E119*G119)</f>
        <v>160</v>
      </c>
      <c r="J119" s="17" t="n">
        <f aca="false">IF(H119="","",H119-I119)</f>
        <v>120</v>
      </c>
    </row>
    <row r="120" customFormat="false" ht="15" hidden="false" customHeight="true" outlineLevel="0" collapsed="false">
      <c r="A120" s="7" t="s">
        <v>373</v>
      </c>
      <c r="B120" s="18" t="n">
        <f aca="false">IF(A120="","",IFERROR(INDEX(Sales_Memo!$B$2:$B$1001,MATCH(A120,Sales_Memo!$A$2:$A$1001,0)),""))</f>
        <v>46245</v>
      </c>
      <c r="C120" s="7" t="s">
        <v>119</v>
      </c>
      <c r="D120" s="16" t="str">
        <f aca="false">IF(C120="","",IFERROR(INDEX(Products!$B$2:$B$501,MATCH(C120,Products!$A$2:$A$501,0)),"CODE NOT FOUND"))</f>
        <v>Chain Lube Spray</v>
      </c>
      <c r="E120" s="7" t="n">
        <v>1</v>
      </c>
      <c r="F120" s="13" t="n">
        <v>270</v>
      </c>
      <c r="G120" s="13" t="n">
        <v>170</v>
      </c>
      <c r="H120" s="17" t="n">
        <f aca="false">IF(OR(E120="",F120=""),"",E120*F120)</f>
        <v>270</v>
      </c>
      <c r="I120" s="17" t="n">
        <f aca="false">IF(OR(E120="",G120=""),"",E120*G120)</f>
        <v>170</v>
      </c>
      <c r="J120" s="17" t="n">
        <f aca="false">IF(H120="","",H120-I120)</f>
        <v>100</v>
      </c>
    </row>
    <row r="121" customFormat="false" ht="15" hidden="false" customHeight="true" outlineLevel="0" collapsed="false">
      <c r="A121" s="7" t="s">
        <v>374</v>
      </c>
      <c r="B121" s="18" t="n">
        <f aca="false">IF(A121="","",IFERROR(INDEX(Sales_Memo!$B$2:$B$1001,MATCH(A121,Sales_Memo!$A$2:$A$1001,0)),""))</f>
        <v>46245</v>
      </c>
      <c r="C121" s="7" t="s">
        <v>77</v>
      </c>
      <c r="D121" s="16" t="str">
        <f aca="false">IF(C121="","",IFERROR(INDEX(Products!$B$2:$B$501,MATCH(C121,Products!$A$2:$A$501,0)),"CODE NOT FOUND"))</f>
        <v>Brake Pad Set - Front</v>
      </c>
      <c r="E121" s="7" t="n">
        <v>1</v>
      </c>
      <c r="F121" s="13" t="n">
        <v>480</v>
      </c>
      <c r="G121" s="13" t="n">
        <v>320</v>
      </c>
      <c r="H121" s="17" t="n">
        <f aca="false">IF(OR(E121="",F121=""),"",E121*F121)</f>
        <v>480</v>
      </c>
      <c r="I121" s="17" t="n">
        <f aca="false">IF(OR(E121="",G121=""),"",E121*G121)</f>
        <v>320</v>
      </c>
      <c r="J121" s="17" t="n">
        <f aca="false">IF(H121="","",H121-I121)</f>
        <v>160</v>
      </c>
    </row>
    <row r="122" customFormat="false" ht="15" hidden="false" customHeight="true" outlineLevel="0" collapsed="false">
      <c r="A122" s="7" t="s">
        <v>375</v>
      </c>
      <c r="B122" s="18" t="n">
        <f aca="false">IF(A122="","",IFERROR(INDEX(Sales_Memo!$B$2:$B$1001,MATCH(A122,Sales_Memo!$A$2:$A$1001,0)),""))</f>
        <v>46245</v>
      </c>
      <c r="C122" s="7" t="s">
        <v>114</v>
      </c>
      <c r="D122" s="16" t="str">
        <f aca="false">IF(C122="","",IFERROR(INDEX(Products!$B$2:$B$501,MATCH(C122,Products!$A$2:$A$501,0)),"CODE NOT FOUND"))</f>
        <v>Side Mirror (Pair)</v>
      </c>
      <c r="E122" s="7" t="n">
        <v>1</v>
      </c>
      <c r="F122" s="13" t="n">
        <v>620</v>
      </c>
      <c r="G122" s="13" t="n">
        <v>380</v>
      </c>
      <c r="H122" s="17" t="n">
        <f aca="false">IF(OR(E122="",F122=""),"",E122*F122)</f>
        <v>620</v>
      </c>
      <c r="I122" s="17" t="n">
        <f aca="false">IF(OR(E122="",G122=""),"",E122*G122)</f>
        <v>380</v>
      </c>
      <c r="J122" s="17" t="n">
        <f aca="false">IF(H122="","",H122-I122)</f>
        <v>240</v>
      </c>
    </row>
    <row r="123" customFormat="false" ht="15" hidden="false" customHeight="true" outlineLevel="0" collapsed="false">
      <c r="A123" s="7" t="s">
        <v>375</v>
      </c>
      <c r="B123" s="18" t="n">
        <f aca="false">IF(A123="","",IFERROR(INDEX(Sales_Memo!$B$2:$B$1001,MATCH(A123,Sales_Memo!$A$2:$A$1001,0)),""))</f>
        <v>46245</v>
      </c>
      <c r="C123" s="7" t="s">
        <v>102</v>
      </c>
      <c r="D123" s="16" t="str">
        <f aca="false">IF(C123="","",IFERROR(INDEX(Products!$B$2:$B$501,MATCH(C123,Products!$A$2:$A$501,0)),"CODE NOT FOUND"))</f>
        <v>Headlight Bulb H4</v>
      </c>
      <c r="E123" s="7" t="n">
        <v>2</v>
      </c>
      <c r="F123" s="13" t="n">
        <v>240</v>
      </c>
      <c r="G123" s="13" t="n">
        <v>140</v>
      </c>
      <c r="H123" s="17" t="n">
        <f aca="false">IF(OR(E123="",F123=""),"",E123*F123)</f>
        <v>480</v>
      </c>
      <c r="I123" s="17" t="n">
        <f aca="false">IF(OR(E123="",G123=""),"",E123*G123)</f>
        <v>280</v>
      </c>
      <c r="J123" s="17" t="n">
        <f aca="false">IF(H123="","",H123-I123)</f>
        <v>200</v>
      </c>
    </row>
    <row r="124" customFormat="false" ht="15" hidden="false" customHeight="true" outlineLevel="0" collapsed="false">
      <c r="A124" s="7" t="s">
        <v>377</v>
      </c>
      <c r="B124" s="18" t="n">
        <f aca="false">IF(A124="","",IFERROR(INDEX(Sales_Memo!$B$2:$B$1001,MATCH(A124,Sales_Memo!$A$2:$A$1001,0)),""))</f>
        <v>46245</v>
      </c>
      <c r="C124" s="7" t="s">
        <v>82</v>
      </c>
      <c r="D124" s="16" t="str">
        <f aca="false">IF(C124="","",IFERROR(INDEX(Products!$B$2:$B$501,MATCH(C124,Products!$A$2:$A$501,0)),"CODE NOT FOUND"))</f>
        <v>Clutch Cable</v>
      </c>
      <c r="E124" s="7" t="n">
        <v>2</v>
      </c>
      <c r="F124" s="13" t="n">
        <v>190</v>
      </c>
      <c r="G124" s="13" t="n">
        <v>110</v>
      </c>
      <c r="H124" s="17" t="n">
        <f aca="false">IF(OR(E124="",F124=""),"",E124*F124)</f>
        <v>380</v>
      </c>
      <c r="I124" s="17" t="n">
        <f aca="false">IF(OR(E124="",G124=""),"",E124*G124)</f>
        <v>220</v>
      </c>
      <c r="J124" s="17" t="n">
        <f aca="false">IF(H124="","",H124-I124)</f>
        <v>160</v>
      </c>
    </row>
    <row r="125" customFormat="false" ht="15" hidden="false" customHeight="true" outlineLevel="0" collapsed="false">
      <c r="A125" s="7" t="s">
        <v>380</v>
      </c>
      <c r="B125" s="18" t="n">
        <f aca="false">IF(A125="","",IFERROR(INDEX(Sales_Memo!$B$2:$B$1001,MATCH(A125,Sales_Memo!$A$2:$A$1001,0)),""))</f>
        <v>46246</v>
      </c>
      <c r="C125" s="7" t="s">
        <v>105</v>
      </c>
      <c r="D125" s="16" t="str">
        <f aca="false">IF(C125="","",IFERROR(INDEX(Products!$B$2:$B$501,MATCH(C125,Products!$A$2:$A$501,0)),"CODE NOT FOUND"))</f>
        <v>Battery 12V 5Ah</v>
      </c>
      <c r="E125" s="7" t="n">
        <v>1</v>
      </c>
      <c r="F125" s="13" t="n">
        <v>2950</v>
      </c>
      <c r="G125" s="13" t="n">
        <v>2350</v>
      </c>
      <c r="H125" s="17" t="n">
        <f aca="false">IF(OR(E125="",F125=""),"",E125*F125)</f>
        <v>2950</v>
      </c>
      <c r="I125" s="17" t="n">
        <f aca="false">IF(OR(E125="",G125=""),"",E125*G125)</f>
        <v>2350</v>
      </c>
      <c r="J125" s="17" t="n">
        <f aca="false">IF(H125="","",H125-I125)</f>
        <v>600</v>
      </c>
    </row>
    <row r="126" customFormat="false" ht="15" hidden="false" customHeight="true" outlineLevel="0" collapsed="false">
      <c r="A126" s="7" t="s">
        <v>380</v>
      </c>
      <c r="B126" s="18" t="n">
        <f aca="false">IF(A126="","",IFERROR(INDEX(Sales_Memo!$B$2:$B$1001,MATCH(A126,Sales_Memo!$A$2:$A$1001,0)),""))</f>
        <v>46246</v>
      </c>
      <c r="C126" s="7" t="s">
        <v>86</v>
      </c>
      <c r="D126" s="16" t="str">
        <f aca="false">IF(C126="","",IFERROR(INDEX(Products!$B$2:$B$501,MATCH(C126,Products!$A$2:$A$501,0)),"CODE NOT FOUND"))</f>
        <v>Spark Plug CPR8EA-9</v>
      </c>
      <c r="E126" s="7" t="n">
        <v>3</v>
      </c>
      <c r="F126" s="13" t="n">
        <v>260</v>
      </c>
      <c r="G126" s="13" t="n">
        <v>175</v>
      </c>
      <c r="H126" s="17" t="n">
        <f aca="false">IF(OR(E126="",F126=""),"",E126*F126)</f>
        <v>780</v>
      </c>
      <c r="I126" s="17" t="n">
        <f aca="false">IF(OR(E126="",G126=""),"",E126*G126)</f>
        <v>525</v>
      </c>
      <c r="J126" s="17" t="n">
        <f aca="false">IF(H126="","",H126-I126)</f>
        <v>255</v>
      </c>
    </row>
    <row r="127" customFormat="false" ht="15" hidden="false" customHeight="true" outlineLevel="0" collapsed="false">
      <c r="A127" s="7" t="s">
        <v>382</v>
      </c>
      <c r="B127" s="18" t="n">
        <f aca="false">IF(A127="","",IFERROR(INDEX(Sales_Memo!$B$2:$B$1001,MATCH(A127,Sales_Memo!$A$2:$A$1001,0)),""))</f>
        <v>46246</v>
      </c>
      <c r="C127" s="7" t="s">
        <v>82</v>
      </c>
      <c r="D127" s="16" t="str">
        <f aca="false">IF(C127="","",IFERROR(INDEX(Products!$B$2:$B$501,MATCH(C127,Products!$A$2:$A$501,0)),"CODE NOT FOUND"))</f>
        <v>Clutch Cable</v>
      </c>
      <c r="E127" s="7" t="n">
        <v>2</v>
      </c>
      <c r="F127" s="13" t="n">
        <v>190</v>
      </c>
      <c r="G127" s="13" t="n">
        <v>110</v>
      </c>
      <c r="H127" s="17" t="n">
        <f aca="false">IF(OR(E127="",F127=""),"",E127*F127)</f>
        <v>380</v>
      </c>
      <c r="I127" s="17" t="n">
        <f aca="false">IF(OR(E127="",G127=""),"",E127*G127)</f>
        <v>220</v>
      </c>
      <c r="J127" s="17" t="n">
        <f aca="false">IF(H127="","",H127-I127)</f>
        <v>160</v>
      </c>
    </row>
    <row r="128" customFormat="false" ht="15" hidden="false" customHeight="true" outlineLevel="0" collapsed="false">
      <c r="A128" s="7" t="s">
        <v>382</v>
      </c>
      <c r="B128" s="18" t="n">
        <f aca="false">IF(A128="","",IFERROR(INDEX(Sales_Memo!$B$2:$B$1001,MATCH(A128,Sales_Memo!$A$2:$A$1001,0)),""))</f>
        <v>46246</v>
      </c>
      <c r="C128" s="7" t="s">
        <v>119</v>
      </c>
      <c r="D128" s="16" t="str">
        <f aca="false">IF(C128="","",IFERROR(INDEX(Products!$B$2:$B$501,MATCH(C128,Products!$A$2:$A$501,0)),"CODE NOT FOUND"))</f>
        <v>Chain Lube Spray</v>
      </c>
      <c r="E128" s="7" t="n">
        <v>3</v>
      </c>
      <c r="F128" s="13" t="n">
        <v>270</v>
      </c>
      <c r="G128" s="13" t="n">
        <v>170</v>
      </c>
      <c r="H128" s="17" t="n">
        <f aca="false">IF(OR(E128="",F128=""),"",E128*F128)</f>
        <v>810</v>
      </c>
      <c r="I128" s="17" t="n">
        <f aca="false">IF(OR(E128="",G128=""),"",E128*G128)</f>
        <v>510</v>
      </c>
      <c r="J128" s="17" t="n">
        <f aca="false">IF(H128="","",H128-I128)</f>
        <v>300</v>
      </c>
    </row>
    <row r="129" customFormat="false" ht="15" hidden="false" customHeight="true" outlineLevel="0" collapsed="false">
      <c r="A129" s="7" t="s">
        <v>384</v>
      </c>
      <c r="B129" s="18" t="n">
        <f aca="false">IF(A129="","",IFERROR(INDEX(Sales_Memo!$B$2:$B$1001,MATCH(A129,Sales_Memo!$A$2:$A$1001,0)),""))</f>
        <v>46246</v>
      </c>
      <c r="C129" s="7" t="s">
        <v>102</v>
      </c>
      <c r="D129" s="16" t="str">
        <f aca="false">IF(C129="","",IFERROR(INDEX(Products!$B$2:$B$501,MATCH(C129,Products!$A$2:$A$501,0)),"CODE NOT FOUND"))</f>
        <v>Headlight Bulb H4</v>
      </c>
      <c r="E129" s="7" t="n">
        <v>3</v>
      </c>
      <c r="F129" s="13" t="n">
        <v>240</v>
      </c>
      <c r="G129" s="13" t="n">
        <v>140</v>
      </c>
      <c r="H129" s="17" t="n">
        <f aca="false">IF(OR(E129="",F129=""),"",E129*F129)</f>
        <v>720</v>
      </c>
      <c r="I129" s="17" t="n">
        <f aca="false">IF(OR(E129="",G129=""),"",E129*G129)</f>
        <v>420</v>
      </c>
      <c r="J129" s="17" t="n">
        <f aca="false">IF(H129="","",H129-I129)</f>
        <v>300</v>
      </c>
    </row>
    <row r="130" customFormat="false" ht="15" hidden="false" customHeight="true" outlineLevel="0" collapsed="false">
      <c r="A130" s="7" t="s">
        <v>384</v>
      </c>
      <c r="B130" s="18" t="n">
        <f aca="false">IF(A130="","",IFERROR(INDEX(Sales_Memo!$B$2:$B$1001,MATCH(A130,Sales_Memo!$A$2:$A$1001,0)),""))</f>
        <v>46246</v>
      </c>
      <c r="C130" s="7" t="s">
        <v>82</v>
      </c>
      <c r="D130" s="16" t="str">
        <f aca="false">IF(C130="","",IFERROR(INDEX(Products!$B$2:$B$501,MATCH(C130,Products!$A$2:$A$501,0)),"CODE NOT FOUND"))</f>
        <v>Clutch Cable</v>
      </c>
      <c r="E130" s="7" t="n">
        <v>2</v>
      </c>
      <c r="F130" s="13" t="n">
        <v>190</v>
      </c>
      <c r="G130" s="13" t="n">
        <v>110</v>
      </c>
      <c r="H130" s="17" t="n">
        <f aca="false">IF(OR(E130="",F130=""),"",E130*F130)</f>
        <v>380</v>
      </c>
      <c r="I130" s="17" t="n">
        <f aca="false">IF(OR(E130="",G130=""),"",E130*G130)</f>
        <v>220</v>
      </c>
      <c r="J130" s="17" t="n">
        <f aca="false">IF(H130="","",H130-I130)</f>
        <v>160</v>
      </c>
    </row>
    <row r="131" customFormat="false" ht="15" hidden="false" customHeight="true" outlineLevel="0" collapsed="false">
      <c r="A131" s="7" t="s">
        <v>384</v>
      </c>
      <c r="B131" s="18" t="n">
        <f aca="false">IF(A131="","",IFERROR(INDEX(Sales_Memo!$B$2:$B$1001,MATCH(A131,Sales_Memo!$A$2:$A$1001,0)),""))</f>
        <v>46246</v>
      </c>
      <c r="C131" s="7" t="s">
        <v>116</v>
      </c>
      <c r="D131" s="16" t="str">
        <f aca="false">IF(C131="","",IFERROR(INDEX(Products!$B$2:$B$501,MATCH(C131,Products!$A$2:$A$501,0)),"CODE NOT FOUND"))</f>
        <v>Helmet Full Face</v>
      </c>
      <c r="E131" s="7" t="n">
        <v>1</v>
      </c>
      <c r="F131" s="13" t="n">
        <v>1750</v>
      </c>
      <c r="G131" s="13" t="n">
        <v>1250</v>
      </c>
      <c r="H131" s="17" t="n">
        <f aca="false">IF(OR(E131="",F131=""),"",E131*F131)</f>
        <v>1750</v>
      </c>
      <c r="I131" s="17" t="n">
        <f aca="false">IF(OR(E131="",G131=""),"",E131*G131)</f>
        <v>1250</v>
      </c>
      <c r="J131" s="17" t="n">
        <f aca="false">IF(H131="","",H131-I131)</f>
        <v>500</v>
      </c>
    </row>
    <row r="132" customFormat="false" ht="15" hidden="false" customHeight="true" outlineLevel="0" collapsed="false">
      <c r="A132" s="7" t="s">
        <v>386</v>
      </c>
      <c r="B132" s="18" t="n">
        <f aca="false">IF(A132="","",IFERROR(INDEX(Sales_Memo!$B$2:$B$1001,MATCH(A132,Sales_Memo!$A$2:$A$1001,0)),""))</f>
        <v>46246</v>
      </c>
      <c r="C132" s="7" t="s">
        <v>77</v>
      </c>
      <c r="D132" s="16" t="str">
        <f aca="false">IF(C132="","",IFERROR(INDEX(Products!$B$2:$B$501,MATCH(C132,Products!$A$2:$A$501,0)),"CODE NOT FOUND"))</f>
        <v>Brake Pad Set - Front</v>
      </c>
      <c r="E132" s="7" t="n">
        <v>1</v>
      </c>
      <c r="F132" s="13" t="n">
        <v>480</v>
      </c>
      <c r="G132" s="13" t="n">
        <v>320</v>
      </c>
      <c r="H132" s="17" t="n">
        <f aca="false">IF(OR(E132="",F132=""),"",E132*F132)</f>
        <v>480</v>
      </c>
      <c r="I132" s="17" t="n">
        <f aca="false">IF(OR(E132="",G132=""),"",E132*G132)</f>
        <v>320</v>
      </c>
      <c r="J132" s="17" t="n">
        <f aca="false">IF(H132="","",H132-I132)</f>
        <v>160</v>
      </c>
    </row>
    <row r="133" customFormat="false" ht="15" hidden="false" customHeight="true" outlineLevel="0" collapsed="false">
      <c r="A133" s="7" t="s">
        <v>386</v>
      </c>
      <c r="B133" s="18" t="n">
        <f aca="false">IF(A133="","",IFERROR(INDEX(Sales_Memo!$B$2:$B$1001,MATCH(A133,Sales_Memo!$A$2:$A$1001,0)),""))</f>
        <v>46246</v>
      </c>
      <c r="C133" s="7" t="s">
        <v>86</v>
      </c>
      <c r="D133" s="16" t="str">
        <f aca="false">IF(C133="","",IFERROR(INDEX(Products!$B$2:$B$501,MATCH(C133,Products!$A$2:$A$501,0)),"CODE NOT FOUND"))</f>
        <v>Spark Plug CPR8EA-9</v>
      </c>
      <c r="E133" s="7" t="n">
        <v>1</v>
      </c>
      <c r="F133" s="13" t="n">
        <v>260</v>
      </c>
      <c r="G133" s="13" t="n">
        <v>175</v>
      </c>
      <c r="H133" s="17" t="n">
        <f aca="false">IF(OR(E133="",F133=""),"",E133*F133)</f>
        <v>260</v>
      </c>
      <c r="I133" s="17" t="n">
        <f aca="false">IF(OR(E133="",G133=""),"",E133*G133)</f>
        <v>175</v>
      </c>
      <c r="J133" s="17" t="n">
        <f aca="false">IF(H133="","",H133-I133)</f>
        <v>85</v>
      </c>
    </row>
    <row r="134" customFormat="false" ht="15" hidden="false" customHeight="true" outlineLevel="0" collapsed="false">
      <c r="A134" s="7" t="s">
        <v>388</v>
      </c>
      <c r="B134" s="18" t="n">
        <f aca="false">IF(A134="","",IFERROR(INDEX(Sales_Memo!$B$2:$B$1001,MATCH(A134,Sales_Memo!$A$2:$A$1001,0)),""))</f>
        <v>46246</v>
      </c>
      <c r="C134" s="7" t="s">
        <v>116</v>
      </c>
      <c r="D134" s="16" t="str">
        <f aca="false">IF(C134="","",IFERROR(INDEX(Products!$B$2:$B$501,MATCH(C134,Products!$A$2:$A$501,0)),"CODE NOT FOUND"))</f>
        <v>Helmet Full Face</v>
      </c>
      <c r="E134" s="7" t="n">
        <v>1</v>
      </c>
      <c r="F134" s="13" t="n">
        <v>1750</v>
      </c>
      <c r="G134" s="13" t="n">
        <v>1250</v>
      </c>
      <c r="H134" s="17" t="n">
        <f aca="false">IF(OR(E134="",F134=""),"",E134*F134)</f>
        <v>1750</v>
      </c>
      <c r="I134" s="17" t="n">
        <f aca="false">IF(OR(E134="",G134=""),"",E134*G134)</f>
        <v>1250</v>
      </c>
      <c r="J134" s="17" t="n">
        <f aca="false">IF(H134="","",H134-I134)</f>
        <v>500</v>
      </c>
    </row>
    <row r="135" customFormat="false" ht="15" hidden="false" customHeight="true" outlineLevel="0" collapsed="false">
      <c r="A135" s="7" t="s">
        <v>390</v>
      </c>
      <c r="B135" s="18" t="n">
        <f aca="false">IF(A135="","",IFERROR(INDEX(Sales_Memo!$B$2:$B$1001,MATCH(A135,Sales_Memo!$A$2:$A$1001,0)),""))</f>
        <v>46246</v>
      </c>
      <c r="C135" s="7" t="s">
        <v>96</v>
      </c>
      <c r="D135" s="16" t="str">
        <f aca="false">IF(C135="","",IFERROR(INDEX(Products!$B$2:$B$501,MATCH(C135,Products!$A$2:$A$501,0)),"CODE NOT FOUND"))</f>
        <v>Engine Oil 10W-30 (1L)</v>
      </c>
      <c r="E135" s="7" t="n">
        <v>1</v>
      </c>
      <c r="F135" s="13" t="n">
        <v>780</v>
      </c>
      <c r="G135" s="13" t="n">
        <v>620</v>
      </c>
      <c r="H135" s="17" t="n">
        <f aca="false">IF(OR(E135="",F135=""),"",E135*F135)</f>
        <v>780</v>
      </c>
      <c r="I135" s="17" t="n">
        <f aca="false">IF(OR(E135="",G135=""),"",E135*G135)</f>
        <v>620</v>
      </c>
      <c r="J135" s="17" t="n">
        <f aca="false">IF(H135="","",H135-I135)</f>
        <v>160</v>
      </c>
    </row>
    <row r="136" customFormat="false" ht="15" hidden="false" customHeight="true" outlineLevel="0" collapsed="false">
      <c r="A136" s="7" t="s">
        <v>390</v>
      </c>
      <c r="B136" s="18" t="n">
        <f aca="false">IF(A136="","",IFERROR(INDEX(Sales_Memo!$B$2:$B$1001,MATCH(A136,Sales_Memo!$A$2:$A$1001,0)),""))</f>
        <v>46246</v>
      </c>
      <c r="C136" s="7" t="s">
        <v>86</v>
      </c>
      <c r="D136" s="16" t="str">
        <f aca="false">IF(C136="","",IFERROR(INDEX(Products!$B$2:$B$501,MATCH(C136,Products!$A$2:$A$501,0)),"CODE NOT FOUND"))</f>
        <v>Spark Plug CPR8EA-9</v>
      </c>
      <c r="E136" s="7" t="n">
        <v>2</v>
      </c>
      <c r="F136" s="13" t="n">
        <v>260</v>
      </c>
      <c r="G136" s="13" t="n">
        <v>175</v>
      </c>
      <c r="H136" s="17" t="n">
        <f aca="false">IF(OR(E136="",F136=""),"",E136*F136)</f>
        <v>520</v>
      </c>
      <c r="I136" s="17" t="n">
        <f aca="false">IF(OR(E136="",G136=""),"",E136*G136)</f>
        <v>350</v>
      </c>
      <c r="J136" s="17" t="n">
        <f aca="false">IF(H136="","",H136-I136)</f>
        <v>170</v>
      </c>
    </row>
    <row r="137" customFormat="false" ht="15" hidden="false" customHeight="true" outlineLevel="0" collapsed="false">
      <c r="A137" s="7" t="s">
        <v>392</v>
      </c>
      <c r="B137" s="18" t="n">
        <f aca="false">IF(A137="","",IFERROR(INDEX(Sales_Memo!$B$2:$B$1001,MATCH(A137,Sales_Memo!$A$2:$A$1001,0)),""))</f>
        <v>46246</v>
      </c>
      <c r="C137" s="7" t="s">
        <v>119</v>
      </c>
      <c r="D137" s="16" t="str">
        <f aca="false">IF(C137="","",IFERROR(INDEX(Products!$B$2:$B$501,MATCH(C137,Products!$A$2:$A$501,0)),"CODE NOT FOUND"))</f>
        <v>Chain Lube Spray</v>
      </c>
      <c r="E137" s="7" t="n">
        <v>3</v>
      </c>
      <c r="F137" s="13" t="n">
        <v>270</v>
      </c>
      <c r="G137" s="13" t="n">
        <v>170</v>
      </c>
      <c r="H137" s="17" t="n">
        <f aca="false">IF(OR(E137="",F137=""),"",E137*F137)</f>
        <v>810</v>
      </c>
      <c r="I137" s="17" t="n">
        <f aca="false">IF(OR(E137="",G137=""),"",E137*G137)</f>
        <v>510</v>
      </c>
      <c r="J137" s="17" t="n">
        <f aca="false">IF(H137="","",H137-I137)</f>
        <v>300</v>
      </c>
    </row>
    <row r="138" customFormat="false" ht="15" hidden="false" customHeight="true" outlineLevel="0" collapsed="false">
      <c r="A138" s="7" t="s">
        <v>394</v>
      </c>
      <c r="B138" s="18" t="n">
        <f aca="false">IF(A138="","",IFERROR(INDEX(Sales_Memo!$B$2:$B$1001,MATCH(A138,Sales_Memo!$A$2:$A$1001,0)),""))</f>
        <v>46246</v>
      </c>
      <c r="C138" s="7" t="s">
        <v>119</v>
      </c>
      <c r="D138" s="16" t="str">
        <f aca="false">IF(C138="","",IFERROR(INDEX(Products!$B$2:$B$501,MATCH(C138,Products!$A$2:$A$501,0)),"CODE NOT FOUND"))</f>
        <v>Chain Lube Spray</v>
      </c>
      <c r="E138" s="7" t="n">
        <v>2</v>
      </c>
      <c r="F138" s="13" t="n">
        <v>270</v>
      </c>
      <c r="G138" s="13" t="n">
        <v>170</v>
      </c>
      <c r="H138" s="17" t="n">
        <f aca="false">IF(OR(E138="",F138=""),"",E138*F138)</f>
        <v>540</v>
      </c>
      <c r="I138" s="17" t="n">
        <f aca="false">IF(OR(E138="",G138=""),"",E138*G138)</f>
        <v>340</v>
      </c>
      <c r="J138" s="17" t="n">
        <f aca="false">IF(H138="","",H138-I138)</f>
        <v>200</v>
      </c>
    </row>
    <row r="139" customFormat="false" ht="15" hidden="false" customHeight="true" outlineLevel="0" collapsed="false">
      <c r="A139" s="7" t="s">
        <v>394</v>
      </c>
      <c r="B139" s="18" t="n">
        <f aca="false">IF(A139="","",IFERROR(INDEX(Sales_Memo!$B$2:$B$1001,MATCH(A139,Sales_Memo!$A$2:$A$1001,0)),""))</f>
        <v>46246</v>
      </c>
      <c r="C139" s="7" t="s">
        <v>82</v>
      </c>
      <c r="D139" s="16" t="str">
        <f aca="false">IF(C139="","",IFERROR(INDEX(Products!$B$2:$B$501,MATCH(C139,Products!$A$2:$A$501,0)),"CODE NOT FOUND"))</f>
        <v>Clutch Cable</v>
      </c>
      <c r="E139" s="7" t="n">
        <v>3</v>
      </c>
      <c r="F139" s="13" t="n">
        <v>190</v>
      </c>
      <c r="G139" s="13" t="n">
        <v>110</v>
      </c>
      <c r="H139" s="17" t="n">
        <f aca="false">IF(OR(E139="",F139=""),"",E139*F139)</f>
        <v>570</v>
      </c>
      <c r="I139" s="17" t="n">
        <f aca="false">IF(OR(E139="",G139=""),"",E139*G139)</f>
        <v>330</v>
      </c>
      <c r="J139" s="17" t="n">
        <f aca="false">IF(H139="","",H139-I139)</f>
        <v>240</v>
      </c>
    </row>
    <row r="140" customFormat="false" ht="15" hidden="false" customHeight="true" outlineLevel="0" collapsed="false">
      <c r="A140" s="7" t="s">
        <v>396</v>
      </c>
      <c r="B140" s="18" t="n">
        <f aca="false">IF(A140="","",IFERROR(INDEX(Sales_Memo!$B$2:$B$1001,MATCH(A140,Sales_Memo!$A$2:$A$1001,0)),""))</f>
        <v>46246</v>
      </c>
      <c r="C140" s="7" t="s">
        <v>102</v>
      </c>
      <c r="D140" s="16" t="str">
        <f aca="false">IF(C140="","",IFERROR(INDEX(Products!$B$2:$B$501,MATCH(C140,Products!$A$2:$A$501,0)),"CODE NOT FOUND"))</f>
        <v>Headlight Bulb H4</v>
      </c>
      <c r="E140" s="7" t="n">
        <v>3</v>
      </c>
      <c r="F140" s="13" t="n">
        <v>240</v>
      </c>
      <c r="G140" s="13" t="n">
        <v>140</v>
      </c>
      <c r="H140" s="17" t="n">
        <f aca="false">IF(OR(E140="",F140=""),"",E140*F140)</f>
        <v>720</v>
      </c>
      <c r="I140" s="17" t="n">
        <f aca="false">IF(OR(E140="",G140=""),"",E140*G140)</f>
        <v>420</v>
      </c>
      <c r="J140" s="17" t="n">
        <f aca="false">IF(H140="","",H140-I140)</f>
        <v>300</v>
      </c>
    </row>
    <row r="141" customFormat="false" ht="15" hidden="false" customHeight="true" outlineLevel="0" collapsed="false">
      <c r="A141" s="7" t="s">
        <v>396</v>
      </c>
      <c r="B141" s="18" t="n">
        <f aca="false">IF(A141="","",IFERROR(INDEX(Sales_Memo!$B$2:$B$1001,MATCH(A141,Sales_Memo!$A$2:$A$1001,0)),""))</f>
        <v>46246</v>
      </c>
      <c r="C141" s="7" t="s">
        <v>82</v>
      </c>
      <c r="D141" s="16" t="str">
        <f aca="false">IF(C141="","",IFERROR(INDEX(Products!$B$2:$B$501,MATCH(C141,Products!$A$2:$A$501,0)),"CODE NOT FOUND"))</f>
        <v>Clutch Cable</v>
      </c>
      <c r="E141" s="7" t="n">
        <v>2</v>
      </c>
      <c r="F141" s="13" t="n">
        <v>190</v>
      </c>
      <c r="G141" s="13" t="n">
        <v>110</v>
      </c>
      <c r="H141" s="17" t="n">
        <f aca="false">IF(OR(E141="",F141=""),"",E141*F141)</f>
        <v>380</v>
      </c>
      <c r="I141" s="17" t="n">
        <f aca="false">IF(OR(E141="",G141=""),"",E141*G141)</f>
        <v>220</v>
      </c>
      <c r="J141" s="17" t="n">
        <f aca="false">IF(H141="","",H141-I141)</f>
        <v>160</v>
      </c>
    </row>
    <row r="142" customFormat="false" ht="15" hidden="false" customHeight="true" outlineLevel="0" collapsed="false">
      <c r="A142" s="7" t="s">
        <v>398</v>
      </c>
      <c r="B142" s="18" t="n">
        <f aca="false">IF(A142="","",IFERROR(INDEX(Sales_Memo!$B$2:$B$1001,MATCH(A142,Sales_Memo!$A$2:$A$1001,0)),""))</f>
        <v>46247</v>
      </c>
      <c r="C142" s="7" t="s">
        <v>86</v>
      </c>
      <c r="D142" s="16" t="str">
        <f aca="false">IF(C142="","",IFERROR(INDEX(Products!$B$2:$B$501,MATCH(C142,Products!$A$2:$A$501,0)),"CODE NOT FOUND"))</f>
        <v>Spark Plug CPR8EA-9</v>
      </c>
      <c r="E142" s="7" t="n">
        <v>1</v>
      </c>
      <c r="F142" s="13" t="n">
        <v>260</v>
      </c>
      <c r="G142" s="13" t="n">
        <v>175</v>
      </c>
      <c r="H142" s="17" t="n">
        <f aca="false">IF(OR(E142="",F142=""),"",E142*F142)</f>
        <v>260</v>
      </c>
      <c r="I142" s="17" t="n">
        <f aca="false">IF(OR(E142="",G142=""),"",E142*G142)</f>
        <v>175</v>
      </c>
      <c r="J142" s="17" t="n">
        <f aca="false">IF(H142="","",H142-I142)</f>
        <v>85</v>
      </c>
    </row>
    <row r="143" customFormat="false" ht="15" hidden="false" customHeight="true" outlineLevel="0" collapsed="false">
      <c r="A143" s="7" t="s">
        <v>398</v>
      </c>
      <c r="B143" s="18" t="n">
        <f aca="false">IF(A143="","",IFERROR(INDEX(Sales_Memo!$B$2:$B$1001,MATCH(A143,Sales_Memo!$A$2:$A$1001,0)),""))</f>
        <v>46247</v>
      </c>
      <c r="C143" s="7" t="s">
        <v>82</v>
      </c>
      <c r="D143" s="16" t="str">
        <f aca="false">IF(C143="","",IFERROR(INDEX(Products!$B$2:$B$501,MATCH(C143,Products!$A$2:$A$501,0)),"CODE NOT FOUND"))</f>
        <v>Clutch Cable</v>
      </c>
      <c r="E143" s="7" t="n">
        <v>1</v>
      </c>
      <c r="F143" s="13" t="n">
        <v>190</v>
      </c>
      <c r="G143" s="13" t="n">
        <v>110</v>
      </c>
      <c r="H143" s="17" t="n">
        <f aca="false">IF(OR(E143="",F143=""),"",E143*F143)</f>
        <v>190</v>
      </c>
      <c r="I143" s="17" t="n">
        <f aca="false">IF(OR(E143="",G143=""),"",E143*G143)</f>
        <v>110</v>
      </c>
      <c r="J143" s="17" t="n">
        <f aca="false">IF(H143="","",H143-I143)</f>
        <v>80</v>
      </c>
    </row>
    <row r="144" customFormat="false" ht="15" hidden="false" customHeight="true" outlineLevel="0" collapsed="false">
      <c r="A144" s="7" t="s">
        <v>400</v>
      </c>
      <c r="B144" s="18" t="n">
        <f aca="false">IF(A144="","",IFERROR(INDEX(Sales_Memo!$B$2:$B$1001,MATCH(A144,Sales_Memo!$A$2:$A$1001,0)),""))</f>
        <v>46247</v>
      </c>
      <c r="C144" s="7" t="s">
        <v>116</v>
      </c>
      <c r="D144" s="16" t="str">
        <f aca="false">IF(C144="","",IFERROR(INDEX(Products!$B$2:$B$501,MATCH(C144,Products!$A$2:$A$501,0)),"CODE NOT FOUND"))</f>
        <v>Helmet Full Face</v>
      </c>
      <c r="E144" s="7" t="n">
        <v>1</v>
      </c>
      <c r="F144" s="13" t="n">
        <v>1750</v>
      </c>
      <c r="G144" s="13" t="n">
        <v>1250</v>
      </c>
      <c r="H144" s="17" t="n">
        <f aca="false">IF(OR(E144="",F144=""),"",E144*F144)</f>
        <v>1750</v>
      </c>
      <c r="I144" s="17" t="n">
        <f aca="false">IF(OR(E144="",G144=""),"",E144*G144)</f>
        <v>1250</v>
      </c>
      <c r="J144" s="17" t="n">
        <f aca="false">IF(H144="","",H144-I144)</f>
        <v>500</v>
      </c>
    </row>
    <row r="145" customFormat="false" ht="15" hidden="false" customHeight="true" outlineLevel="0" collapsed="false">
      <c r="A145" s="7" t="s">
        <v>400</v>
      </c>
      <c r="B145" s="18" t="n">
        <f aca="false">IF(A145="","",IFERROR(INDEX(Sales_Memo!$B$2:$B$1001,MATCH(A145,Sales_Memo!$A$2:$A$1001,0)),""))</f>
        <v>46247</v>
      </c>
      <c r="C145" s="7" t="s">
        <v>86</v>
      </c>
      <c r="D145" s="16" t="str">
        <f aca="false">IF(C145="","",IFERROR(INDEX(Products!$B$2:$B$501,MATCH(C145,Products!$A$2:$A$501,0)),"CODE NOT FOUND"))</f>
        <v>Spark Plug CPR8EA-9</v>
      </c>
      <c r="E145" s="7" t="n">
        <v>1</v>
      </c>
      <c r="F145" s="13" t="n">
        <v>260</v>
      </c>
      <c r="G145" s="13" t="n">
        <v>175</v>
      </c>
      <c r="H145" s="17" t="n">
        <f aca="false">IF(OR(E145="",F145=""),"",E145*F145)</f>
        <v>260</v>
      </c>
      <c r="I145" s="17" t="n">
        <f aca="false">IF(OR(E145="",G145=""),"",E145*G145)</f>
        <v>175</v>
      </c>
      <c r="J145" s="17" t="n">
        <f aca="false">IF(H145="","",H145-I145)</f>
        <v>85</v>
      </c>
    </row>
    <row r="146" customFormat="false" ht="15" hidden="false" customHeight="true" outlineLevel="0" collapsed="false">
      <c r="A146" s="7" t="s">
        <v>400</v>
      </c>
      <c r="B146" s="18" t="n">
        <f aca="false">IF(A146="","",IFERROR(INDEX(Sales_Memo!$B$2:$B$1001,MATCH(A146,Sales_Memo!$A$2:$A$1001,0)),""))</f>
        <v>46247</v>
      </c>
      <c r="C146" s="7" t="s">
        <v>82</v>
      </c>
      <c r="D146" s="16" t="str">
        <f aca="false">IF(C146="","",IFERROR(INDEX(Products!$B$2:$B$501,MATCH(C146,Products!$A$2:$A$501,0)),"CODE NOT FOUND"))</f>
        <v>Clutch Cable</v>
      </c>
      <c r="E146" s="7" t="n">
        <v>2</v>
      </c>
      <c r="F146" s="13" t="n">
        <v>190</v>
      </c>
      <c r="G146" s="13" t="n">
        <v>110</v>
      </c>
      <c r="H146" s="17" t="n">
        <f aca="false">IF(OR(E146="",F146=""),"",E146*F146)</f>
        <v>380</v>
      </c>
      <c r="I146" s="17" t="n">
        <f aca="false">IF(OR(E146="",G146=""),"",E146*G146)</f>
        <v>220</v>
      </c>
      <c r="J146" s="17" t="n">
        <f aca="false">IF(H146="","",H146-I146)</f>
        <v>160</v>
      </c>
    </row>
    <row r="147" customFormat="false" ht="15" hidden="false" customHeight="true" outlineLevel="0" collapsed="false">
      <c r="A147" s="7" t="s">
        <v>402</v>
      </c>
      <c r="B147" s="18" t="n">
        <f aca="false">IF(A147="","",IFERROR(INDEX(Sales_Memo!$B$2:$B$1001,MATCH(A147,Sales_Memo!$A$2:$A$1001,0)),""))</f>
        <v>46247</v>
      </c>
      <c r="C147" s="7" t="s">
        <v>86</v>
      </c>
      <c r="D147" s="16" t="str">
        <f aca="false">IF(C147="","",IFERROR(INDEX(Products!$B$2:$B$501,MATCH(C147,Products!$A$2:$A$501,0)),"CODE NOT FOUND"))</f>
        <v>Spark Plug CPR8EA-9</v>
      </c>
      <c r="E147" s="7" t="n">
        <v>2</v>
      </c>
      <c r="F147" s="13" t="n">
        <v>260</v>
      </c>
      <c r="G147" s="13" t="n">
        <v>175</v>
      </c>
      <c r="H147" s="17" t="n">
        <f aca="false">IF(OR(E147="",F147=""),"",E147*F147)</f>
        <v>520</v>
      </c>
      <c r="I147" s="17" t="n">
        <f aca="false">IF(OR(E147="",G147=""),"",E147*G147)</f>
        <v>350</v>
      </c>
      <c r="J147" s="17" t="n">
        <f aca="false">IF(H147="","",H147-I147)</f>
        <v>170</v>
      </c>
    </row>
    <row r="148" customFormat="false" ht="15" hidden="false" customHeight="true" outlineLevel="0" collapsed="false">
      <c r="A148" s="7" t="s">
        <v>402</v>
      </c>
      <c r="B148" s="18" t="n">
        <f aca="false">IF(A148="","",IFERROR(INDEX(Sales_Memo!$B$2:$B$1001,MATCH(A148,Sales_Memo!$A$2:$A$1001,0)),""))</f>
        <v>46247</v>
      </c>
      <c r="C148" s="7" t="s">
        <v>121</v>
      </c>
      <c r="D148" s="16" t="str">
        <f aca="false">IF(C148="","",IFERROR(INDEX(Products!$B$2:$B$501,MATCH(C148,Products!$A$2:$A$501,0)),"CODE NOT FOUND"))</f>
        <v>Handle Grip Set</v>
      </c>
      <c r="E148" s="7" t="n">
        <v>3</v>
      </c>
      <c r="F148" s="13" t="n">
        <v>280</v>
      </c>
      <c r="G148" s="13" t="n">
        <v>160</v>
      </c>
      <c r="H148" s="17" t="n">
        <f aca="false">IF(OR(E148="",F148=""),"",E148*F148)</f>
        <v>840</v>
      </c>
      <c r="I148" s="17" t="n">
        <f aca="false">IF(OR(E148="",G148=""),"",E148*G148)</f>
        <v>480</v>
      </c>
      <c r="J148" s="17" t="n">
        <f aca="false">IF(H148="","",H148-I148)</f>
        <v>360</v>
      </c>
    </row>
    <row r="149" customFormat="false" ht="15" hidden="false" customHeight="true" outlineLevel="0" collapsed="false">
      <c r="A149" s="7" t="s">
        <v>404</v>
      </c>
      <c r="B149" s="18" t="n">
        <f aca="false">IF(A149="","",IFERROR(INDEX(Sales_Memo!$B$2:$B$1001,MATCH(A149,Sales_Memo!$A$2:$A$1001,0)),""))</f>
        <v>46247</v>
      </c>
      <c r="C149" s="7" t="s">
        <v>105</v>
      </c>
      <c r="D149" s="16" t="str">
        <f aca="false">IF(C149="","",IFERROR(INDEX(Products!$B$2:$B$501,MATCH(C149,Products!$A$2:$A$501,0)),"CODE NOT FOUND"))</f>
        <v>Battery 12V 5Ah</v>
      </c>
      <c r="E149" s="7" t="n">
        <v>1</v>
      </c>
      <c r="F149" s="13" t="n">
        <v>2950</v>
      </c>
      <c r="G149" s="13" t="n">
        <v>2350</v>
      </c>
      <c r="H149" s="17" t="n">
        <f aca="false">IF(OR(E149="",F149=""),"",E149*F149)</f>
        <v>2950</v>
      </c>
      <c r="I149" s="17" t="n">
        <f aca="false">IF(OR(E149="",G149=""),"",E149*G149)</f>
        <v>2350</v>
      </c>
      <c r="J149" s="17" t="n">
        <f aca="false">IF(H149="","",H149-I149)</f>
        <v>600</v>
      </c>
    </row>
    <row r="150" customFormat="false" ht="15" hidden="false" customHeight="true" outlineLevel="0" collapsed="false">
      <c r="A150" s="7" t="s">
        <v>406</v>
      </c>
      <c r="B150" s="18" t="n">
        <f aca="false">IF(A150="","",IFERROR(INDEX(Sales_Memo!$B$2:$B$1001,MATCH(A150,Sales_Memo!$A$2:$A$1001,0)),""))</f>
        <v>46247</v>
      </c>
      <c r="C150" s="7" t="s">
        <v>119</v>
      </c>
      <c r="D150" s="16" t="str">
        <f aca="false">IF(C150="","",IFERROR(INDEX(Products!$B$2:$B$501,MATCH(C150,Products!$A$2:$A$501,0)),"CODE NOT FOUND"))</f>
        <v>Chain Lube Spray</v>
      </c>
      <c r="E150" s="7" t="n">
        <v>3</v>
      </c>
      <c r="F150" s="13" t="n">
        <v>270</v>
      </c>
      <c r="G150" s="13" t="n">
        <v>170</v>
      </c>
      <c r="H150" s="17" t="n">
        <f aca="false">IF(OR(E150="",F150=""),"",E150*F150)</f>
        <v>810</v>
      </c>
      <c r="I150" s="17" t="n">
        <f aca="false">IF(OR(E150="",G150=""),"",E150*G150)</f>
        <v>510</v>
      </c>
      <c r="J150" s="17" t="n">
        <f aca="false">IF(H150="","",H150-I150)</f>
        <v>300</v>
      </c>
    </row>
    <row r="151" customFormat="false" ht="15" hidden="false" customHeight="true" outlineLevel="0" collapsed="false">
      <c r="A151" s="7" t="s">
        <v>407</v>
      </c>
      <c r="B151" s="18" t="n">
        <f aca="false">IF(A151="","",IFERROR(INDEX(Sales_Memo!$B$2:$B$1001,MATCH(A151,Sales_Memo!$A$2:$A$1001,0)),""))</f>
        <v>46247</v>
      </c>
      <c r="C151" s="7" t="s">
        <v>119</v>
      </c>
      <c r="D151" s="16" t="str">
        <f aca="false">IF(C151="","",IFERROR(INDEX(Products!$B$2:$B$501,MATCH(C151,Products!$A$2:$A$501,0)),"CODE NOT FOUND"))</f>
        <v>Chain Lube Spray</v>
      </c>
      <c r="E151" s="7" t="n">
        <v>2</v>
      </c>
      <c r="F151" s="13" t="n">
        <v>270</v>
      </c>
      <c r="G151" s="13" t="n">
        <v>170</v>
      </c>
      <c r="H151" s="17" t="n">
        <f aca="false">IF(OR(E151="",F151=""),"",E151*F151)</f>
        <v>540</v>
      </c>
      <c r="I151" s="17" t="n">
        <f aca="false">IF(OR(E151="",G151=""),"",E151*G151)</f>
        <v>340</v>
      </c>
      <c r="J151" s="17" t="n">
        <f aca="false">IF(H151="","",H151-I151)</f>
        <v>200</v>
      </c>
    </row>
    <row r="152" customFormat="false" ht="15" hidden="false" customHeight="true" outlineLevel="0" collapsed="false">
      <c r="A152" s="7" t="s">
        <v>408</v>
      </c>
      <c r="B152" s="18" t="n">
        <f aca="false">IF(A152="","",IFERROR(INDEX(Sales_Memo!$B$2:$B$1001,MATCH(A152,Sales_Memo!$A$2:$A$1001,0)),""))</f>
        <v>46247</v>
      </c>
      <c r="C152" s="7" t="s">
        <v>121</v>
      </c>
      <c r="D152" s="16" t="str">
        <f aca="false">IF(C152="","",IFERROR(INDEX(Products!$B$2:$B$501,MATCH(C152,Products!$A$2:$A$501,0)),"CODE NOT FOUND"))</f>
        <v>Handle Grip Set</v>
      </c>
      <c r="E152" s="7" t="n">
        <v>2</v>
      </c>
      <c r="F152" s="13" t="n">
        <v>280</v>
      </c>
      <c r="G152" s="13" t="n">
        <v>160</v>
      </c>
      <c r="H152" s="17" t="n">
        <f aca="false">IF(OR(E152="",F152=""),"",E152*F152)</f>
        <v>560</v>
      </c>
      <c r="I152" s="17" t="n">
        <f aca="false">IF(OR(E152="",G152=""),"",E152*G152)</f>
        <v>320</v>
      </c>
      <c r="J152" s="17" t="n">
        <f aca="false">IF(H152="","",H152-I152)</f>
        <v>240</v>
      </c>
    </row>
    <row r="153" customFormat="false" ht="15" hidden="false" customHeight="true" outlineLevel="0" collapsed="false">
      <c r="A153" s="7" t="s">
        <v>410</v>
      </c>
      <c r="B153" s="18" t="n">
        <f aca="false">IF(A153="","",IFERROR(INDEX(Sales_Memo!$B$2:$B$1001,MATCH(A153,Sales_Memo!$A$2:$A$1001,0)),""))</f>
        <v>46247</v>
      </c>
      <c r="C153" s="7" t="s">
        <v>86</v>
      </c>
      <c r="D153" s="16" t="str">
        <f aca="false">IF(C153="","",IFERROR(INDEX(Products!$B$2:$B$501,MATCH(C153,Products!$A$2:$A$501,0)),"CODE NOT FOUND"))</f>
        <v>Spark Plug CPR8EA-9</v>
      </c>
      <c r="E153" s="7" t="n">
        <v>2</v>
      </c>
      <c r="F153" s="13" t="n">
        <v>260</v>
      </c>
      <c r="G153" s="13" t="n">
        <v>175</v>
      </c>
      <c r="H153" s="17" t="n">
        <f aca="false">IF(OR(E153="",F153=""),"",E153*F153)</f>
        <v>520</v>
      </c>
      <c r="I153" s="17" t="n">
        <f aca="false">IF(OR(E153="",G153=""),"",E153*G153)</f>
        <v>350</v>
      </c>
      <c r="J153" s="17" t="n">
        <f aca="false">IF(H153="","",H153-I153)</f>
        <v>170</v>
      </c>
    </row>
    <row r="154" customFormat="false" ht="15" hidden="false" customHeight="true" outlineLevel="0" collapsed="false">
      <c r="A154" s="7" t="s">
        <v>412</v>
      </c>
      <c r="B154" s="18" t="n">
        <f aca="false">IF(A154="","",IFERROR(INDEX(Sales_Memo!$B$2:$B$1001,MATCH(A154,Sales_Memo!$A$2:$A$1001,0)),""))</f>
        <v>46247</v>
      </c>
      <c r="C154" s="7" t="s">
        <v>102</v>
      </c>
      <c r="D154" s="16" t="str">
        <f aca="false">IF(C154="","",IFERROR(INDEX(Products!$B$2:$B$501,MATCH(C154,Products!$A$2:$A$501,0)),"CODE NOT FOUND"))</f>
        <v>Headlight Bulb H4</v>
      </c>
      <c r="E154" s="7" t="n">
        <v>1</v>
      </c>
      <c r="F154" s="13" t="n">
        <v>240</v>
      </c>
      <c r="G154" s="13" t="n">
        <v>140</v>
      </c>
      <c r="H154" s="17" t="n">
        <f aca="false">IF(OR(E154="",F154=""),"",E154*F154)</f>
        <v>240</v>
      </c>
      <c r="I154" s="17" t="n">
        <f aca="false">IF(OR(E154="",G154=""),"",E154*G154)</f>
        <v>140</v>
      </c>
      <c r="J154" s="17" t="n">
        <f aca="false">IF(H154="","",H154-I154)</f>
        <v>100</v>
      </c>
    </row>
    <row r="155" customFormat="false" ht="15" hidden="false" customHeight="true" outlineLevel="0" collapsed="false">
      <c r="A155" s="7" t="s">
        <v>412</v>
      </c>
      <c r="B155" s="18" t="n">
        <f aca="false">IF(A155="","",IFERROR(INDEX(Sales_Memo!$B$2:$B$1001,MATCH(A155,Sales_Memo!$A$2:$A$1001,0)),""))</f>
        <v>46247</v>
      </c>
      <c r="C155" s="7" t="s">
        <v>114</v>
      </c>
      <c r="D155" s="16" t="str">
        <f aca="false">IF(C155="","",IFERROR(INDEX(Products!$B$2:$B$501,MATCH(C155,Products!$A$2:$A$501,0)),"CODE NOT FOUND"))</f>
        <v>Side Mirror (Pair)</v>
      </c>
      <c r="E155" s="7" t="n">
        <v>2</v>
      </c>
      <c r="F155" s="13" t="n">
        <v>620</v>
      </c>
      <c r="G155" s="13" t="n">
        <v>380</v>
      </c>
      <c r="H155" s="17" t="n">
        <f aca="false">IF(OR(E155="",F155=""),"",E155*F155)</f>
        <v>1240</v>
      </c>
      <c r="I155" s="17" t="n">
        <f aca="false">IF(OR(E155="",G155=""),"",E155*G155)</f>
        <v>760</v>
      </c>
      <c r="J155" s="17" t="n">
        <f aca="false">IF(H155="","",H155-I155)</f>
        <v>480</v>
      </c>
    </row>
    <row r="156" customFormat="false" ht="15" hidden="false" customHeight="true" outlineLevel="0" collapsed="false">
      <c r="A156" s="7" t="s">
        <v>412</v>
      </c>
      <c r="B156" s="18" t="n">
        <f aca="false">IF(A156="","",IFERROR(INDEX(Sales_Memo!$B$2:$B$1001,MATCH(A156,Sales_Memo!$A$2:$A$1001,0)),""))</f>
        <v>46247</v>
      </c>
      <c r="C156" s="7" t="s">
        <v>86</v>
      </c>
      <c r="D156" s="16" t="str">
        <f aca="false">IF(C156="","",IFERROR(INDEX(Products!$B$2:$B$501,MATCH(C156,Products!$A$2:$A$501,0)),"CODE NOT FOUND"))</f>
        <v>Spark Plug CPR8EA-9</v>
      </c>
      <c r="E156" s="7" t="n">
        <v>1</v>
      </c>
      <c r="F156" s="13" t="n">
        <v>260</v>
      </c>
      <c r="G156" s="13" t="n">
        <v>175</v>
      </c>
      <c r="H156" s="17" t="n">
        <f aca="false">IF(OR(E156="",F156=""),"",E156*F156)</f>
        <v>260</v>
      </c>
      <c r="I156" s="17" t="n">
        <f aca="false">IF(OR(E156="",G156=""),"",E156*G156)</f>
        <v>175</v>
      </c>
      <c r="J156" s="17" t="n">
        <f aca="false">IF(H156="","",H156-I156)</f>
        <v>85</v>
      </c>
    </row>
    <row r="157" customFormat="false" ht="15" hidden="false" customHeight="true" outlineLevel="0" collapsed="false">
      <c r="A157" s="7" t="s">
        <v>414</v>
      </c>
      <c r="B157" s="18" t="n">
        <f aca="false">IF(A157="","",IFERROR(INDEX(Sales_Memo!$B$2:$B$1001,MATCH(A157,Sales_Memo!$A$2:$A$1001,0)),""))</f>
        <v>46247</v>
      </c>
      <c r="C157" s="7" t="s">
        <v>90</v>
      </c>
      <c r="D157" s="16" t="str">
        <f aca="false">IF(C157="","",IFERROR(INDEX(Products!$B$2:$B$501,MATCH(C157,Products!$A$2:$A$501,0)),"CODE NOT FOUND"))</f>
        <v>Air Filter 150cc</v>
      </c>
      <c r="E157" s="7" t="n">
        <v>2</v>
      </c>
      <c r="F157" s="13" t="n">
        <v>340</v>
      </c>
      <c r="G157" s="13" t="n">
        <v>210</v>
      </c>
      <c r="H157" s="17" t="n">
        <f aca="false">IF(OR(E157="",F157=""),"",E157*F157)</f>
        <v>680</v>
      </c>
      <c r="I157" s="17" t="n">
        <f aca="false">IF(OR(E157="",G157=""),"",E157*G157)</f>
        <v>420</v>
      </c>
      <c r="J157" s="17" t="n">
        <f aca="false">IF(H157="","",H157-I157)</f>
        <v>260</v>
      </c>
    </row>
    <row r="158" customFormat="false" ht="15" hidden="false" customHeight="true" outlineLevel="0" collapsed="false">
      <c r="A158" s="7" t="s">
        <v>414</v>
      </c>
      <c r="B158" s="18" t="n">
        <f aca="false">IF(A158="","",IFERROR(INDEX(Sales_Memo!$B$2:$B$1001,MATCH(A158,Sales_Memo!$A$2:$A$1001,0)),""))</f>
        <v>46247</v>
      </c>
      <c r="C158" s="7" t="s">
        <v>119</v>
      </c>
      <c r="D158" s="16" t="str">
        <f aca="false">IF(C158="","",IFERROR(INDEX(Products!$B$2:$B$501,MATCH(C158,Products!$A$2:$A$501,0)),"CODE NOT FOUND"))</f>
        <v>Chain Lube Spray</v>
      </c>
      <c r="E158" s="7" t="n">
        <v>2</v>
      </c>
      <c r="F158" s="13" t="n">
        <v>270</v>
      </c>
      <c r="G158" s="13" t="n">
        <v>170</v>
      </c>
      <c r="H158" s="17" t="n">
        <f aca="false">IF(OR(E158="",F158=""),"",E158*F158)</f>
        <v>540</v>
      </c>
      <c r="I158" s="17" t="n">
        <f aca="false">IF(OR(E158="",G158=""),"",E158*G158)</f>
        <v>340</v>
      </c>
      <c r="J158" s="17" t="n">
        <f aca="false">IF(H158="","",H158-I158)</f>
        <v>200</v>
      </c>
    </row>
    <row r="159" customFormat="false" ht="15" hidden="false" customHeight="true" outlineLevel="0" collapsed="false">
      <c r="A159" s="7" t="s">
        <v>416</v>
      </c>
      <c r="B159" s="18" t="n">
        <f aca="false">IF(A159="","",IFERROR(INDEX(Sales_Memo!$B$2:$B$1001,MATCH(A159,Sales_Memo!$A$2:$A$1001,0)),""))</f>
        <v>46249</v>
      </c>
      <c r="C159" s="7" t="s">
        <v>102</v>
      </c>
      <c r="D159" s="16" t="str">
        <f aca="false">IF(C159="","",IFERROR(INDEX(Products!$B$2:$B$501,MATCH(C159,Products!$A$2:$A$501,0)),"CODE NOT FOUND"))</f>
        <v>Headlight Bulb H4</v>
      </c>
      <c r="E159" s="7" t="n">
        <v>1</v>
      </c>
      <c r="F159" s="13" t="n">
        <v>240</v>
      </c>
      <c r="G159" s="13" t="n">
        <v>140</v>
      </c>
      <c r="H159" s="17" t="n">
        <f aca="false">IF(OR(E159="",F159=""),"",E159*F159)</f>
        <v>240</v>
      </c>
      <c r="I159" s="17" t="n">
        <f aca="false">IF(OR(E159="",G159=""),"",E159*G159)</f>
        <v>140</v>
      </c>
      <c r="J159" s="17" t="n">
        <f aca="false">IF(H159="","",H159-I159)</f>
        <v>100</v>
      </c>
    </row>
    <row r="160" customFormat="false" ht="15" hidden="false" customHeight="true" outlineLevel="0" collapsed="false">
      <c r="A160" s="7" t="s">
        <v>416</v>
      </c>
      <c r="B160" s="18" t="n">
        <f aca="false">IF(A160="","",IFERROR(INDEX(Sales_Memo!$B$2:$B$1001,MATCH(A160,Sales_Memo!$A$2:$A$1001,0)),""))</f>
        <v>46249</v>
      </c>
      <c r="C160" s="7" t="s">
        <v>90</v>
      </c>
      <c r="D160" s="16" t="str">
        <f aca="false">IF(C160="","",IFERROR(INDEX(Products!$B$2:$B$501,MATCH(C160,Products!$A$2:$A$501,0)),"CODE NOT FOUND"))</f>
        <v>Air Filter 150cc</v>
      </c>
      <c r="E160" s="7" t="n">
        <v>2</v>
      </c>
      <c r="F160" s="13" t="n">
        <v>340</v>
      </c>
      <c r="G160" s="13" t="n">
        <v>210</v>
      </c>
      <c r="H160" s="17" t="n">
        <f aca="false">IF(OR(E160="",F160=""),"",E160*F160)</f>
        <v>680</v>
      </c>
      <c r="I160" s="17" t="n">
        <f aca="false">IF(OR(E160="",G160=""),"",E160*G160)</f>
        <v>420</v>
      </c>
      <c r="J160" s="17" t="n">
        <f aca="false">IF(H160="","",H160-I160)</f>
        <v>260</v>
      </c>
    </row>
    <row r="161" customFormat="false" ht="15" hidden="false" customHeight="true" outlineLevel="0" collapsed="false">
      <c r="A161" s="7" t="s">
        <v>416</v>
      </c>
      <c r="B161" s="18" t="n">
        <f aca="false">IF(A161="","",IFERROR(INDEX(Sales_Memo!$B$2:$B$1001,MATCH(A161,Sales_Memo!$A$2:$A$1001,0)),""))</f>
        <v>46249</v>
      </c>
      <c r="C161" s="7" t="s">
        <v>119</v>
      </c>
      <c r="D161" s="16" t="str">
        <f aca="false">IF(C161="","",IFERROR(INDEX(Products!$B$2:$B$501,MATCH(C161,Products!$A$2:$A$501,0)),"CODE NOT FOUND"))</f>
        <v>Chain Lube Spray</v>
      </c>
      <c r="E161" s="7" t="n">
        <v>2</v>
      </c>
      <c r="F161" s="13" t="n">
        <v>270</v>
      </c>
      <c r="G161" s="13" t="n">
        <v>170</v>
      </c>
      <c r="H161" s="17" t="n">
        <f aca="false">IF(OR(E161="",F161=""),"",E161*F161)</f>
        <v>540</v>
      </c>
      <c r="I161" s="17" t="n">
        <f aca="false">IF(OR(E161="",G161=""),"",E161*G161)</f>
        <v>340</v>
      </c>
      <c r="J161" s="17" t="n">
        <f aca="false">IF(H161="","",H161-I161)</f>
        <v>200</v>
      </c>
    </row>
    <row r="162" customFormat="false" ht="15" hidden="false" customHeight="true" outlineLevel="0" collapsed="false">
      <c r="A162" s="7" t="s">
        <v>418</v>
      </c>
      <c r="B162" s="18" t="n">
        <f aca="false">IF(A162="","",IFERROR(INDEX(Sales_Memo!$B$2:$B$1001,MATCH(A162,Sales_Memo!$A$2:$A$1001,0)),""))</f>
        <v>46249</v>
      </c>
      <c r="C162" s="7" t="s">
        <v>77</v>
      </c>
      <c r="D162" s="16" t="str">
        <f aca="false">IF(C162="","",IFERROR(INDEX(Products!$B$2:$B$501,MATCH(C162,Products!$A$2:$A$501,0)),"CODE NOT FOUND"))</f>
        <v>Brake Pad Set - Front</v>
      </c>
      <c r="E162" s="7" t="n">
        <v>2</v>
      </c>
      <c r="F162" s="13" t="n">
        <v>480</v>
      </c>
      <c r="G162" s="13" t="n">
        <v>320</v>
      </c>
      <c r="H162" s="17" t="n">
        <f aca="false">IF(OR(E162="",F162=""),"",E162*F162)</f>
        <v>960</v>
      </c>
      <c r="I162" s="17" t="n">
        <f aca="false">IF(OR(E162="",G162=""),"",E162*G162)</f>
        <v>640</v>
      </c>
      <c r="J162" s="17" t="n">
        <f aca="false">IF(H162="","",H162-I162)</f>
        <v>320</v>
      </c>
    </row>
    <row r="163" customFormat="false" ht="15" hidden="false" customHeight="true" outlineLevel="0" collapsed="false">
      <c r="A163" s="7" t="s">
        <v>418</v>
      </c>
      <c r="B163" s="18" t="n">
        <f aca="false">IF(A163="","",IFERROR(INDEX(Sales_Memo!$B$2:$B$1001,MATCH(A163,Sales_Memo!$A$2:$A$1001,0)),""))</f>
        <v>46249</v>
      </c>
      <c r="C163" s="7" t="s">
        <v>114</v>
      </c>
      <c r="D163" s="16" t="str">
        <f aca="false">IF(C163="","",IFERROR(INDEX(Products!$B$2:$B$501,MATCH(C163,Products!$A$2:$A$501,0)),"CODE NOT FOUND"))</f>
        <v>Side Mirror (Pair)</v>
      </c>
      <c r="E163" s="7" t="n">
        <v>1</v>
      </c>
      <c r="F163" s="13" t="n">
        <v>620</v>
      </c>
      <c r="G163" s="13" t="n">
        <v>380</v>
      </c>
      <c r="H163" s="17" t="n">
        <f aca="false">IF(OR(E163="",F163=""),"",E163*F163)</f>
        <v>620</v>
      </c>
      <c r="I163" s="17" t="n">
        <f aca="false">IF(OR(E163="",G163=""),"",E163*G163)</f>
        <v>380</v>
      </c>
      <c r="J163" s="17" t="n">
        <f aca="false">IF(H163="","",H163-I163)</f>
        <v>240</v>
      </c>
    </row>
    <row r="164" customFormat="false" ht="15" hidden="false" customHeight="true" outlineLevel="0" collapsed="false">
      <c r="A164" s="7" t="s">
        <v>418</v>
      </c>
      <c r="B164" s="18" t="n">
        <f aca="false">IF(A164="","",IFERROR(INDEX(Sales_Memo!$B$2:$B$1001,MATCH(A164,Sales_Memo!$A$2:$A$1001,0)),""))</f>
        <v>46249</v>
      </c>
      <c r="C164" s="7" t="s">
        <v>90</v>
      </c>
      <c r="D164" s="16" t="str">
        <f aca="false">IF(C164="","",IFERROR(INDEX(Products!$B$2:$B$501,MATCH(C164,Products!$A$2:$A$501,0)),"CODE NOT FOUND"))</f>
        <v>Air Filter 150cc</v>
      </c>
      <c r="E164" s="7" t="n">
        <v>2</v>
      </c>
      <c r="F164" s="13" t="n">
        <v>340</v>
      </c>
      <c r="G164" s="13" t="n">
        <v>210</v>
      </c>
      <c r="H164" s="17" t="n">
        <f aca="false">IF(OR(E164="",F164=""),"",E164*F164)</f>
        <v>680</v>
      </c>
      <c r="I164" s="17" t="n">
        <f aca="false">IF(OR(E164="",G164=""),"",E164*G164)</f>
        <v>420</v>
      </c>
      <c r="J164" s="17" t="n">
        <f aca="false">IF(H164="","",H164-I164)</f>
        <v>260</v>
      </c>
    </row>
    <row r="165" customFormat="false" ht="15" hidden="false" customHeight="true" outlineLevel="0" collapsed="false">
      <c r="A165" s="7" t="s">
        <v>420</v>
      </c>
      <c r="B165" s="18" t="n">
        <f aca="false">IF(A165="","",IFERROR(INDEX(Sales_Memo!$B$2:$B$1001,MATCH(A165,Sales_Memo!$A$2:$A$1001,0)),""))</f>
        <v>46249</v>
      </c>
      <c r="C165" s="7" t="s">
        <v>108</v>
      </c>
      <c r="D165" s="16" t="str">
        <f aca="false">IF(C165="","",IFERROR(INDEX(Products!$B$2:$B$501,MATCH(C165,Products!$A$2:$A$501,0)),"CODE NOT FOUND"))</f>
        <v>Tyre 90/90-17 Rear</v>
      </c>
      <c r="E165" s="7" t="n">
        <v>1</v>
      </c>
      <c r="F165" s="13" t="n">
        <v>3350</v>
      </c>
      <c r="G165" s="13" t="n">
        <v>2750</v>
      </c>
      <c r="H165" s="17" t="n">
        <f aca="false">IF(OR(E165="",F165=""),"",E165*F165)</f>
        <v>3350</v>
      </c>
      <c r="I165" s="17" t="n">
        <f aca="false">IF(OR(E165="",G165=""),"",E165*G165)</f>
        <v>2750</v>
      </c>
      <c r="J165" s="17" t="n">
        <f aca="false">IF(H165="","",H165-I165)</f>
        <v>600</v>
      </c>
    </row>
    <row r="166" customFormat="false" ht="15" hidden="false" customHeight="true" outlineLevel="0" collapsed="false">
      <c r="A166" s="7" t="s">
        <v>420</v>
      </c>
      <c r="B166" s="18" t="n">
        <f aca="false">IF(A166="","",IFERROR(INDEX(Sales_Memo!$B$2:$B$1001,MATCH(A166,Sales_Memo!$A$2:$A$1001,0)),""))</f>
        <v>46249</v>
      </c>
      <c r="C166" s="7" t="s">
        <v>86</v>
      </c>
      <c r="D166" s="16" t="str">
        <f aca="false">IF(C166="","",IFERROR(INDEX(Products!$B$2:$B$501,MATCH(C166,Products!$A$2:$A$501,0)),"CODE NOT FOUND"))</f>
        <v>Spark Plug CPR8EA-9</v>
      </c>
      <c r="E166" s="7" t="n">
        <v>2</v>
      </c>
      <c r="F166" s="13" t="n">
        <v>260</v>
      </c>
      <c r="G166" s="13" t="n">
        <v>175</v>
      </c>
      <c r="H166" s="17" t="n">
        <f aca="false">IF(OR(E166="",F166=""),"",E166*F166)</f>
        <v>520</v>
      </c>
      <c r="I166" s="17" t="n">
        <f aca="false">IF(OR(E166="",G166=""),"",E166*G166)</f>
        <v>350</v>
      </c>
      <c r="J166" s="17" t="n">
        <f aca="false">IF(H166="","",H166-I166)</f>
        <v>170</v>
      </c>
    </row>
    <row r="167" customFormat="false" ht="15" hidden="false" customHeight="true" outlineLevel="0" collapsed="false">
      <c r="A167" s="7" t="s">
        <v>422</v>
      </c>
      <c r="B167" s="18" t="n">
        <f aca="false">IF(A167="","",IFERROR(INDEX(Sales_Memo!$B$2:$B$1001,MATCH(A167,Sales_Memo!$A$2:$A$1001,0)),""))</f>
        <v>46249</v>
      </c>
      <c r="C167" s="7" t="s">
        <v>86</v>
      </c>
      <c r="D167" s="16" t="str">
        <f aca="false">IF(C167="","",IFERROR(INDEX(Products!$B$2:$B$501,MATCH(C167,Products!$A$2:$A$501,0)),"CODE NOT FOUND"))</f>
        <v>Spark Plug CPR8EA-9</v>
      </c>
      <c r="E167" s="7" t="n">
        <v>1</v>
      </c>
      <c r="F167" s="13" t="n">
        <v>260</v>
      </c>
      <c r="G167" s="13" t="n">
        <v>175</v>
      </c>
      <c r="H167" s="17" t="n">
        <f aca="false">IF(OR(E167="",F167=""),"",E167*F167)</f>
        <v>260</v>
      </c>
      <c r="I167" s="17" t="n">
        <f aca="false">IF(OR(E167="",G167=""),"",E167*G167)</f>
        <v>175</v>
      </c>
      <c r="J167" s="17" t="n">
        <f aca="false">IF(H167="","",H167-I167)</f>
        <v>85</v>
      </c>
    </row>
    <row r="168" customFormat="false" ht="15" hidden="false" customHeight="true" outlineLevel="0" collapsed="false">
      <c r="A168" s="7" t="s">
        <v>423</v>
      </c>
      <c r="B168" s="18" t="n">
        <f aca="false">IF(A168="","",IFERROR(INDEX(Sales_Memo!$B$2:$B$1001,MATCH(A168,Sales_Memo!$A$2:$A$1001,0)),""))</f>
        <v>46249</v>
      </c>
      <c r="C168" s="7" t="s">
        <v>77</v>
      </c>
      <c r="D168" s="16" t="str">
        <f aca="false">IF(C168="","",IFERROR(INDEX(Products!$B$2:$B$501,MATCH(C168,Products!$A$2:$A$501,0)),"CODE NOT FOUND"))</f>
        <v>Brake Pad Set - Front</v>
      </c>
      <c r="E168" s="7" t="n">
        <v>2</v>
      </c>
      <c r="F168" s="13" t="n">
        <v>480</v>
      </c>
      <c r="G168" s="13" t="n">
        <v>320</v>
      </c>
      <c r="H168" s="17" t="n">
        <f aca="false">IF(OR(E168="",F168=""),"",E168*F168)</f>
        <v>960</v>
      </c>
      <c r="I168" s="17" t="n">
        <f aca="false">IF(OR(E168="",G168=""),"",E168*G168)</f>
        <v>640</v>
      </c>
      <c r="J168" s="17" t="n">
        <f aca="false">IF(H168="","",H168-I168)</f>
        <v>320</v>
      </c>
    </row>
    <row r="169" customFormat="false" ht="15" hidden="false" customHeight="true" outlineLevel="0" collapsed="false">
      <c r="A169" s="7" t="s">
        <v>423</v>
      </c>
      <c r="B169" s="18" t="n">
        <f aca="false">IF(A169="","",IFERROR(INDEX(Sales_Memo!$B$2:$B$1001,MATCH(A169,Sales_Memo!$A$2:$A$1001,0)),""))</f>
        <v>46249</v>
      </c>
      <c r="C169" s="7" t="s">
        <v>121</v>
      </c>
      <c r="D169" s="16" t="str">
        <f aca="false">IF(C169="","",IFERROR(INDEX(Products!$B$2:$B$501,MATCH(C169,Products!$A$2:$A$501,0)),"CODE NOT FOUND"))</f>
        <v>Handle Grip Set</v>
      </c>
      <c r="E169" s="7" t="n">
        <v>1</v>
      </c>
      <c r="F169" s="13" t="n">
        <v>280</v>
      </c>
      <c r="G169" s="13" t="n">
        <v>160</v>
      </c>
      <c r="H169" s="17" t="n">
        <f aca="false">IF(OR(E169="",F169=""),"",E169*F169)</f>
        <v>280</v>
      </c>
      <c r="I169" s="17" t="n">
        <f aca="false">IF(OR(E169="",G169=""),"",E169*G169)</f>
        <v>160</v>
      </c>
      <c r="J169" s="17" t="n">
        <f aca="false">IF(H169="","",H169-I169)</f>
        <v>120</v>
      </c>
    </row>
    <row r="170" customFormat="false" ht="15" hidden="false" customHeight="true" outlineLevel="0" collapsed="false">
      <c r="A170" s="7" t="s">
        <v>424</v>
      </c>
      <c r="B170" s="18" t="n">
        <f aca="false">IF(A170="","",IFERROR(INDEX(Sales_Memo!$B$2:$B$1001,MATCH(A170,Sales_Memo!$A$2:$A$1001,0)),""))</f>
        <v>46249</v>
      </c>
      <c r="C170" s="7" t="s">
        <v>82</v>
      </c>
      <c r="D170" s="16" t="str">
        <f aca="false">IF(C170="","",IFERROR(INDEX(Products!$B$2:$B$501,MATCH(C170,Products!$A$2:$A$501,0)),"CODE NOT FOUND"))</f>
        <v>Clutch Cable</v>
      </c>
      <c r="E170" s="7" t="n">
        <v>2</v>
      </c>
      <c r="F170" s="13" t="n">
        <v>190</v>
      </c>
      <c r="G170" s="13" t="n">
        <v>110</v>
      </c>
      <c r="H170" s="17" t="n">
        <f aca="false">IF(OR(E170="",F170=""),"",E170*F170)</f>
        <v>380</v>
      </c>
      <c r="I170" s="17" t="n">
        <f aca="false">IF(OR(E170="",G170=""),"",E170*G170)</f>
        <v>220</v>
      </c>
      <c r="J170" s="17" t="n">
        <f aca="false">IF(H170="","",H170-I170)</f>
        <v>160</v>
      </c>
    </row>
    <row r="171" customFormat="false" ht="15" hidden="false" customHeight="true" outlineLevel="0" collapsed="false">
      <c r="A171" s="7" t="s">
        <v>424</v>
      </c>
      <c r="B171" s="18" t="n">
        <f aca="false">IF(A171="","",IFERROR(INDEX(Sales_Memo!$B$2:$B$1001,MATCH(A171,Sales_Memo!$A$2:$A$1001,0)),""))</f>
        <v>46249</v>
      </c>
      <c r="C171" s="7" t="s">
        <v>102</v>
      </c>
      <c r="D171" s="16" t="str">
        <f aca="false">IF(C171="","",IFERROR(INDEX(Products!$B$2:$B$501,MATCH(C171,Products!$A$2:$A$501,0)),"CODE NOT FOUND"))</f>
        <v>Headlight Bulb H4</v>
      </c>
      <c r="E171" s="7" t="n">
        <v>1</v>
      </c>
      <c r="F171" s="13" t="n">
        <v>240</v>
      </c>
      <c r="G171" s="13" t="n">
        <v>140</v>
      </c>
      <c r="H171" s="17" t="n">
        <f aca="false">IF(OR(E171="",F171=""),"",E171*F171)</f>
        <v>240</v>
      </c>
      <c r="I171" s="17" t="n">
        <f aca="false">IF(OR(E171="",G171=""),"",E171*G171)</f>
        <v>140</v>
      </c>
      <c r="J171" s="17" t="n">
        <f aca="false">IF(H171="","",H171-I171)</f>
        <v>100</v>
      </c>
    </row>
    <row r="172" customFormat="false" ht="15" hidden="false" customHeight="true" outlineLevel="0" collapsed="false">
      <c r="A172" s="7" t="s">
        <v>426</v>
      </c>
      <c r="B172" s="18" t="n">
        <f aca="false">IF(A172="","",IFERROR(INDEX(Sales_Memo!$B$2:$B$1001,MATCH(A172,Sales_Memo!$A$2:$A$1001,0)),""))</f>
        <v>46249</v>
      </c>
      <c r="C172" s="7" t="s">
        <v>102</v>
      </c>
      <c r="D172" s="16" t="str">
        <f aca="false">IF(C172="","",IFERROR(INDEX(Products!$B$2:$B$501,MATCH(C172,Products!$A$2:$A$501,0)),"CODE NOT FOUND"))</f>
        <v>Headlight Bulb H4</v>
      </c>
      <c r="E172" s="7" t="n">
        <v>3</v>
      </c>
      <c r="F172" s="13" t="n">
        <v>240</v>
      </c>
      <c r="G172" s="13" t="n">
        <v>140</v>
      </c>
      <c r="H172" s="17" t="n">
        <f aca="false">IF(OR(E172="",F172=""),"",E172*F172)</f>
        <v>720</v>
      </c>
      <c r="I172" s="17" t="n">
        <f aca="false">IF(OR(E172="",G172=""),"",E172*G172)</f>
        <v>420</v>
      </c>
      <c r="J172" s="17" t="n">
        <f aca="false">IF(H172="","",H172-I172)</f>
        <v>300</v>
      </c>
    </row>
    <row r="173" customFormat="false" ht="15" hidden="false" customHeight="true" outlineLevel="0" collapsed="false">
      <c r="A173" s="7" t="s">
        <v>428</v>
      </c>
      <c r="B173" s="18" t="n">
        <f aca="false">IF(A173="","",IFERROR(INDEX(Sales_Memo!$B$2:$B$1001,MATCH(A173,Sales_Memo!$A$2:$A$1001,0)),""))</f>
        <v>46249</v>
      </c>
      <c r="C173" s="7" t="s">
        <v>119</v>
      </c>
      <c r="D173" s="16" t="str">
        <f aca="false">IF(C173="","",IFERROR(INDEX(Products!$B$2:$B$501,MATCH(C173,Products!$A$2:$A$501,0)),"CODE NOT FOUND"))</f>
        <v>Chain Lube Spray</v>
      </c>
      <c r="E173" s="7" t="n">
        <v>1</v>
      </c>
      <c r="F173" s="13" t="n">
        <v>270</v>
      </c>
      <c r="G173" s="13" t="n">
        <v>170</v>
      </c>
      <c r="H173" s="17" t="n">
        <f aca="false">IF(OR(E173="",F173=""),"",E173*F173)</f>
        <v>270</v>
      </c>
      <c r="I173" s="17" t="n">
        <f aca="false">IF(OR(E173="",G173=""),"",E173*G173)</f>
        <v>170</v>
      </c>
      <c r="J173" s="17" t="n">
        <f aca="false">IF(H173="","",H173-I173)</f>
        <v>100</v>
      </c>
    </row>
    <row r="174" customFormat="false" ht="15" hidden="false" customHeight="true" outlineLevel="0" collapsed="false">
      <c r="A174" s="7" t="s">
        <v>428</v>
      </c>
      <c r="B174" s="18" t="n">
        <f aca="false">IF(A174="","",IFERROR(INDEX(Sales_Memo!$B$2:$B$1001,MATCH(A174,Sales_Memo!$A$2:$A$1001,0)),""))</f>
        <v>46249</v>
      </c>
      <c r="C174" s="7" t="s">
        <v>96</v>
      </c>
      <c r="D174" s="16" t="str">
        <f aca="false">IF(C174="","",IFERROR(INDEX(Products!$B$2:$B$501,MATCH(C174,Products!$A$2:$A$501,0)),"CODE NOT FOUND"))</f>
        <v>Engine Oil 10W-30 (1L)</v>
      </c>
      <c r="E174" s="7" t="n">
        <v>1</v>
      </c>
      <c r="F174" s="13" t="n">
        <v>780</v>
      </c>
      <c r="G174" s="13" t="n">
        <v>620</v>
      </c>
      <c r="H174" s="17" t="n">
        <f aca="false">IF(OR(E174="",F174=""),"",E174*F174)</f>
        <v>780</v>
      </c>
      <c r="I174" s="17" t="n">
        <f aca="false">IF(OR(E174="",G174=""),"",E174*G174)</f>
        <v>620</v>
      </c>
      <c r="J174" s="17" t="n">
        <f aca="false">IF(H174="","",H174-I174)</f>
        <v>160</v>
      </c>
    </row>
    <row r="175" customFormat="false" ht="15" hidden="false" customHeight="true" outlineLevel="0" collapsed="false">
      <c r="A175" s="7" t="s">
        <v>429</v>
      </c>
      <c r="B175" s="18" t="n">
        <f aca="false">IF(A175="","",IFERROR(INDEX(Sales_Memo!$B$2:$B$1001,MATCH(A175,Sales_Memo!$A$2:$A$1001,0)),""))</f>
        <v>46249</v>
      </c>
      <c r="C175" s="7" t="s">
        <v>119</v>
      </c>
      <c r="D175" s="16" t="str">
        <f aca="false">IF(C175="","",IFERROR(INDEX(Products!$B$2:$B$501,MATCH(C175,Products!$A$2:$A$501,0)),"CODE NOT FOUND"))</f>
        <v>Chain Lube Spray</v>
      </c>
      <c r="E175" s="7" t="n">
        <v>2</v>
      </c>
      <c r="F175" s="13" t="n">
        <v>270</v>
      </c>
      <c r="G175" s="13" t="n">
        <v>170</v>
      </c>
      <c r="H175" s="17" t="n">
        <f aca="false">IF(OR(E175="",F175=""),"",E175*F175)</f>
        <v>540</v>
      </c>
      <c r="I175" s="17" t="n">
        <f aca="false">IF(OR(E175="",G175=""),"",E175*G175)</f>
        <v>340</v>
      </c>
      <c r="J175" s="17" t="n">
        <f aca="false">IF(H175="","",H175-I175)</f>
        <v>200</v>
      </c>
    </row>
    <row r="176" customFormat="false" ht="15" hidden="false" customHeight="true" outlineLevel="0" collapsed="false">
      <c r="A176" s="7" t="s">
        <v>430</v>
      </c>
      <c r="B176" s="18" t="n">
        <f aca="false">IF(A176="","",IFERROR(INDEX(Sales_Memo!$B$2:$B$1001,MATCH(A176,Sales_Memo!$A$2:$A$1001,0)),""))</f>
        <v>46249</v>
      </c>
      <c r="C176" s="7" t="s">
        <v>121</v>
      </c>
      <c r="D176" s="16" t="str">
        <f aca="false">IF(C176="","",IFERROR(INDEX(Products!$B$2:$B$501,MATCH(C176,Products!$A$2:$A$501,0)),"CODE NOT FOUND"))</f>
        <v>Handle Grip Set</v>
      </c>
      <c r="E176" s="7" t="n">
        <v>2</v>
      </c>
      <c r="F176" s="13" t="n">
        <v>280</v>
      </c>
      <c r="G176" s="13" t="n">
        <v>160</v>
      </c>
      <c r="H176" s="17" t="n">
        <f aca="false">IF(OR(E176="",F176=""),"",E176*F176)</f>
        <v>560</v>
      </c>
      <c r="I176" s="17" t="n">
        <f aca="false">IF(OR(E176="",G176=""),"",E176*G176)</f>
        <v>320</v>
      </c>
      <c r="J176" s="17" t="n">
        <f aca="false">IF(H176="","",H176-I176)</f>
        <v>240</v>
      </c>
    </row>
    <row r="177" customFormat="false" ht="15" hidden="false" customHeight="true" outlineLevel="0" collapsed="false">
      <c r="A177" s="7" t="s">
        <v>430</v>
      </c>
      <c r="B177" s="18" t="n">
        <f aca="false">IF(A177="","",IFERROR(INDEX(Sales_Memo!$B$2:$B$1001,MATCH(A177,Sales_Memo!$A$2:$A$1001,0)),""))</f>
        <v>46249</v>
      </c>
      <c r="C177" s="7" t="s">
        <v>119</v>
      </c>
      <c r="D177" s="16" t="str">
        <f aca="false">IF(C177="","",IFERROR(INDEX(Products!$B$2:$B$501,MATCH(C177,Products!$A$2:$A$501,0)),"CODE NOT FOUND"))</f>
        <v>Chain Lube Spray</v>
      </c>
      <c r="E177" s="7" t="n">
        <v>2</v>
      </c>
      <c r="F177" s="13" t="n">
        <v>270</v>
      </c>
      <c r="G177" s="13" t="n">
        <v>170</v>
      </c>
      <c r="H177" s="17" t="n">
        <f aca="false">IF(OR(E177="",F177=""),"",E177*F177)</f>
        <v>540</v>
      </c>
      <c r="I177" s="17" t="n">
        <f aca="false">IF(OR(E177="",G177=""),"",E177*G177)</f>
        <v>340</v>
      </c>
      <c r="J177" s="17" t="n">
        <f aca="false">IF(H177="","",H177-I177)</f>
        <v>200</v>
      </c>
    </row>
    <row r="178" customFormat="false" ht="15" hidden="false" customHeight="true" outlineLevel="0" collapsed="false">
      <c r="A178" s="7" t="s">
        <v>431</v>
      </c>
      <c r="B178" s="18" t="n">
        <f aca="false">IF(A178="","",IFERROR(INDEX(Sales_Memo!$B$2:$B$1001,MATCH(A178,Sales_Memo!$A$2:$A$1001,0)),""))</f>
        <v>46249</v>
      </c>
      <c r="C178" s="7" t="s">
        <v>86</v>
      </c>
      <c r="D178" s="16" t="str">
        <f aca="false">IF(C178="","",IFERROR(INDEX(Products!$B$2:$B$501,MATCH(C178,Products!$A$2:$A$501,0)),"CODE NOT FOUND"))</f>
        <v>Spark Plug CPR8EA-9</v>
      </c>
      <c r="E178" s="7" t="n">
        <v>3</v>
      </c>
      <c r="F178" s="13" t="n">
        <v>260</v>
      </c>
      <c r="G178" s="13" t="n">
        <v>175</v>
      </c>
      <c r="H178" s="17" t="n">
        <f aca="false">IF(OR(E178="",F178=""),"",E178*F178)</f>
        <v>780</v>
      </c>
      <c r="I178" s="17" t="n">
        <f aca="false">IF(OR(E178="",G178=""),"",E178*G178)</f>
        <v>525</v>
      </c>
      <c r="J178" s="17" t="n">
        <f aca="false">IF(H178="","",H178-I178)</f>
        <v>255</v>
      </c>
    </row>
    <row r="179" customFormat="false" ht="15" hidden="false" customHeight="true" outlineLevel="0" collapsed="false">
      <c r="A179" s="7" t="s">
        <v>431</v>
      </c>
      <c r="B179" s="18" t="n">
        <f aca="false">IF(A179="","",IFERROR(INDEX(Sales_Memo!$B$2:$B$1001,MATCH(A179,Sales_Memo!$A$2:$A$1001,0)),""))</f>
        <v>46249</v>
      </c>
      <c r="C179" s="7" t="s">
        <v>77</v>
      </c>
      <c r="D179" s="16" t="str">
        <f aca="false">IF(C179="","",IFERROR(INDEX(Products!$B$2:$B$501,MATCH(C179,Products!$A$2:$A$501,0)),"CODE NOT FOUND"))</f>
        <v>Brake Pad Set - Front</v>
      </c>
      <c r="E179" s="7" t="n">
        <v>3</v>
      </c>
      <c r="F179" s="13" t="n">
        <v>480</v>
      </c>
      <c r="G179" s="13" t="n">
        <v>320</v>
      </c>
      <c r="H179" s="17" t="n">
        <f aca="false">IF(OR(E179="",F179=""),"",E179*F179)</f>
        <v>1440</v>
      </c>
      <c r="I179" s="17" t="n">
        <f aca="false">IF(OR(E179="",G179=""),"",E179*G179)</f>
        <v>960</v>
      </c>
      <c r="J179" s="17" t="n">
        <f aca="false">IF(H179="","",H179-I179)</f>
        <v>480</v>
      </c>
    </row>
    <row r="180" customFormat="false" ht="15" hidden="false" customHeight="true" outlineLevel="0" collapsed="false">
      <c r="A180" s="7" t="s">
        <v>433</v>
      </c>
      <c r="B180" s="18" t="n">
        <f aca="false">IF(A180="","",IFERROR(INDEX(Sales_Memo!$B$2:$B$1001,MATCH(A180,Sales_Memo!$A$2:$A$1001,0)),""))</f>
        <v>46249</v>
      </c>
      <c r="C180" s="7" t="s">
        <v>82</v>
      </c>
      <c r="D180" s="16" t="str">
        <f aca="false">IF(C180="","",IFERROR(INDEX(Products!$B$2:$B$501,MATCH(C180,Products!$A$2:$A$501,0)),"CODE NOT FOUND"))</f>
        <v>Clutch Cable</v>
      </c>
      <c r="E180" s="7" t="n">
        <v>2</v>
      </c>
      <c r="F180" s="13" t="n">
        <v>190</v>
      </c>
      <c r="G180" s="13" t="n">
        <v>110</v>
      </c>
      <c r="H180" s="17" t="n">
        <f aca="false">IF(OR(E180="",F180=""),"",E180*F180)</f>
        <v>380</v>
      </c>
      <c r="I180" s="17" t="n">
        <f aca="false">IF(OR(E180="",G180=""),"",E180*G180)</f>
        <v>220</v>
      </c>
      <c r="J180" s="17" t="n">
        <f aca="false">IF(H180="","",H180-I180)</f>
        <v>160</v>
      </c>
    </row>
    <row r="181" customFormat="false" ht="15" hidden="false" customHeight="true" outlineLevel="0" collapsed="false">
      <c r="A181" s="7" t="s">
        <v>434</v>
      </c>
      <c r="B181" s="18" t="n">
        <f aca="false">IF(A181="","",IFERROR(INDEX(Sales_Memo!$B$2:$B$1001,MATCH(A181,Sales_Memo!$A$2:$A$1001,0)),""))</f>
        <v>46250</v>
      </c>
      <c r="C181" s="7" t="s">
        <v>82</v>
      </c>
      <c r="D181" s="16" t="str">
        <f aca="false">IF(C181="","",IFERROR(INDEX(Products!$B$2:$B$501,MATCH(C181,Products!$A$2:$A$501,0)),"CODE NOT FOUND"))</f>
        <v>Clutch Cable</v>
      </c>
      <c r="E181" s="7" t="n">
        <v>3</v>
      </c>
      <c r="F181" s="13" t="n">
        <v>190</v>
      </c>
      <c r="G181" s="13" t="n">
        <v>110</v>
      </c>
      <c r="H181" s="17" t="n">
        <f aca="false">IF(OR(E181="",F181=""),"",E181*F181)</f>
        <v>570</v>
      </c>
      <c r="I181" s="17" t="n">
        <f aca="false">IF(OR(E181="",G181=""),"",E181*G181)</f>
        <v>330</v>
      </c>
      <c r="J181" s="17" t="n">
        <f aca="false">IF(H181="","",H181-I181)</f>
        <v>240</v>
      </c>
    </row>
    <row r="182" customFormat="false" ht="15" hidden="false" customHeight="true" outlineLevel="0" collapsed="false">
      <c r="A182" s="7" t="s">
        <v>434</v>
      </c>
      <c r="B182" s="18" t="n">
        <f aca="false">IF(A182="","",IFERROR(INDEX(Sales_Memo!$B$2:$B$1001,MATCH(A182,Sales_Memo!$A$2:$A$1001,0)),""))</f>
        <v>46250</v>
      </c>
      <c r="C182" s="7" t="s">
        <v>102</v>
      </c>
      <c r="D182" s="16" t="str">
        <f aca="false">IF(C182="","",IFERROR(INDEX(Products!$B$2:$B$501,MATCH(C182,Products!$A$2:$A$501,0)),"CODE NOT FOUND"))</f>
        <v>Headlight Bulb H4</v>
      </c>
      <c r="E182" s="7" t="n">
        <v>3</v>
      </c>
      <c r="F182" s="13" t="n">
        <v>240</v>
      </c>
      <c r="G182" s="13" t="n">
        <v>140</v>
      </c>
      <c r="H182" s="17" t="n">
        <f aca="false">IF(OR(E182="",F182=""),"",E182*F182)</f>
        <v>720</v>
      </c>
      <c r="I182" s="17" t="n">
        <f aca="false">IF(OR(E182="",G182=""),"",E182*G182)</f>
        <v>420</v>
      </c>
      <c r="J182" s="17" t="n">
        <f aca="false">IF(H182="","",H182-I182)</f>
        <v>300</v>
      </c>
    </row>
    <row r="183" customFormat="false" ht="15" hidden="false" customHeight="true" outlineLevel="0" collapsed="false">
      <c r="A183" s="7" t="s">
        <v>436</v>
      </c>
      <c r="B183" s="18" t="n">
        <f aca="false">IF(A183="","",IFERROR(INDEX(Sales_Memo!$B$2:$B$1001,MATCH(A183,Sales_Memo!$A$2:$A$1001,0)),""))</f>
        <v>46250</v>
      </c>
      <c r="C183" s="7" t="s">
        <v>82</v>
      </c>
      <c r="D183" s="16" t="str">
        <f aca="false">IF(C183="","",IFERROR(INDEX(Products!$B$2:$B$501,MATCH(C183,Products!$A$2:$A$501,0)),"CODE NOT FOUND"))</f>
        <v>Clutch Cable</v>
      </c>
      <c r="E183" s="7" t="n">
        <v>2</v>
      </c>
      <c r="F183" s="13" t="n">
        <v>190</v>
      </c>
      <c r="G183" s="13" t="n">
        <v>110</v>
      </c>
      <c r="H183" s="17" t="n">
        <f aca="false">IF(OR(E183="",F183=""),"",E183*F183)</f>
        <v>380</v>
      </c>
      <c r="I183" s="17" t="n">
        <f aca="false">IF(OR(E183="",G183=""),"",E183*G183)</f>
        <v>220</v>
      </c>
      <c r="J183" s="17" t="n">
        <f aca="false">IF(H183="","",H183-I183)</f>
        <v>160</v>
      </c>
    </row>
    <row r="184" customFormat="false" ht="15" hidden="false" customHeight="true" outlineLevel="0" collapsed="false">
      <c r="A184" s="7" t="s">
        <v>436</v>
      </c>
      <c r="B184" s="18" t="n">
        <f aca="false">IF(A184="","",IFERROR(INDEX(Sales_Memo!$B$2:$B$1001,MATCH(A184,Sales_Memo!$A$2:$A$1001,0)),""))</f>
        <v>46250</v>
      </c>
      <c r="C184" s="7" t="s">
        <v>102</v>
      </c>
      <c r="D184" s="16" t="str">
        <f aca="false">IF(C184="","",IFERROR(INDEX(Products!$B$2:$B$501,MATCH(C184,Products!$A$2:$A$501,0)),"CODE NOT FOUND"))</f>
        <v>Headlight Bulb H4</v>
      </c>
      <c r="E184" s="7" t="n">
        <v>3</v>
      </c>
      <c r="F184" s="13" t="n">
        <v>240</v>
      </c>
      <c r="G184" s="13" t="n">
        <v>140</v>
      </c>
      <c r="H184" s="17" t="n">
        <f aca="false">IF(OR(E184="",F184=""),"",E184*F184)</f>
        <v>720</v>
      </c>
      <c r="I184" s="17" t="n">
        <f aca="false">IF(OR(E184="",G184=""),"",E184*G184)</f>
        <v>420</v>
      </c>
      <c r="J184" s="17" t="n">
        <f aca="false">IF(H184="","",H184-I184)</f>
        <v>300</v>
      </c>
    </row>
    <row r="185" customFormat="false" ht="15" hidden="false" customHeight="true" outlineLevel="0" collapsed="false">
      <c r="A185" s="7" t="s">
        <v>437</v>
      </c>
      <c r="B185" s="18" t="n">
        <f aca="false">IF(A185="","",IFERROR(INDEX(Sales_Memo!$B$2:$B$1001,MATCH(A185,Sales_Memo!$A$2:$A$1001,0)),""))</f>
        <v>46250</v>
      </c>
      <c r="C185" s="7" t="s">
        <v>86</v>
      </c>
      <c r="D185" s="16" t="str">
        <f aca="false">IF(C185="","",IFERROR(INDEX(Products!$B$2:$B$501,MATCH(C185,Products!$A$2:$A$501,0)),"CODE NOT FOUND"))</f>
        <v>Spark Plug CPR8EA-9</v>
      </c>
      <c r="E185" s="7" t="n">
        <v>1</v>
      </c>
      <c r="F185" s="13" t="n">
        <v>260</v>
      </c>
      <c r="G185" s="13" t="n">
        <v>175</v>
      </c>
      <c r="H185" s="17" t="n">
        <f aca="false">IF(OR(E185="",F185=""),"",E185*F185)</f>
        <v>260</v>
      </c>
      <c r="I185" s="17" t="n">
        <f aca="false">IF(OR(E185="",G185=""),"",E185*G185)</f>
        <v>175</v>
      </c>
      <c r="J185" s="17" t="n">
        <f aca="false">IF(H185="","",H185-I185)</f>
        <v>85</v>
      </c>
    </row>
    <row r="186" customFormat="false" ht="15" hidden="false" customHeight="true" outlineLevel="0" collapsed="false">
      <c r="A186" s="7" t="s">
        <v>438</v>
      </c>
      <c r="B186" s="18" t="n">
        <f aca="false">IF(A186="","",IFERROR(INDEX(Sales_Memo!$B$2:$B$1001,MATCH(A186,Sales_Memo!$A$2:$A$1001,0)),""))</f>
        <v>46250</v>
      </c>
      <c r="C186" s="7" t="s">
        <v>86</v>
      </c>
      <c r="D186" s="16" t="str">
        <f aca="false">IF(C186="","",IFERROR(INDEX(Products!$B$2:$B$501,MATCH(C186,Products!$A$2:$A$501,0)),"CODE NOT FOUND"))</f>
        <v>Spark Plug CPR8EA-9</v>
      </c>
      <c r="E186" s="7" t="n">
        <v>1</v>
      </c>
      <c r="F186" s="13" t="n">
        <v>260</v>
      </c>
      <c r="G186" s="13" t="n">
        <v>175</v>
      </c>
      <c r="H186" s="17" t="n">
        <f aca="false">IF(OR(E186="",F186=""),"",E186*F186)</f>
        <v>260</v>
      </c>
      <c r="I186" s="17" t="n">
        <f aca="false">IF(OR(E186="",G186=""),"",E186*G186)</f>
        <v>175</v>
      </c>
      <c r="J186" s="17" t="n">
        <f aca="false">IF(H186="","",H186-I186)</f>
        <v>85</v>
      </c>
    </row>
    <row r="187" customFormat="false" ht="15" hidden="false" customHeight="true" outlineLevel="0" collapsed="false">
      <c r="A187" s="7" t="s">
        <v>439</v>
      </c>
      <c r="B187" s="18" t="n">
        <f aca="false">IF(A187="","",IFERROR(INDEX(Sales_Memo!$B$2:$B$1001,MATCH(A187,Sales_Memo!$A$2:$A$1001,0)),""))</f>
        <v>46250</v>
      </c>
      <c r="C187" s="7" t="s">
        <v>102</v>
      </c>
      <c r="D187" s="16" t="str">
        <f aca="false">IF(C187="","",IFERROR(INDEX(Products!$B$2:$B$501,MATCH(C187,Products!$A$2:$A$501,0)),"CODE NOT FOUND"))</f>
        <v>Headlight Bulb H4</v>
      </c>
      <c r="E187" s="7" t="n">
        <v>1</v>
      </c>
      <c r="F187" s="13" t="n">
        <v>240</v>
      </c>
      <c r="G187" s="13" t="n">
        <v>140</v>
      </c>
      <c r="H187" s="17" t="n">
        <f aca="false">IF(OR(E187="",F187=""),"",E187*F187)</f>
        <v>240</v>
      </c>
      <c r="I187" s="17" t="n">
        <f aca="false">IF(OR(E187="",G187=""),"",E187*G187)</f>
        <v>140</v>
      </c>
      <c r="J187" s="17" t="n">
        <f aca="false">IF(H187="","",H187-I187)</f>
        <v>100</v>
      </c>
    </row>
    <row r="188" customFormat="false" ht="15" hidden="false" customHeight="true" outlineLevel="0" collapsed="false">
      <c r="A188" s="7" t="s">
        <v>441</v>
      </c>
      <c r="B188" s="18" t="n">
        <f aca="false">IF(A188="","",IFERROR(INDEX(Sales_Memo!$B$2:$B$1001,MATCH(A188,Sales_Memo!$A$2:$A$1001,0)),""))</f>
        <v>46250</v>
      </c>
      <c r="C188" s="7" t="s">
        <v>102</v>
      </c>
      <c r="D188" s="16" t="str">
        <f aca="false">IF(C188="","",IFERROR(INDEX(Products!$B$2:$B$501,MATCH(C188,Products!$A$2:$A$501,0)),"CODE NOT FOUND"))</f>
        <v>Headlight Bulb H4</v>
      </c>
      <c r="E188" s="7" t="n">
        <v>2</v>
      </c>
      <c r="F188" s="13" t="n">
        <v>240</v>
      </c>
      <c r="G188" s="13" t="n">
        <v>140</v>
      </c>
      <c r="H188" s="17" t="n">
        <f aca="false">IF(OR(E188="",F188=""),"",E188*F188)</f>
        <v>480</v>
      </c>
      <c r="I188" s="17" t="n">
        <f aca="false">IF(OR(E188="",G188=""),"",E188*G188)</f>
        <v>280</v>
      </c>
      <c r="J188" s="17" t="n">
        <f aca="false">IF(H188="","",H188-I188)</f>
        <v>200</v>
      </c>
    </row>
    <row r="189" customFormat="false" ht="15" hidden="false" customHeight="true" outlineLevel="0" collapsed="false">
      <c r="A189" s="7" t="s">
        <v>442</v>
      </c>
      <c r="B189" s="18" t="n">
        <f aca="false">IF(A189="","",IFERROR(INDEX(Sales_Memo!$B$2:$B$1001,MATCH(A189,Sales_Memo!$A$2:$A$1001,0)),""))</f>
        <v>46250</v>
      </c>
      <c r="C189" s="7" t="s">
        <v>121</v>
      </c>
      <c r="D189" s="16" t="str">
        <f aca="false">IF(C189="","",IFERROR(INDEX(Products!$B$2:$B$501,MATCH(C189,Products!$A$2:$A$501,0)),"CODE NOT FOUND"))</f>
        <v>Handle Grip Set</v>
      </c>
      <c r="E189" s="7" t="n">
        <v>2</v>
      </c>
      <c r="F189" s="13" t="n">
        <v>280</v>
      </c>
      <c r="G189" s="13" t="n">
        <v>160</v>
      </c>
      <c r="H189" s="17" t="n">
        <f aca="false">IF(OR(E189="",F189=""),"",E189*F189)</f>
        <v>560</v>
      </c>
      <c r="I189" s="17" t="n">
        <f aca="false">IF(OR(E189="",G189=""),"",E189*G189)</f>
        <v>320</v>
      </c>
      <c r="J189" s="17" t="n">
        <f aca="false">IF(H189="","",H189-I189)</f>
        <v>240</v>
      </c>
    </row>
    <row r="190" customFormat="false" ht="15" hidden="false" customHeight="true" outlineLevel="0" collapsed="false">
      <c r="A190" s="7" t="s">
        <v>443</v>
      </c>
      <c r="B190" s="18" t="n">
        <f aca="false">IF(A190="","",IFERROR(INDEX(Sales_Memo!$B$2:$B$1001,MATCH(A190,Sales_Memo!$A$2:$A$1001,0)),""))</f>
        <v>46250</v>
      </c>
      <c r="C190" s="7" t="s">
        <v>82</v>
      </c>
      <c r="D190" s="16" t="str">
        <f aca="false">IF(C190="","",IFERROR(INDEX(Products!$B$2:$B$501,MATCH(C190,Products!$A$2:$A$501,0)),"CODE NOT FOUND"))</f>
        <v>Clutch Cable</v>
      </c>
      <c r="E190" s="7" t="n">
        <v>1</v>
      </c>
      <c r="F190" s="13" t="n">
        <v>190</v>
      </c>
      <c r="G190" s="13" t="n">
        <v>110</v>
      </c>
      <c r="H190" s="17" t="n">
        <f aca="false">IF(OR(E190="",F190=""),"",E190*F190)</f>
        <v>190</v>
      </c>
      <c r="I190" s="17" t="n">
        <f aca="false">IF(OR(E190="",G190=""),"",E190*G190)</f>
        <v>110</v>
      </c>
      <c r="J190" s="17" t="n">
        <f aca="false">IF(H190="","",H190-I190)</f>
        <v>80</v>
      </c>
    </row>
    <row r="191" customFormat="false" ht="15" hidden="false" customHeight="true" outlineLevel="0" collapsed="false">
      <c r="A191" s="7" t="s">
        <v>444</v>
      </c>
      <c r="B191" s="18" t="n">
        <f aca="false">IF(A191="","",IFERROR(INDEX(Sales_Memo!$B$2:$B$1001,MATCH(A191,Sales_Memo!$A$2:$A$1001,0)),""))</f>
        <v>46250</v>
      </c>
      <c r="C191" s="7" t="s">
        <v>102</v>
      </c>
      <c r="D191" s="16" t="str">
        <f aca="false">IF(C191="","",IFERROR(INDEX(Products!$B$2:$B$501,MATCH(C191,Products!$A$2:$A$501,0)),"CODE NOT FOUND"))</f>
        <v>Headlight Bulb H4</v>
      </c>
      <c r="E191" s="7" t="n">
        <v>2</v>
      </c>
      <c r="F191" s="13" t="n">
        <v>240</v>
      </c>
      <c r="G191" s="13" t="n">
        <v>140</v>
      </c>
      <c r="H191" s="17" t="n">
        <f aca="false">IF(OR(E191="",F191=""),"",E191*F191)</f>
        <v>480</v>
      </c>
      <c r="I191" s="17" t="n">
        <f aca="false">IF(OR(E191="",G191=""),"",E191*G191)</f>
        <v>280</v>
      </c>
      <c r="J191" s="17" t="n">
        <f aca="false">IF(H191="","",H191-I191)</f>
        <v>200</v>
      </c>
    </row>
    <row r="192" customFormat="false" ht="15" hidden="false" customHeight="true" outlineLevel="0" collapsed="false">
      <c r="A192" s="7" t="s">
        <v>444</v>
      </c>
      <c r="B192" s="18" t="n">
        <f aca="false">IF(A192="","",IFERROR(INDEX(Sales_Memo!$B$2:$B$1001,MATCH(A192,Sales_Memo!$A$2:$A$1001,0)),""))</f>
        <v>46250</v>
      </c>
      <c r="C192" s="7" t="s">
        <v>119</v>
      </c>
      <c r="D192" s="16" t="str">
        <f aca="false">IF(C192="","",IFERROR(INDEX(Products!$B$2:$B$501,MATCH(C192,Products!$A$2:$A$501,0)),"CODE NOT FOUND"))</f>
        <v>Chain Lube Spray</v>
      </c>
      <c r="E192" s="7" t="n">
        <v>1</v>
      </c>
      <c r="F192" s="13" t="n">
        <v>270</v>
      </c>
      <c r="G192" s="13" t="n">
        <v>170</v>
      </c>
      <c r="H192" s="17" t="n">
        <f aca="false">IF(OR(E192="",F192=""),"",E192*F192)</f>
        <v>270</v>
      </c>
      <c r="I192" s="17" t="n">
        <f aca="false">IF(OR(E192="",G192=""),"",E192*G192)</f>
        <v>170</v>
      </c>
      <c r="J192" s="17" t="n">
        <f aca="false">IF(H192="","",H192-I192)</f>
        <v>100</v>
      </c>
    </row>
    <row r="193" customFormat="false" ht="15" hidden="false" customHeight="true" outlineLevel="0" collapsed="false">
      <c r="A193" s="7" t="s">
        <v>444</v>
      </c>
      <c r="B193" s="18" t="n">
        <f aca="false">IF(A193="","",IFERROR(INDEX(Sales_Memo!$B$2:$B$1001,MATCH(A193,Sales_Memo!$A$2:$A$1001,0)),""))</f>
        <v>46250</v>
      </c>
      <c r="C193" s="7" t="s">
        <v>82</v>
      </c>
      <c r="D193" s="16" t="str">
        <f aca="false">IF(C193="","",IFERROR(INDEX(Products!$B$2:$B$501,MATCH(C193,Products!$A$2:$A$501,0)),"CODE NOT FOUND"))</f>
        <v>Clutch Cable</v>
      </c>
      <c r="E193" s="7" t="n">
        <v>3</v>
      </c>
      <c r="F193" s="13" t="n">
        <v>190</v>
      </c>
      <c r="G193" s="13" t="n">
        <v>110</v>
      </c>
      <c r="H193" s="17" t="n">
        <f aca="false">IF(OR(E193="",F193=""),"",E193*F193)</f>
        <v>570</v>
      </c>
      <c r="I193" s="17" t="n">
        <f aca="false">IF(OR(E193="",G193=""),"",E193*G193)</f>
        <v>330</v>
      </c>
      <c r="J193" s="17" t="n">
        <f aca="false">IF(H193="","",H193-I193)</f>
        <v>240</v>
      </c>
    </row>
    <row r="194" customFormat="false" ht="15" hidden="false" customHeight="true" outlineLevel="0" collapsed="false">
      <c r="A194" s="7" t="s">
        <v>446</v>
      </c>
      <c r="B194" s="18" t="n">
        <f aca="false">IF(A194="","",IFERROR(INDEX(Sales_Memo!$B$2:$B$1001,MATCH(A194,Sales_Memo!$A$2:$A$1001,0)),""))</f>
        <v>46250</v>
      </c>
      <c r="C194" s="7" t="s">
        <v>82</v>
      </c>
      <c r="D194" s="16" t="str">
        <f aca="false">IF(C194="","",IFERROR(INDEX(Products!$B$2:$B$501,MATCH(C194,Products!$A$2:$A$501,0)),"CODE NOT FOUND"))</f>
        <v>Clutch Cable</v>
      </c>
      <c r="E194" s="7" t="n">
        <v>1</v>
      </c>
      <c r="F194" s="13" t="n">
        <v>190</v>
      </c>
      <c r="G194" s="13" t="n">
        <v>110</v>
      </c>
      <c r="H194" s="17" t="n">
        <f aca="false">IF(OR(E194="",F194=""),"",E194*F194)</f>
        <v>190</v>
      </c>
      <c r="I194" s="17" t="n">
        <f aca="false">IF(OR(E194="",G194=""),"",E194*G194)</f>
        <v>110</v>
      </c>
      <c r="J194" s="17" t="n">
        <f aca="false">IF(H194="","",H194-I194)</f>
        <v>80</v>
      </c>
    </row>
    <row r="195" customFormat="false" ht="15" hidden="false" customHeight="true" outlineLevel="0" collapsed="false">
      <c r="A195" s="7" t="s">
        <v>448</v>
      </c>
      <c r="B195" s="18" t="n">
        <f aca="false">IF(A195="","",IFERROR(INDEX(Sales_Memo!$B$2:$B$1001,MATCH(A195,Sales_Memo!$A$2:$A$1001,0)),""))</f>
        <v>46251</v>
      </c>
      <c r="C195" s="7" t="s">
        <v>82</v>
      </c>
      <c r="D195" s="16" t="str">
        <f aca="false">IF(C195="","",IFERROR(INDEX(Products!$B$2:$B$501,MATCH(C195,Products!$A$2:$A$501,0)),"CODE NOT FOUND"))</f>
        <v>Clutch Cable</v>
      </c>
      <c r="E195" s="7" t="n">
        <v>1</v>
      </c>
      <c r="F195" s="13" t="n">
        <v>190</v>
      </c>
      <c r="G195" s="13" t="n">
        <v>110</v>
      </c>
      <c r="H195" s="17" t="n">
        <f aca="false">IF(OR(E195="",F195=""),"",E195*F195)</f>
        <v>190</v>
      </c>
      <c r="I195" s="17" t="n">
        <f aca="false">IF(OR(E195="",G195=""),"",E195*G195)</f>
        <v>110</v>
      </c>
      <c r="J195" s="17" t="n">
        <f aca="false">IF(H195="","",H195-I195)</f>
        <v>80</v>
      </c>
    </row>
    <row r="196" customFormat="false" ht="15" hidden="false" customHeight="true" outlineLevel="0" collapsed="false">
      <c r="A196" s="7" t="s">
        <v>449</v>
      </c>
      <c r="B196" s="18" t="n">
        <f aca="false">IF(A196="","",IFERROR(INDEX(Sales_Memo!$B$2:$B$1001,MATCH(A196,Sales_Memo!$A$2:$A$1001,0)),""))</f>
        <v>46251</v>
      </c>
      <c r="C196" s="7" t="s">
        <v>82</v>
      </c>
      <c r="D196" s="16" t="str">
        <f aca="false">IF(C196="","",IFERROR(INDEX(Products!$B$2:$B$501,MATCH(C196,Products!$A$2:$A$501,0)),"CODE NOT FOUND"))</f>
        <v>Clutch Cable</v>
      </c>
      <c r="E196" s="7" t="n">
        <v>1</v>
      </c>
      <c r="F196" s="13" t="n">
        <v>190</v>
      </c>
      <c r="G196" s="13" t="n">
        <v>110</v>
      </c>
      <c r="H196" s="17" t="n">
        <f aca="false">IF(OR(E196="",F196=""),"",E196*F196)</f>
        <v>190</v>
      </c>
      <c r="I196" s="17" t="n">
        <f aca="false">IF(OR(E196="",G196=""),"",E196*G196)</f>
        <v>110</v>
      </c>
      <c r="J196" s="17" t="n">
        <f aca="false">IF(H196="","",H196-I196)</f>
        <v>80</v>
      </c>
    </row>
    <row r="197" customFormat="false" ht="15" hidden="false" customHeight="true" outlineLevel="0" collapsed="false">
      <c r="A197" s="7" t="s">
        <v>449</v>
      </c>
      <c r="B197" s="18" t="n">
        <f aca="false">IF(A197="","",IFERROR(INDEX(Sales_Memo!$B$2:$B$1001,MATCH(A197,Sales_Memo!$A$2:$A$1001,0)),""))</f>
        <v>46251</v>
      </c>
      <c r="C197" s="7" t="s">
        <v>119</v>
      </c>
      <c r="D197" s="16" t="str">
        <f aca="false">IF(C197="","",IFERROR(INDEX(Products!$B$2:$B$501,MATCH(C197,Products!$A$2:$A$501,0)),"CODE NOT FOUND"))</f>
        <v>Chain Lube Spray</v>
      </c>
      <c r="E197" s="7" t="n">
        <v>2</v>
      </c>
      <c r="F197" s="13" t="n">
        <v>270</v>
      </c>
      <c r="G197" s="13" t="n">
        <v>170</v>
      </c>
      <c r="H197" s="17" t="n">
        <f aca="false">IF(OR(E197="",F197=""),"",E197*F197)</f>
        <v>540</v>
      </c>
      <c r="I197" s="17" t="n">
        <f aca="false">IF(OR(E197="",G197=""),"",E197*G197)</f>
        <v>340</v>
      </c>
      <c r="J197" s="17" t="n">
        <f aca="false">IF(H197="","",H197-I197)</f>
        <v>200</v>
      </c>
    </row>
    <row r="198" customFormat="false" ht="15" hidden="false" customHeight="true" outlineLevel="0" collapsed="false">
      <c r="A198" s="7" t="s">
        <v>451</v>
      </c>
      <c r="B198" s="18" t="n">
        <f aca="false">IF(A198="","",IFERROR(INDEX(Sales_Memo!$B$2:$B$1001,MATCH(A198,Sales_Memo!$A$2:$A$1001,0)),""))</f>
        <v>46251</v>
      </c>
      <c r="C198" s="7" t="s">
        <v>90</v>
      </c>
      <c r="D198" s="16" t="str">
        <f aca="false">IF(C198="","",IFERROR(INDEX(Products!$B$2:$B$501,MATCH(C198,Products!$A$2:$A$501,0)),"CODE NOT FOUND"))</f>
        <v>Air Filter 150cc</v>
      </c>
      <c r="E198" s="7" t="n">
        <v>2</v>
      </c>
      <c r="F198" s="13" t="n">
        <v>340</v>
      </c>
      <c r="G198" s="13" t="n">
        <v>210</v>
      </c>
      <c r="H198" s="17" t="n">
        <f aca="false">IF(OR(E198="",F198=""),"",E198*F198)</f>
        <v>680</v>
      </c>
      <c r="I198" s="17" t="n">
        <f aca="false">IF(OR(E198="",G198=""),"",E198*G198)</f>
        <v>420</v>
      </c>
      <c r="J198" s="17" t="n">
        <f aca="false">IF(H198="","",H198-I198)</f>
        <v>260</v>
      </c>
    </row>
    <row r="199" customFormat="false" ht="15" hidden="false" customHeight="true" outlineLevel="0" collapsed="false">
      <c r="A199" s="7" t="s">
        <v>451</v>
      </c>
      <c r="B199" s="18" t="n">
        <f aca="false">IF(A199="","",IFERROR(INDEX(Sales_Memo!$B$2:$B$1001,MATCH(A199,Sales_Memo!$A$2:$A$1001,0)),""))</f>
        <v>46251</v>
      </c>
      <c r="C199" s="7" t="s">
        <v>121</v>
      </c>
      <c r="D199" s="16" t="str">
        <f aca="false">IF(C199="","",IFERROR(INDEX(Products!$B$2:$B$501,MATCH(C199,Products!$A$2:$A$501,0)),"CODE NOT FOUND"))</f>
        <v>Handle Grip Set</v>
      </c>
      <c r="E199" s="7" t="n">
        <v>1</v>
      </c>
      <c r="F199" s="13" t="n">
        <v>280</v>
      </c>
      <c r="G199" s="13" t="n">
        <v>160</v>
      </c>
      <c r="H199" s="17" t="n">
        <f aca="false">IF(OR(E199="",F199=""),"",E199*F199)</f>
        <v>280</v>
      </c>
      <c r="I199" s="17" t="n">
        <f aca="false">IF(OR(E199="",G199=""),"",E199*G199)</f>
        <v>160</v>
      </c>
      <c r="J199" s="17" t="n">
        <f aca="false">IF(H199="","",H199-I199)</f>
        <v>120</v>
      </c>
    </row>
    <row r="200" customFormat="false" ht="15" hidden="false" customHeight="true" outlineLevel="0" collapsed="false">
      <c r="A200" s="7" t="s">
        <v>451</v>
      </c>
      <c r="B200" s="18" t="n">
        <f aca="false">IF(A200="","",IFERROR(INDEX(Sales_Memo!$B$2:$B$1001,MATCH(A200,Sales_Memo!$A$2:$A$1001,0)),""))</f>
        <v>46251</v>
      </c>
      <c r="C200" s="7" t="s">
        <v>102</v>
      </c>
      <c r="D200" s="16" t="str">
        <f aca="false">IF(C200="","",IFERROR(INDEX(Products!$B$2:$B$501,MATCH(C200,Products!$A$2:$A$501,0)),"CODE NOT FOUND"))</f>
        <v>Headlight Bulb H4</v>
      </c>
      <c r="E200" s="7" t="n">
        <v>3</v>
      </c>
      <c r="F200" s="13" t="n">
        <v>240</v>
      </c>
      <c r="G200" s="13" t="n">
        <v>140</v>
      </c>
      <c r="H200" s="17" t="n">
        <f aca="false">IF(OR(E200="",F200=""),"",E200*F200)</f>
        <v>720</v>
      </c>
      <c r="I200" s="17" t="n">
        <f aca="false">IF(OR(E200="",G200=""),"",E200*G200)</f>
        <v>420</v>
      </c>
      <c r="J200" s="17" t="n">
        <f aca="false">IF(H200="","",H200-I200)</f>
        <v>300</v>
      </c>
    </row>
    <row r="201" customFormat="false" ht="15" hidden="false" customHeight="true" outlineLevel="0" collapsed="false">
      <c r="A201" s="7" t="s">
        <v>453</v>
      </c>
      <c r="B201" s="18" t="n">
        <f aca="false">IF(A201="","",IFERROR(INDEX(Sales_Memo!$B$2:$B$1001,MATCH(A201,Sales_Memo!$A$2:$A$1001,0)),""))</f>
        <v>46251</v>
      </c>
      <c r="C201" s="7" t="s">
        <v>102</v>
      </c>
      <c r="D201" s="16" t="str">
        <f aca="false">IF(C201="","",IFERROR(INDEX(Products!$B$2:$B$501,MATCH(C201,Products!$A$2:$A$501,0)),"CODE NOT FOUND"))</f>
        <v>Headlight Bulb H4</v>
      </c>
      <c r="E201" s="7" t="n">
        <v>1</v>
      </c>
      <c r="F201" s="13" t="n">
        <v>240</v>
      </c>
      <c r="G201" s="13" t="n">
        <v>140</v>
      </c>
      <c r="H201" s="17" t="n">
        <f aca="false">IF(OR(E201="",F201=""),"",E201*F201)</f>
        <v>240</v>
      </c>
      <c r="I201" s="17" t="n">
        <f aca="false">IF(OR(E201="",G201=""),"",E201*G201)</f>
        <v>140</v>
      </c>
      <c r="J201" s="17" t="n">
        <f aca="false">IF(H201="","",H201-I201)</f>
        <v>100</v>
      </c>
    </row>
    <row r="202" customFormat="false" ht="15" hidden="false" customHeight="true" outlineLevel="0" collapsed="false">
      <c r="A202" s="7" t="s">
        <v>454</v>
      </c>
      <c r="B202" s="18" t="n">
        <f aca="false">IF(A202="","",IFERROR(INDEX(Sales_Memo!$B$2:$B$1001,MATCH(A202,Sales_Memo!$A$2:$A$1001,0)),""))</f>
        <v>46251</v>
      </c>
      <c r="C202" s="7" t="s">
        <v>102</v>
      </c>
      <c r="D202" s="16" t="str">
        <f aca="false">IF(C202="","",IFERROR(INDEX(Products!$B$2:$B$501,MATCH(C202,Products!$A$2:$A$501,0)),"CODE NOT FOUND"))</f>
        <v>Headlight Bulb H4</v>
      </c>
      <c r="E202" s="7" t="n">
        <v>1</v>
      </c>
      <c r="F202" s="13" t="n">
        <v>240</v>
      </c>
      <c r="G202" s="13" t="n">
        <v>140</v>
      </c>
      <c r="H202" s="17" t="n">
        <f aca="false">IF(OR(E202="",F202=""),"",E202*F202)</f>
        <v>240</v>
      </c>
      <c r="I202" s="17" t="n">
        <f aca="false">IF(OR(E202="",G202=""),"",E202*G202)</f>
        <v>140</v>
      </c>
      <c r="J202" s="17" t="n">
        <f aca="false">IF(H202="","",H202-I202)</f>
        <v>100</v>
      </c>
    </row>
    <row r="203" customFormat="false" ht="15" hidden="false" customHeight="true" outlineLevel="0" collapsed="false">
      <c r="A203" s="7" t="s">
        <v>455</v>
      </c>
      <c r="B203" s="18" t="n">
        <f aca="false">IF(A203="","",IFERROR(INDEX(Sales_Memo!$B$2:$B$1001,MATCH(A203,Sales_Memo!$A$2:$A$1001,0)),""))</f>
        <v>46251</v>
      </c>
      <c r="C203" s="7" t="s">
        <v>86</v>
      </c>
      <c r="D203" s="16" t="str">
        <f aca="false">IF(C203="","",IFERROR(INDEX(Products!$B$2:$B$501,MATCH(C203,Products!$A$2:$A$501,0)),"CODE NOT FOUND"))</f>
        <v>Spark Plug CPR8EA-9</v>
      </c>
      <c r="E203" s="7" t="n">
        <v>3</v>
      </c>
      <c r="F203" s="13" t="n">
        <v>260</v>
      </c>
      <c r="G203" s="13" t="n">
        <v>175</v>
      </c>
      <c r="H203" s="17" t="n">
        <f aca="false">IF(OR(E203="",F203=""),"",E203*F203)</f>
        <v>780</v>
      </c>
      <c r="I203" s="17" t="n">
        <f aca="false">IF(OR(E203="",G203=""),"",E203*G203)</f>
        <v>525</v>
      </c>
      <c r="J203" s="17" t="n">
        <f aca="false">IF(H203="","",H203-I203)</f>
        <v>255</v>
      </c>
    </row>
    <row r="204" customFormat="false" ht="15" hidden="false" customHeight="true" outlineLevel="0" collapsed="false">
      <c r="A204" s="7" t="s">
        <v>456</v>
      </c>
      <c r="B204" s="18" t="n">
        <f aca="false">IF(A204="","",IFERROR(INDEX(Sales_Memo!$B$2:$B$1001,MATCH(A204,Sales_Memo!$A$2:$A$1001,0)),""))</f>
        <v>46251</v>
      </c>
      <c r="C204" s="7" t="s">
        <v>114</v>
      </c>
      <c r="D204" s="16" t="str">
        <f aca="false">IF(C204="","",IFERROR(INDEX(Products!$B$2:$B$501,MATCH(C204,Products!$A$2:$A$501,0)),"CODE NOT FOUND"))</f>
        <v>Side Mirror (Pair)</v>
      </c>
      <c r="E204" s="7" t="n">
        <v>1</v>
      </c>
      <c r="F204" s="13" t="n">
        <v>620</v>
      </c>
      <c r="G204" s="13" t="n">
        <v>380</v>
      </c>
      <c r="H204" s="17" t="n">
        <f aca="false">IF(OR(E204="",F204=""),"",E204*F204)</f>
        <v>620</v>
      </c>
      <c r="I204" s="17" t="n">
        <f aca="false">IF(OR(E204="",G204=""),"",E204*G204)</f>
        <v>380</v>
      </c>
      <c r="J204" s="17" t="n">
        <f aca="false">IF(H204="","",H204-I204)</f>
        <v>240</v>
      </c>
    </row>
    <row r="205" customFormat="false" ht="15" hidden="false" customHeight="true" outlineLevel="0" collapsed="false">
      <c r="A205" s="7" t="s">
        <v>456</v>
      </c>
      <c r="B205" s="18" t="n">
        <f aca="false">IF(A205="","",IFERROR(INDEX(Sales_Memo!$B$2:$B$1001,MATCH(A205,Sales_Memo!$A$2:$A$1001,0)),""))</f>
        <v>46251</v>
      </c>
      <c r="C205" s="7" t="s">
        <v>102</v>
      </c>
      <c r="D205" s="16" t="str">
        <f aca="false">IF(C205="","",IFERROR(INDEX(Products!$B$2:$B$501,MATCH(C205,Products!$A$2:$A$501,0)),"CODE NOT FOUND"))</f>
        <v>Headlight Bulb H4</v>
      </c>
      <c r="E205" s="7" t="n">
        <v>1</v>
      </c>
      <c r="F205" s="13" t="n">
        <v>240</v>
      </c>
      <c r="G205" s="13" t="n">
        <v>140</v>
      </c>
      <c r="H205" s="17" t="n">
        <f aca="false">IF(OR(E205="",F205=""),"",E205*F205)</f>
        <v>240</v>
      </c>
      <c r="I205" s="17" t="n">
        <f aca="false">IF(OR(E205="",G205=""),"",E205*G205)</f>
        <v>140</v>
      </c>
      <c r="J205" s="17" t="n">
        <f aca="false">IF(H205="","",H205-I205)</f>
        <v>100</v>
      </c>
    </row>
    <row r="206" customFormat="false" ht="15" hidden="false" customHeight="true" outlineLevel="0" collapsed="false">
      <c r="A206" s="7" t="s">
        <v>457</v>
      </c>
      <c r="B206" s="18" t="n">
        <f aca="false">IF(A206="","",IFERROR(INDEX(Sales_Memo!$B$2:$B$1001,MATCH(A206,Sales_Memo!$A$2:$A$1001,0)),""))</f>
        <v>46252</v>
      </c>
      <c r="C206" s="7" t="s">
        <v>111</v>
      </c>
      <c r="D206" s="16" t="str">
        <f aca="false">IF(C206="","",IFERROR(INDEX(Products!$B$2:$B$501,MATCH(C206,Products!$A$2:$A$501,0)),"CODE NOT FOUND"))</f>
        <v>Tyre 80/100-18 Front</v>
      </c>
      <c r="E206" s="7" t="n">
        <v>1</v>
      </c>
      <c r="F206" s="13" t="n">
        <v>2850</v>
      </c>
      <c r="G206" s="13" t="n">
        <v>2300</v>
      </c>
      <c r="H206" s="17" t="n">
        <f aca="false">IF(OR(E206="",F206=""),"",E206*F206)</f>
        <v>2850</v>
      </c>
      <c r="I206" s="17" t="n">
        <f aca="false">IF(OR(E206="",G206=""),"",E206*G206)</f>
        <v>2300</v>
      </c>
      <c r="J206" s="17" t="n">
        <f aca="false">IF(H206="","",H206-I206)</f>
        <v>550</v>
      </c>
    </row>
    <row r="207" customFormat="false" ht="15" hidden="false" customHeight="true" outlineLevel="0" collapsed="false">
      <c r="A207" s="7" t="s">
        <v>457</v>
      </c>
      <c r="B207" s="18" t="n">
        <f aca="false">IF(A207="","",IFERROR(INDEX(Sales_Memo!$B$2:$B$1001,MATCH(A207,Sales_Memo!$A$2:$A$1001,0)),""))</f>
        <v>46252</v>
      </c>
      <c r="C207" s="7" t="s">
        <v>86</v>
      </c>
      <c r="D207" s="16" t="str">
        <f aca="false">IF(C207="","",IFERROR(INDEX(Products!$B$2:$B$501,MATCH(C207,Products!$A$2:$A$501,0)),"CODE NOT FOUND"))</f>
        <v>Spark Plug CPR8EA-9</v>
      </c>
      <c r="E207" s="7" t="n">
        <v>2</v>
      </c>
      <c r="F207" s="13" t="n">
        <v>260</v>
      </c>
      <c r="G207" s="13" t="n">
        <v>175</v>
      </c>
      <c r="H207" s="17" t="n">
        <f aca="false">IF(OR(E207="",F207=""),"",E207*F207)</f>
        <v>520</v>
      </c>
      <c r="I207" s="17" t="n">
        <f aca="false">IF(OR(E207="",G207=""),"",E207*G207)</f>
        <v>350</v>
      </c>
      <c r="J207" s="17" t="n">
        <f aca="false">IF(H207="","",H207-I207)</f>
        <v>170</v>
      </c>
    </row>
    <row r="208" customFormat="false" ht="15" hidden="false" customHeight="true" outlineLevel="0" collapsed="false">
      <c r="A208" s="7" t="s">
        <v>459</v>
      </c>
      <c r="B208" s="18" t="n">
        <f aca="false">IF(A208="","",IFERROR(INDEX(Sales_Memo!$B$2:$B$1001,MATCH(A208,Sales_Memo!$A$2:$A$1001,0)),""))</f>
        <v>46252</v>
      </c>
      <c r="C208" s="7" t="s">
        <v>82</v>
      </c>
      <c r="D208" s="16" t="str">
        <f aca="false">IF(C208="","",IFERROR(INDEX(Products!$B$2:$B$501,MATCH(C208,Products!$A$2:$A$501,0)),"CODE NOT FOUND"))</f>
        <v>Clutch Cable</v>
      </c>
      <c r="E208" s="7" t="n">
        <v>3</v>
      </c>
      <c r="F208" s="13" t="n">
        <v>190</v>
      </c>
      <c r="G208" s="13" t="n">
        <v>110</v>
      </c>
      <c r="H208" s="17" t="n">
        <f aca="false">IF(OR(E208="",F208=""),"",E208*F208)</f>
        <v>570</v>
      </c>
      <c r="I208" s="17" t="n">
        <f aca="false">IF(OR(E208="",G208=""),"",E208*G208)</f>
        <v>330</v>
      </c>
      <c r="J208" s="17" t="n">
        <f aca="false">IF(H208="","",H208-I208)</f>
        <v>240</v>
      </c>
    </row>
    <row r="209" customFormat="false" ht="15" hidden="false" customHeight="true" outlineLevel="0" collapsed="false">
      <c r="A209" s="7" t="s">
        <v>460</v>
      </c>
      <c r="B209" s="18" t="n">
        <f aca="false">IF(A209="","",IFERROR(INDEX(Sales_Memo!$B$2:$B$1001,MATCH(A209,Sales_Memo!$A$2:$A$1001,0)),""))</f>
        <v>46252</v>
      </c>
      <c r="C209" s="7" t="s">
        <v>121</v>
      </c>
      <c r="D209" s="16" t="str">
        <f aca="false">IF(C209="","",IFERROR(INDEX(Products!$B$2:$B$501,MATCH(C209,Products!$A$2:$A$501,0)),"CODE NOT FOUND"))</f>
        <v>Handle Grip Set</v>
      </c>
      <c r="E209" s="7" t="n">
        <v>2</v>
      </c>
      <c r="F209" s="13" t="n">
        <v>280</v>
      </c>
      <c r="G209" s="13" t="n">
        <v>160</v>
      </c>
      <c r="H209" s="17" t="n">
        <f aca="false">IF(OR(E209="",F209=""),"",E209*F209)</f>
        <v>560</v>
      </c>
      <c r="I209" s="17" t="n">
        <f aca="false">IF(OR(E209="",G209=""),"",E209*G209)</f>
        <v>320</v>
      </c>
      <c r="J209" s="17" t="n">
        <f aca="false">IF(H209="","",H209-I209)</f>
        <v>240</v>
      </c>
    </row>
    <row r="210" customFormat="false" ht="15" hidden="false" customHeight="true" outlineLevel="0" collapsed="false">
      <c r="A210" s="7" t="s">
        <v>462</v>
      </c>
      <c r="B210" s="18" t="n">
        <f aca="false">IF(A210="","",IFERROR(INDEX(Sales_Memo!$B$2:$B$1001,MATCH(A210,Sales_Memo!$A$2:$A$1001,0)),""))</f>
        <v>46252</v>
      </c>
      <c r="C210" s="7" t="s">
        <v>108</v>
      </c>
      <c r="D210" s="16" t="str">
        <f aca="false">IF(C210="","",IFERROR(INDEX(Products!$B$2:$B$501,MATCH(C210,Products!$A$2:$A$501,0)),"CODE NOT FOUND"))</f>
        <v>Tyre 90/90-17 Rear</v>
      </c>
      <c r="E210" s="7" t="n">
        <v>1</v>
      </c>
      <c r="F210" s="13" t="n">
        <v>3350</v>
      </c>
      <c r="G210" s="13" t="n">
        <v>2750</v>
      </c>
      <c r="H210" s="17" t="n">
        <f aca="false">IF(OR(E210="",F210=""),"",E210*F210)</f>
        <v>3350</v>
      </c>
      <c r="I210" s="17" t="n">
        <f aca="false">IF(OR(E210="",G210=""),"",E210*G210)</f>
        <v>2750</v>
      </c>
      <c r="J210" s="17" t="n">
        <f aca="false">IF(H210="","",H210-I210)</f>
        <v>600</v>
      </c>
    </row>
    <row r="211" customFormat="false" ht="15" hidden="false" customHeight="true" outlineLevel="0" collapsed="false">
      <c r="A211" s="7" t="s">
        <v>464</v>
      </c>
      <c r="B211" s="18" t="n">
        <f aca="false">IF(A211="","",IFERROR(INDEX(Sales_Memo!$B$2:$B$1001,MATCH(A211,Sales_Memo!$A$2:$A$1001,0)),""))</f>
        <v>46252</v>
      </c>
      <c r="C211" s="7" t="s">
        <v>102</v>
      </c>
      <c r="D211" s="16" t="str">
        <f aca="false">IF(C211="","",IFERROR(INDEX(Products!$B$2:$B$501,MATCH(C211,Products!$A$2:$A$501,0)),"CODE NOT FOUND"))</f>
        <v>Headlight Bulb H4</v>
      </c>
      <c r="E211" s="7" t="n">
        <v>1</v>
      </c>
      <c r="F211" s="13" t="n">
        <v>240</v>
      </c>
      <c r="G211" s="13" t="n">
        <v>140</v>
      </c>
      <c r="H211" s="17" t="n">
        <f aca="false">IF(OR(E211="",F211=""),"",E211*F211)</f>
        <v>240</v>
      </c>
      <c r="I211" s="17" t="n">
        <f aca="false">IF(OR(E211="",G211=""),"",E211*G211)</f>
        <v>140</v>
      </c>
      <c r="J211" s="17" t="n">
        <f aca="false">IF(H211="","",H211-I211)</f>
        <v>100</v>
      </c>
    </row>
    <row r="212" customFormat="false" ht="15" hidden="false" customHeight="true" outlineLevel="0" collapsed="false">
      <c r="A212" s="7" t="s">
        <v>465</v>
      </c>
      <c r="B212" s="18" t="n">
        <f aca="false">IF(A212="","",IFERROR(INDEX(Sales_Memo!$B$2:$B$1001,MATCH(A212,Sales_Memo!$A$2:$A$1001,0)),""))</f>
        <v>46252</v>
      </c>
      <c r="C212" s="7" t="s">
        <v>86</v>
      </c>
      <c r="D212" s="16" t="str">
        <f aca="false">IF(C212="","",IFERROR(INDEX(Products!$B$2:$B$501,MATCH(C212,Products!$A$2:$A$501,0)),"CODE NOT FOUND"))</f>
        <v>Spark Plug CPR8EA-9</v>
      </c>
      <c r="E212" s="7" t="n">
        <v>2</v>
      </c>
      <c r="F212" s="13" t="n">
        <v>260</v>
      </c>
      <c r="G212" s="13" t="n">
        <v>175</v>
      </c>
      <c r="H212" s="17" t="n">
        <f aca="false">IF(OR(E212="",F212=""),"",E212*F212)</f>
        <v>520</v>
      </c>
      <c r="I212" s="17" t="n">
        <f aca="false">IF(OR(E212="",G212=""),"",E212*G212)</f>
        <v>350</v>
      </c>
      <c r="J212" s="17" t="n">
        <f aca="false">IF(H212="","",H212-I212)</f>
        <v>170</v>
      </c>
    </row>
    <row r="213" customFormat="false" ht="15" hidden="false" customHeight="true" outlineLevel="0" collapsed="false">
      <c r="A213" s="7" t="s">
        <v>466</v>
      </c>
      <c r="B213" s="18" t="n">
        <f aca="false">IF(A213="","",IFERROR(INDEX(Sales_Memo!$B$2:$B$1001,MATCH(A213,Sales_Memo!$A$2:$A$1001,0)),""))</f>
        <v>46252</v>
      </c>
      <c r="C213" s="7" t="s">
        <v>82</v>
      </c>
      <c r="D213" s="16" t="str">
        <f aca="false">IF(C213="","",IFERROR(INDEX(Products!$B$2:$B$501,MATCH(C213,Products!$A$2:$A$501,0)),"CODE NOT FOUND"))</f>
        <v>Clutch Cable</v>
      </c>
      <c r="E213" s="7" t="n">
        <v>2</v>
      </c>
      <c r="F213" s="13" t="n">
        <v>190</v>
      </c>
      <c r="G213" s="13" t="n">
        <v>110</v>
      </c>
      <c r="H213" s="17" t="n">
        <f aca="false">IF(OR(E213="",F213=""),"",E213*F213)</f>
        <v>380</v>
      </c>
      <c r="I213" s="17" t="n">
        <f aca="false">IF(OR(E213="",G213=""),"",E213*G213)</f>
        <v>220</v>
      </c>
      <c r="J213" s="17" t="n">
        <f aca="false">IF(H213="","",H213-I213)</f>
        <v>160</v>
      </c>
    </row>
    <row r="214" customFormat="false" ht="15" hidden="false" customHeight="true" outlineLevel="0" collapsed="false">
      <c r="A214" s="7" t="s">
        <v>467</v>
      </c>
      <c r="B214" s="18" t="n">
        <f aca="false">IF(A214="","",IFERROR(INDEX(Sales_Memo!$B$2:$B$1001,MATCH(A214,Sales_Memo!$A$2:$A$1001,0)),""))</f>
        <v>46252</v>
      </c>
      <c r="C214" s="7" t="s">
        <v>82</v>
      </c>
      <c r="D214" s="16" t="str">
        <f aca="false">IF(C214="","",IFERROR(INDEX(Products!$B$2:$B$501,MATCH(C214,Products!$A$2:$A$501,0)),"CODE NOT FOUND"))</f>
        <v>Clutch Cable</v>
      </c>
      <c r="E214" s="7" t="n">
        <v>3</v>
      </c>
      <c r="F214" s="13" t="n">
        <v>190</v>
      </c>
      <c r="G214" s="13" t="n">
        <v>110</v>
      </c>
      <c r="H214" s="17" t="n">
        <f aca="false">IF(OR(E214="",F214=""),"",E214*F214)</f>
        <v>570</v>
      </c>
      <c r="I214" s="17" t="n">
        <f aca="false">IF(OR(E214="",G214=""),"",E214*G214)</f>
        <v>330</v>
      </c>
      <c r="J214" s="17" t="n">
        <f aca="false">IF(H214="","",H214-I214)</f>
        <v>240</v>
      </c>
    </row>
    <row r="215" customFormat="false" ht="15" hidden="false" customHeight="true" outlineLevel="0" collapsed="false">
      <c r="A215" s="7" t="s">
        <v>469</v>
      </c>
      <c r="B215" s="18" t="n">
        <f aca="false">IF(A215="","",IFERROR(INDEX(Sales_Memo!$B$2:$B$1001,MATCH(A215,Sales_Memo!$A$2:$A$1001,0)),""))</f>
        <v>46252</v>
      </c>
      <c r="C215" s="7" t="s">
        <v>114</v>
      </c>
      <c r="D215" s="16" t="str">
        <f aca="false">IF(C215="","",IFERROR(INDEX(Products!$B$2:$B$501,MATCH(C215,Products!$A$2:$A$501,0)),"CODE NOT FOUND"))</f>
        <v>Side Mirror (Pair)</v>
      </c>
      <c r="E215" s="7" t="n">
        <v>1</v>
      </c>
      <c r="F215" s="13" t="n">
        <v>620</v>
      </c>
      <c r="G215" s="13" t="n">
        <v>380</v>
      </c>
      <c r="H215" s="17" t="n">
        <f aca="false">IF(OR(E215="",F215=""),"",E215*F215)</f>
        <v>620</v>
      </c>
      <c r="I215" s="17" t="n">
        <f aca="false">IF(OR(E215="",G215=""),"",E215*G215)</f>
        <v>380</v>
      </c>
      <c r="J215" s="17" t="n">
        <f aca="false">IF(H215="","",H215-I215)</f>
        <v>240</v>
      </c>
    </row>
    <row r="216" customFormat="false" ht="15" hidden="false" customHeight="true" outlineLevel="0" collapsed="false">
      <c r="A216" s="7" t="s">
        <v>470</v>
      </c>
      <c r="B216" s="18" t="n">
        <f aca="false">IF(A216="","",IFERROR(INDEX(Sales_Memo!$B$2:$B$1001,MATCH(A216,Sales_Memo!$A$2:$A$1001,0)),""))</f>
        <v>46252</v>
      </c>
      <c r="C216" s="7" t="s">
        <v>116</v>
      </c>
      <c r="D216" s="16" t="str">
        <f aca="false">IF(C216="","",IFERROR(INDEX(Products!$B$2:$B$501,MATCH(C216,Products!$A$2:$A$501,0)),"CODE NOT FOUND"))</f>
        <v>Helmet Full Face</v>
      </c>
      <c r="E216" s="7" t="n">
        <v>1</v>
      </c>
      <c r="F216" s="13" t="n">
        <v>1750</v>
      </c>
      <c r="G216" s="13" t="n">
        <v>1250</v>
      </c>
      <c r="H216" s="17" t="n">
        <f aca="false">IF(OR(E216="",F216=""),"",E216*F216)</f>
        <v>1750</v>
      </c>
      <c r="I216" s="17" t="n">
        <f aca="false">IF(OR(E216="",G216=""),"",E216*G216)</f>
        <v>1250</v>
      </c>
      <c r="J216" s="17" t="n">
        <f aca="false">IF(H216="","",H216-I216)</f>
        <v>500</v>
      </c>
    </row>
    <row r="217" customFormat="false" ht="15" hidden="false" customHeight="true" outlineLevel="0" collapsed="false">
      <c r="A217" s="7" t="s">
        <v>471</v>
      </c>
      <c r="B217" s="18" t="n">
        <f aca="false">IF(A217="","",IFERROR(INDEX(Sales_Memo!$B$2:$B$1001,MATCH(A217,Sales_Memo!$A$2:$A$1001,0)),""))</f>
        <v>46253</v>
      </c>
      <c r="C217" s="7" t="s">
        <v>82</v>
      </c>
      <c r="D217" s="16" t="str">
        <f aca="false">IF(C217="","",IFERROR(INDEX(Products!$B$2:$B$501,MATCH(C217,Products!$A$2:$A$501,0)),"CODE NOT FOUND"))</f>
        <v>Clutch Cable</v>
      </c>
      <c r="E217" s="7" t="n">
        <v>3</v>
      </c>
      <c r="F217" s="13" t="n">
        <v>190</v>
      </c>
      <c r="G217" s="13" t="n">
        <v>110</v>
      </c>
      <c r="H217" s="17" t="n">
        <f aca="false">IF(OR(E217="",F217=""),"",E217*F217)</f>
        <v>570</v>
      </c>
      <c r="I217" s="17" t="n">
        <f aca="false">IF(OR(E217="",G217=""),"",E217*G217)</f>
        <v>330</v>
      </c>
      <c r="J217" s="17" t="n">
        <f aca="false">IF(H217="","",H217-I217)</f>
        <v>240</v>
      </c>
    </row>
    <row r="218" customFormat="false" ht="15" hidden="false" customHeight="true" outlineLevel="0" collapsed="false">
      <c r="A218" s="7" t="s">
        <v>471</v>
      </c>
      <c r="B218" s="18" t="n">
        <f aca="false">IF(A218="","",IFERROR(INDEX(Sales_Memo!$B$2:$B$1001,MATCH(A218,Sales_Memo!$A$2:$A$1001,0)),""))</f>
        <v>46253</v>
      </c>
      <c r="C218" s="7" t="s">
        <v>86</v>
      </c>
      <c r="D218" s="16" t="str">
        <f aca="false">IF(C218="","",IFERROR(INDEX(Products!$B$2:$B$501,MATCH(C218,Products!$A$2:$A$501,0)),"CODE NOT FOUND"))</f>
        <v>Spark Plug CPR8EA-9</v>
      </c>
      <c r="E218" s="7" t="n">
        <v>3</v>
      </c>
      <c r="F218" s="13" t="n">
        <v>260</v>
      </c>
      <c r="G218" s="13" t="n">
        <v>175</v>
      </c>
      <c r="H218" s="17" t="n">
        <f aca="false">IF(OR(E218="",F218=""),"",E218*F218)</f>
        <v>780</v>
      </c>
      <c r="I218" s="17" t="n">
        <f aca="false">IF(OR(E218="",G218=""),"",E218*G218)</f>
        <v>525</v>
      </c>
      <c r="J218" s="17" t="n">
        <f aca="false">IF(H218="","",H218-I218)</f>
        <v>255</v>
      </c>
    </row>
    <row r="219" customFormat="false" ht="15" hidden="false" customHeight="true" outlineLevel="0" collapsed="false">
      <c r="A219" s="7" t="s">
        <v>473</v>
      </c>
      <c r="B219" s="18" t="n">
        <f aca="false">IF(A219="","",IFERROR(INDEX(Sales_Memo!$B$2:$B$1001,MATCH(A219,Sales_Memo!$A$2:$A$1001,0)),""))</f>
        <v>46253</v>
      </c>
      <c r="C219" s="7" t="s">
        <v>114</v>
      </c>
      <c r="D219" s="16" t="str">
        <f aca="false">IF(C219="","",IFERROR(INDEX(Products!$B$2:$B$501,MATCH(C219,Products!$A$2:$A$501,0)),"CODE NOT FOUND"))</f>
        <v>Side Mirror (Pair)</v>
      </c>
      <c r="E219" s="7" t="n">
        <v>2</v>
      </c>
      <c r="F219" s="13" t="n">
        <v>620</v>
      </c>
      <c r="G219" s="13" t="n">
        <v>380</v>
      </c>
      <c r="H219" s="17" t="n">
        <f aca="false">IF(OR(E219="",F219=""),"",E219*F219)</f>
        <v>1240</v>
      </c>
      <c r="I219" s="17" t="n">
        <f aca="false">IF(OR(E219="",G219=""),"",E219*G219)</f>
        <v>760</v>
      </c>
      <c r="J219" s="17" t="n">
        <f aca="false">IF(H219="","",H219-I219)</f>
        <v>480</v>
      </c>
    </row>
    <row r="220" customFormat="false" ht="15" hidden="false" customHeight="true" outlineLevel="0" collapsed="false">
      <c r="A220" s="7" t="s">
        <v>474</v>
      </c>
      <c r="B220" s="18" t="n">
        <f aca="false">IF(A220="","",IFERROR(INDEX(Sales_Memo!$B$2:$B$1001,MATCH(A220,Sales_Memo!$A$2:$A$1001,0)),""))</f>
        <v>46253</v>
      </c>
      <c r="C220" s="7" t="s">
        <v>119</v>
      </c>
      <c r="D220" s="16" t="str">
        <f aca="false">IF(C220="","",IFERROR(INDEX(Products!$B$2:$B$501,MATCH(C220,Products!$A$2:$A$501,0)),"CODE NOT FOUND"))</f>
        <v>Chain Lube Spray</v>
      </c>
      <c r="E220" s="7" t="n">
        <v>1</v>
      </c>
      <c r="F220" s="13" t="n">
        <v>270</v>
      </c>
      <c r="G220" s="13" t="n">
        <v>170</v>
      </c>
      <c r="H220" s="17" t="n">
        <f aca="false">IF(OR(E220="",F220=""),"",E220*F220)</f>
        <v>270</v>
      </c>
      <c r="I220" s="17" t="n">
        <f aca="false">IF(OR(E220="",G220=""),"",E220*G220)</f>
        <v>170</v>
      </c>
      <c r="J220" s="17" t="n">
        <f aca="false">IF(H220="","",H220-I220)</f>
        <v>100</v>
      </c>
    </row>
    <row r="221" customFormat="false" ht="15" hidden="false" customHeight="true" outlineLevel="0" collapsed="false">
      <c r="A221" s="7" t="s">
        <v>474</v>
      </c>
      <c r="B221" s="18" t="n">
        <f aca="false">IF(A221="","",IFERROR(INDEX(Sales_Memo!$B$2:$B$1001,MATCH(A221,Sales_Memo!$A$2:$A$1001,0)),""))</f>
        <v>46253</v>
      </c>
      <c r="C221" s="7" t="s">
        <v>82</v>
      </c>
      <c r="D221" s="16" t="str">
        <f aca="false">IF(C221="","",IFERROR(INDEX(Products!$B$2:$B$501,MATCH(C221,Products!$A$2:$A$501,0)),"CODE NOT FOUND"))</f>
        <v>Clutch Cable</v>
      </c>
      <c r="E221" s="7" t="n">
        <v>2</v>
      </c>
      <c r="F221" s="13" t="n">
        <v>190</v>
      </c>
      <c r="G221" s="13" t="n">
        <v>110</v>
      </c>
      <c r="H221" s="17" t="n">
        <f aca="false">IF(OR(E221="",F221=""),"",E221*F221)</f>
        <v>380</v>
      </c>
      <c r="I221" s="17" t="n">
        <f aca="false">IF(OR(E221="",G221=""),"",E221*G221)</f>
        <v>220</v>
      </c>
      <c r="J221" s="17" t="n">
        <f aca="false">IF(H221="","",H221-I221)</f>
        <v>160</v>
      </c>
    </row>
    <row r="222" customFormat="false" ht="15" hidden="false" customHeight="true" outlineLevel="0" collapsed="false">
      <c r="A222" s="7" t="s">
        <v>476</v>
      </c>
      <c r="B222" s="18" t="n">
        <f aca="false">IF(A222="","",IFERROR(INDEX(Sales_Memo!$B$2:$B$1001,MATCH(A222,Sales_Memo!$A$2:$A$1001,0)),""))</f>
        <v>46253</v>
      </c>
      <c r="C222" s="7" t="s">
        <v>111</v>
      </c>
      <c r="D222" s="16" t="str">
        <f aca="false">IF(C222="","",IFERROR(INDEX(Products!$B$2:$B$501,MATCH(C222,Products!$A$2:$A$501,0)),"CODE NOT FOUND"))</f>
        <v>Tyre 80/100-18 Front</v>
      </c>
      <c r="E222" s="7" t="n">
        <v>1</v>
      </c>
      <c r="F222" s="13" t="n">
        <v>2850</v>
      </c>
      <c r="G222" s="13" t="n">
        <v>2300</v>
      </c>
      <c r="H222" s="17" t="n">
        <f aca="false">IF(OR(E222="",F222=""),"",E222*F222)</f>
        <v>2850</v>
      </c>
      <c r="I222" s="17" t="n">
        <f aca="false">IF(OR(E222="",G222=""),"",E222*G222)</f>
        <v>2300</v>
      </c>
      <c r="J222" s="17" t="n">
        <f aca="false">IF(H222="","",H222-I222)</f>
        <v>550</v>
      </c>
    </row>
    <row r="223" customFormat="false" ht="15" hidden="false" customHeight="true" outlineLevel="0" collapsed="false">
      <c r="A223" s="7" t="s">
        <v>476</v>
      </c>
      <c r="B223" s="18" t="n">
        <f aca="false">IF(A223="","",IFERROR(INDEX(Sales_Memo!$B$2:$B$1001,MATCH(A223,Sales_Memo!$A$2:$A$1001,0)),""))</f>
        <v>46253</v>
      </c>
      <c r="C223" s="7" t="s">
        <v>121</v>
      </c>
      <c r="D223" s="16" t="str">
        <f aca="false">IF(C223="","",IFERROR(INDEX(Products!$B$2:$B$501,MATCH(C223,Products!$A$2:$A$501,0)),"CODE NOT FOUND"))</f>
        <v>Handle Grip Set</v>
      </c>
      <c r="E223" s="7" t="n">
        <v>3</v>
      </c>
      <c r="F223" s="13" t="n">
        <v>280</v>
      </c>
      <c r="G223" s="13" t="n">
        <v>160</v>
      </c>
      <c r="H223" s="17" t="n">
        <f aca="false">IF(OR(E223="",F223=""),"",E223*F223)</f>
        <v>840</v>
      </c>
      <c r="I223" s="17" t="n">
        <f aca="false">IF(OR(E223="",G223=""),"",E223*G223)</f>
        <v>480</v>
      </c>
      <c r="J223" s="17" t="n">
        <f aca="false">IF(H223="","",H223-I223)</f>
        <v>360</v>
      </c>
    </row>
    <row r="224" customFormat="false" ht="15" hidden="false" customHeight="true" outlineLevel="0" collapsed="false">
      <c r="A224" s="7" t="s">
        <v>477</v>
      </c>
      <c r="B224" s="18" t="n">
        <f aca="false">IF(A224="","",IFERROR(INDEX(Sales_Memo!$B$2:$B$1001,MATCH(A224,Sales_Memo!$A$2:$A$1001,0)),""))</f>
        <v>46253</v>
      </c>
      <c r="C224" s="7" t="s">
        <v>121</v>
      </c>
      <c r="D224" s="16" t="str">
        <f aca="false">IF(C224="","",IFERROR(INDEX(Products!$B$2:$B$501,MATCH(C224,Products!$A$2:$A$501,0)),"CODE NOT FOUND"))</f>
        <v>Handle Grip Set</v>
      </c>
      <c r="E224" s="7" t="n">
        <v>2</v>
      </c>
      <c r="F224" s="13" t="n">
        <v>280</v>
      </c>
      <c r="G224" s="13" t="n">
        <v>160</v>
      </c>
      <c r="H224" s="17" t="n">
        <f aca="false">IF(OR(E224="",F224=""),"",E224*F224)</f>
        <v>560</v>
      </c>
      <c r="I224" s="17" t="n">
        <f aca="false">IF(OR(E224="",G224=""),"",E224*G224)</f>
        <v>320</v>
      </c>
      <c r="J224" s="17" t="n">
        <f aca="false">IF(H224="","",H224-I224)</f>
        <v>240</v>
      </c>
    </row>
    <row r="225" customFormat="false" ht="15" hidden="false" customHeight="true" outlineLevel="0" collapsed="false">
      <c r="A225" s="7" t="s">
        <v>477</v>
      </c>
      <c r="B225" s="18" t="n">
        <f aca="false">IF(A225="","",IFERROR(INDEX(Sales_Memo!$B$2:$B$1001,MATCH(A225,Sales_Memo!$A$2:$A$1001,0)),""))</f>
        <v>46253</v>
      </c>
      <c r="C225" s="7" t="s">
        <v>119</v>
      </c>
      <c r="D225" s="16" t="str">
        <f aca="false">IF(C225="","",IFERROR(INDEX(Products!$B$2:$B$501,MATCH(C225,Products!$A$2:$A$501,0)),"CODE NOT FOUND"))</f>
        <v>Chain Lube Spray</v>
      </c>
      <c r="E225" s="7" t="n">
        <v>2</v>
      </c>
      <c r="F225" s="13" t="n">
        <v>270</v>
      </c>
      <c r="G225" s="13" t="n">
        <v>170</v>
      </c>
      <c r="H225" s="17" t="n">
        <f aca="false">IF(OR(E225="",F225=""),"",E225*F225)</f>
        <v>540</v>
      </c>
      <c r="I225" s="17" t="n">
        <f aca="false">IF(OR(E225="",G225=""),"",E225*G225)</f>
        <v>340</v>
      </c>
      <c r="J225" s="17" t="n">
        <f aca="false">IF(H225="","",H225-I225)</f>
        <v>200</v>
      </c>
    </row>
    <row r="226" customFormat="false" ht="15" hidden="false" customHeight="true" outlineLevel="0" collapsed="false">
      <c r="A226" s="7" t="s">
        <v>477</v>
      </c>
      <c r="B226" s="18" t="n">
        <f aca="false">IF(A226="","",IFERROR(INDEX(Sales_Memo!$B$2:$B$1001,MATCH(A226,Sales_Memo!$A$2:$A$1001,0)),""))</f>
        <v>46253</v>
      </c>
      <c r="C226" s="7" t="s">
        <v>102</v>
      </c>
      <c r="D226" s="16" t="str">
        <f aca="false">IF(C226="","",IFERROR(INDEX(Products!$B$2:$B$501,MATCH(C226,Products!$A$2:$A$501,0)),"CODE NOT FOUND"))</f>
        <v>Headlight Bulb H4</v>
      </c>
      <c r="E226" s="7" t="n">
        <v>1</v>
      </c>
      <c r="F226" s="13" t="n">
        <v>240</v>
      </c>
      <c r="G226" s="13" t="n">
        <v>140</v>
      </c>
      <c r="H226" s="17" t="n">
        <f aca="false">IF(OR(E226="",F226=""),"",E226*F226)</f>
        <v>240</v>
      </c>
      <c r="I226" s="17" t="n">
        <f aca="false">IF(OR(E226="",G226=""),"",E226*G226)</f>
        <v>140</v>
      </c>
      <c r="J226" s="17" t="n">
        <f aca="false">IF(H226="","",H226-I226)</f>
        <v>100</v>
      </c>
    </row>
    <row r="227" customFormat="false" ht="15" hidden="false" customHeight="true" outlineLevel="0" collapsed="false">
      <c r="A227" s="7" t="s">
        <v>479</v>
      </c>
      <c r="B227" s="18" t="n">
        <f aca="false">IF(A227="","",IFERROR(INDEX(Sales_Memo!$B$2:$B$1001,MATCH(A227,Sales_Memo!$A$2:$A$1001,0)),""))</f>
        <v>46253</v>
      </c>
      <c r="C227" s="7" t="s">
        <v>82</v>
      </c>
      <c r="D227" s="16" t="str">
        <f aca="false">IF(C227="","",IFERROR(INDEX(Products!$B$2:$B$501,MATCH(C227,Products!$A$2:$A$501,0)),"CODE NOT FOUND"))</f>
        <v>Clutch Cable</v>
      </c>
      <c r="E227" s="7" t="n">
        <v>1</v>
      </c>
      <c r="F227" s="13" t="n">
        <v>190</v>
      </c>
      <c r="G227" s="13" t="n">
        <v>110</v>
      </c>
      <c r="H227" s="17" t="n">
        <f aca="false">IF(OR(E227="",F227=""),"",E227*F227)</f>
        <v>190</v>
      </c>
      <c r="I227" s="17" t="n">
        <f aca="false">IF(OR(E227="",G227=""),"",E227*G227)</f>
        <v>110</v>
      </c>
      <c r="J227" s="17" t="n">
        <f aca="false">IF(H227="","",H227-I227)</f>
        <v>80</v>
      </c>
    </row>
    <row r="228" customFormat="false" ht="15" hidden="false" customHeight="true" outlineLevel="0" collapsed="false">
      <c r="A228" s="7" t="s">
        <v>480</v>
      </c>
      <c r="B228" s="18" t="n">
        <f aca="false">IF(A228="","",IFERROR(INDEX(Sales_Memo!$B$2:$B$1001,MATCH(A228,Sales_Memo!$A$2:$A$1001,0)),""))</f>
        <v>46253</v>
      </c>
      <c r="C228" s="7" t="s">
        <v>90</v>
      </c>
      <c r="D228" s="16" t="str">
        <f aca="false">IF(C228="","",IFERROR(INDEX(Products!$B$2:$B$501,MATCH(C228,Products!$A$2:$A$501,0)),"CODE NOT FOUND"))</f>
        <v>Air Filter 150cc</v>
      </c>
      <c r="E228" s="7" t="n">
        <v>2</v>
      </c>
      <c r="F228" s="13" t="n">
        <v>340</v>
      </c>
      <c r="G228" s="13" t="n">
        <v>210</v>
      </c>
      <c r="H228" s="17" t="n">
        <f aca="false">IF(OR(E228="",F228=""),"",E228*F228)</f>
        <v>680</v>
      </c>
      <c r="I228" s="17" t="n">
        <f aca="false">IF(OR(E228="",G228=""),"",E228*G228)</f>
        <v>420</v>
      </c>
      <c r="J228" s="17" t="n">
        <f aca="false">IF(H228="","",H228-I228)</f>
        <v>260</v>
      </c>
    </row>
    <row r="229" customFormat="false" ht="15" hidden="false" customHeight="true" outlineLevel="0" collapsed="false">
      <c r="A229" s="7" t="s">
        <v>482</v>
      </c>
      <c r="B229" s="18" t="n">
        <f aca="false">IF(A229="","",IFERROR(INDEX(Sales_Memo!$B$2:$B$1001,MATCH(A229,Sales_Memo!$A$2:$A$1001,0)),""))</f>
        <v>46253</v>
      </c>
      <c r="C229" s="7" t="s">
        <v>82</v>
      </c>
      <c r="D229" s="16" t="str">
        <f aca="false">IF(C229="","",IFERROR(INDEX(Products!$B$2:$B$501,MATCH(C229,Products!$A$2:$A$501,0)),"CODE NOT FOUND"))</f>
        <v>Clutch Cable</v>
      </c>
      <c r="E229" s="7" t="n">
        <v>2</v>
      </c>
      <c r="F229" s="13" t="n">
        <v>190</v>
      </c>
      <c r="G229" s="13" t="n">
        <v>110</v>
      </c>
      <c r="H229" s="17" t="n">
        <f aca="false">IF(OR(E229="",F229=""),"",E229*F229)</f>
        <v>380</v>
      </c>
      <c r="I229" s="17" t="n">
        <f aca="false">IF(OR(E229="",G229=""),"",E229*G229)</f>
        <v>220</v>
      </c>
      <c r="J229" s="17" t="n">
        <f aca="false">IF(H229="","",H229-I229)</f>
        <v>160</v>
      </c>
    </row>
    <row r="230" customFormat="false" ht="15" hidden="false" customHeight="true" outlineLevel="0" collapsed="false">
      <c r="A230" s="7" t="s">
        <v>482</v>
      </c>
      <c r="B230" s="18" t="n">
        <f aca="false">IF(A230="","",IFERROR(INDEX(Sales_Memo!$B$2:$B$1001,MATCH(A230,Sales_Memo!$A$2:$A$1001,0)),""))</f>
        <v>46253</v>
      </c>
      <c r="C230" s="7" t="s">
        <v>77</v>
      </c>
      <c r="D230" s="16" t="str">
        <f aca="false">IF(C230="","",IFERROR(INDEX(Products!$B$2:$B$501,MATCH(C230,Products!$A$2:$A$501,0)),"CODE NOT FOUND"))</f>
        <v>Brake Pad Set - Front</v>
      </c>
      <c r="E230" s="7" t="n">
        <v>2</v>
      </c>
      <c r="F230" s="13" t="n">
        <v>480</v>
      </c>
      <c r="G230" s="13" t="n">
        <v>320</v>
      </c>
      <c r="H230" s="17" t="n">
        <f aca="false">IF(OR(E230="",F230=""),"",E230*F230)</f>
        <v>960</v>
      </c>
      <c r="I230" s="17" t="n">
        <f aca="false">IF(OR(E230="",G230=""),"",E230*G230)</f>
        <v>640</v>
      </c>
      <c r="J230" s="17" t="n">
        <f aca="false">IF(H230="","",H230-I230)</f>
        <v>320</v>
      </c>
    </row>
    <row r="231" customFormat="false" ht="15" hidden="false" customHeight="true" outlineLevel="0" collapsed="false">
      <c r="A231" s="7" t="s">
        <v>483</v>
      </c>
      <c r="B231" s="18" t="n">
        <f aca="false">IF(A231="","",IFERROR(INDEX(Sales_Memo!$B$2:$B$1001,MATCH(A231,Sales_Memo!$A$2:$A$1001,0)),""))</f>
        <v>46253</v>
      </c>
      <c r="C231" s="7" t="s">
        <v>119</v>
      </c>
      <c r="D231" s="16" t="str">
        <f aca="false">IF(C231="","",IFERROR(INDEX(Products!$B$2:$B$501,MATCH(C231,Products!$A$2:$A$501,0)),"CODE NOT FOUND"))</f>
        <v>Chain Lube Spray</v>
      </c>
      <c r="E231" s="7" t="n">
        <v>1</v>
      </c>
      <c r="F231" s="13" t="n">
        <v>270</v>
      </c>
      <c r="G231" s="13" t="n">
        <v>170</v>
      </c>
      <c r="H231" s="17" t="n">
        <f aca="false">IF(OR(E231="",F231=""),"",E231*F231)</f>
        <v>270</v>
      </c>
      <c r="I231" s="17" t="n">
        <f aca="false">IF(OR(E231="",G231=""),"",E231*G231)</f>
        <v>170</v>
      </c>
      <c r="J231" s="17" t="n">
        <f aca="false">IF(H231="","",H231-I231)</f>
        <v>100</v>
      </c>
    </row>
    <row r="232" customFormat="false" ht="15" hidden="false" customHeight="true" outlineLevel="0" collapsed="false">
      <c r="A232" s="7" t="s">
        <v>483</v>
      </c>
      <c r="B232" s="18" t="n">
        <f aca="false">IF(A232="","",IFERROR(INDEX(Sales_Memo!$B$2:$B$1001,MATCH(A232,Sales_Memo!$A$2:$A$1001,0)),""))</f>
        <v>46253</v>
      </c>
      <c r="C232" s="7" t="s">
        <v>86</v>
      </c>
      <c r="D232" s="16" t="str">
        <f aca="false">IF(C232="","",IFERROR(INDEX(Products!$B$2:$B$501,MATCH(C232,Products!$A$2:$A$501,0)),"CODE NOT FOUND"))</f>
        <v>Spark Plug CPR8EA-9</v>
      </c>
      <c r="E232" s="7" t="n">
        <v>1</v>
      </c>
      <c r="F232" s="13" t="n">
        <v>260</v>
      </c>
      <c r="G232" s="13" t="n">
        <v>175</v>
      </c>
      <c r="H232" s="17" t="n">
        <f aca="false">IF(OR(E232="",F232=""),"",E232*F232)</f>
        <v>260</v>
      </c>
      <c r="I232" s="17" t="n">
        <f aca="false">IF(OR(E232="",G232=""),"",E232*G232)</f>
        <v>175</v>
      </c>
      <c r="J232" s="17" t="n">
        <f aca="false">IF(H232="","",H232-I232)</f>
        <v>85</v>
      </c>
    </row>
    <row r="233" customFormat="false" ht="15" hidden="false" customHeight="true" outlineLevel="0" collapsed="false">
      <c r="A233" s="7" t="s">
        <v>485</v>
      </c>
      <c r="B233" s="18" t="n">
        <f aca="false">IF(A233="","",IFERROR(INDEX(Sales_Memo!$B$2:$B$1001,MATCH(A233,Sales_Memo!$A$2:$A$1001,0)),""))</f>
        <v>46253</v>
      </c>
      <c r="C233" s="7" t="s">
        <v>82</v>
      </c>
      <c r="D233" s="16" t="str">
        <f aca="false">IF(C233="","",IFERROR(INDEX(Products!$B$2:$B$501,MATCH(C233,Products!$A$2:$A$501,0)),"CODE NOT FOUND"))</f>
        <v>Clutch Cable</v>
      </c>
      <c r="E233" s="7" t="n">
        <v>3</v>
      </c>
      <c r="F233" s="13" t="n">
        <v>190</v>
      </c>
      <c r="G233" s="13" t="n">
        <v>110</v>
      </c>
      <c r="H233" s="17" t="n">
        <f aca="false">IF(OR(E233="",F233=""),"",E233*F233)</f>
        <v>570</v>
      </c>
      <c r="I233" s="17" t="n">
        <f aca="false">IF(OR(E233="",G233=""),"",E233*G233)</f>
        <v>330</v>
      </c>
      <c r="J233" s="17" t="n">
        <f aca="false">IF(H233="","",H233-I233)</f>
        <v>240</v>
      </c>
    </row>
    <row r="234" customFormat="false" ht="15" hidden="false" customHeight="true" outlineLevel="0" collapsed="false">
      <c r="A234" s="7" t="s">
        <v>486</v>
      </c>
      <c r="B234" s="18" t="n">
        <f aca="false">IF(A234="","",IFERROR(INDEX(Sales_Memo!$B$2:$B$1001,MATCH(A234,Sales_Memo!$A$2:$A$1001,0)),""))</f>
        <v>46254</v>
      </c>
      <c r="C234" s="7" t="s">
        <v>86</v>
      </c>
      <c r="D234" s="16" t="str">
        <f aca="false">IF(C234="","",IFERROR(INDEX(Products!$B$2:$B$501,MATCH(C234,Products!$A$2:$A$501,0)),"CODE NOT FOUND"))</f>
        <v>Spark Plug CPR8EA-9</v>
      </c>
      <c r="E234" s="7" t="n">
        <v>2</v>
      </c>
      <c r="F234" s="13" t="n">
        <v>260</v>
      </c>
      <c r="G234" s="13" t="n">
        <v>175</v>
      </c>
      <c r="H234" s="17" t="n">
        <f aca="false">IF(OR(E234="",F234=""),"",E234*F234)</f>
        <v>520</v>
      </c>
      <c r="I234" s="17" t="n">
        <f aca="false">IF(OR(E234="",G234=""),"",E234*G234)</f>
        <v>350</v>
      </c>
      <c r="J234" s="17" t="n">
        <f aca="false">IF(H234="","",H234-I234)</f>
        <v>170</v>
      </c>
    </row>
    <row r="235" customFormat="false" ht="15" hidden="false" customHeight="true" outlineLevel="0" collapsed="false">
      <c r="A235" s="7" t="s">
        <v>487</v>
      </c>
      <c r="B235" s="18" t="n">
        <f aca="false">IF(A235="","",IFERROR(INDEX(Sales_Memo!$B$2:$B$1001,MATCH(A235,Sales_Memo!$A$2:$A$1001,0)),""))</f>
        <v>46254</v>
      </c>
      <c r="C235" s="7" t="s">
        <v>90</v>
      </c>
      <c r="D235" s="16" t="str">
        <f aca="false">IF(C235="","",IFERROR(INDEX(Products!$B$2:$B$501,MATCH(C235,Products!$A$2:$A$501,0)),"CODE NOT FOUND"))</f>
        <v>Air Filter 150cc</v>
      </c>
      <c r="E235" s="7" t="n">
        <v>1</v>
      </c>
      <c r="F235" s="13" t="n">
        <v>340</v>
      </c>
      <c r="G235" s="13" t="n">
        <v>210</v>
      </c>
      <c r="H235" s="17" t="n">
        <f aca="false">IF(OR(E235="",F235=""),"",E235*F235)</f>
        <v>340</v>
      </c>
      <c r="I235" s="17" t="n">
        <f aca="false">IF(OR(E235="",G235=""),"",E235*G235)</f>
        <v>210</v>
      </c>
      <c r="J235" s="17" t="n">
        <f aca="false">IF(H235="","",H235-I235)</f>
        <v>130</v>
      </c>
    </row>
    <row r="236" customFormat="false" ht="15" hidden="false" customHeight="true" outlineLevel="0" collapsed="false">
      <c r="A236" s="7" t="s">
        <v>487</v>
      </c>
      <c r="B236" s="18" t="n">
        <f aca="false">IF(A236="","",IFERROR(INDEX(Sales_Memo!$B$2:$B$1001,MATCH(A236,Sales_Memo!$A$2:$A$1001,0)),""))</f>
        <v>46254</v>
      </c>
      <c r="C236" s="7" t="s">
        <v>82</v>
      </c>
      <c r="D236" s="16" t="str">
        <f aca="false">IF(C236="","",IFERROR(INDEX(Products!$B$2:$B$501,MATCH(C236,Products!$A$2:$A$501,0)),"CODE NOT FOUND"))</f>
        <v>Clutch Cable</v>
      </c>
      <c r="E236" s="7" t="n">
        <v>2</v>
      </c>
      <c r="F236" s="13" t="n">
        <v>190</v>
      </c>
      <c r="G236" s="13" t="n">
        <v>110</v>
      </c>
      <c r="H236" s="17" t="n">
        <f aca="false">IF(OR(E236="",F236=""),"",E236*F236)</f>
        <v>380</v>
      </c>
      <c r="I236" s="17" t="n">
        <f aca="false">IF(OR(E236="",G236=""),"",E236*G236)</f>
        <v>220</v>
      </c>
      <c r="J236" s="17" t="n">
        <f aca="false">IF(H236="","",H236-I236)</f>
        <v>160</v>
      </c>
    </row>
    <row r="237" customFormat="false" ht="15" hidden="false" customHeight="true" outlineLevel="0" collapsed="false">
      <c r="A237" s="7" t="s">
        <v>488</v>
      </c>
      <c r="B237" s="18" t="n">
        <f aca="false">IF(A237="","",IFERROR(INDEX(Sales_Memo!$B$2:$B$1001,MATCH(A237,Sales_Memo!$A$2:$A$1001,0)),""))</f>
        <v>46254</v>
      </c>
      <c r="C237" s="7" t="s">
        <v>82</v>
      </c>
      <c r="D237" s="16" t="str">
        <f aca="false">IF(C237="","",IFERROR(INDEX(Products!$B$2:$B$501,MATCH(C237,Products!$A$2:$A$501,0)),"CODE NOT FOUND"))</f>
        <v>Clutch Cable</v>
      </c>
      <c r="E237" s="7" t="n">
        <v>2</v>
      </c>
      <c r="F237" s="13" t="n">
        <v>190</v>
      </c>
      <c r="G237" s="13" t="n">
        <v>110</v>
      </c>
      <c r="H237" s="17" t="n">
        <f aca="false">IF(OR(E237="",F237=""),"",E237*F237)</f>
        <v>380</v>
      </c>
      <c r="I237" s="17" t="n">
        <f aca="false">IF(OR(E237="",G237=""),"",E237*G237)</f>
        <v>220</v>
      </c>
      <c r="J237" s="17" t="n">
        <f aca="false">IF(H237="","",H237-I237)</f>
        <v>160</v>
      </c>
    </row>
    <row r="238" customFormat="false" ht="15" hidden="false" customHeight="true" outlineLevel="0" collapsed="false">
      <c r="A238" s="7" t="s">
        <v>488</v>
      </c>
      <c r="B238" s="18" t="n">
        <f aca="false">IF(A238="","",IFERROR(INDEX(Sales_Memo!$B$2:$B$1001,MATCH(A238,Sales_Memo!$A$2:$A$1001,0)),""))</f>
        <v>46254</v>
      </c>
      <c r="C238" s="7" t="s">
        <v>90</v>
      </c>
      <c r="D238" s="16" t="str">
        <f aca="false">IF(C238="","",IFERROR(INDEX(Products!$B$2:$B$501,MATCH(C238,Products!$A$2:$A$501,0)),"CODE NOT FOUND"))</f>
        <v>Air Filter 150cc</v>
      </c>
      <c r="E238" s="7" t="n">
        <v>3</v>
      </c>
      <c r="F238" s="13" t="n">
        <v>340</v>
      </c>
      <c r="G238" s="13" t="n">
        <v>210</v>
      </c>
      <c r="H238" s="17" t="n">
        <f aca="false">IF(OR(E238="",F238=""),"",E238*F238)</f>
        <v>1020</v>
      </c>
      <c r="I238" s="17" t="n">
        <f aca="false">IF(OR(E238="",G238=""),"",E238*G238)</f>
        <v>630</v>
      </c>
      <c r="J238" s="17" t="n">
        <f aca="false">IF(H238="","",H238-I238)</f>
        <v>390</v>
      </c>
    </row>
    <row r="239" customFormat="false" ht="15" hidden="false" customHeight="true" outlineLevel="0" collapsed="false">
      <c r="A239" s="7" t="s">
        <v>488</v>
      </c>
      <c r="B239" s="18" t="n">
        <f aca="false">IF(A239="","",IFERROR(INDEX(Sales_Memo!$B$2:$B$1001,MATCH(A239,Sales_Memo!$A$2:$A$1001,0)),""))</f>
        <v>46254</v>
      </c>
      <c r="C239" s="7" t="s">
        <v>121</v>
      </c>
      <c r="D239" s="16" t="str">
        <f aca="false">IF(C239="","",IFERROR(INDEX(Products!$B$2:$B$501,MATCH(C239,Products!$A$2:$A$501,0)),"CODE NOT FOUND"))</f>
        <v>Handle Grip Set</v>
      </c>
      <c r="E239" s="7" t="n">
        <v>3</v>
      </c>
      <c r="F239" s="13" t="n">
        <v>280</v>
      </c>
      <c r="G239" s="13" t="n">
        <v>160</v>
      </c>
      <c r="H239" s="17" t="n">
        <f aca="false">IF(OR(E239="",F239=""),"",E239*F239)</f>
        <v>840</v>
      </c>
      <c r="I239" s="17" t="n">
        <f aca="false">IF(OR(E239="",G239=""),"",E239*G239)</f>
        <v>480</v>
      </c>
      <c r="J239" s="17" t="n">
        <f aca="false">IF(H239="","",H239-I239)</f>
        <v>360</v>
      </c>
    </row>
    <row r="240" customFormat="false" ht="15" hidden="false" customHeight="true" outlineLevel="0" collapsed="false">
      <c r="A240" s="7" t="s">
        <v>490</v>
      </c>
      <c r="B240" s="18" t="n">
        <f aca="false">IF(A240="","",IFERROR(INDEX(Sales_Memo!$B$2:$B$1001,MATCH(A240,Sales_Memo!$A$2:$A$1001,0)),""))</f>
        <v>46254</v>
      </c>
      <c r="C240" s="7" t="s">
        <v>82</v>
      </c>
      <c r="D240" s="16" t="str">
        <f aca="false">IF(C240="","",IFERROR(INDEX(Products!$B$2:$B$501,MATCH(C240,Products!$A$2:$A$501,0)),"CODE NOT FOUND"))</f>
        <v>Clutch Cable</v>
      </c>
      <c r="E240" s="7" t="n">
        <v>1</v>
      </c>
      <c r="F240" s="13" t="n">
        <v>190</v>
      </c>
      <c r="G240" s="13" t="n">
        <v>110</v>
      </c>
      <c r="H240" s="17" t="n">
        <f aca="false">IF(OR(E240="",F240=""),"",E240*F240)</f>
        <v>190</v>
      </c>
      <c r="I240" s="17" t="n">
        <f aca="false">IF(OR(E240="",G240=""),"",E240*G240)</f>
        <v>110</v>
      </c>
      <c r="J240" s="17" t="n">
        <f aca="false">IF(H240="","",H240-I240)</f>
        <v>80</v>
      </c>
    </row>
    <row r="241" customFormat="false" ht="15" hidden="false" customHeight="true" outlineLevel="0" collapsed="false">
      <c r="A241" s="7" t="s">
        <v>490</v>
      </c>
      <c r="B241" s="18" t="n">
        <f aca="false">IF(A241="","",IFERROR(INDEX(Sales_Memo!$B$2:$B$1001,MATCH(A241,Sales_Memo!$A$2:$A$1001,0)),""))</f>
        <v>46254</v>
      </c>
      <c r="C241" s="7" t="s">
        <v>90</v>
      </c>
      <c r="D241" s="16" t="str">
        <f aca="false">IF(C241="","",IFERROR(INDEX(Products!$B$2:$B$501,MATCH(C241,Products!$A$2:$A$501,0)),"CODE NOT FOUND"))</f>
        <v>Air Filter 150cc</v>
      </c>
      <c r="E241" s="7" t="n">
        <v>3</v>
      </c>
      <c r="F241" s="13" t="n">
        <v>340</v>
      </c>
      <c r="G241" s="13" t="n">
        <v>210</v>
      </c>
      <c r="H241" s="17" t="n">
        <f aca="false">IF(OR(E241="",F241=""),"",E241*F241)</f>
        <v>1020</v>
      </c>
      <c r="I241" s="17" t="n">
        <f aca="false">IF(OR(E241="",G241=""),"",E241*G241)</f>
        <v>630</v>
      </c>
      <c r="J241" s="17" t="n">
        <f aca="false">IF(H241="","",H241-I241)</f>
        <v>390</v>
      </c>
    </row>
    <row r="242" customFormat="false" ht="15" hidden="false" customHeight="true" outlineLevel="0" collapsed="false">
      <c r="A242" s="7" t="s">
        <v>492</v>
      </c>
      <c r="B242" s="18" t="n">
        <f aca="false">IF(A242="","",IFERROR(INDEX(Sales_Memo!$B$2:$B$1001,MATCH(A242,Sales_Memo!$A$2:$A$1001,0)),""))</f>
        <v>46254</v>
      </c>
      <c r="C242" s="7" t="s">
        <v>90</v>
      </c>
      <c r="D242" s="16" t="str">
        <f aca="false">IF(C242="","",IFERROR(INDEX(Products!$B$2:$B$501,MATCH(C242,Products!$A$2:$A$501,0)),"CODE NOT FOUND"))</f>
        <v>Air Filter 150cc</v>
      </c>
      <c r="E242" s="7" t="n">
        <v>3</v>
      </c>
      <c r="F242" s="13" t="n">
        <v>340</v>
      </c>
      <c r="G242" s="13" t="n">
        <v>210</v>
      </c>
      <c r="H242" s="17" t="n">
        <f aca="false">IF(OR(E242="",F242=""),"",E242*F242)</f>
        <v>1020</v>
      </c>
      <c r="I242" s="17" t="n">
        <f aca="false">IF(OR(E242="",G242=""),"",E242*G242)</f>
        <v>630</v>
      </c>
      <c r="J242" s="17" t="n">
        <f aca="false">IF(H242="","",H242-I242)</f>
        <v>390</v>
      </c>
    </row>
    <row r="243" customFormat="false" ht="15" hidden="false" customHeight="true" outlineLevel="0" collapsed="false">
      <c r="A243" s="7" t="s">
        <v>494</v>
      </c>
      <c r="B243" s="18" t="n">
        <f aca="false">IF(A243="","",IFERROR(INDEX(Sales_Memo!$B$2:$B$1001,MATCH(A243,Sales_Memo!$A$2:$A$1001,0)),""))</f>
        <v>46254</v>
      </c>
      <c r="C243" s="7" t="s">
        <v>82</v>
      </c>
      <c r="D243" s="16" t="str">
        <f aca="false">IF(C243="","",IFERROR(INDEX(Products!$B$2:$B$501,MATCH(C243,Products!$A$2:$A$501,0)),"CODE NOT FOUND"))</f>
        <v>Clutch Cable</v>
      </c>
      <c r="E243" s="7" t="n">
        <v>3</v>
      </c>
      <c r="F243" s="13" t="n">
        <v>190</v>
      </c>
      <c r="G243" s="13" t="n">
        <v>110</v>
      </c>
      <c r="H243" s="17" t="n">
        <f aca="false">IF(OR(E243="",F243=""),"",E243*F243)</f>
        <v>570</v>
      </c>
      <c r="I243" s="17" t="n">
        <f aca="false">IF(OR(E243="",G243=""),"",E243*G243)</f>
        <v>330</v>
      </c>
      <c r="J243" s="17" t="n">
        <f aca="false">IF(H243="","",H243-I243)</f>
        <v>240</v>
      </c>
    </row>
    <row r="244" customFormat="false" ht="15" hidden="false" customHeight="true" outlineLevel="0" collapsed="false">
      <c r="A244" s="7" t="s">
        <v>495</v>
      </c>
      <c r="B244" s="18" t="n">
        <f aca="false">IF(A244="","",IFERROR(INDEX(Sales_Memo!$B$2:$B$1001,MATCH(A244,Sales_Memo!$A$2:$A$1001,0)),""))</f>
        <v>46254</v>
      </c>
      <c r="C244" s="7" t="s">
        <v>93</v>
      </c>
      <c r="D244" s="16" t="str">
        <f aca="false">IF(C244="","",IFERROR(INDEX(Products!$B$2:$B$501,MATCH(C244,Products!$A$2:$A$501,0)),"CODE NOT FOUND"))</f>
        <v>Chain &amp; Sprocket Kit</v>
      </c>
      <c r="E244" s="7" t="n">
        <v>1</v>
      </c>
      <c r="F244" s="13" t="n">
        <v>2350</v>
      </c>
      <c r="G244" s="13" t="n">
        <v>1750</v>
      </c>
      <c r="H244" s="17" t="n">
        <f aca="false">IF(OR(E244="",F244=""),"",E244*F244)</f>
        <v>2350</v>
      </c>
      <c r="I244" s="17" t="n">
        <f aca="false">IF(OR(E244="",G244=""),"",E244*G244)</f>
        <v>1750</v>
      </c>
      <c r="J244" s="17" t="n">
        <f aca="false">IF(H244="","",H244-I244)</f>
        <v>600</v>
      </c>
    </row>
    <row r="245" customFormat="false" ht="15" hidden="false" customHeight="true" outlineLevel="0" collapsed="false">
      <c r="A245" s="7" t="s">
        <v>495</v>
      </c>
      <c r="B245" s="18" t="n">
        <f aca="false">IF(A245="","",IFERROR(INDEX(Sales_Memo!$B$2:$B$1001,MATCH(A245,Sales_Memo!$A$2:$A$1001,0)),""))</f>
        <v>46254</v>
      </c>
      <c r="C245" s="7" t="s">
        <v>116</v>
      </c>
      <c r="D245" s="16" t="str">
        <f aca="false">IF(C245="","",IFERROR(INDEX(Products!$B$2:$B$501,MATCH(C245,Products!$A$2:$A$501,0)),"CODE NOT FOUND"))</f>
        <v>Helmet Full Face</v>
      </c>
      <c r="E245" s="7" t="n">
        <v>1</v>
      </c>
      <c r="F245" s="13" t="n">
        <v>1750</v>
      </c>
      <c r="G245" s="13" t="n">
        <v>1250</v>
      </c>
      <c r="H245" s="17" t="n">
        <f aca="false">IF(OR(E245="",F245=""),"",E245*F245)</f>
        <v>1750</v>
      </c>
      <c r="I245" s="17" t="n">
        <f aca="false">IF(OR(E245="",G245=""),"",E245*G245)</f>
        <v>1250</v>
      </c>
      <c r="J245" s="17" t="n">
        <f aca="false">IF(H245="","",H245-I245)</f>
        <v>500</v>
      </c>
    </row>
    <row r="246" customFormat="false" ht="15" hidden="false" customHeight="true" outlineLevel="0" collapsed="false">
      <c r="A246" s="7" t="s">
        <v>497</v>
      </c>
      <c r="B246" s="18" t="n">
        <f aca="false">IF(A246="","",IFERROR(INDEX(Sales_Memo!$B$2:$B$1001,MATCH(A246,Sales_Memo!$A$2:$A$1001,0)),""))</f>
        <v>46256</v>
      </c>
      <c r="C246" s="7" t="s">
        <v>102</v>
      </c>
      <c r="D246" s="16" t="str">
        <f aca="false">IF(C246="","",IFERROR(INDEX(Products!$B$2:$B$501,MATCH(C246,Products!$A$2:$A$501,0)),"CODE NOT FOUND"))</f>
        <v>Headlight Bulb H4</v>
      </c>
      <c r="E246" s="7" t="n">
        <v>2</v>
      </c>
      <c r="F246" s="13" t="n">
        <v>240</v>
      </c>
      <c r="G246" s="13" t="n">
        <v>140</v>
      </c>
      <c r="H246" s="17" t="n">
        <f aca="false">IF(OR(E246="",F246=""),"",E246*F246)</f>
        <v>480</v>
      </c>
      <c r="I246" s="17" t="n">
        <f aca="false">IF(OR(E246="",G246=""),"",E246*G246)</f>
        <v>280</v>
      </c>
      <c r="J246" s="17" t="n">
        <f aca="false">IF(H246="","",H246-I246)</f>
        <v>200</v>
      </c>
    </row>
    <row r="247" customFormat="false" ht="15" hidden="false" customHeight="true" outlineLevel="0" collapsed="false">
      <c r="A247" s="7" t="s">
        <v>498</v>
      </c>
      <c r="B247" s="18" t="n">
        <f aca="false">IF(A247="","",IFERROR(INDEX(Sales_Memo!$B$2:$B$1001,MATCH(A247,Sales_Memo!$A$2:$A$1001,0)),""))</f>
        <v>46256</v>
      </c>
      <c r="C247" s="7" t="s">
        <v>96</v>
      </c>
      <c r="D247" s="16" t="str">
        <f aca="false">IF(C247="","",IFERROR(INDEX(Products!$B$2:$B$501,MATCH(C247,Products!$A$2:$A$501,0)),"CODE NOT FOUND"))</f>
        <v>Engine Oil 10W-30 (1L)</v>
      </c>
      <c r="E247" s="7" t="n">
        <v>3</v>
      </c>
      <c r="F247" s="13" t="n">
        <v>780</v>
      </c>
      <c r="G247" s="13" t="n">
        <v>620</v>
      </c>
      <c r="H247" s="17" t="n">
        <f aca="false">IF(OR(E247="",F247=""),"",E247*F247)</f>
        <v>2340</v>
      </c>
      <c r="I247" s="17" t="n">
        <f aca="false">IF(OR(E247="",G247=""),"",E247*G247)</f>
        <v>1860</v>
      </c>
      <c r="J247" s="17" t="n">
        <f aca="false">IF(H247="","",H247-I247)</f>
        <v>480</v>
      </c>
    </row>
    <row r="248" customFormat="false" ht="15" hidden="false" customHeight="true" outlineLevel="0" collapsed="false">
      <c r="A248" s="7" t="s">
        <v>499</v>
      </c>
      <c r="B248" s="18" t="n">
        <f aca="false">IF(A248="","",IFERROR(INDEX(Sales_Memo!$B$2:$B$1001,MATCH(A248,Sales_Memo!$A$2:$A$1001,0)),""))</f>
        <v>46256</v>
      </c>
      <c r="C248" s="7" t="s">
        <v>102</v>
      </c>
      <c r="D248" s="16" t="str">
        <f aca="false">IF(C248="","",IFERROR(INDEX(Products!$B$2:$B$501,MATCH(C248,Products!$A$2:$A$501,0)),"CODE NOT FOUND"))</f>
        <v>Headlight Bulb H4</v>
      </c>
      <c r="E248" s="7" t="n">
        <v>1</v>
      </c>
      <c r="F248" s="13" t="n">
        <v>240</v>
      </c>
      <c r="G248" s="13" t="n">
        <v>140</v>
      </c>
      <c r="H248" s="17" t="n">
        <f aca="false">IF(OR(E248="",F248=""),"",E248*F248)</f>
        <v>240</v>
      </c>
      <c r="I248" s="17" t="n">
        <f aca="false">IF(OR(E248="",G248=""),"",E248*G248)</f>
        <v>140</v>
      </c>
      <c r="J248" s="17" t="n">
        <f aca="false">IF(H248="","",H248-I248)</f>
        <v>100</v>
      </c>
    </row>
    <row r="249" customFormat="false" ht="15" hidden="false" customHeight="true" outlineLevel="0" collapsed="false">
      <c r="A249" s="7" t="s">
        <v>501</v>
      </c>
      <c r="B249" s="18" t="n">
        <f aca="false">IF(A249="","",IFERROR(INDEX(Sales_Memo!$B$2:$B$1001,MATCH(A249,Sales_Memo!$A$2:$A$1001,0)),""))</f>
        <v>46256</v>
      </c>
      <c r="C249" s="7" t="s">
        <v>82</v>
      </c>
      <c r="D249" s="16" t="str">
        <f aca="false">IF(C249="","",IFERROR(INDEX(Products!$B$2:$B$501,MATCH(C249,Products!$A$2:$A$501,0)),"CODE NOT FOUND"))</f>
        <v>Clutch Cable</v>
      </c>
      <c r="E249" s="7" t="n">
        <v>2</v>
      </c>
      <c r="F249" s="13" t="n">
        <v>190</v>
      </c>
      <c r="G249" s="13" t="n">
        <v>110</v>
      </c>
      <c r="H249" s="17" t="n">
        <f aca="false">IF(OR(E249="",F249=""),"",E249*F249)</f>
        <v>380</v>
      </c>
      <c r="I249" s="17" t="n">
        <f aca="false">IF(OR(E249="",G249=""),"",E249*G249)</f>
        <v>220</v>
      </c>
      <c r="J249" s="17" t="n">
        <f aca="false">IF(H249="","",H249-I249)</f>
        <v>160</v>
      </c>
    </row>
    <row r="250" customFormat="false" ht="15" hidden="false" customHeight="true" outlineLevel="0" collapsed="false">
      <c r="A250" s="7" t="s">
        <v>501</v>
      </c>
      <c r="B250" s="18" t="n">
        <f aca="false">IF(A250="","",IFERROR(INDEX(Sales_Memo!$B$2:$B$1001,MATCH(A250,Sales_Memo!$A$2:$A$1001,0)),""))</f>
        <v>46256</v>
      </c>
      <c r="C250" s="7" t="s">
        <v>102</v>
      </c>
      <c r="D250" s="16" t="str">
        <f aca="false">IF(C250="","",IFERROR(INDEX(Products!$B$2:$B$501,MATCH(C250,Products!$A$2:$A$501,0)),"CODE NOT FOUND"))</f>
        <v>Headlight Bulb H4</v>
      </c>
      <c r="E250" s="7" t="n">
        <v>3</v>
      </c>
      <c r="F250" s="13" t="n">
        <v>240</v>
      </c>
      <c r="G250" s="13" t="n">
        <v>140</v>
      </c>
      <c r="H250" s="17" t="n">
        <f aca="false">IF(OR(E250="",F250=""),"",E250*F250)</f>
        <v>720</v>
      </c>
      <c r="I250" s="17" t="n">
        <f aca="false">IF(OR(E250="",G250=""),"",E250*G250)</f>
        <v>420</v>
      </c>
      <c r="J250" s="17" t="n">
        <f aca="false">IF(H250="","",H250-I250)</f>
        <v>300</v>
      </c>
    </row>
    <row r="251" customFormat="false" ht="15" hidden="false" customHeight="true" outlineLevel="0" collapsed="false">
      <c r="A251" s="7" t="s">
        <v>502</v>
      </c>
      <c r="B251" s="18" t="n">
        <f aca="false">IF(A251="","",IFERROR(INDEX(Sales_Memo!$B$2:$B$1001,MATCH(A251,Sales_Memo!$A$2:$A$1001,0)),""))</f>
        <v>46256</v>
      </c>
      <c r="C251" s="7" t="s">
        <v>102</v>
      </c>
      <c r="D251" s="16" t="str">
        <f aca="false">IF(C251="","",IFERROR(INDEX(Products!$B$2:$B$501,MATCH(C251,Products!$A$2:$A$501,0)),"CODE NOT FOUND"))</f>
        <v>Headlight Bulb H4</v>
      </c>
      <c r="E251" s="7" t="n">
        <v>1</v>
      </c>
      <c r="F251" s="13" t="n">
        <v>240</v>
      </c>
      <c r="G251" s="13" t="n">
        <v>140</v>
      </c>
      <c r="H251" s="17" t="n">
        <f aca="false">IF(OR(E251="",F251=""),"",E251*F251)</f>
        <v>240</v>
      </c>
      <c r="I251" s="17" t="n">
        <f aca="false">IF(OR(E251="",G251=""),"",E251*G251)</f>
        <v>140</v>
      </c>
      <c r="J251" s="17" t="n">
        <f aca="false">IF(H251="","",H251-I251)</f>
        <v>100</v>
      </c>
    </row>
    <row r="252" customFormat="false" ht="15" hidden="false" customHeight="true" outlineLevel="0" collapsed="false">
      <c r="A252" s="7" t="s">
        <v>503</v>
      </c>
      <c r="B252" s="18" t="n">
        <f aca="false">IF(A252="","",IFERROR(INDEX(Sales_Memo!$B$2:$B$1001,MATCH(A252,Sales_Memo!$A$2:$A$1001,0)),""))</f>
        <v>46256</v>
      </c>
      <c r="C252" s="7" t="s">
        <v>96</v>
      </c>
      <c r="D252" s="16" t="str">
        <f aca="false">IF(C252="","",IFERROR(INDEX(Products!$B$2:$B$501,MATCH(C252,Products!$A$2:$A$501,0)),"CODE NOT FOUND"))</f>
        <v>Engine Oil 10W-30 (1L)</v>
      </c>
      <c r="E252" s="7" t="n">
        <v>2</v>
      </c>
      <c r="F252" s="13" t="n">
        <v>780</v>
      </c>
      <c r="G252" s="13" t="n">
        <v>620</v>
      </c>
      <c r="H252" s="17" t="n">
        <f aca="false">IF(OR(E252="",F252=""),"",E252*F252)</f>
        <v>1560</v>
      </c>
      <c r="I252" s="17" t="n">
        <f aca="false">IF(OR(E252="",G252=""),"",E252*G252)</f>
        <v>1240</v>
      </c>
      <c r="J252" s="17" t="n">
        <f aca="false">IF(H252="","",H252-I252)</f>
        <v>320</v>
      </c>
    </row>
    <row r="253" customFormat="false" ht="15" hidden="false" customHeight="true" outlineLevel="0" collapsed="false">
      <c r="A253" s="7" t="s">
        <v>503</v>
      </c>
      <c r="B253" s="18" t="n">
        <f aca="false">IF(A253="","",IFERROR(INDEX(Sales_Memo!$B$2:$B$1001,MATCH(A253,Sales_Memo!$A$2:$A$1001,0)),""))</f>
        <v>46256</v>
      </c>
      <c r="C253" s="7" t="s">
        <v>119</v>
      </c>
      <c r="D253" s="16" t="str">
        <f aca="false">IF(C253="","",IFERROR(INDEX(Products!$B$2:$B$501,MATCH(C253,Products!$A$2:$A$501,0)),"CODE NOT FOUND"))</f>
        <v>Chain Lube Spray</v>
      </c>
      <c r="E253" s="7" t="n">
        <v>1</v>
      </c>
      <c r="F253" s="13" t="n">
        <v>270</v>
      </c>
      <c r="G253" s="13" t="n">
        <v>170</v>
      </c>
      <c r="H253" s="17" t="n">
        <f aca="false">IF(OR(E253="",F253=""),"",E253*F253)</f>
        <v>270</v>
      </c>
      <c r="I253" s="17" t="n">
        <f aca="false">IF(OR(E253="",G253=""),"",E253*G253)</f>
        <v>170</v>
      </c>
      <c r="J253" s="17" t="n">
        <f aca="false">IF(H253="","",H253-I253)</f>
        <v>100</v>
      </c>
    </row>
    <row r="254" customFormat="false" ht="15" hidden="false" customHeight="true" outlineLevel="0" collapsed="false">
      <c r="A254" s="7" t="s">
        <v>505</v>
      </c>
      <c r="B254" s="18" t="n">
        <f aca="false">IF(A254="","",IFERROR(INDEX(Sales_Memo!$B$2:$B$1001,MATCH(A254,Sales_Memo!$A$2:$A$1001,0)),""))</f>
        <v>46256</v>
      </c>
      <c r="C254" s="7" t="s">
        <v>102</v>
      </c>
      <c r="D254" s="16" t="str">
        <f aca="false">IF(C254="","",IFERROR(INDEX(Products!$B$2:$B$501,MATCH(C254,Products!$A$2:$A$501,0)),"CODE NOT FOUND"))</f>
        <v>Headlight Bulb H4</v>
      </c>
      <c r="E254" s="7" t="n">
        <v>1</v>
      </c>
      <c r="F254" s="13" t="n">
        <v>240</v>
      </c>
      <c r="G254" s="13" t="n">
        <v>140</v>
      </c>
      <c r="H254" s="17" t="n">
        <f aca="false">IF(OR(E254="",F254=""),"",E254*F254)</f>
        <v>240</v>
      </c>
      <c r="I254" s="17" t="n">
        <f aca="false">IF(OR(E254="",G254=""),"",E254*G254)</f>
        <v>140</v>
      </c>
      <c r="J254" s="17" t="n">
        <f aca="false">IF(H254="","",H254-I254)</f>
        <v>100</v>
      </c>
    </row>
    <row r="255" customFormat="false" ht="15" hidden="false" customHeight="true" outlineLevel="0" collapsed="false">
      <c r="A255" s="7" t="s">
        <v>506</v>
      </c>
      <c r="B255" s="18" t="n">
        <f aca="false">IF(A255="","",IFERROR(INDEX(Sales_Memo!$B$2:$B$1001,MATCH(A255,Sales_Memo!$A$2:$A$1001,0)),""))</f>
        <v>46257</v>
      </c>
      <c r="C255" s="7" t="s">
        <v>99</v>
      </c>
      <c r="D255" s="16" t="str">
        <f aca="false">IF(C255="","",IFERROR(INDEX(Products!$B$2:$B$501,MATCH(C255,Products!$A$2:$A$501,0)),"CODE NOT FOUND"))</f>
        <v>Engine Oil 20W-50 (1L)</v>
      </c>
      <c r="E255" s="7" t="n">
        <v>2</v>
      </c>
      <c r="F255" s="13" t="n">
        <v>990</v>
      </c>
      <c r="G255" s="13" t="n">
        <v>780</v>
      </c>
      <c r="H255" s="17" t="n">
        <f aca="false">IF(OR(E255="",F255=""),"",E255*F255)</f>
        <v>1980</v>
      </c>
      <c r="I255" s="17" t="n">
        <f aca="false">IF(OR(E255="",G255=""),"",E255*G255)</f>
        <v>1560</v>
      </c>
      <c r="J255" s="17" t="n">
        <f aca="false">IF(H255="","",H255-I255)</f>
        <v>420</v>
      </c>
    </row>
    <row r="256" customFormat="false" ht="15" hidden="false" customHeight="true" outlineLevel="0" collapsed="false">
      <c r="A256" s="7" t="s">
        <v>506</v>
      </c>
      <c r="B256" s="18" t="n">
        <f aca="false">IF(A256="","",IFERROR(INDEX(Sales_Memo!$B$2:$B$1001,MATCH(A256,Sales_Memo!$A$2:$A$1001,0)),""))</f>
        <v>46257</v>
      </c>
      <c r="C256" s="7" t="s">
        <v>116</v>
      </c>
      <c r="D256" s="16" t="str">
        <f aca="false">IF(C256="","",IFERROR(INDEX(Products!$B$2:$B$501,MATCH(C256,Products!$A$2:$A$501,0)),"CODE NOT FOUND"))</f>
        <v>Helmet Full Face</v>
      </c>
      <c r="E256" s="7" t="n">
        <v>1</v>
      </c>
      <c r="F256" s="13" t="n">
        <v>1750</v>
      </c>
      <c r="G256" s="13" t="n">
        <v>1250</v>
      </c>
      <c r="H256" s="17" t="n">
        <f aca="false">IF(OR(E256="",F256=""),"",E256*F256)</f>
        <v>1750</v>
      </c>
      <c r="I256" s="17" t="n">
        <f aca="false">IF(OR(E256="",G256=""),"",E256*G256)</f>
        <v>1250</v>
      </c>
      <c r="J256" s="17" t="n">
        <f aca="false">IF(H256="","",H256-I256)</f>
        <v>500</v>
      </c>
    </row>
    <row r="257" customFormat="false" ht="15" hidden="false" customHeight="true" outlineLevel="0" collapsed="false">
      <c r="A257" s="7" t="s">
        <v>506</v>
      </c>
      <c r="B257" s="18" t="n">
        <f aca="false">IF(A257="","",IFERROR(INDEX(Sales_Memo!$B$2:$B$1001,MATCH(A257,Sales_Memo!$A$2:$A$1001,0)),""))</f>
        <v>46257</v>
      </c>
      <c r="C257" s="7" t="s">
        <v>96</v>
      </c>
      <c r="D257" s="16" t="str">
        <f aca="false">IF(C257="","",IFERROR(INDEX(Products!$B$2:$B$501,MATCH(C257,Products!$A$2:$A$501,0)),"CODE NOT FOUND"))</f>
        <v>Engine Oil 10W-30 (1L)</v>
      </c>
      <c r="E257" s="7" t="n">
        <v>3</v>
      </c>
      <c r="F257" s="13" t="n">
        <v>780</v>
      </c>
      <c r="G257" s="13" t="n">
        <v>620</v>
      </c>
      <c r="H257" s="17" t="n">
        <f aca="false">IF(OR(E257="",F257=""),"",E257*F257)</f>
        <v>2340</v>
      </c>
      <c r="I257" s="17" t="n">
        <f aca="false">IF(OR(E257="",G257=""),"",E257*G257)</f>
        <v>1860</v>
      </c>
      <c r="J257" s="17" t="n">
        <f aca="false">IF(H257="","",H257-I257)</f>
        <v>480</v>
      </c>
    </row>
    <row r="258" customFormat="false" ht="15" hidden="false" customHeight="true" outlineLevel="0" collapsed="false">
      <c r="A258" s="7" t="s">
        <v>508</v>
      </c>
      <c r="B258" s="18" t="n">
        <f aca="false">IF(A258="","",IFERROR(INDEX(Sales_Memo!$B$2:$B$1001,MATCH(A258,Sales_Memo!$A$2:$A$1001,0)),""))</f>
        <v>46257</v>
      </c>
      <c r="C258" s="7" t="s">
        <v>102</v>
      </c>
      <c r="D258" s="16" t="str">
        <f aca="false">IF(C258="","",IFERROR(INDEX(Products!$B$2:$B$501,MATCH(C258,Products!$A$2:$A$501,0)),"CODE NOT FOUND"))</f>
        <v>Headlight Bulb H4</v>
      </c>
      <c r="E258" s="7" t="n">
        <v>3</v>
      </c>
      <c r="F258" s="13" t="n">
        <v>240</v>
      </c>
      <c r="G258" s="13" t="n">
        <v>140</v>
      </c>
      <c r="H258" s="17" t="n">
        <f aca="false">IF(OR(E258="",F258=""),"",E258*F258)</f>
        <v>720</v>
      </c>
      <c r="I258" s="17" t="n">
        <f aca="false">IF(OR(E258="",G258=""),"",E258*G258)</f>
        <v>420</v>
      </c>
      <c r="J258" s="17" t="n">
        <f aca="false">IF(H258="","",H258-I258)</f>
        <v>300</v>
      </c>
    </row>
    <row r="259" customFormat="false" ht="15" hidden="false" customHeight="true" outlineLevel="0" collapsed="false">
      <c r="A259" s="7" t="s">
        <v>508</v>
      </c>
      <c r="B259" s="18" t="n">
        <f aca="false">IF(A259="","",IFERROR(INDEX(Sales_Memo!$B$2:$B$1001,MATCH(A259,Sales_Memo!$A$2:$A$1001,0)),""))</f>
        <v>46257</v>
      </c>
      <c r="C259" s="7" t="s">
        <v>119</v>
      </c>
      <c r="D259" s="16" t="str">
        <f aca="false">IF(C259="","",IFERROR(INDEX(Products!$B$2:$B$501,MATCH(C259,Products!$A$2:$A$501,0)),"CODE NOT FOUND"))</f>
        <v>Chain Lube Spray</v>
      </c>
      <c r="E259" s="7" t="n">
        <v>1</v>
      </c>
      <c r="F259" s="13" t="n">
        <v>270</v>
      </c>
      <c r="G259" s="13" t="n">
        <v>170</v>
      </c>
      <c r="H259" s="17" t="n">
        <f aca="false">IF(OR(E259="",F259=""),"",E259*F259)</f>
        <v>270</v>
      </c>
      <c r="I259" s="17" t="n">
        <f aca="false">IF(OR(E259="",G259=""),"",E259*G259)</f>
        <v>170</v>
      </c>
      <c r="J259" s="17" t="n">
        <f aca="false">IF(H259="","",H259-I259)</f>
        <v>100</v>
      </c>
    </row>
    <row r="260" customFormat="false" ht="15" hidden="false" customHeight="true" outlineLevel="0" collapsed="false">
      <c r="A260" s="7" t="s">
        <v>508</v>
      </c>
      <c r="B260" s="18" t="n">
        <f aca="false">IF(A260="","",IFERROR(INDEX(Sales_Memo!$B$2:$B$1001,MATCH(A260,Sales_Memo!$A$2:$A$1001,0)),""))</f>
        <v>46257</v>
      </c>
      <c r="C260" s="7" t="s">
        <v>86</v>
      </c>
      <c r="D260" s="16" t="str">
        <f aca="false">IF(C260="","",IFERROR(INDEX(Products!$B$2:$B$501,MATCH(C260,Products!$A$2:$A$501,0)),"CODE NOT FOUND"))</f>
        <v>Spark Plug CPR8EA-9</v>
      </c>
      <c r="E260" s="7" t="n">
        <v>2</v>
      </c>
      <c r="F260" s="13" t="n">
        <v>260</v>
      </c>
      <c r="G260" s="13" t="n">
        <v>175</v>
      </c>
      <c r="H260" s="17" t="n">
        <f aca="false">IF(OR(E260="",F260=""),"",E260*F260)</f>
        <v>520</v>
      </c>
      <c r="I260" s="17" t="n">
        <f aca="false">IF(OR(E260="",G260=""),"",E260*G260)</f>
        <v>350</v>
      </c>
      <c r="J260" s="17" t="n">
        <f aca="false">IF(H260="","",H260-I260)</f>
        <v>170</v>
      </c>
    </row>
    <row r="261" customFormat="false" ht="15" hidden="false" customHeight="true" outlineLevel="0" collapsed="false">
      <c r="A261" s="7" t="s">
        <v>510</v>
      </c>
      <c r="B261" s="18" t="n">
        <f aca="false">IF(A261="","",IFERROR(INDEX(Sales_Memo!$B$2:$B$1001,MATCH(A261,Sales_Memo!$A$2:$A$1001,0)),""))</f>
        <v>46257</v>
      </c>
      <c r="C261" s="7" t="s">
        <v>96</v>
      </c>
      <c r="D261" s="16" t="str">
        <f aca="false">IF(C261="","",IFERROR(INDEX(Products!$B$2:$B$501,MATCH(C261,Products!$A$2:$A$501,0)),"CODE NOT FOUND"))</f>
        <v>Engine Oil 10W-30 (1L)</v>
      </c>
      <c r="E261" s="7" t="n">
        <v>3</v>
      </c>
      <c r="F261" s="13" t="n">
        <v>780</v>
      </c>
      <c r="G261" s="13" t="n">
        <v>620</v>
      </c>
      <c r="H261" s="17" t="n">
        <f aca="false">IF(OR(E261="",F261=""),"",E261*F261)</f>
        <v>2340</v>
      </c>
      <c r="I261" s="17" t="n">
        <f aca="false">IF(OR(E261="",G261=""),"",E261*G261)</f>
        <v>1860</v>
      </c>
      <c r="J261" s="17" t="n">
        <f aca="false">IF(H261="","",H261-I261)</f>
        <v>480</v>
      </c>
    </row>
    <row r="262" customFormat="false" ht="15" hidden="false" customHeight="true" outlineLevel="0" collapsed="false">
      <c r="A262" s="7" t="s">
        <v>512</v>
      </c>
      <c r="B262" s="18" t="n">
        <f aca="false">IF(A262="","",IFERROR(INDEX(Sales_Memo!$B$2:$B$1001,MATCH(A262,Sales_Memo!$A$2:$A$1001,0)),""))</f>
        <v>46257</v>
      </c>
      <c r="C262" s="7" t="s">
        <v>77</v>
      </c>
      <c r="D262" s="16" t="str">
        <f aca="false">IF(C262="","",IFERROR(INDEX(Products!$B$2:$B$501,MATCH(C262,Products!$A$2:$A$501,0)),"CODE NOT FOUND"))</f>
        <v>Brake Pad Set - Front</v>
      </c>
      <c r="E262" s="7" t="n">
        <v>2</v>
      </c>
      <c r="F262" s="13" t="n">
        <v>480</v>
      </c>
      <c r="G262" s="13" t="n">
        <v>320</v>
      </c>
      <c r="H262" s="17" t="n">
        <f aca="false">IF(OR(E262="",F262=""),"",E262*F262)</f>
        <v>960</v>
      </c>
      <c r="I262" s="17" t="n">
        <f aca="false">IF(OR(E262="",G262=""),"",E262*G262)</f>
        <v>640</v>
      </c>
      <c r="J262" s="17" t="n">
        <f aca="false">IF(H262="","",H262-I262)</f>
        <v>320</v>
      </c>
    </row>
    <row r="263" customFormat="false" ht="15" hidden="false" customHeight="true" outlineLevel="0" collapsed="false">
      <c r="A263" s="7" t="s">
        <v>514</v>
      </c>
      <c r="B263" s="18" t="n">
        <f aca="false">IF(A263="","",IFERROR(INDEX(Sales_Memo!$B$2:$B$1001,MATCH(A263,Sales_Memo!$A$2:$A$1001,0)),""))</f>
        <v>46257</v>
      </c>
      <c r="C263" s="7" t="s">
        <v>121</v>
      </c>
      <c r="D263" s="16" t="str">
        <f aca="false">IF(C263="","",IFERROR(INDEX(Products!$B$2:$B$501,MATCH(C263,Products!$A$2:$A$501,0)),"CODE NOT FOUND"))</f>
        <v>Handle Grip Set</v>
      </c>
      <c r="E263" s="7" t="n">
        <v>1</v>
      </c>
      <c r="F263" s="13" t="n">
        <v>280</v>
      </c>
      <c r="G263" s="13" t="n">
        <v>160</v>
      </c>
      <c r="H263" s="17" t="n">
        <f aca="false">IF(OR(E263="",F263=""),"",E263*F263)</f>
        <v>280</v>
      </c>
      <c r="I263" s="17" t="n">
        <f aca="false">IF(OR(E263="",G263=""),"",E263*G263)</f>
        <v>160</v>
      </c>
      <c r="J263" s="17" t="n">
        <f aca="false">IF(H263="","",H263-I263)</f>
        <v>120</v>
      </c>
    </row>
    <row r="264" customFormat="false" ht="15" hidden="false" customHeight="true" outlineLevel="0" collapsed="false">
      <c r="A264" s="7" t="s">
        <v>514</v>
      </c>
      <c r="B264" s="18" t="n">
        <f aca="false">IF(A264="","",IFERROR(INDEX(Sales_Memo!$B$2:$B$1001,MATCH(A264,Sales_Memo!$A$2:$A$1001,0)),""))</f>
        <v>46257</v>
      </c>
      <c r="C264" s="7" t="s">
        <v>105</v>
      </c>
      <c r="D264" s="16" t="str">
        <f aca="false">IF(C264="","",IFERROR(INDEX(Products!$B$2:$B$501,MATCH(C264,Products!$A$2:$A$501,0)),"CODE NOT FOUND"))</f>
        <v>Battery 12V 5Ah</v>
      </c>
      <c r="E264" s="7" t="n">
        <v>1</v>
      </c>
      <c r="F264" s="13" t="n">
        <v>2950</v>
      </c>
      <c r="G264" s="13" t="n">
        <v>2350</v>
      </c>
      <c r="H264" s="17" t="n">
        <f aca="false">IF(OR(E264="",F264=""),"",E264*F264)</f>
        <v>2950</v>
      </c>
      <c r="I264" s="17" t="n">
        <f aca="false">IF(OR(E264="",G264=""),"",E264*G264)</f>
        <v>2350</v>
      </c>
      <c r="J264" s="17" t="n">
        <f aca="false">IF(H264="","",H264-I264)</f>
        <v>600</v>
      </c>
    </row>
    <row r="265" customFormat="false" ht="15" hidden="false" customHeight="true" outlineLevel="0" collapsed="false">
      <c r="A265" s="7" t="s">
        <v>516</v>
      </c>
      <c r="B265" s="18" t="n">
        <f aca="false">IF(A265="","",IFERROR(INDEX(Sales_Memo!$B$2:$B$1001,MATCH(A265,Sales_Memo!$A$2:$A$1001,0)),""))</f>
        <v>46257</v>
      </c>
      <c r="C265" s="7" t="s">
        <v>86</v>
      </c>
      <c r="D265" s="16" t="str">
        <f aca="false">IF(C265="","",IFERROR(INDEX(Products!$B$2:$B$501,MATCH(C265,Products!$A$2:$A$501,0)),"CODE NOT FOUND"))</f>
        <v>Spark Plug CPR8EA-9</v>
      </c>
      <c r="E265" s="7" t="n">
        <v>3</v>
      </c>
      <c r="F265" s="13" t="n">
        <v>260</v>
      </c>
      <c r="G265" s="13" t="n">
        <v>175</v>
      </c>
      <c r="H265" s="17" t="n">
        <f aca="false">IF(OR(E265="",F265=""),"",E265*F265)</f>
        <v>780</v>
      </c>
      <c r="I265" s="17" t="n">
        <f aca="false">IF(OR(E265="",G265=""),"",E265*G265)</f>
        <v>525</v>
      </c>
      <c r="J265" s="17" t="n">
        <f aca="false">IF(H265="","",H265-I265)</f>
        <v>255</v>
      </c>
    </row>
    <row r="266" customFormat="false" ht="15" hidden="false" customHeight="true" outlineLevel="0" collapsed="false">
      <c r="A266" s="7" t="s">
        <v>518</v>
      </c>
      <c r="B266" s="18" t="n">
        <f aca="false">IF(A266="","",IFERROR(INDEX(Sales_Memo!$B$2:$B$1001,MATCH(A266,Sales_Memo!$A$2:$A$1001,0)),""))</f>
        <v>46257</v>
      </c>
      <c r="C266" s="7" t="s">
        <v>86</v>
      </c>
      <c r="D266" s="16" t="str">
        <f aca="false">IF(C266="","",IFERROR(INDEX(Products!$B$2:$B$501,MATCH(C266,Products!$A$2:$A$501,0)),"CODE NOT FOUND"))</f>
        <v>Spark Plug CPR8EA-9</v>
      </c>
      <c r="E266" s="7" t="n">
        <v>3</v>
      </c>
      <c r="F266" s="13" t="n">
        <v>260</v>
      </c>
      <c r="G266" s="13" t="n">
        <v>175</v>
      </c>
      <c r="H266" s="17" t="n">
        <f aca="false">IF(OR(E266="",F266=""),"",E266*F266)</f>
        <v>780</v>
      </c>
      <c r="I266" s="17" t="n">
        <f aca="false">IF(OR(E266="",G266=""),"",E266*G266)</f>
        <v>525</v>
      </c>
      <c r="J266" s="17" t="n">
        <f aca="false">IF(H266="","",H266-I266)</f>
        <v>255</v>
      </c>
    </row>
    <row r="267" customFormat="false" ht="15" hidden="false" customHeight="true" outlineLevel="0" collapsed="false">
      <c r="A267" s="7" t="s">
        <v>519</v>
      </c>
      <c r="B267" s="18" t="n">
        <f aca="false">IF(A267="","",IFERROR(INDEX(Sales_Memo!$B$2:$B$1001,MATCH(A267,Sales_Memo!$A$2:$A$1001,0)),""))</f>
        <v>46257</v>
      </c>
      <c r="C267" s="7" t="s">
        <v>114</v>
      </c>
      <c r="D267" s="16" t="str">
        <f aca="false">IF(C267="","",IFERROR(INDEX(Products!$B$2:$B$501,MATCH(C267,Products!$A$2:$A$501,0)),"CODE NOT FOUND"))</f>
        <v>Side Mirror (Pair)</v>
      </c>
      <c r="E267" s="7" t="n">
        <v>3</v>
      </c>
      <c r="F267" s="13" t="n">
        <v>620</v>
      </c>
      <c r="G267" s="13" t="n">
        <v>380</v>
      </c>
      <c r="H267" s="17" t="n">
        <f aca="false">IF(OR(E267="",F267=""),"",E267*F267)</f>
        <v>1860</v>
      </c>
      <c r="I267" s="17" t="n">
        <f aca="false">IF(OR(E267="",G267=""),"",E267*G267)</f>
        <v>1140</v>
      </c>
      <c r="J267" s="17" t="n">
        <f aca="false">IF(H267="","",H267-I267)</f>
        <v>720</v>
      </c>
    </row>
    <row r="268" customFormat="false" ht="15" hidden="false" customHeight="true" outlineLevel="0" collapsed="false">
      <c r="A268" s="7" t="s">
        <v>521</v>
      </c>
      <c r="B268" s="18" t="n">
        <f aca="false">IF(A268="","",IFERROR(INDEX(Sales_Memo!$B$2:$B$1001,MATCH(A268,Sales_Memo!$A$2:$A$1001,0)),""))</f>
        <v>46257</v>
      </c>
      <c r="C268" s="7" t="s">
        <v>90</v>
      </c>
      <c r="D268" s="16" t="str">
        <f aca="false">IF(C268="","",IFERROR(INDEX(Products!$B$2:$B$501,MATCH(C268,Products!$A$2:$A$501,0)),"CODE NOT FOUND"))</f>
        <v>Air Filter 150cc</v>
      </c>
      <c r="E268" s="7" t="n">
        <v>1</v>
      </c>
      <c r="F268" s="13" t="n">
        <v>340</v>
      </c>
      <c r="G268" s="13" t="n">
        <v>210</v>
      </c>
      <c r="H268" s="17" t="n">
        <f aca="false">IF(OR(E268="",F268=""),"",E268*F268)</f>
        <v>340</v>
      </c>
      <c r="I268" s="17" t="n">
        <f aca="false">IF(OR(E268="",G268=""),"",E268*G268)</f>
        <v>210</v>
      </c>
      <c r="J268" s="17" t="n">
        <f aca="false">IF(H268="","",H268-I268)</f>
        <v>130</v>
      </c>
    </row>
    <row r="269" customFormat="false" ht="15" hidden="false" customHeight="true" outlineLevel="0" collapsed="false">
      <c r="A269" s="7" t="s">
        <v>521</v>
      </c>
      <c r="B269" s="18" t="n">
        <f aca="false">IF(A269="","",IFERROR(INDEX(Sales_Memo!$B$2:$B$1001,MATCH(A269,Sales_Memo!$A$2:$A$1001,0)),""))</f>
        <v>46257</v>
      </c>
      <c r="C269" s="7" t="s">
        <v>82</v>
      </c>
      <c r="D269" s="16" t="str">
        <f aca="false">IF(C269="","",IFERROR(INDEX(Products!$B$2:$B$501,MATCH(C269,Products!$A$2:$A$501,0)),"CODE NOT FOUND"))</f>
        <v>Clutch Cable</v>
      </c>
      <c r="E269" s="7" t="n">
        <v>2</v>
      </c>
      <c r="F269" s="13" t="n">
        <v>190</v>
      </c>
      <c r="G269" s="13" t="n">
        <v>110</v>
      </c>
      <c r="H269" s="17" t="n">
        <f aca="false">IF(OR(E269="",F269=""),"",E269*F269)</f>
        <v>380</v>
      </c>
      <c r="I269" s="17" t="n">
        <f aca="false">IF(OR(E269="",G269=""),"",E269*G269)</f>
        <v>220</v>
      </c>
      <c r="J269" s="17" t="n">
        <f aca="false">IF(H269="","",H269-I269)</f>
        <v>160</v>
      </c>
    </row>
    <row r="270" customFormat="false" ht="15" hidden="false" customHeight="true" outlineLevel="0" collapsed="false">
      <c r="A270" s="7" t="s">
        <v>522</v>
      </c>
      <c r="B270" s="18" t="n">
        <f aca="false">IF(A270="","",IFERROR(INDEX(Sales_Memo!$B$2:$B$1001,MATCH(A270,Sales_Memo!$A$2:$A$1001,0)),""))</f>
        <v>46258</v>
      </c>
      <c r="C270" s="7" t="s">
        <v>90</v>
      </c>
      <c r="D270" s="16" t="str">
        <f aca="false">IF(C270="","",IFERROR(INDEX(Products!$B$2:$B$501,MATCH(C270,Products!$A$2:$A$501,0)),"CODE NOT FOUND"))</f>
        <v>Air Filter 150cc</v>
      </c>
      <c r="E270" s="7" t="n">
        <v>3</v>
      </c>
      <c r="F270" s="13" t="n">
        <v>340</v>
      </c>
      <c r="G270" s="13" t="n">
        <v>210</v>
      </c>
      <c r="H270" s="17" t="n">
        <f aca="false">IF(OR(E270="",F270=""),"",E270*F270)</f>
        <v>1020</v>
      </c>
      <c r="I270" s="17" t="n">
        <f aca="false">IF(OR(E270="",G270=""),"",E270*G270)</f>
        <v>630</v>
      </c>
      <c r="J270" s="17" t="n">
        <f aca="false">IF(H270="","",H270-I270)</f>
        <v>390</v>
      </c>
    </row>
    <row r="271" customFormat="false" ht="15" hidden="false" customHeight="true" outlineLevel="0" collapsed="false">
      <c r="A271" s="7" t="s">
        <v>523</v>
      </c>
      <c r="B271" s="18" t="n">
        <f aca="false">IF(A271="","",IFERROR(INDEX(Sales_Memo!$B$2:$B$1001,MATCH(A271,Sales_Memo!$A$2:$A$1001,0)),""))</f>
        <v>46258</v>
      </c>
      <c r="C271" s="7" t="s">
        <v>105</v>
      </c>
      <c r="D271" s="16" t="str">
        <f aca="false">IF(C271="","",IFERROR(INDEX(Products!$B$2:$B$501,MATCH(C271,Products!$A$2:$A$501,0)),"CODE NOT FOUND"))</f>
        <v>Battery 12V 5Ah</v>
      </c>
      <c r="E271" s="7" t="n">
        <v>1</v>
      </c>
      <c r="F271" s="13" t="n">
        <v>2950</v>
      </c>
      <c r="G271" s="13" t="n">
        <v>2350</v>
      </c>
      <c r="H271" s="17" t="n">
        <f aca="false">IF(OR(E271="",F271=""),"",E271*F271)</f>
        <v>2950</v>
      </c>
      <c r="I271" s="17" t="n">
        <f aca="false">IF(OR(E271="",G271=""),"",E271*G271)</f>
        <v>2350</v>
      </c>
      <c r="J271" s="17" t="n">
        <f aca="false">IF(H271="","",H271-I271)</f>
        <v>600</v>
      </c>
    </row>
    <row r="272" customFormat="false" ht="15" hidden="false" customHeight="true" outlineLevel="0" collapsed="false">
      <c r="A272" s="7" t="s">
        <v>523</v>
      </c>
      <c r="B272" s="18" t="n">
        <f aca="false">IF(A272="","",IFERROR(INDEX(Sales_Memo!$B$2:$B$1001,MATCH(A272,Sales_Memo!$A$2:$A$1001,0)),""))</f>
        <v>46258</v>
      </c>
      <c r="C272" s="7" t="s">
        <v>119</v>
      </c>
      <c r="D272" s="16" t="str">
        <f aca="false">IF(C272="","",IFERROR(INDEX(Products!$B$2:$B$501,MATCH(C272,Products!$A$2:$A$501,0)),"CODE NOT FOUND"))</f>
        <v>Chain Lube Spray</v>
      </c>
      <c r="E272" s="7" t="n">
        <v>1</v>
      </c>
      <c r="F272" s="13" t="n">
        <v>270</v>
      </c>
      <c r="G272" s="13" t="n">
        <v>170</v>
      </c>
      <c r="H272" s="17" t="n">
        <f aca="false">IF(OR(E272="",F272=""),"",E272*F272)</f>
        <v>270</v>
      </c>
      <c r="I272" s="17" t="n">
        <f aca="false">IF(OR(E272="",G272=""),"",E272*G272)</f>
        <v>170</v>
      </c>
      <c r="J272" s="17" t="n">
        <f aca="false">IF(H272="","",H272-I272)</f>
        <v>100</v>
      </c>
    </row>
    <row r="273" customFormat="false" ht="15" hidden="false" customHeight="true" outlineLevel="0" collapsed="false">
      <c r="A273" s="7" t="s">
        <v>523</v>
      </c>
      <c r="B273" s="18" t="n">
        <f aca="false">IF(A273="","",IFERROR(INDEX(Sales_Memo!$B$2:$B$1001,MATCH(A273,Sales_Memo!$A$2:$A$1001,0)),""))</f>
        <v>46258</v>
      </c>
      <c r="C273" s="7" t="s">
        <v>99</v>
      </c>
      <c r="D273" s="16" t="str">
        <f aca="false">IF(C273="","",IFERROR(INDEX(Products!$B$2:$B$501,MATCH(C273,Products!$A$2:$A$501,0)),"CODE NOT FOUND"))</f>
        <v>Engine Oil 20W-50 (1L)</v>
      </c>
      <c r="E273" s="7" t="n">
        <v>2</v>
      </c>
      <c r="F273" s="13" t="n">
        <v>990</v>
      </c>
      <c r="G273" s="13" t="n">
        <v>780</v>
      </c>
      <c r="H273" s="17" t="n">
        <f aca="false">IF(OR(E273="",F273=""),"",E273*F273)</f>
        <v>1980</v>
      </c>
      <c r="I273" s="17" t="n">
        <f aca="false">IF(OR(E273="",G273=""),"",E273*G273)</f>
        <v>1560</v>
      </c>
      <c r="J273" s="17" t="n">
        <f aca="false">IF(H273="","",H273-I273)</f>
        <v>420</v>
      </c>
    </row>
    <row r="274" customFormat="false" ht="15" hidden="false" customHeight="true" outlineLevel="0" collapsed="false">
      <c r="A274" s="7" t="s">
        <v>525</v>
      </c>
      <c r="B274" s="18" t="n">
        <f aca="false">IF(A274="","",IFERROR(INDEX(Sales_Memo!$B$2:$B$1001,MATCH(A274,Sales_Memo!$A$2:$A$1001,0)),""))</f>
        <v>46258</v>
      </c>
      <c r="C274" s="7" t="s">
        <v>77</v>
      </c>
      <c r="D274" s="16" t="str">
        <f aca="false">IF(C274="","",IFERROR(INDEX(Products!$B$2:$B$501,MATCH(C274,Products!$A$2:$A$501,0)),"CODE NOT FOUND"))</f>
        <v>Brake Pad Set - Front</v>
      </c>
      <c r="E274" s="7" t="n">
        <v>1</v>
      </c>
      <c r="F274" s="13" t="n">
        <v>480</v>
      </c>
      <c r="G274" s="13" t="n">
        <v>320</v>
      </c>
      <c r="H274" s="17" t="n">
        <f aca="false">IF(OR(E274="",F274=""),"",E274*F274)</f>
        <v>480</v>
      </c>
      <c r="I274" s="17" t="n">
        <f aca="false">IF(OR(E274="",G274=""),"",E274*G274)</f>
        <v>320</v>
      </c>
      <c r="J274" s="17" t="n">
        <f aca="false">IF(H274="","",H274-I274)</f>
        <v>160</v>
      </c>
    </row>
    <row r="275" customFormat="false" ht="15" hidden="false" customHeight="true" outlineLevel="0" collapsed="false">
      <c r="A275" s="7" t="s">
        <v>525</v>
      </c>
      <c r="B275" s="18" t="n">
        <f aca="false">IF(A275="","",IFERROR(INDEX(Sales_Memo!$B$2:$B$1001,MATCH(A275,Sales_Memo!$A$2:$A$1001,0)),""))</f>
        <v>46258</v>
      </c>
      <c r="C275" s="7" t="s">
        <v>114</v>
      </c>
      <c r="D275" s="16" t="str">
        <f aca="false">IF(C275="","",IFERROR(INDEX(Products!$B$2:$B$501,MATCH(C275,Products!$A$2:$A$501,0)),"CODE NOT FOUND"))</f>
        <v>Side Mirror (Pair)</v>
      </c>
      <c r="E275" s="7" t="n">
        <v>3</v>
      </c>
      <c r="F275" s="13" t="n">
        <v>620</v>
      </c>
      <c r="G275" s="13" t="n">
        <v>380</v>
      </c>
      <c r="H275" s="17" t="n">
        <f aca="false">IF(OR(E275="",F275=""),"",E275*F275)</f>
        <v>1860</v>
      </c>
      <c r="I275" s="17" t="n">
        <f aca="false">IF(OR(E275="",G275=""),"",E275*G275)</f>
        <v>1140</v>
      </c>
      <c r="J275" s="17" t="n">
        <f aca="false">IF(H275="","",H275-I275)</f>
        <v>720</v>
      </c>
    </row>
    <row r="276" customFormat="false" ht="15" hidden="false" customHeight="true" outlineLevel="0" collapsed="false">
      <c r="A276" s="7" t="s">
        <v>526</v>
      </c>
      <c r="B276" s="18" t="n">
        <f aca="false">IF(A276="","",IFERROR(INDEX(Sales_Memo!$B$2:$B$1001,MATCH(A276,Sales_Memo!$A$2:$A$1001,0)),""))</f>
        <v>46258</v>
      </c>
      <c r="C276" s="7" t="s">
        <v>82</v>
      </c>
      <c r="D276" s="16" t="str">
        <f aca="false">IF(C276="","",IFERROR(INDEX(Products!$B$2:$B$501,MATCH(C276,Products!$A$2:$A$501,0)),"CODE NOT FOUND"))</f>
        <v>Clutch Cable</v>
      </c>
      <c r="E276" s="7" t="n">
        <v>1</v>
      </c>
      <c r="F276" s="13" t="n">
        <v>190</v>
      </c>
      <c r="G276" s="13" t="n">
        <v>110</v>
      </c>
      <c r="H276" s="17" t="n">
        <f aca="false">IF(OR(E276="",F276=""),"",E276*F276)</f>
        <v>190</v>
      </c>
      <c r="I276" s="17" t="n">
        <f aca="false">IF(OR(E276="",G276=""),"",E276*G276)</f>
        <v>110</v>
      </c>
      <c r="J276" s="17" t="n">
        <f aca="false">IF(H276="","",H276-I276)</f>
        <v>80</v>
      </c>
    </row>
    <row r="277" customFormat="false" ht="15" hidden="false" customHeight="true" outlineLevel="0" collapsed="false">
      <c r="A277" s="7" t="s">
        <v>527</v>
      </c>
      <c r="B277" s="18" t="n">
        <f aca="false">IF(A277="","",IFERROR(INDEX(Sales_Memo!$B$2:$B$1001,MATCH(A277,Sales_Memo!$A$2:$A$1001,0)),""))</f>
        <v>46258</v>
      </c>
      <c r="C277" s="7" t="s">
        <v>114</v>
      </c>
      <c r="D277" s="16" t="str">
        <f aca="false">IF(C277="","",IFERROR(INDEX(Products!$B$2:$B$501,MATCH(C277,Products!$A$2:$A$501,0)),"CODE NOT FOUND"))</f>
        <v>Side Mirror (Pair)</v>
      </c>
      <c r="E277" s="7" t="n">
        <v>1</v>
      </c>
      <c r="F277" s="13" t="n">
        <v>620</v>
      </c>
      <c r="G277" s="13" t="n">
        <v>380</v>
      </c>
      <c r="H277" s="17" t="n">
        <f aca="false">IF(OR(E277="",F277=""),"",E277*F277)</f>
        <v>620</v>
      </c>
      <c r="I277" s="17" t="n">
        <f aca="false">IF(OR(E277="",G277=""),"",E277*G277)</f>
        <v>380</v>
      </c>
      <c r="J277" s="17" t="n">
        <f aca="false">IF(H277="","",H277-I277)</f>
        <v>240</v>
      </c>
    </row>
    <row r="278" customFormat="false" ht="15" hidden="false" customHeight="true" outlineLevel="0" collapsed="false">
      <c r="A278" s="7" t="s">
        <v>528</v>
      </c>
      <c r="B278" s="18" t="n">
        <f aca="false">IF(A278="","",IFERROR(INDEX(Sales_Memo!$B$2:$B$1001,MATCH(A278,Sales_Memo!$A$2:$A$1001,0)),""))</f>
        <v>46258</v>
      </c>
      <c r="C278" s="7" t="s">
        <v>102</v>
      </c>
      <c r="D278" s="16" t="str">
        <f aca="false">IF(C278="","",IFERROR(INDEX(Products!$B$2:$B$501,MATCH(C278,Products!$A$2:$A$501,0)),"CODE NOT FOUND"))</f>
        <v>Headlight Bulb H4</v>
      </c>
      <c r="E278" s="7" t="n">
        <v>2</v>
      </c>
      <c r="F278" s="13" t="n">
        <v>240</v>
      </c>
      <c r="G278" s="13" t="n">
        <v>140</v>
      </c>
      <c r="H278" s="17" t="n">
        <f aca="false">IF(OR(E278="",F278=""),"",E278*F278)</f>
        <v>480</v>
      </c>
      <c r="I278" s="17" t="n">
        <f aca="false">IF(OR(E278="",G278=""),"",E278*G278)</f>
        <v>280</v>
      </c>
      <c r="J278" s="17" t="n">
        <f aca="false">IF(H278="","",H278-I278)</f>
        <v>200</v>
      </c>
    </row>
    <row r="279" customFormat="false" ht="15" hidden="false" customHeight="true" outlineLevel="0" collapsed="false">
      <c r="A279" s="7" t="s">
        <v>528</v>
      </c>
      <c r="B279" s="18" t="n">
        <f aca="false">IF(A279="","",IFERROR(INDEX(Sales_Memo!$B$2:$B$1001,MATCH(A279,Sales_Memo!$A$2:$A$1001,0)),""))</f>
        <v>46258</v>
      </c>
      <c r="C279" s="7" t="s">
        <v>90</v>
      </c>
      <c r="D279" s="16" t="str">
        <f aca="false">IF(C279="","",IFERROR(INDEX(Products!$B$2:$B$501,MATCH(C279,Products!$A$2:$A$501,0)),"CODE NOT FOUND"))</f>
        <v>Air Filter 150cc</v>
      </c>
      <c r="E279" s="7" t="n">
        <v>1</v>
      </c>
      <c r="F279" s="13" t="n">
        <v>340</v>
      </c>
      <c r="G279" s="13" t="n">
        <v>210</v>
      </c>
      <c r="H279" s="17" t="n">
        <f aca="false">IF(OR(E279="",F279=""),"",E279*F279)</f>
        <v>340</v>
      </c>
      <c r="I279" s="17" t="n">
        <f aca="false">IF(OR(E279="",G279=""),"",E279*G279)</f>
        <v>210</v>
      </c>
      <c r="J279" s="17" t="n">
        <f aca="false">IF(H279="","",H279-I279)</f>
        <v>130</v>
      </c>
    </row>
    <row r="280" customFormat="false" ht="15" hidden="false" customHeight="true" outlineLevel="0" collapsed="false">
      <c r="A280" s="7" t="s">
        <v>530</v>
      </c>
      <c r="B280" s="18" t="n">
        <f aca="false">IF(A280="","",IFERROR(INDEX(Sales_Memo!$B$2:$B$1001,MATCH(A280,Sales_Memo!$A$2:$A$1001,0)),""))</f>
        <v>46258</v>
      </c>
      <c r="C280" s="7" t="s">
        <v>77</v>
      </c>
      <c r="D280" s="16" t="str">
        <f aca="false">IF(C280="","",IFERROR(INDEX(Products!$B$2:$B$501,MATCH(C280,Products!$A$2:$A$501,0)),"CODE NOT FOUND"))</f>
        <v>Brake Pad Set - Front</v>
      </c>
      <c r="E280" s="7" t="n">
        <v>2</v>
      </c>
      <c r="F280" s="13" t="n">
        <v>480</v>
      </c>
      <c r="G280" s="13" t="n">
        <v>320</v>
      </c>
      <c r="H280" s="17" t="n">
        <f aca="false">IF(OR(E280="",F280=""),"",E280*F280)</f>
        <v>960</v>
      </c>
      <c r="I280" s="17" t="n">
        <f aca="false">IF(OR(E280="",G280=""),"",E280*G280)</f>
        <v>640</v>
      </c>
      <c r="J280" s="17" t="n">
        <f aca="false">IF(H280="","",H280-I280)</f>
        <v>320</v>
      </c>
    </row>
    <row r="281" customFormat="false" ht="15" hidden="false" customHeight="true" outlineLevel="0" collapsed="false">
      <c r="A281" s="7" t="s">
        <v>531</v>
      </c>
      <c r="B281" s="18" t="n">
        <f aca="false">IF(A281="","",IFERROR(INDEX(Sales_Memo!$B$2:$B$1001,MATCH(A281,Sales_Memo!$A$2:$A$1001,0)),""))</f>
        <v>46258</v>
      </c>
      <c r="C281" s="7" t="s">
        <v>114</v>
      </c>
      <c r="D281" s="16" t="str">
        <f aca="false">IF(C281="","",IFERROR(INDEX(Products!$B$2:$B$501,MATCH(C281,Products!$A$2:$A$501,0)),"CODE NOT FOUND"))</f>
        <v>Side Mirror (Pair)</v>
      </c>
      <c r="E281" s="7" t="n">
        <v>2</v>
      </c>
      <c r="F281" s="13" t="n">
        <v>620</v>
      </c>
      <c r="G281" s="13" t="n">
        <v>380</v>
      </c>
      <c r="H281" s="17" t="n">
        <f aca="false">IF(OR(E281="",F281=""),"",E281*F281)</f>
        <v>1240</v>
      </c>
      <c r="I281" s="17" t="n">
        <f aca="false">IF(OR(E281="",G281=""),"",E281*G281)</f>
        <v>760</v>
      </c>
      <c r="J281" s="17" t="n">
        <f aca="false">IF(H281="","",H281-I281)</f>
        <v>480</v>
      </c>
    </row>
    <row r="282" customFormat="false" ht="15" hidden="false" customHeight="true" outlineLevel="0" collapsed="false">
      <c r="A282" s="7" t="s">
        <v>531</v>
      </c>
      <c r="B282" s="18" t="n">
        <f aca="false">IF(A282="","",IFERROR(INDEX(Sales_Memo!$B$2:$B$1001,MATCH(A282,Sales_Memo!$A$2:$A$1001,0)),""))</f>
        <v>46258</v>
      </c>
      <c r="C282" s="7" t="s">
        <v>86</v>
      </c>
      <c r="D282" s="16" t="str">
        <f aca="false">IF(C282="","",IFERROR(INDEX(Products!$B$2:$B$501,MATCH(C282,Products!$A$2:$A$501,0)),"CODE NOT FOUND"))</f>
        <v>Spark Plug CPR8EA-9</v>
      </c>
      <c r="E282" s="7" t="n">
        <v>2</v>
      </c>
      <c r="F282" s="13" t="n">
        <v>260</v>
      </c>
      <c r="G282" s="13" t="n">
        <v>175</v>
      </c>
      <c r="H282" s="17" t="n">
        <f aca="false">IF(OR(E282="",F282=""),"",E282*F282)</f>
        <v>520</v>
      </c>
      <c r="I282" s="17" t="n">
        <f aca="false">IF(OR(E282="",G282=""),"",E282*G282)</f>
        <v>350</v>
      </c>
      <c r="J282" s="17" t="n">
        <f aca="false">IF(H282="","",H282-I282)</f>
        <v>170</v>
      </c>
    </row>
    <row r="283" customFormat="false" ht="15" hidden="false" customHeight="true" outlineLevel="0" collapsed="false">
      <c r="A283" s="7" t="s">
        <v>533</v>
      </c>
      <c r="B283" s="18" t="n">
        <f aca="false">IF(A283="","",IFERROR(INDEX(Sales_Memo!$B$2:$B$1001,MATCH(A283,Sales_Memo!$A$2:$A$1001,0)),""))</f>
        <v>46259</v>
      </c>
      <c r="C283" s="7" t="s">
        <v>90</v>
      </c>
      <c r="D283" s="16" t="str">
        <f aca="false">IF(C283="","",IFERROR(INDEX(Products!$B$2:$B$501,MATCH(C283,Products!$A$2:$A$501,0)),"CODE NOT FOUND"))</f>
        <v>Air Filter 150cc</v>
      </c>
      <c r="E283" s="7" t="n">
        <v>1</v>
      </c>
      <c r="F283" s="13" t="n">
        <v>340</v>
      </c>
      <c r="G283" s="13" t="n">
        <v>210</v>
      </c>
      <c r="H283" s="17" t="n">
        <f aca="false">IF(OR(E283="",F283=""),"",E283*F283)</f>
        <v>340</v>
      </c>
      <c r="I283" s="17" t="n">
        <f aca="false">IF(OR(E283="",G283=""),"",E283*G283)</f>
        <v>210</v>
      </c>
      <c r="J283" s="17" t="n">
        <f aca="false">IF(H283="","",H283-I283)</f>
        <v>130</v>
      </c>
    </row>
    <row r="284" customFormat="false" ht="15" hidden="false" customHeight="true" outlineLevel="0" collapsed="false">
      <c r="A284" s="7" t="s">
        <v>533</v>
      </c>
      <c r="B284" s="18" t="n">
        <f aca="false">IF(A284="","",IFERROR(INDEX(Sales_Memo!$B$2:$B$1001,MATCH(A284,Sales_Memo!$A$2:$A$1001,0)),""))</f>
        <v>46259</v>
      </c>
      <c r="C284" s="7" t="s">
        <v>119</v>
      </c>
      <c r="D284" s="16" t="str">
        <f aca="false">IF(C284="","",IFERROR(INDEX(Products!$B$2:$B$501,MATCH(C284,Products!$A$2:$A$501,0)),"CODE NOT FOUND"))</f>
        <v>Chain Lube Spray</v>
      </c>
      <c r="E284" s="7" t="n">
        <v>1</v>
      </c>
      <c r="F284" s="13" t="n">
        <v>270</v>
      </c>
      <c r="G284" s="13" t="n">
        <v>170</v>
      </c>
      <c r="H284" s="17" t="n">
        <f aca="false">IF(OR(E284="",F284=""),"",E284*F284)</f>
        <v>270</v>
      </c>
      <c r="I284" s="17" t="n">
        <f aca="false">IF(OR(E284="",G284=""),"",E284*G284)</f>
        <v>170</v>
      </c>
      <c r="J284" s="17" t="n">
        <f aca="false">IF(H284="","",H284-I284)</f>
        <v>100</v>
      </c>
    </row>
    <row r="285" customFormat="false" ht="15" hidden="false" customHeight="true" outlineLevel="0" collapsed="false">
      <c r="A285" s="7" t="s">
        <v>535</v>
      </c>
      <c r="B285" s="18" t="n">
        <f aca="false">IF(A285="","",IFERROR(INDEX(Sales_Memo!$B$2:$B$1001,MATCH(A285,Sales_Memo!$A$2:$A$1001,0)),""))</f>
        <v>46259</v>
      </c>
      <c r="C285" s="7" t="s">
        <v>119</v>
      </c>
      <c r="D285" s="16" t="str">
        <f aca="false">IF(C285="","",IFERROR(INDEX(Products!$B$2:$B$501,MATCH(C285,Products!$A$2:$A$501,0)),"CODE NOT FOUND"))</f>
        <v>Chain Lube Spray</v>
      </c>
      <c r="E285" s="7" t="n">
        <v>2</v>
      </c>
      <c r="F285" s="13" t="n">
        <v>270</v>
      </c>
      <c r="G285" s="13" t="n">
        <v>170</v>
      </c>
      <c r="H285" s="17" t="n">
        <f aca="false">IF(OR(E285="",F285=""),"",E285*F285)</f>
        <v>540</v>
      </c>
      <c r="I285" s="17" t="n">
        <f aca="false">IF(OR(E285="",G285=""),"",E285*G285)</f>
        <v>340</v>
      </c>
      <c r="J285" s="17" t="n">
        <f aca="false">IF(H285="","",H285-I285)</f>
        <v>200</v>
      </c>
    </row>
    <row r="286" customFormat="false" ht="15" hidden="false" customHeight="true" outlineLevel="0" collapsed="false">
      <c r="A286" s="7" t="s">
        <v>537</v>
      </c>
      <c r="B286" s="18" t="n">
        <f aca="false">IF(A286="","",IFERROR(INDEX(Sales_Memo!$B$2:$B$1001,MATCH(A286,Sales_Memo!$A$2:$A$1001,0)),""))</f>
        <v>46259</v>
      </c>
      <c r="C286" s="7" t="s">
        <v>102</v>
      </c>
      <c r="D286" s="16" t="str">
        <f aca="false">IF(C286="","",IFERROR(INDEX(Products!$B$2:$B$501,MATCH(C286,Products!$A$2:$A$501,0)),"CODE NOT FOUND"))</f>
        <v>Headlight Bulb H4</v>
      </c>
      <c r="E286" s="7" t="n">
        <v>1</v>
      </c>
      <c r="F286" s="13" t="n">
        <v>240</v>
      </c>
      <c r="G286" s="13" t="n">
        <v>140</v>
      </c>
      <c r="H286" s="17" t="n">
        <f aca="false">IF(OR(E286="",F286=""),"",E286*F286)</f>
        <v>240</v>
      </c>
      <c r="I286" s="17" t="n">
        <f aca="false">IF(OR(E286="",G286=""),"",E286*G286)</f>
        <v>140</v>
      </c>
      <c r="J286" s="17" t="n">
        <f aca="false">IF(H286="","",H286-I286)</f>
        <v>100</v>
      </c>
    </row>
    <row r="287" customFormat="false" ht="15" hidden="false" customHeight="true" outlineLevel="0" collapsed="false">
      <c r="A287" s="7" t="s">
        <v>538</v>
      </c>
      <c r="B287" s="18" t="n">
        <f aca="false">IF(A287="","",IFERROR(INDEX(Sales_Memo!$B$2:$B$1001,MATCH(A287,Sales_Memo!$A$2:$A$1001,0)),""))</f>
        <v>46259</v>
      </c>
      <c r="C287" s="7" t="s">
        <v>121</v>
      </c>
      <c r="D287" s="16" t="str">
        <f aca="false">IF(C287="","",IFERROR(INDEX(Products!$B$2:$B$501,MATCH(C287,Products!$A$2:$A$501,0)),"CODE NOT FOUND"))</f>
        <v>Handle Grip Set</v>
      </c>
      <c r="E287" s="7" t="n">
        <v>2</v>
      </c>
      <c r="F287" s="13" t="n">
        <v>280</v>
      </c>
      <c r="G287" s="13" t="n">
        <v>160</v>
      </c>
      <c r="H287" s="17" t="n">
        <f aca="false">IF(OR(E287="",F287=""),"",E287*F287)</f>
        <v>560</v>
      </c>
      <c r="I287" s="17" t="n">
        <f aca="false">IF(OR(E287="",G287=""),"",E287*G287)</f>
        <v>320</v>
      </c>
      <c r="J287" s="17" t="n">
        <f aca="false">IF(H287="","",H287-I287)</f>
        <v>240</v>
      </c>
    </row>
    <row r="288" customFormat="false" ht="15" hidden="false" customHeight="true" outlineLevel="0" collapsed="false">
      <c r="A288" s="7" t="s">
        <v>539</v>
      </c>
      <c r="B288" s="18" t="n">
        <f aca="false">IF(A288="","",IFERROR(INDEX(Sales_Memo!$B$2:$B$1001,MATCH(A288,Sales_Memo!$A$2:$A$1001,0)),""))</f>
        <v>46259</v>
      </c>
      <c r="C288" s="7" t="s">
        <v>86</v>
      </c>
      <c r="D288" s="16" t="str">
        <f aca="false">IF(C288="","",IFERROR(INDEX(Products!$B$2:$B$501,MATCH(C288,Products!$A$2:$A$501,0)),"CODE NOT FOUND"))</f>
        <v>Spark Plug CPR8EA-9</v>
      </c>
      <c r="E288" s="7" t="n">
        <v>2</v>
      </c>
      <c r="F288" s="13" t="n">
        <v>260</v>
      </c>
      <c r="G288" s="13" t="n">
        <v>175</v>
      </c>
      <c r="H288" s="17" t="n">
        <f aca="false">IF(OR(E288="",F288=""),"",E288*F288)</f>
        <v>520</v>
      </c>
      <c r="I288" s="17" t="n">
        <f aca="false">IF(OR(E288="",G288=""),"",E288*G288)</f>
        <v>350</v>
      </c>
      <c r="J288" s="17" t="n">
        <f aca="false">IF(H288="","",H288-I288)</f>
        <v>170</v>
      </c>
    </row>
    <row r="289" customFormat="false" ht="15" hidden="false" customHeight="true" outlineLevel="0" collapsed="false">
      <c r="A289" s="7" t="s">
        <v>540</v>
      </c>
      <c r="B289" s="18" t="n">
        <f aca="false">IF(A289="","",IFERROR(INDEX(Sales_Memo!$B$2:$B$1001,MATCH(A289,Sales_Memo!$A$2:$A$1001,0)),""))</f>
        <v>46259</v>
      </c>
      <c r="C289" s="7" t="s">
        <v>86</v>
      </c>
      <c r="D289" s="16" t="str">
        <f aca="false">IF(C289="","",IFERROR(INDEX(Products!$B$2:$B$501,MATCH(C289,Products!$A$2:$A$501,0)),"CODE NOT FOUND"))</f>
        <v>Spark Plug CPR8EA-9</v>
      </c>
      <c r="E289" s="7" t="n">
        <v>1</v>
      </c>
      <c r="F289" s="13" t="n">
        <v>260</v>
      </c>
      <c r="G289" s="13" t="n">
        <v>175</v>
      </c>
      <c r="H289" s="17" t="n">
        <f aca="false">IF(OR(E289="",F289=""),"",E289*F289)</f>
        <v>260</v>
      </c>
      <c r="I289" s="17" t="n">
        <f aca="false">IF(OR(E289="",G289=""),"",E289*G289)</f>
        <v>175</v>
      </c>
      <c r="J289" s="17" t="n">
        <f aca="false">IF(H289="","",H289-I289)</f>
        <v>85</v>
      </c>
    </row>
    <row r="290" customFormat="false" ht="15" hidden="false" customHeight="true" outlineLevel="0" collapsed="false">
      <c r="A290" s="7" t="s">
        <v>541</v>
      </c>
      <c r="B290" s="18" t="n">
        <f aca="false">IF(A290="","",IFERROR(INDEX(Sales_Memo!$B$2:$B$1001,MATCH(A290,Sales_Memo!$A$2:$A$1001,0)),""))</f>
        <v>46259</v>
      </c>
      <c r="C290" s="7" t="s">
        <v>96</v>
      </c>
      <c r="D290" s="16" t="str">
        <f aca="false">IF(C290="","",IFERROR(INDEX(Products!$B$2:$B$501,MATCH(C290,Products!$A$2:$A$501,0)),"CODE NOT FOUND"))</f>
        <v>Engine Oil 10W-30 (1L)</v>
      </c>
      <c r="E290" s="7" t="n">
        <v>2</v>
      </c>
      <c r="F290" s="13" t="n">
        <v>780</v>
      </c>
      <c r="G290" s="13" t="n">
        <v>620</v>
      </c>
      <c r="H290" s="17" t="n">
        <f aca="false">IF(OR(E290="",F290=""),"",E290*F290)</f>
        <v>1560</v>
      </c>
      <c r="I290" s="17" t="n">
        <f aca="false">IF(OR(E290="",G290=""),"",E290*G290)</f>
        <v>1240</v>
      </c>
      <c r="J290" s="17" t="n">
        <f aca="false">IF(H290="","",H290-I290)</f>
        <v>320</v>
      </c>
    </row>
    <row r="291" customFormat="false" ht="15" hidden="false" customHeight="true" outlineLevel="0" collapsed="false">
      <c r="A291" s="7" t="s">
        <v>543</v>
      </c>
      <c r="B291" s="18" t="n">
        <f aca="false">IF(A291="","",IFERROR(INDEX(Sales_Memo!$B$2:$B$1001,MATCH(A291,Sales_Memo!$A$2:$A$1001,0)),""))</f>
        <v>46259</v>
      </c>
      <c r="C291" s="7" t="s">
        <v>121</v>
      </c>
      <c r="D291" s="16" t="str">
        <f aca="false">IF(C291="","",IFERROR(INDEX(Products!$B$2:$B$501,MATCH(C291,Products!$A$2:$A$501,0)),"CODE NOT FOUND"))</f>
        <v>Handle Grip Set</v>
      </c>
      <c r="E291" s="7" t="n">
        <v>2</v>
      </c>
      <c r="F291" s="13" t="n">
        <v>280</v>
      </c>
      <c r="G291" s="13" t="n">
        <v>160</v>
      </c>
      <c r="H291" s="17" t="n">
        <f aca="false">IF(OR(E291="",F291=""),"",E291*F291)</f>
        <v>560</v>
      </c>
      <c r="I291" s="17" t="n">
        <f aca="false">IF(OR(E291="",G291=""),"",E291*G291)</f>
        <v>320</v>
      </c>
      <c r="J291" s="17" t="n">
        <f aca="false">IF(H291="","",H291-I291)</f>
        <v>240</v>
      </c>
    </row>
    <row r="292" customFormat="false" ht="15" hidden="false" customHeight="true" outlineLevel="0" collapsed="false">
      <c r="A292" s="7" t="s">
        <v>544</v>
      </c>
      <c r="B292" s="18" t="n">
        <f aca="false">IF(A292="","",IFERROR(INDEX(Sales_Memo!$B$2:$B$1001,MATCH(A292,Sales_Memo!$A$2:$A$1001,0)),""))</f>
        <v>46259</v>
      </c>
      <c r="C292" s="7" t="s">
        <v>96</v>
      </c>
      <c r="D292" s="16" t="str">
        <f aca="false">IF(C292="","",IFERROR(INDEX(Products!$B$2:$B$501,MATCH(C292,Products!$A$2:$A$501,0)),"CODE NOT FOUND"))</f>
        <v>Engine Oil 10W-30 (1L)</v>
      </c>
      <c r="E292" s="7" t="n">
        <v>2</v>
      </c>
      <c r="F292" s="13" t="n">
        <v>780</v>
      </c>
      <c r="G292" s="13" t="n">
        <v>620</v>
      </c>
      <c r="H292" s="17" t="n">
        <f aca="false">IF(OR(E292="",F292=""),"",E292*F292)</f>
        <v>1560</v>
      </c>
      <c r="I292" s="17" t="n">
        <f aca="false">IF(OR(E292="",G292=""),"",E292*G292)</f>
        <v>1240</v>
      </c>
      <c r="J292" s="17" t="n">
        <f aca="false">IF(H292="","",H292-I292)</f>
        <v>320</v>
      </c>
    </row>
    <row r="293" customFormat="false" ht="15" hidden="false" customHeight="true" outlineLevel="0" collapsed="false">
      <c r="A293" s="7" t="s">
        <v>546</v>
      </c>
      <c r="B293" s="18" t="n">
        <f aca="false">IF(A293="","",IFERROR(INDEX(Sales_Memo!$B$2:$B$1001,MATCH(A293,Sales_Memo!$A$2:$A$1001,0)),""))</f>
        <v>46260</v>
      </c>
      <c r="C293" s="7" t="s">
        <v>86</v>
      </c>
      <c r="D293" s="16" t="str">
        <f aca="false">IF(C293="","",IFERROR(INDEX(Products!$B$2:$B$501,MATCH(C293,Products!$A$2:$A$501,0)),"CODE NOT FOUND"))</f>
        <v>Spark Plug CPR8EA-9</v>
      </c>
      <c r="E293" s="7" t="n">
        <v>1</v>
      </c>
      <c r="F293" s="13" t="n">
        <v>260</v>
      </c>
      <c r="G293" s="13" t="n">
        <v>175</v>
      </c>
      <c r="H293" s="17" t="n">
        <f aca="false">IF(OR(E293="",F293=""),"",E293*F293)</f>
        <v>260</v>
      </c>
      <c r="I293" s="17" t="n">
        <f aca="false">IF(OR(E293="",G293=""),"",E293*G293)</f>
        <v>175</v>
      </c>
      <c r="J293" s="17" t="n">
        <f aca="false">IF(H293="","",H293-I293)</f>
        <v>85</v>
      </c>
    </row>
    <row r="294" customFormat="false" ht="15" hidden="false" customHeight="true" outlineLevel="0" collapsed="false">
      <c r="A294" s="7" t="s">
        <v>546</v>
      </c>
      <c r="B294" s="18" t="n">
        <f aca="false">IF(A294="","",IFERROR(INDEX(Sales_Memo!$B$2:$B$1001,MATCH(A294,Sales_Memo!$A$2:$A$1001,0)),""))</f>
        <v>46260</v>
      </c>
      <c r="C294" s="7" t="s">
        <v>102</v>
      </c>
      <c r="D294" s="16" t="str">
        <f aca="false">IF(C294="","",IFERROR(INDEX(Products!$B$2:$B$501,MATCH(C294,Products!$A$2:$A$501,0)),"CODE NOT FOUND"))</f>
        <v>Headlight Bulb H4</v>
      </c>
      <c r="E294" s="7" t="n">
        <v>2</v>
      </c>
      <c r="F294" s="13" t="n">
        <v>240</v>
      </c>
      <c r="G294" s="13" t="n">
        <v>140</v>
      </c>
      <c r="H294" s="17" t="n">
        <f aca="false">IF(OR(E294="",F294=""),"",E294*F294)</f>
        <v>480</v>
      </c>
      <c r="I294" s="17" t="n">
        <f aca="false">IF(OR(E294="",G294=""),"",E294*G294)</f>
        <v>280</v>
      </c>
      <c r="J294" s="17" t="n">
        <f aca="false">IF(H294="","",H294-I294)</f>
        <v>200</v>
      </c>
    </row>
    <row r="295" customFormat="false" ht="15" hidden="false" customHeight="true" outlineLevel="0" collapsed="false">
      <c r="A295" s="7" t="s">
        <v>547</v>
      </c>
      <c r="B295" s="18" t="n">
        <f aca="false">IF(A295="","",IFERROR(INDEX(Sales_Memo!$B$2:$B$1001,MATCH(A295,Sales_Memo!$A$2:$A$1001,0)),""))</f>
        <v>46260</v>
      </c>
      <c r="C295" s="7" t="s">
        <v>114</v>
      </c>
      <c r="D295" s="16" t="str">
        <f aca="false">IF(C295="","",IFERROR(INDEX(Products!$B$2:$B$501,MATCH(C295,Products!$A$2:$A$501,0)),"CODE NOT FOUND"))</f>
        <v>Side Mirror (Pair)</v>
      </c>
      <c r="E295" s="7" t="n">
        <v>1</v>
      </c>
      <c r="F295" s="13" t="n">
        <v>620</v>
      </c>
      <c r="G295" s="13" t="n">
        <v>380</v>
      </c>
      <c r="H295" s="17" t="n">
        <f aca="false">IF(OR(E295="",F295=""),"",E295*F295)</f>
        <v>620</v>
      </c>
      <c r="I295" s="17" t="n">
        <f aca="false">IF(OR(E295="",G295=""),"",E295*G295)</f>
        <v>380</v>
      </c>
      <c r="J295" s="17" t="n">
        <f aca="false">IF(H295="","",H295-I295)</f>
        <v>240</v>
      </c>
    </row>
    <row r="296" customFormat="false" ht="15" hidden="false" customHeight="true" outlineLevel="0" collapsed="false">
      <c r="A296" s="7" t="s">
        <v>547</v>
      </c>
      <c r="B296" s="18" t="n">
        <f aca="false">IF(A296="","",IFERROR(INDEX(Sales_Memo!$B$2:$B$1001,MATCH(A296,Sales_Memo!$A$2:$A$1001,0)),""))</f>
        <v>46260</v>
      </c>
      <c r="C296" s="7" t="s">
        <v>119</v>
      </c>
      <c r="D296" s="16" t="str">
        <f aca="false">IF(C296="","",IFERROR(INDEX(Products!$B$2:$B$501,MATCH(C296,Products!$A$2:$A$501,0)),"CODE NOT FOUND"))</f>
        <v>Chain Lube Spray</v>
      </c>
      <c r="E296" s="7" t="n">
        <v>1</v>
      </c>
      <c r="F296" s="13" t="n">
        <v>270</v>
      </c>
      <c r="G296" s="13" t="n">
        <v>170</v>
      </c>
      <c r="H296" s="17" t="n">
        <f aca="false">IF(OR(E296="",F296=""),"",E296*F296)</f>
        <v>270</v>
      </c>
      <c r="I296" s="17" t="n">
        <f aca="false">IF(OR(E296="",G296=""),"",E296*G296)</f>
        <v>170</v>
      </c>
      <c r="J296" s="17" t="n">
        <f aca="false">IF(H296="","",H296-I296)</f>
        <v>100</v>
      </c>
    </row>
    <row r="297" customFormat="false" ht="15" hidden="false" customHeight="true" outlineLevel="0" collapsed="false">
      <c r="A297" s="7" t="s">
        <v>548</v>
      </c>
      <c r="B297" s="18" t="n">
        <f aca="false">IF(A297="","",IFERROR(INDEX(Sales_Memo!$B$2:$B$1001,MATCH(A297,Sales_Memo!$A$2:$A$1001,0)),""))</f>
        <v>46260</v>
      </c>
      <c r="C297" s="7" t="s">
        <v>82</v>
      </c>
      <c r="D297" s="16" t="str">
        <f aca="false">IF(C297="","",IFERROR(INDEX(Products!$B$2:$B$501,MATCH(C297,Products!$A$2:$A$501,0)),"CODE NOT FOUND"))</f>
        <v>Clutch Cable</v>
      </c>
      <c r="E297" s="7" t="n">
        <v>2</v>
      </c>
      <c r="F297" s="13" t="n">
        <v>190</v>
      </c>
      <c r="G297" s="13" t="n">
        <v>110</v>
      </c>
      <c r="H297" s="17" t="n">
        <f aca="false">IF(OR(E297="",F297=""),"",E297*F297)</f>
        <v>380</v>
      </c>
      <c r="I297" s="17" t="n">
        <f aca="false">IF(OR(E297="",G297=""),"",E297*G297)</f>
        <v>220</v>
      </c>
      <c r="J297" s="17" t="n">
        <f aca="false">IF(H297="","",H297-I297)</f>
        <v>160</v>
      </c>
    </row>
    <row r="298" customFormat="false" ht="15" hidden="false" customHeight="true" outlineLevel="0" collapsed="false">
      <c r="A298" s="7" t="s">
        <v>549</v>
      </c>
      <c r="B298" s="18" t="n">
        <f aca="false">IF(A298="","",IFERROR(INDEX(Sales_Memo!$B$2:$B$1001,MATCH(A298,Sales_Memo!$A$2:$A$1001,0)),""))</f>
        <v>46260</v>
      </c>
      <c r="C298" s="7" t="s">
        <v>108</v>
      </c>
      <c r="D298" s="16" t="str">
        <f aca="false">IF(C298="","",IFERROR(INDEX(Products!$B$2:$B$501,MATCH(C298,Products!$A$2:$A$501,0)),"CODE NOT FOUND"))</f>
        <v>Tyre 90/90-17 Rear</v>
      </c>
      <c r="E298" s="7" t="n">
        <v>1</v>
      </c>
      <c r="F298" s="13" t="n">
        <v>3350</v>
      </c>
      <c r="G298" s="13" t="n">
        <v>2750</v>
      </c>
      <c r="H298" s="17" t="n">
        <f aca="false">IF(OR(E298="",F298=""),"",E298*F298)</f>
        <v>3350</v>
      </c>
      <c r="I298" s="17" t="n">
        <f aca="false">IF(OR(E298="",G298=""),"",E298*G298)</f>
        <v>2750</v>
      </c>
      <c r="J298" s="17" t="n">
        <f aca="false">IF(H298="","",H298-I298)</f>
        <v>600</v>
      </c>
    </row>
    <row r="299" customFormat="false" ht="15" hidden="false" customHeight="true" outlineLevel="0" collapsed="false">
      <c r="A299" s="7" t="s">
        <v>550</v>
      </c>
      <c r="B299" s="18" t="n">
        <f aca="false">IF(A299="","",IFERROR(INDEX(Sales_Memo!$B$2:$B$1001,MATCH(A299,Sales_Memo!$A$2:$A$1001,0)),""))</f>
        <v>46260</v>
      </c>
      <c r="C299" s="7" t="s">
        <v>102</v>
      </c>
      <c r="D299" s="16" t="str">
        <f aca="false">IF(C299="","",IFERROR(INDEX(Products!$B$2:$B$501,MATCH(C299,Products!$A$2:$A$501,0)),"CODE NOT FOUND"))</f>
        <v>Headlight Bulb H4</v>
      </c>
      <c r="E299" s="7" t="n">
        <v>2</v>
      </c>
      <c r="F299" s="13" t="n">
        <v>240</v>
      </c>
      <c r="G299" s="13" t="n">
        <v>140</v>
      </c>
      <c r="H299" s="17" t="n">
        <f aca="false">IF(OR(E299="",F299=""),"",E299*F299)</f>
        <v>480</v>
      </c>
      <c r="I299" s="17" t="n">
        <f aca="false">IF(OR(E299="",G299=""),"",E299*G299)</f>
        <v>280</v>
      </c>
      <c r="J299" s="17" t="n">
        <f aca="false">IF(H299="","",H299-I299)</f>
        <v>200</v>
      </c>
    </row>
    <row r="300" customFormat="false" ht="15" hidden="false" customHeight="true" outlineLevel="0" collapsed="false">
      <c r="A300" s="7" t="s">
        <v>551</v>
      </c>
      <c r="B300" s="18" t="n">
        <f aca="false">IF(A300="","",IFERROR(INDEX(Sales_Memo!$B$2:$B$1001,MATCH(A300,Sales_Memo!$A$2:$A$1001,0)),""))</f>
        <v>46260</v>
      </c>
      <c r="C300" s="7" t="s">
        <v>121</v>
      </c>
      <c r="D300" s="16" t="str">
        <f aca="false">IF(C300="","",IFERROR(INDEX(Products!$B$2:$B$501,MATCH(C300,Products!$A$2:$A$501,0)),"CODE NOT FOUND"))</f>
        <v>Handle Grip Set</v>
      </c>
      <c r="E300" s="7" t="n">
        <v>2</v>
      </c>
      <c r="F300" s="13" t="n">
        <v>280</v>
      </c>
      <c r="G300" s="13" t="n">
        <v>160</v>
      </c>
      <c r="H300" s="17" t="n">
        <f aca="false">IF(OR(E300="",F300=""),"",E300*F300)</f>
        <v>560</v>
      </c>
      <c r="I300" s="17" t="n">
        <f aca="false">IF(OR(E300="",G300=""),"",E300*G300)</f>
        <v>320</v>
      </c>
      <c r="J300" s="17" t="n">
        <f aca="false">IF(H300="","",H300-I300)</f>
        <v>240</v>
      </c>
    </row>
    <row r="301" customFormat="false" ht="15" hidden="false" customHeight="true" outlineLevel="0" collapsed="false">
      <c r="A301" s="7" t="s">
        <v>552</v>
      </c>
      <c r="B301" s="18" t="n">
        <f aca="false">IF(A301="","",IFERROR(INDEX(Sales_Memo!$B$2:$B$1001,MATCH(A301,Sales_Memo!$A$2:$A$1001,0)),""))</f>
        <v>46260</v>
      </c>
      <c r="C301" s="7" t="s">
        <v>82</v>
      </c>
      <c r="D301" s="16" t="str">
        <f aca="false">IF(C301="","",IFERROR(INDEX(Products!$B$2:$B$501,MATCH(C301,Products!$A$2:$A$501,0)),"CODE NOT FOUND"))</f>
        <v>Clutch Cable</v>
      </c>
      <c r="E301" s="7" t="n">
        <v>3</v>
      </c>
      <c r="F301" s="13" t="n">
        <v>190</v>
      </c>
      <c r="G301" s="13" t="n">
        <v>110</v>
      </c>
      <c r="H301" s="17" t="n">
        <f aca="false">IF(OR(E301="",F301=""),"",E301*F301)</f>
        <v>570</v>
      </c>
      <c r="I301" s="17" t="n">
        <f aca="false">IF(OR(E301="",G301=""),"",E301*G301)</f>
        <v>330</v>
      </c>
      <c r="J301" s="17" t="n">
        <f aca="false">IF(H301="","",H301-I301)</f>
        <v>240</v>
      </c>
    </row>
    <row r="302" customFormat="false" ht="15" hidden="false" customHeight="true" outlineLevel="0" collapsed="false">
      <c r="A302" s="7" t="s">
        <v>552</v>
      </c>
      <c r="B302" s="18" t="n">
        <f aca="false">IF(A302="","",IFERROR(INDEX(Sales_Memo!$B$2:$B$1001,MATCH(A302,Sales_Memo!$A$2:$A$1001,0)),""))</f>
        <v>46260</v>
      </c>
      <c r="C302" s="7" t="s">
        <v>121</v>
      </c>
      <c r="D302" s="16" t="str">
        <f aca="false">IF(C302="","",IFERROR(INDEX(Products!$B$2:$B$501,MATCH(C302,Products!$A$2:$A$501,0)),"CODE NOT FOUND"))</f>
        <v>Handle Grip Set</v>
      </c>
      <c r="E302" s="7" t="n">
        <v>2</v>
      </c>
      <c r="F302" s="13" t="n">
        <v>280</v>
      </c>
      <c r="G302" s="13" t="n">
        <v>160</v>
      </c>
      <c r="H302" s="17" t="n">
        <f aca="false">IF(OR(E302="",F302=""),"",E302*F302)</f>
        <v>560</v>
      </c>
      <c r="I302" s="17" t="n">
        <f aca="false">IF(OR(E302="",G302=""),"",E302*G302)</f>
        <v>320</v>
      </c>
      <c r="J302" s="17" t="n">
        <f aca="false">IF(H302="","",H302-I302)</f>
        <v>240</v>
      </c>
    </row>
    <row r="303" customFormat="false" ht="15" hidden="false" customHeight="true" outlineLevel="0" collapsed="false">
      <c r="A303" s="7" t="s">
        <v>554</v>
      </c>
      <c r="B303" s="18" t="n">
        <f aca="false">IF(A303="","",IFERROR(INDEX(Sales_Memo!$B$2:$B$1001,MATCH(A303,Sales_Memo!$A$2:$A$1001,0)),""))</f>
        <v>46260</v>
      </c>
      <c r="C303" s="7" t="s">
        <v>82</v>
      </c>
      <c r="D303" s="16" t="str">
        <f aca="false">IF(C303="","",IFERROR(INDEX(Products!$B$2:$B$501,MATCH(C303,Products!$A$2:$A$501,0)),"CODE NOT FOUND"))</f>
        <v>Clutch Cable</v>
      </c>
      <c r="E303" s="7" t="n">
        <v>2</v>
      </c>
      <c r="F303" s="13" t="n">
        <v>190</v>
      </c>
      <c r="G303" s="13" t="n">
        <v>110</v>
      </c>
      <c r="H303" s="17" t="n">
        <f aca="false">IF(OR(E303="",F303=""),"",E303*F303)</f>
        <v>380</v>
      </c>
      <c r="I303" s="17" t="n">
        <f aca="false">IF(OR(E303="",G303=""),"",E303*G303)</f>
        <v>220</v>
      </c>
      <c r="J303" s="17" t="n">
        <f aca="false">IF(H303="","",H303-I303)</f>
        <v>160</v>
      </c>
    </row>
    <row r="304" customFormat="false" ht="15" hidden="false" customHeight="true" outlineLevel="0" collapsed="false">
      <c r="A304" s="7" t="s">
        <v>554</v>
      </c>
      <c r="B304" s="18" t="n">
        <f aca="false">IF(A304="","",IFERROR(INDEX(Sales_Memo!$B$2:$B$1001,MATCH(A304,Sales_Memo!$A$2:$A$1001,0)),""))</f>
        <v>46260</v>
      </c>
      <c r="C304" s="7" t="s">
        <v>108</v>
      </c>
      <c r="D304" s="16" t="str">
        <f aca="false">IF(C304="","",IFERROR(INDEX(Products!$B$2:$B$501,MATCH(C304,Products!$A$2:$A$501,0)),"CODE NOT FOUND"))</f>
        <v>Tyre 90/90-17 Rear</v>
      </c>
      <c r="E304" s="7" t="n">
        <v>1</v>
      </c>
      <c r="F304" s="13" t="n">
        <v>3350</v>
      </c>
      <c r="G304" s="13" t="n">
        <v>2750</v>
      </c>
      <c r="H304" s="17" t="n">
        <f aca="false">IF(OR(E304="",F304=""),"",E304*F304)</f>
        <v>3350</v>
      </c>
      <c r="I304" s="17" t="n">
        <f aca="false">IF(OR(E304="",G304=""),"",E304*G304)</f>
        <v>2750</v>
      </c>
      <c r="J304" s="17" t="n">
        <f aca="false">IF(H304="","",H304-I304)</f>
        <v>600</v>
      </c>
    </row>
    <row r="305" customFormat="false" ht="15" hidden="false" customHeight="true" outlineLevel="0" collapsed="false">
      <c r="A305" s="7" t="s">
        <v>554</v>
      </c>
      <c r="B305" s="18" t="n">
        <f aca="false">IF(A305="","",IFERROR(INDEX(Sales_Memo!$B$2:$B$1001,MATCH(A305,Sales_Memo!$A$2:$A$1001,0)),""))</f>
        <v>46260</v>
      </c>
      <c r="C305" s="7" t="s">
        <v>121</v>
      </c>
      <c r="D305" s="16" t="str">
        <f aca="false">IF(C305="","",IFERROR(INDEX(Products!$B$2:$B$501,MATCH(C305,Products!$A$2:$A$501,0)),"CODE NOT FOUND"))</f>
        <v>Handle Grip Set</v>
      </c>
      <c r="E305" s="7" t="n">
        <v>1</v>
      </c>
      <c r="F305" s="13" t="n">
        <v>280</v>
      </c>
      <c r="G305" s="13" t="n">
        <v>160</v>
      </c>
      <c r="H305" s="17" t="n">
        <f aca="false">IF(OR(E305="",F305=""),"",E305*F305)</f>
        <v>280</v>
      </c>
      <c r="I305" s="17" t="n">
        <f aca="false">IF(OR(E305="",G305=""),"",E305*G305)</f>
        <v>160</v>
      </c>
      <c r="J305" s="17" t="n">
        <f aca="false">IF(H305="","",H305-I305)</f>
        <v>120</v>
      </c>
    </row>
    <row r="306" customFormat="false" ht="15" hidden="false" customHeight="true" outlineLevel="0" collapsed="false">
      <c r="A306" s="7" t="s">
        <v>556</v>
      </c>
      <c r="B306" s="18" t="n">
        <f aca="false">IF(A306="","",IFERROR(INDEX(Sales_Memo!$B$2:$B$1001,MATCH(A306,Sales_Memo!$A$2:$A$1001,0)),""))</f>
        <v>46260</v>
      </c>
      <c r="C306" s="7" t="s">
        <v>90</v>
      </c>
      <c r="D306" s="16" t="str">
        <f aca="false">IF(C306="","",IFERROR(INDEX(Products!$B$2:$B$501,MATCH(C306,Products!$A$2:$A$501,0)),"CODE NOT FOUND"))</f>
        <v>Air Filter 150cc</v>
      </c>
      <c r="E306" s="7" t="n">
        <v>2</v>
      </c>
      <c r="F306" s="13" t="n">
        <v>340</v>
      </c>
      <c r="G306" s="13" t="n">
        <v>210</v>
      </c>
      <c r="H306" s="17" t="n">
        <f aca="false">IF(OR(E306="",F306=""),"",E306*F306)</f>
        <v>680</v>
      </c>
      <c r="I306" s="17" t="n">
        <f aca="false">IF(OR(E306="",G306=""),"",E306*G306)</f>
        <v>420</v>
      </c>
      <c r="J306" s="17" t="n">
        <f aca="false">IF(H306="","",H306-I306)</f>
        <v>260</v>
      </c>
    </row>
    <row r="307" customFormat="false" ht="15" hidden="false" customHeight="true" outlineLevel="0" collapsed="false">
      <c r="A307" s="7" t="s">
        <v>557</v>
      </c>
      <c r="B307" s="18" t="n">
        <f aca="false">IF(A307="","",IFERROR(INDEX(Sales_Memo!$B$2:$B$1001,MATCH(A307,Sales_Memo!$A$2:$A$1001,0)),""))</f>
        <v>46261</v>
      </c>
      <c r="C307" s="7" t="s">
        <v>86</v>
      </c>
      <c r="D307" s="16" t="str">
        <f aca="false">IF(C307="","",IFERROR(INDEX(Products!$B$2:$B$501,MATCH(C307,Products!$A$2:$A$501,0)),"CODE NOT FOUND"))</f>
        <v>Spark Plug CPR8EA-9</v>
      </c>
      <c r="E307" s="7" t="n">
        <v>1</v>
      </c>
      <c r="F307" s="13" t="n">
        <v>260</v>
      </c>
      <c r="G307" s="13" t="n">
        <v>175</v>
      </c>
      <c r="H307" s="17" t="n">
        <f aca="false">IF(OR(E307="",F307=""),"",E307*F307)</f>
        <v>260</v>
      </c>
      <c r="I307" s="17" t="n">
        <f aca="false">IF(OR(E307="",G307=""),"",E307*G307)</f>
        <v>175</v>
      </c>
      <c r="J307" s="17" t="n">
        <f aca="false">IF(H307="","",H307-I307)</f>
        <v>85</v>
      </c>
    </row>
    <row r="308" customFormat="false" ht="15" hidden="false" customHeight="true" outlineLevel="0" collapsed="false">
      <c r="A308" s="7" t="s">
        <v>558</v>
      </c>
      <c r="B308" s="18" t="n">
        <f aca="false">IF(A308="","",IFERROR(INDEX(Sales_Memo!$B$2:$B$1001,MATCH(A308,Sales_Memo!$A$2:$A$1001,0)),""))</f>
        <v>46261</v>
      </c>
      <c r="C308" s="7" t="s">
        <v>121</v>
      </c>
      <c r="D308" s="16" t="str">
        <f aca="false">IF(C308="","",IFERROR(INDEX(Products!$B$2:$B$501,MATCH(C308,Products!$A$2:$A$501,0)),"CODE NOT FOUND"))</f>
        <v>Handle Grip Set</v>
      </c>
      <c r="E308" s="7" t="n">
        <v>2</v>
      </c>
      <c r="F308" s="13" t="n">
        <v>280</v>
      </c>
      <c r="G308" s="13" t="n">
        <v>160</v>
      </c>
      <c r="H308" s="17" t="n">
        <f aca="false">IF(OR(E308="",F308=""),"",E308*F308)</f>
        <v>560</v>
      </c>
      <c r="I308" s="17" t="n">
        <f aca="false">IF(OR(E308="",G308=""),"",E308*G308)</f>
        <v>320</v>
      </c>
      <c r="J308" s="17" t="n">
        <f aca="false">IF(H308="","",H308-I308)</f>
        <v>240</v>
      </c>
    </row>
    <row r="309" customFormat="false" ht="15" hidden="false" customHeight="true" outlineLevel="0" collapsed="false">
      <c r="A309" s="7" t="s">
        <v>559</v>
      </c>
      <c r="B309" s="18" t="n">
        <f aca="false">IF(A309="","",IFERROR(INDEX(Sales_Memo!$B$2:$B$1001,MATCH(A309,Sales_Memo!$A$2:$A$1001,0)),""))</f>
        <v>46261</v>
      </c>
      <c r="C309" s="7" t="s">
        <v>86</v>
      </c>
      <c r="D309" s="16" t="str">
        <f aca="false">IF(C309="","",IFERROR(INDEX(Products!$B$2:$B$501,MATCH(C309,Products!$A$2:$A$501,0)),"CODE NOT FOUND"))</f>
        <v>Spark Plug CPR8EA-9</v>
      </c>
      <c r="E309" s="7" t="n">
        <v>2</v>
      </c>
      <c r="F309" s="13" t="n">
        <v>260</v>
      </c>
      <c r="G309" s="13" t="n">
        <v>175</v>
      </c>
      <c r="H309" s="17" t="n">
        <f aca="false">IF(OR(E309="",F309=""),"",E309*F309)</f>
        <v>520</v>
      </c>
      <c r="I309" s="17" t="n">
        <f aca="false">IF(OR(E309="",G309=""),"",E309*G309)</f>
        <v>350</v>
      </c>
      <c r="J309" s="17" t="n">
        <f aca="false">IF(H309="","",H309-I309)</f>
        <v>170</v>
      </c>
    </row>
    <row r="310" customFormat="false" ht="15" hidden="false" customHeight="true" outlineLevel="0" collapsed="false">
      <c r="A310" s="7" t="s">
        <v>560</v>
      </c>
      <c r="B310" s="18" t="n">
        <f aca="false">IF(A310="","",IFERROR(INDEX(Sales_Memo!$B$2:$B$1001,MATCH(A310,Sales_Memo!$A$2:$A$1001,0)),""))</f>
        <v>46261</v>
      </c>
      <c r="C310" s="7" t="s">
        <v>102</v>
      </c>
      <c r="D310" s="16" t="str">
        <f aca="false">IF(C310="","",IFERROR(INDEX(Products!$B$2:$B$501,MATCH(C310,Products!$A$2:$A$501,0)),"CODE NOT FOUND"))</f>
        <v>Headlight Bulb H4</v>
      </c>
      <c r="E310" s="7" t="n">
        <v>2</v>
      </c>
      <c r="F310" s="13" t="n">
        <v>240</v>
      </c>
      <c r="G310" s="13" t="n">
        <v>140</v>
      </c>
      <c r="H310" s="17" t="n">
        <f aca="false">IF(OR(E310="",F310=""),"",E310*F310)</f>
        <v>480</v>
      </c>
      <c r="I310" s="17" t="n">
        <f aca="false">IF(OR(E310="",G310=""),"",E310*G310)</f>
        <v>280</v>
      </c>
      <c r="J310" s="17" t="n">
        <f aca="false">IF(H310="","",H310-I310)</f>
        <v>200</v>
      </c>
    </row>
    <row r="311" customFormat="false" ht="15" hidden="false" customHeight="true" outlineLevel="0" collapsed="false">
      <c r="A311" s="7" t="s">
        <v>560</v>
      </c>
      <c r="B311" s="18" t="n">
        <f aca="false">IF(A311="","",IFERROR(INDEX(Sales_Memo!$B$2:$B$1001,MATCH(A311,Sales_Memo!$A$2:$A$1001,0)),""))</f>
        <v>46261</v>
      </c>
      <c r="C311" s="7" t="s">
        <v>114</v>
      </c>
      <c r="D311" s="16" t="str">
        <f aca="false">IF(C311="","",IFERROR(INDEX(Products!$B$2:$B$501,MATCH(C311,Products!$A$2:$A$501,0)),"CODE NOT FOUND"))</f>
        <v>Side Mirror (Pair)</v>
      </c>
      <c r="E311" s="7" t="n">
        <v>2</v>
      </c>
      <c r="F311" s="13" t="n">
        <v>620</v>
      </c>
      <c r="G311" s="13" t="n">
        <v>380</v>
      </c>
      <c r="H311" s="17" t="n">
        <f aca="false">IF(OR(E311="",F311=""),"",E311*F311)</f>
        <v>1240</v>
      </c>
      <c r="I311" s="17" t="n">
        <f aca="false">IF(OR(E311="",G311=""),"",E311*G311)</f>
        <v>760</v>
      </c>
      <c r="J311" s="17" t="n">
        <f aca="false">IF(H311="","",H311-I311)</f>
        <v>480</v>
      </c>
    </row>
    <row r="312" customFormat="false" ht="15" hidden="false" customHeight="true" outlineLevel="0" collapsed="false">
      <c r="A312" s="7" t="s">
        <v>560</v>
      </c>
      <c r="B312" s="18" t="n">
        <f aca="false">IF(A312="","",IFERROR(INDEX(Sales_Memo!$B$2:$B$1001,MATCH(A312,Sales_Memo!$A$2:$A$1001,0)),""))</f>
        <v>46261</v>
      </c>
      <c r="C312" s="7" t="s">
        <v>82</v>
      </c>
      <c r="D312" s="16" t="str">
        <f aca="false">IF(C312="","",IFERROR(INDEX(Products!$B$2:$B$501,MATCH(C312,Products!$A$2:$A$501,0)),"CODE NOT FOUND"))</f>
        <v>Clutch Cable</v>
      </c>
      <c r="E312" s="7" t="n">
        <v>1</v>
      </c>
      <c r="F312" s="13" t="n">
        <v>190</v>
      </c>
      <c r="G312" s="13" t="n">
        <v>110</v>
      </c>
      <c r="H312" s="17" t="n">
        <f aca="false">IF(OR(E312="",F312=""),"",E312*F312)</f>
        <v>190</v>
      </c>
      <c r="I312" s="17" t="n">
        <f aca="false">IF(OR(E312="",G312=""),"",E312*G312)</f>
        <v>110</v>
      </c>
      <c r="J312" s="17" t="n">
        <f aca="false">IF(H312="","",H312-I312)</f>
        <v>80</v>
      </c>
    </row>
    <row r="313" customFormat="false" ht="15" hidden="false" customHeight="true" outlineLevel="0" collapsed="false">
      <c r="A313" s="7" t="s">
        <v>562</v>
      </c>
      <c r="B313" s="18" t="n">
        <f aca="false">IF(A313="","",IFERROR(INDEX(Sales_Memo!$B$2:$B$1001,MATCH(A313,Sales_Memo!$A$2:$A$1001,0)),""))</f>
        <v>46261</v>
      </c>
      <c r="C313" s="7" t="s">
        <v>114</v>
      </c>
      <c r="D313" s="16" t="str">
        <f aca="false">IF(C313="","",IFERROR(INDEX(Products!$B$2:$B$501,MATCH(C313,Products!$A$2:$A$501,0)),"CODE NOT FOUND"))</f>
        <v>Side Mirror (Pair)</v>
      </c>
      <c r="E313" s="7" t="n">
        <v>3</v>
      </c>
      <c r="F313" s="13" t="n">
        <v>620</v>
      </c>
      <c r="G313" s="13" t="n">
        <v>380</v>
      </c>
      <c r="H313" s="17" t="n">
        <f aca="false">IF(OR(E313="",F313=""),"",E313*F313)</f>
        <v>1860</v>
      </c>
      <c r="I313" s="17" t="n">
        <f aca="false">IF(OR(E313="",G313=""),"",E313*G313)</f>
        <v>1140</v>
      </c>
      <c r="J313" s="17" t="n">
        <f aca="false">IF(H313="","",H313-I313)</f>
        <v>720</v>
      </c>
    </row>
    <row r="314" customFormat="false" ht="15" hidden="false" customHeight="true" outlineLevel="0" collapsed="false">
      <c r="A314" s="7" t="s">
        <v>562</v>
      </c>
      <c r="B314" s="18" t="n">
        <f aca="false">IF(A314="","",IFERROR(INDEX(Sales_Memo!$B$2:$B$1001,MATCH(A314,Sales_Memo!$A$2:$A$1001,0)),""))</f>
        <v>46261</v>
      </c>
      <c r="C314" s="7" t="s">
        <v>86</v>
      </c>
      <c r="D314" s="16" t="str">
        <f aca="false">IF(C314="","",IFERROR(INDEX(Products!$B$2:$B$501,MATCH(C314,Products!$A$2:$A$501,0)),"CODE NOT FOUND"))</f>
        <v>Spark Plug CPR8EA-9</v>
      </c>
      <c r="E314" s="7" t="n">
        <v>1</v>
      </c>
      <c r="F314" s="13" t="n">
        <v>260</v>
      </c>
      <c r="G314" s="13" t="n">
        <v>175</v>
      </c>
      <c r="H314" s="17" t="n">
        <f aca="false">IF(OR(E314="",F314=""),"",E314*F314)</f>
        <v>260</v>
      </c>
      <c r="I314" s="17" t="n">
        <f aca="false">IF(OR(E314="",G314=""),"",E314*G314)</f>
        <v>175</v>
      </c>
      <c r="J314" s="17" t="n">
        <f aca="false">IF(H314="","",H314-I314)</f>
        <v>85</v>
      </c>
    </row>
    <row r="315" customFormat="false" ht="15" hidden="false" customHeight="true" outlineLevel="0" collapsed="false">
      <c r="A315" s="7" t="s">
        <v>564</v>
      </c>
      <c r="B315" s="18" t="n">
        <f aca="false">IF(A315="","",IFERROR(INDEX(Sales_Memo!$B$2:$B$1001,MATCH(A315,Sales_Memo!$A$2:$A$1001,0)),""))</f>
        <v>46261</v>
      </c>
      <c r="C315" s="7" t="s">
        <v>102</v>
      </c>
      <c r="D315" s="16" t="str">
        <f aca="false">IF(C315="","",IFERROR(INDEX(Products!$B$2:$B$501,MATCH(C315,Products!$A$2:$A$501,0)),"CODE NOT FOUND"))</f>
        <v>Headlight Bulb H4</v>
      </c>
      <c r="E315" s="7" t="n">
        <v>1</v>
      </c>
      <c r="F315" s="13" t="n">
        <v>240</v>
      </c>
      <c r="G315" s="13" t="n">
        <v>140</v>
      </c>
      <c r="H315" s="17" t="n">
        <f aca="false">IF(OR(E315="",F315=""),"",E315*F315)</f>
        <v>240</v>
      </c>
      <c r="I315" s="17" t="n">
        <f aca="false">IF(OR(E315="",G315=""),"",E315*G315)</f>
        <v>140</v>
      </c>
      <c r="J315" s="17" t="n">
        <f aca="false">IF(H315="","",H315-I315)</f>
        <v>100</v>
      </c>
    </row>
    <row r="316" customFormat="false" ht="15" hidden="false" customHeight="true" outlineLevel="0" collapsed="false">
      <c r="A316" s="7" t="s">
        <v>565</v>
      </c>
      <c r="B316" s="18" t="n">
        <f aca="false">IF(A316="","",IFERROR(INDEX(Sales_Memo!$B$2:$B$1001,MATCH(A316,Sales_Memo!$A$2:$A$1001,0)),""))</f>
        <v>46261</v>
      </c>
      <c r="C316" s="7" t="s">
        <v>108</v>
      </c>
      <c r="D316" s="16" t="str">
        <f aca="false">IF(C316="","",IFERROR(INDEX(Products!$B$2:$B$501,MATCH(C316,Products!$A$2:$A$501,0)),"CODE NOT FOUND"))</f>
        <v>Tyre 90/90-17 Rear</v>
      </c>
      <c r="E316" s="7" t="n">
        <v>1</v>
      </c>
      <c r="F316" s="13" t="n">
        <v>3350</v>
      </c>
      <c r="G316" s="13" t="n">
        <v>2750</v>
      </c>
      <c r="H316" s="17" t="n">
        <f aca="false">IF(OR(E316="",F316=""),"",E316*F316)</f>
        <v>3350</v>
      </c>
      <c r="I316" s="17" t="n">
        <f aca="false">IF(OR(E316="",G316=""),"",E316*G316)</f>
        <v>2750</v>
      </c>
      <c r="J316" s="17" t="n">
        <f aca="false">IF(H316="","",H316-I316)</f>
        <v>600</v>
      </c>
    </row>
    <row r="317" customFormat="false" ht="15" hidden="false" customHeight="true" outlineLevel="0" collapsed="false">
      <c r="A317" s="7" t="s">
        <v>566</v>
      </c>
      <c r="B317" s="18" t="n">
        <f aca="false">IF(A317="","",IFERROR(INDEX(Sales_Memo!$B$2:$B$1001,MATCH(A317,Sales_Memo!$A$2:$A$1001,0)),""))</f>
        <v>46261</v>
      </c>
      <c r="C317" s="7" t="s">
        <v>121</v>
      </c>
      <c r="D317" s="16" t="str">
        <f aca="false">IF(C317="","",IFERROR(INDEX(Products!$B$2:$B$501,MATCH(C317,Products!$A$2:$A$501,0)),"CODE NOT FOUND"))</f>
        <v>Handle Grip Set</v>
      </c>
      <c r="E317" s="7" t="n">
        <v>1</v>
      </c>
      <c r="F317" s="13" t="n">
        <v>280</v>
      </c>
      <c r="G317" s="13" t="n">
        <v>160</v>
      </c>
      <c r="H317" s="17" t="n">
        <f aca="false">IF(OR(E317="",F317=""),"",E317*F317)</f>
        <v>280</v>
      </c>
      <c r="I317" s="17" t="n">
        <f aca="false">IF(OR(E317="",G317=""),"",E317*G317)</f>
        <v>160</v>
      </c>
      <c r="J317" s="17" t="n">
        <f aca="false">IF(H317="","",H317-I317)</f>
        <v>120</v>
      </c>
    </row>
    <row r="318" customFormat="false" ht="15" hidden="false" customHeight="true" outlineLevel="0" collapsed="false">
      <c r="A318" s="7" t="s">
        <v>566</v>
      </c>
      <c r="B318" s="18" t="n">
        <f aca="false">IF(A318="","",IFERROR(INDEX(Sales_Memo!$B$2:$B$1001,MATCH(A318,Sales_Memo!$A$2:$A$1001,0)),""))</f>
        <v>46261</v>
      </c>
      <c r="C318" s="7" t="s">
        <v>82</v>
      </c>
      <c r="D318" s="16" t="str">
        <f aca="false">IF(C318="","",IFERROR(INDEX(Products!$B$2:$B$501,MATCH(C318,Products!$A$2:$A$501,0)),"CODE NOT FOUND"))</f>
        <v>Clutch Cable</v>
      </c>
      <c r="E318" s="7" t="n">
        <v>1</v>
      </c>
      <c r="F318" s="13" t="n">
        <v>190</v>
      </c>
      <c r="G318" s="13" t="n">
        <v>110</v>
      </c>
      <c r="H318" s="17" t="n">
        <f aca="false">IF(OR(E318="",F318=""),"",E318*F318)</f>
        <v>190</v>
      </c>
      <c r="I318" s="17" t="n">
        <f aca="false">IF(OR(E318="",G318=""),"",E318*G318)</f>
        <v>110</v>
      </c>
      <c r="J318" s="17" t="n">
        <f aca="false">IF(H318="","",H318-I318)</f>
        <v>80</v>
      </c>
    </row>
    <row r="319" customFormat="false" ht="15" hidden="false" customHeight="true" outlineLevel="0" collapsed="false">
      <c r="A319" s="7" t="s">
        <v>566</v>
      </c>
      <c r="B319" s="18" t="n">
        <f aca="false">IF(A319="","",IFERROR(INDEX(Sales_Memo!$B$2:$B$1001,MATCH(A319,Sales_Memo!$A$2:$A$1001,0)),""))</f>
        <v>46261</v>
      </c>
      <c r="C319" s="7" t="s">
        <v>119</v>
      </c>
      <c r="D319" s="16" t="str">
        <f aca="false">IF(C319="","",IFERROR(INDEX(Products!$B$2:$B$501,MATCH(C319,Products!$A$2:$A$501,0)),"CODE NOT FOUND"))</f>
        <v>Chain Lube Spray</v>
      </c>
      <c r="E319" s="7" t="n">
        <v>1</v>
      </c>
      <c r="F319" s="13" t="n">
        <v>270</v>
      </c>
      <c r="G319" s="13" t="n">
        <v>170</v>
      </c>
      <c r="H319" s="17" t="n">
        <f aca="false">IF(OR(E319="",F319=""),"",E319*F319)</f>
        <v>270</v>
      </c>
      <c r="I319" s="17" t="n">
        <f aca="false">IF(OR(E319="",G319=""),"",E319*G319)</f>
        <v>170</v>
      </c>
      <c r="J319" s="17" t="n">
        <f aca="false">IF(H319="","",H319-I319)</f>
        <v>100</v>
      </c>
    </row>
    <row r="320" customFormat="false" ht="15" hidden="false" customHeight="true" outlineLevel="0" collapsed="false">
      <c r="A320" s="7" t="s">
        <v>568</v>
      </c>
      <c r="B320" s="18" t="n">
        <f aca="false">IF(A320="","",IFERROR(INDEX(Sales_Memo!$B$2:$B$1001,MATCH(A320,Sales_Memo!$A$2:$A$1001,0)),""))</f>
        <v>46263</v>
      </c>
      <c r="C320" s="7" t="s">
        <v>121</v>
      </c>
      <c r="D320" s="16" t="str">
        <f aca="false">IF(C320="","",IFERROR(INDEX(Products!$B$2:$B$501,MATCH(C320,Products!$A$2:$A$501,0)),"CODE NOT FOUND"))</f>
        <v>Handle Grip Set</v>
      </c>
      <c r="E320" s="7" t="n">
        <v>3</v>
      </c>
      <c r="F320" s="13" t="n">
        <v>280</v>
      </c>
      <c r="G320" s="13" t="n">
        <v>160</v>
      </c>
      <c r="H320" s="17" t="n">
        <f aca="false">IF(OR(E320="",F320=""),"",E320*F320)</f>
        <v>840</v>
      </c>
      <c r="I320" s="17" t="n">
        <f aca="false">IF(OR(E320="",G320=""),"",E320*G320)</f>
        <v>480</v>
      </c>
      <c r="J320" s="17" t="n">
        <f aca="false">IF(H320="","",H320-I320)</f>
        <v>360</v>
      </c>
    </row>
    <row r="321" customFormat="false" ht="15" hidden="false" customHeight="true" outlineLevel="0" collapsed="false">
      <c r="A321" s="7" t="s">
        <v>569</v>
      </c>
      <c r="B321" s="18" t="n">
        <f aca="false">IF(A321="","",IFERROR(INDEX(Sales_Memo!$B$2:$B$1001,MATCH(A321,Sales_Memo!$A$2:$A$1001,0)),""))</f>
        <v>46263</v>
      </c>
      <c r="C321" s="7" t="s">
        <v>119</v>
      </c>
      <c r="D321" s="16" t="str">
        <f aca="false">IF(C321="","",IFERROR(INDEX(Products!$B$2:$B$501,MATCH(C321,Products!$A$2:$A$501,0)),"CODE NOT FOUND"))</f>
        <v>Chain Lube Spray</v>
      </c>
      <c r="E321" s="7" t="n">
        <v>2</v>
      </c>
      <c r="F321" s="13" t="n">
        <v>270</v>
      </c>
      <c r="G321" s="13" t="n">
        <v>170</v>
      </c>
      <c r="H321" s="17" t="n">
        <f aca="false">IF(OR(E321="",F321=""),"",E321*F321)</f>
        <v>540</v>
      </c>
      <c r="I321" s="17" t="n">
        <f aca="false">IF(OR(E321="",G321=""),"",E321*G321)</f>
        <v>340</v>
      </c>
      <c r="J321" s="17" t="n">
        <f aca="false">IF(H321="","",H321-I321)</f>
        <v>200</v>
      </c>
    </row>
    <row r="322" customFormat="false" ht="15" hidden="false" customHeight="true" outlineLevel="0" collapsed="false">
      <c r="A322" s="7" t="s">
        <v>569</v>
      </c>
      <c r="B322" s="18" t="n">
        <f aca="false">IF(A322="","",IFERROR(INDEX(Sales_Memo!$B$2:$B$1001,MATCH(A322,Sales_Memo!$A$2:$A$1001,0)),""))</f>
        <v>46263</v>
      </c>
      <c r="C322" s="7" t="s">
        <v>82</v>
      </c>
      <c r="D322" s="16" t="str">
        <f aca="false">IF(C322="","",IFERROR(INDEX(Products!$B$2:$B$501,MATCH(C322,Products!$A$2:$A$501,0)),"CODE NOT FOUND"))</f>
        <v>Clutch Cable</v>
      </c>
      <c r="E322" s="7" t="n">
        <v>3</v>
      </c>
      <c r="F322" s="13" t="n">
        <v>190</v>
      </c>
      <c r="G322" s="13" t="n">
        <v>110</v>
      </c>
      <c r="H322" s="17" t="n">
        <f aca="false">IF(OR(E322="",F322=""),"",E322*F322)</f>
        <v>570</v>
      </c>
      <c r="I322" s="17" t="n">
        <f aca="false">IF(OR(E322="",G322=""),"",E322*G322)</f>
        <v>330</v>
      </c>
      <c r="J322" s="17" t="n">
        <f aca="false">IF(H322="","",H322-I322)</f>
        <v>240</v>
      </c>
    </row>
    <row r="323" customFormat="false" ht="15" hidden="false" customHeight="true" outlineLevel="0" collapsed="false">
      <c r="A323" s="7" t="s">
        <v>570</v>
      </c>
      <c r="B323" s="18" t="n">
        <f aca="false">IF(A323="","",IFERROR(INDEX(Sales_Memo!$B$2:$B$1001,MATCH(A323,Sales_Memo!$A$2:$A$1001,0)),""))</f>
        <v>46263</v>
      </c>
      <c r="C323" s="7" t="s">
        <v>111</v>
      </c>
      <c r="D323" s="16" t="str">
        <f aca="false">IF(C323="","",IFERROR(INDEX(Products!$B$2:$B$501,MATCH(C323,Products!$A$2:$A$501,0)),"CODE NOT FOUND"))</f>
        <v>Tyre 80/100-18 Front</v>
      </c>
      <c r="E323" s="7" t="n">
        <v>1</v>
      </c>
      <c r="F323" s="13" t="n">
        <v>2850</v>
      </c>
      <c r="G323" s="13" t="n">
        <v>2300</v>
      </c>
      <c r="H323" s="17" t="n">
        <f aca="false">IF(OR(E323="",F323=""),"",E323*F323)</f>
        <v>2850</v>
      </c>
      <c r="I323" s="17" t="n">
        <f aca="false">IF(OR(E323="",G323=""),"",E323*G323)</f>
        <v>2300</v>
      </c>
      <c r="J323" s="17" t="n">
        <f aca="false">IF(H323="","",H323-I323)</f>
        <v>550</v>
      </c>
    </row>
    <row r="324" customFormat="false" ht="15" hidden="false" customHeight="true" outlineLevel="0" collapsed="false">
      <c r="A324" s="7" t="s">
        <v>570</v>
      </c>
      <c r="B324" s="18" t="n">
        <f aca="false">IF(A324="","",IFERROR(INDEX(Sales_Memo!$B$2:$B$1001,MATCH(A324,Sales_Memo!$A$2:$A$1001,0)),""))</f>
        <v>46263</v>
      </c>
      <c r="C324" s="7" t="s">
        <v>102</v>
      </c>
      <c r="D324" s="16" t="str">
        <f aca="false">IF(C324="","",IFERROR(INDEX(Products!$B$2:$B$501,MATCH(C324,Products!$A$2:$A$501,0)),"CODE NOT FOUND"))</f>
        <v>Headlight Bulb H4</v>
      </c>
      <c r="E324" s="7" t="n">
        <v>1</v>
      </c>
      <c r="F324" s="13" t="n">
        <v>240</v>
      </c>
      <c r="G324" s="13" t="n">
        <v>140</v>
      </c>
      <c r="H324" s="17" t="n">
        <f aca="false">IF(OR(E324="",F324=""),"",E324*F324)</f>
        <v>240</v>
      </c>
      <c r="I324" s="17" t="n">
        <f aca="false">IF(OR(E324="",G324=""),"",E324*G324)</f>
        <v>140</v>
      </c>
      <c r="J324" s="17" t="n">
        <f aca="false">IF(H324="","",H324-I324)</f>
        <v>100</v>
      </c>
    </row>
    <row r="325" customFormat="false" ht="15" hidden="false" customHeight="true" outlineLevel="0" collapsed="false">
      <c r="A325" s="7" t="s">
        <v>570</v>
      </c>
      <c r="B325" s="18" t="n">
        <f aca="false">IF(A325="","",IFERROR(INDEX(Sales_Memo!$B$2:$B$1001,MATCH(A325,Sales_Memo!$A$2:$A$1001,0)),""))</f>
        <v>46263</v>
      </c>
      <c r="C325" s="7" t="s">
        <v>90</v>
      </c>
      <c r="D325" s="16" t="str">
        <f aca="false">IF(C325="","",IFERROR(INDEX(Products!$B$2:$B$501,MATCH(C325,Products!$A$2:$A$501,0)),"CODE NOT FOUND"))</f>
        <v>Air Filter 150cc</v>
      </c>
      <c r="E325" s="7" t="n">
        <v>1</v>
      </c>
      <c r="F325" s="13" t="n">
        <v>340</v>
      </c>
      <c r="G325" s="13" t="n">
        <v>210</v>
      </c>
      <c r="H325" s="17" t="n">
        <f aca="false">IF(OR(E325="",F325=""),"",E325*F325)</f>
        <v>340</v>
      </c>
      <c r="I325" s="17" t="n">
        <f aca="false">IF(OR(E325="",G325=""),"",E325*G325)</f>
        <v>210</v>
      </c>
      <c r="J325" s="17" t="n">
        <f aca="false">IF(H325="","",H325-I325)</f>
        <v>130</v>
      </c>
    </row>
    <row r="326" customFormat="false" ht="15" hidden="false" customHeight="true" outlineLevel="0" collapsed="false">
      <c r="A326" s="7" t="s">
        <v>572</v>
      </c>
      <c r="B326" s="18" t="n">
        <f aca="false">IF(A326="","",IFERROR(INDEX(Sales_Memo!$B$2:$B$1001,MATCH(A326,Sales_Memo!$A$2:$A$1001,0)),""))</f>
        <v>46263</v>
      </c>
      <c r="C326" s="7" t="s">
        <v>102</v>
      </c>
      <c r="D326" s="16" t="str">
        <f aca="false">IF(C326="","",IFERROR(INDEX(Products!$B$2:$B$501,MATCH(C326,Products!$A$2:$A$501,0)),"CODE NOT FOUND"))</f>
        <v>Headlight Bulb H4</v>
      </c>
      <c r="E326" s="7" t="n">
        <v>1</v>
      </c>
      <c r="F326" s="13" t="n">
        <v>240</v>
      </c>
      <c r="G326" s="13" t="n">
        <v>140</v>
      </c>
      <c r="H326" s="17" t="n">
        <f aca="false">IF(OR(E326="",F326=""),"",E326*F326)</f>
        <v>240</v>
      </c>
      <c r="I326" s="17" t="n">
        <f aca="false">IF(OR(E326="",G326=""),"",E326*G326)</f>
        <v>140</v>
      </c>
      <c r="J326" s="17" t="n">
        <f aca="false">IF(H326="","",H326-I326)</f>
        <v>100</v>
      </c>
    </row>
    <row r="327" customFormat="false" ht="15" hidden="false" customHeight="true" outlineLevel="0" collapsed="false">
      <c r="A327" s="7" t="s">
        <v>573</v>
      </c>
      <c r="B327" s="18" t="n">
        <f aca="false">IF(A327="","",IFERROR(INDEX(Sales_Memo!$B$2:$B$1001,MATCH(A327,Sales_Memo!$A$2:$A$1001,0)),""))</f>
        <v>46263</v>
      </c>
      <c r="C327" s="7" t="s">
        <v>96</v>
      </c>
      <c r="D327" s="16" t="str">
        <f aca="false">IF(C327="","",IFERROR(INDEX(Products!$B$2:$B$501,MATCH(C327,Products!$A$2:$A$501,0)),"CODE NOT FOUND"))</f>
        <v>Engine Oil 10W-30 (1L)</v>
      </c>
      <c r="E327" s="7" t="n">
        <v>2</v>
      </c>
      <c r="F327" s="13" t="n">
        <v>780</v>
      </c>
      <c r="G327" s="13" t="n">
        <v>620</v>
      </c>
      <c r="H327" s="17" t="n">
        <f aca="false">IF(OR(E327="",F327=""),"",E327*F327)</f>
        <v>1560</v>
      </c>
      <c r="I327" s="17" t="n">
        <f aca="false">IF(OR(E327="",G327=""),"",E327*G327)</f>
        <v>1240</v>
      </c>
      <c r="J327" s="17" t="n">
        <f aca="false">IF(H327="","",H327-I327)</f>
        <v>320</v>
      </c>
    </row>
    <row r="328" customFormat="false" ht="15" hidden="false" customHeight="true" outlineLevel="0" collapsed="false">
      <c r="A328" s="7" t="s">
        <v>574</v>
      </c>
      <c r="B328" s="18" t="n">
        <f aca="false">IF(A328="","",IFERROR(INDEX(Sales_Memo!$B$2:$B$1001,MATCH(A328,Sales_Memo!$A$2:$A$1001,0)),""))</f>
        <v>46263</v>
      </c>
      <c r="C328" s="7" t="s">
        <v>121</v>
      </c>
      <c r="D328" s="16" t="str">
        <f aca="false">IF(C328="","",IFERROR(INDEX(Products!$B$2:$B$501,MATCH(C328,Products!$A$2:$A$501,0)),"CODE NOT FOUND"))</f>
        <v>Handle Grip Set</v>
      </c>
      <c r="E328" s="7" t="n">
        <v>2</v>
      </c>
      <c r="F328" s="13" t="n">
        <v>280</v>
      </c>
      <c r="G328" s="13" t="n">
        <v>160</v>
      </c>
      <c r="H328" s="17" t="n">
        <f aca="false">IF(OR(E328="",F328=""),"",E328*F328)</f>
        <v>560</v>
      </c>
      <c r="I328" s="17" t="n">
        <f aca="false">IF(OR(E328="",G328=""),"",E328*G328)</f>
        <v>320</v>
      </c>
      <c r="J328" s="17" t="n">
        <f aca="false">IF(H328="","",H328-I328)</f>
        <v>240</v>
      </c>
    </row>
    <row r="329" customFormat="false" ht="15" hidden="false" customHeight="true" outlineLevel="0" collapsed="false">
      <c r="A329" s="7" t="s">
        <v>576</v>
      </c>
      <c r="B329" s="18" t="n">
        <f aca="false">IF(A329="","",IFERROR(INDEX(Sales_Memo!$B$2:$B$1001,MATCH(A329,Sales_Memo!$A$2:$A$1001,0)),""))</f>
        <v>46263</v>
      </c>
      <c r="C329" s="7" t="s">
        <v>121</v>
      </c>
      <c r="D329" s="16" t="str">
        <f aca="false">IF(C329="","",IFERROR(INDEX(Products!$B$2:$B$501,MATCH(C329,Products!$A$2:$A$501,0)),"CODE NOT FOUND"))</f>
        <v>Handle Grip Set</v>
      </c>
      <c r="E329" s="7" t="n">
        <v>1</v>
      </c>
      <c r="F329" s="13" t="n">
        <v>280</v>
      </c>
      <c r="G329" s="13" t="n">
        <v>160</v>
      </c>
      <c r="H329" s="17" t="n">
        <f aca="false">IF(OR(E329="",F329=""),"",E329*F329)</f>
        <v>280</v>
      </c>
      <c r="I329" s="17" t="n">
        <f aca="false">IF(OR(E329="",G329=""),"",E329*G329)</f>
        <v>160</v>
      </c>
      <c r="J329" s="17" t="n">
        <f aca="false">IF(H329="","",H329-I329)</f>
        <v>120</v>
      </c>
    </row>
    <row r="330" customFormat="false" ht="15" hidden="false" customHeight="true" outlineLevel="0" collapsed="false">
      <c r="A330" s="7" t="s">
        <v>577</v>
      </c>
      <c r="B330" s="18" t="n">
        <f aca="false">IF(A330="","",IFERROR(INDEX(Sales_Memo!$B$2:$B$1001,MATCH(A330,Sales_Memo!$A$2:$A$1001,0)),""))</f>
        <v>46264</v>
      </c>
      <c r="C330" s="7" t="s">
        <v>102</v>
      </c>
      <c r="D330" s="16" t="str">
        <f aca="false">IF(C330="","",IFERROR(INDEX(Products!$B$2:$B$501,MATCH(C330,Products!$A$2:$A$501,0)),"CODE NOT FOUND"))</f>
        <v>Headlight Bulb H4</v>
      </c>
      <c r="E330" s="7" t="n">
        <v>1</v>
      </c>
      <c r="F330" s="13" t="n">
        <v>240</v>
      </c>
      <c r="G330" s="13" t="n">
        <v>140</v>
      </c>
      <c r="H330" s="17" t="n">
        <f aca="false">IF(OR(E330="",F330=""),"",E330*F330)</f>
        <v>240</v>
      </c>
      <c r="I330" s="17" t="n">
        <f aca="false">IF(OR(E330="",G330=""),"",E330*G330)</f>
        <v>140</v>
      </c>
      <c r="J330" s="17" t="n">
        <f aca="false">IF(H330="","",H330-I330)</f>
        <v>100</v>
      </c>
    </row>
    <row r="331" customFormat="false" ht="15" hidden="false" customHeight="true" outlineLevel="0" collapsed="false">
      <c r="A331" s="7" t="s">
        <v>578</v>
      </c>
      <c r="B331" s="18" t="n">
        <f aca="false">IF(A331="","",IFERROR(INDEX(Sales_Memo!$B$2:$B$1001,MATCH(A331,Sales_Memo!$A$2:$A$1001,0)),""))</f>
        <v>46264</v>
      </c>
      <c r="C331" s="7" t="s">
        <v>119</v>
      </c>
      <c r="D331" s="16" t="str">
        <f aca="false">IF(C331="","",IFERROR(INDEX(Products!$B$2:$B$501,MATCH(C331,Products!$A$2:$A$501,0)),"CODE NOT FOUND"))</f>
        <v>Chain Lube Spray</v>
      </c>
      <c r="E331" s="7" t="n">
        <v>1</v>
      </c>
      <c r="F331" s="13" t="n">
        <v>270</v>
      </c>
      <c r="G331" s="13" t="n">
        <v>170</v>
      </c>
      <c r="H331" s="17" t="n">
        <f aca="false">IF(OR(E331="",F331=""),"",E331*F331)</f>
        <v>270</v>
      </c>
      <c r="I331" s="17" t="n">
        <f aca="false">IF(OR(E331="",G331=""),"",E331*G331)</f>
        <v>170</v>
      </c>
      <c r="J331" s="17" t="n">
        <f aca="false">IF(H331="","",H331-I331)</f>
        <v>100</v>
      </c>
    </row>
    <row r="332" customFormat="false" ht="15" hidden="false" customHeight="true" outlineLevel="0" collapsed="false">
      <c r="A332" s="7" t="s">
        <v>578</v>
      </c>
      <c r="B332" s="18" t="n">
        <f aca="false">IF(A332="","",IFERROR(INDEX(Sales_Memo!$B$2:$B$1001,MATCH(A332,Sales_Memo!$A$2:$A$1001,0)),""))</f>
        <v>46264</v>
      </c>
      <c r="C332" s="7" t="s">
        <v>82</v>
      </c>
      <c r="D332" s="16" t="str">
        <f aca="false">IF(C332="","",IFERROR(INDEX(Products!$B$2:$B$501,MATCH(C332,Products!$A$2:$A$501,0)),"CODE NOT FOUND"))</f>
        <v>Clutch Cable</v>
      </c>
      <c r="E332" s="7" t="n">
        <v>1</v>
      </c>
      <c r="F332" s="13" t="n">
        <v>190</v>
      </c>
      <c r="G332" s="13" t="n">
        <v>110</v>
      </c>
      <c r="H332" s="17" t="n">
        <f aca="false">IF(OR(E332="",F332=""),"",E332*F332)</f>
        <v>190</v>
      </c>
      <c r="I332" s="17" t="n">
        <f aca="false">IF(OR(E332="",G332=""),"",E332*G332)</f>
        <v>110</v>
      </c>
      <c r="J332" s="17" t="n">
        <f aca="false">IF(H332="","",H332-I332)</f>
        <v>80</v>
      </c>
    </row>
    <row r="333" customFormat="false" ht="15" hidden="false" customHeight="true" outlineLevel="0" collapsed="false">
      <c r="A333" s="7" t="s">
        <v>579</v>
      </c>
      <c r="B333" s="18" t="n">
        <f aca="false">IF(A333="","",IFERROR(INDEX(Sales_Memo!$B$2:$B$1001,MATCH(A333,Sales_Memo!$A$2:$A$1001,0)),""))</f>
        <v>46264</v>
      </c>
      <c r="C333" s="7" t="s">
        <v>77</v>
      </c>
      <c r="D333" s="16" t="str">
        <f aca="false">IF(C333="","",IFERROR(INDEX(Products!$B$2:$B$501,MATCH(C333,Products!$A$2:$A$501,0)),"CODE NOT FOUND"))</f>
        <v>Brake Pad Set - Front</v>
      </c>
      <c r="E333" s="7" t="n">
        <v>3</v>
      </c>
      <c r="F333" s="13" t="n">
        <v>480</v>
      </c>
      <c r="G333" s="13" t="n">
        <v>320</v>
      </c>
      <c r="H333" s="17" t="n">
        <f aca="false">IF(OR(E333="",F333=""),"",E333*F333)</f>
        <v>1440</v>
      </c>
      <c r="I333" s="17" t="n">
        <f aca="false">IF(OR(E333="",G333=""),"",E333*G333)</f>
        <v>960</v>
      </c>
      <c r="J333" s="17" t="n">
        <f aca="false">IF(H333="","",H333-I333)</f>
        <v>480</v>
      </c>
    </row>
    <row r="334" customFormat="false" ht="15" hidden="false" customHeight="true" outlineLevel="0" collapsed="false">
      <c r="A334" s="7" t="s">
        <v>581</v>
      </c>
      <c r="B334" s="18" t="n">
        <f aca="false">IF(A334="","",IFERROR(INDEX(Sales_Memo!$B$2:$B$1001,MATCH(A334,Sales_Memo!$A$2:$A$1001,0)),""))</f>
        <v>46264</v>
      </c>
      <c r="C334" s="7" t="s">
        <v>121</v>
      </c>
      <c r="D334" s="16" t="str">
        <f aca="false">IF(C334="","",IFERROR(INDEX(Products!$B$2:$B$501,MATCH(C334,Products!$A$2:$A$501,0)),"CODE NOT FOUND"))</f>
        <v>Handle Grip Set</v>
      </c>
      <c r="E334" s="7" t="n">
        <v>1</v>
      </c>
      <c r="F334" s="13" t="n">
        <v>280</v>
      </c>
      <c r="G334" s="13" t="n">
        <v>160</v>
      </c>
      <c r="H334" s="17" t="n">
        <f aca="false">IF(OR(E334="",F334=""),"",E334*F334)</f>
        <v>280</v>
      </c>
      <c r="I334" s="17" t="n">
        <f aca="false">IF(OR(E334="",G334=""),"",E334*G334)</f>
        <v>160</v>
      </c>
      <c r="J334" s="17" t="n">
        <f aca="false">IF(H334="","",H334-I334)</f>
        <v>120</v>
      </c>
    </row>
    <row r="335" customFormat="false" ht="15" hidden="false" customHeight="true" outlineLevel="0" collapsed="false">
      <c r="A335" s="7" t="s">
        <v>582</v>
      </c>
      <c r="B335" s="18" t="n">
        <f aca="false">IF(A335="","",IFERROR(INDEX(Sales_Memo!$B$2:$B$1001,MATCH(A335,Sales_Memo!$A$2:$A$1001,0)),""))</f>
        <v>46264</v>
      </c>
      <c r="C335" s="7" t="s">
        <v>121</v>
      </c>
      <c r="D335" s="16" t="str">
        <f aca="false">IF(C335="","",IFERROR(INDEX(Products!$B$2:$B$501,MATCH(C335,Products!$A$2:$A$501,0)),"CODE NOT FOUND"))</f>
        <v>Handle Grip Set</v>
      </c>
      <c r="E335" s="7" t="n">
        <v>2</v>
      </c>
      <c r="F335" s="13" t="n">
        <v>280</v>
      </c>
      <c r="G335" s="13" t="n">
        <v>160</v>
      </c>
      <c r="H335" s="17" t="n">
        <f aca="false">IF(OR(E335="",F335=""),"",E335*F335)</f>
        <v>560</v>
      </c>
      <c r="I335" s="17" t="n">
        <f aca="false">IF(OR(E335="",G335=""),"",E335*G335)</f>
        <v>320</v>
      </c>
      <c r="J335" s="17" t="n">
        <f aca="false">IF(H335="","",H335-I335)</f>
        <v>240</v>
      </c>
    </row>
    <row r="336" customFormat="false" ht="15" hidden="false" customHeight="true" outlineLevel="0" collapsed="false">
      <c r="A336" s="7" t="s">
        <v>583</v>
      </c>
      <c r="B336" s="18" t="n">
        <f aca="false">IF(A336="","",IFERROR(INDEX(Sales_Memo!$B$2:$B$1001,MATCH(A336,Sales_Memo!$A$2:$A$1001,0)),""))</f>
        <v>46264</v>
      </c>
      <c r="C336" s="7" t="s">
        <v>82</v>
      </c>
      <c r="D336" s="16" t="str">
        <f aca="false">IF(C336="","",IFERROR(INDEX(Products!$B$2:$B$501,MATCH(C336,Products!$A$2:$A$501,0)),"CODE NOT FOUND"))</f>
        <v>Clutch Cable</v>
      </c>
      <c r="E336" s="7" t="n">
        <v>2</v>
      </c>
      <c r="F336" s="13" t="n">
        <v>190</v>
      </c>
      <c r="G336" s="13" t="n">
        <v>110</v>
      </c>
      <c r="H336" s="17" t="n">
        <f aca="false">IF(OR(E336="",F336=""),"",E336*F336)</f>
        <v>380</v>
      </c>
      <c r="I336" s="17" t="n">
        <f aca="false">IF(OR(E336="",G336=""),"",E336*G336)</f>
        <v>220</v>
      </c>
      <c r="J336" s="17" t="n">
        <f aca="false">IF(H336="","",H336-I336)</f>
        <v>160</v>
      </c>
    </row>
    <row r="337" customFormat="false" ht="15" hidden="false" customHeight="true" outlineLevel="0" collapsed="false">
      <c r="A337" s="7" t="s">
        <v>583</v>
      </c>
      <c r="B337" s="18" t="n">
        <f aca="false">IF(A337="","",IFERROR(INDEX(Sales_Memo!$B$2:$B$1001,MATCH(A337,Sales_Memo!$A$2:$A$1001,0)),""))</f>
        <v>46264</v>
      </c>
      <c r="C337" s="7" t="s">
        <v>90</v>
      </c>
      <c r="D337" s="16" t="str">
        <f aca="false">IF(C337="","",IFERROR(INDEX(Products!$B$2:$B$501,MATCH(C337,Products!$A$2:$A$501,0)),"CODE NOT FOUND"))</f>
        <v>Air Filter 150cc</v>
      </c>
      <c r="E337" s="7" t="n">
        <v>2</v>
      </c>
      <c r="F337" s="13" t="n">
        <v>340</v>
      </c>
      <c r="G337" s="13" t="n">
        <v>210</v>
      </c>
      <c r="H337" s="17" t="n">
        <f aca="false">IF(OR(E337="",F337=""),"",E337*F337)</f>
        <v>680</v>
      </c>
      <c r="I337" s="17" t="n">
        <f aca="false">IF(OR(E337="",G337=""),"",E337*G337)</f>
        <v>420</v>
      </c>
      <c r="J337" s="17" t="n">
        <f aca="false">IF(H337="","",H337-I337)</f>
        <v>260</v>
      </c>
    </row>
    <row r="338" customFormat="false" ht="15" hidden="false" customHeight="true" outlineLevel="0" collapsed="false">
      <c r="A338" s="7" t="s">
        <v>584</v>
      </c>
      <c r="B338" s="18" t="n">
        <f aca="false">IF(A338="","",IFERROR(INDEX(Sales_Memo!$B$2:$B$1001,MATCH(A338,Sales_Memo!$A$2:$A$1001,0)),""))</f>
        <v>46264</v>
      </c>
      <c r="C338" s="7" t="s">
        <v>90</v>
      </c>
      <c r="D338" s="16" t="str">
        <f aca="false">IF(C338="","",IFERROR(INDEX(Products!$B$2:$B$501,MATCH(C338,Products!$A$2:$A$501,0)),"CODE NOT FOUND"))</f>
        <v>Air Filter 150cc</v>
      </c>
      <c r="E338" s="7" t="n">
        <v>2</v>
      </c>
      <c r="F338" s="13" t="n">
        <v>340</v>
      </c>
      <c r="G338" s="13" t="n">
        <v>210</v>
      </c>
      <c r="H338" s="17" t="n">
        <f aca="false">IF(OR(E338="",F338=""),"",E338*F338)</f>
        <v>680</v>
      </c>
      <c r="I338" s="17" t="n">
        <f aca="false">IF(OR(E338="",G338=""),"",E338*G338)</f>
        <v>420</v>
      </c>
      <c r="J338" s="17" t="n">
        <f aca="false">IF(H338="","",H338-I338)</f>
        <v>260</v>
      </c>
    </row>
    <row r="339" customFormat="false" ht="15" hidden="false" customHeight="true" outlineLevel="0" collapsed="false">
      <c r="A339" s="7" t="s">
        <v>584</v>
      </c>
      <c r="B339" s="18" t="n">
        <f aca="false">IF(A339="","",IFERROR(INDEX(Sales_Memo!$B$2:$B$1001,MATCH(A339,Sales_Memo!$A$2:$A$1001,0)),""))</f>
        <v>46264</v>
      </c>
      <c r="C339" s="7" t="s">
        <v>86</v>
      </c>
      <c r="D339" s="16" t="str">
        <f aca="false">IF(C339="","",IFERROR(INDEX(Products!$B$2:$B$501,MATCH(C339,Products!$A$2:$A$501,0)),"CODE NOT FOUND"))</f>
        <v>Spark Plug CPR8EA-9</v>
      </c>
      <c r="E339" s="7" t="n">
        <v>2</v>
      </c>
      <c r="F339" s="13" t="n">
        <v>260</v>
      </c>
      <c r="G339" s="13" t="n">
        <v>175</v>
      </c>
      <c r="H339" s="17" t="n">
        <f aca="false">IF(OR(E339="",F339=""),"",E339*F339)</f>
        <v>520</v>
      </c>
      <c r="I339" s="17" t="n">
        <f aca="false">IF(OR(E339="",G339=""),"",E339*G339)</f>
        <v>350</v>
      </c>
      <c r="J339" s="17" t="n">
        <f aca="false">IF(H339="","",H339-I339)</f>
        <v>170</v>
      </c>
    </row>
    <row r="340" customFormat="false" ht="15" hidden="false" customHeight="true" outlineLevel="0" collapsed="false">
      <c r="A340" s="7" t="s">
        <v>584</v>
      </c>
      <c r="B340" s="18" t="n">
        <f aca="false">IF(A340="","",IFERROR(INDEX(Sales_Memo!$B$2:$B$1001,MATCH(A340,Sales_Memo!$A$2:$A$1001,0)),""))</f>
        <v>46264</v>
      </c>
      <c r="C340" s="7" t="s">
        <v>102</v>
      </c>
      <c r="D340" s="16" t="str">
        <f aca="false">IF(C340="","",IFERROR(INDEX(Products!$B$2:$B$501,MATCH(C340,Products!$A$2:$A$501,0)),"CODE NOT FOUND"))</f>
        <v>Headlight Bulb H4</v>
      </c>
      <c r="E340" s="7" t="n">
        <v>2</v>
      </c>
      <c r="F340" s="13" t="n">
        <v>240</v>
      </c>
      <c r="G340" s="13" t="n">
        <v>140</v>
      </c>
      <c r="H340" s="17" t="n">
        <f aca="false">IF(OR(E340="",F340=""),"",E340*F340)</f>
        <v>480</v>
      </c>
      <c r="I340" s="17" t="n">
        <f aca="false">IF(OR(E340="",G340=""),"",E340*G340)</f>
        <v>280</v>
      </c>
      <c r="J340" s="17" t="n">
        <f aca="false">IF(H340="","",H340-I340)</f>
        <v>200</v>
      </c>
    </row>
    <row r="341" customFormat="false" ht="15" hidden="false" customHeight="true" outlineLevel="0" collapsed="false">
      <c r="A341" s="7" t="s">
        <v>585</v>
      </c>
      <c r="B341" s="18" t="n">
        <f aca="false">IF(A341="","",IFERROR(INDEX(Sales_Memo!$B$2:$B$1001,MATCH(A341,Sales_Memo!$A$2:$A$1001,0)),""))</f>
        <v>46264</v>
      </c>
      <c r="C341" s="7" t="s">
        <v>82</v>
      </c>
      <c r="D341" s="16" t="str">
        <f aca="false">IF(C341="","",IFERROR(INDEX(Products!$B$2:$B$501,MATCH(C341,Products!$A$2:$A$501,0)),"CODE NOT FOUND"))</f>
        <v>Clutch Cable</v>
      </c>
      <c r="E341" s="7" t="n">
        <v>2</v>
      </c>
      <c r="F341" s="13" t="n">
        <v>190</v>
      </c>
      <c r="G341" s="13" t="n">
        <v>110</v>
      </c>
      <c r="H341" s="17" t="n">
        <f aca="false">IF(OR(E341="",F341=""),"",E341*F341)</f>
        <v>380</v>
      </c>
      <c r="I341" s="17" t="n">
        <f aca="false">IF(OR(E341="",G341=""),"",E341*G341)</f>
        <v>220</v>
      </c>
      <c r="J341" s="17" t="n">
        <f aca="false">IF(H341="","",H341-I341)</f>
        <v>160</v>
      </c>
    </row>
    <row r="342" customFormat="false" ht="15" hidden="false" customHeight="true" outlineLevel="0" collapsed="false">
      <c r="A342" s="7" t="s">
        <v>585</v>
      </c>
      <c r="B342" s="18" t="n">
        <f aca="false">IF(A342="","",IFERROR(INDEX(Sales_Memo!$B$2:$B$1001,MATCH(A342,Sales_Memo!$A$2:$A$1001,0)),""))</f>
        <v>46264</v>
      </c>
      <c r="C342" s="7" t="s">
        <v>105</v>
      </c>
      <c r="D342" s="16" t="str">
        <f aca="false">IF(C342="","",IFERROR(INDEX(Products!$B$2:$B$501,MATCH(C342,Products!$A$2:$A$501,0)),"CODE NOT FOUND"))</f>
        <v>Battery 12V 5Ah</v>
      </c>
      <c r="E342" s="7" t="n">
        <v>1</v>
      </c>
      <c r="F342" s="13" t="n">
        <v>2950</v>
      </c>
      <c r="G342" s="13" t="n">
        <v>2350</v>
      </c>
      <c r="H342" s="17" t="n">
        <f aca="false">IF(OR(E342="",F342=""),"",E342*F342)</f>
        <v>2950</v>
      </c>
      <c r="I342" s="17" t="n">
        <f aca="false">IF(OR(E342="",G342=""),"",E342*G342)</f>
        <v>2350</v>
      </c>
      <c r="J342" s="17" t="n">
        <f aca="false">IF(H342="","",H342-I342)</f>
        <v>600</v>
      </c>
    </row>
    <row r="343" customFormat="false" ht="15" hidden="false" customHeight="true" outlineLevel="0" collapsed="false">
      <c r="A343" s="7" t="s">
        <v>587</v>
      </c>
      <c r="B343" s="18" t="n">
        <f aca="false">IF(A343="","",IFERROR(INDEX(Sales_Memo!$B$2:$B$1001,MATCH(A343,Sales_Memo!$A$2:$A$1001,0)),""))</f>
        <v>46264</v>
      </c>
      <c r="C343" s="7" t="s">
        <v>77</v>
      </c>
      <c r="D343" s="16" t="str">
        <f aca="false">IF(C343="","",IFERROR(INDEX(Products!$B$2:$B$501,MATCH(C343,Products!$A$2:$A$501,0)),"CODE NOT FOUND"))</f>
        <v>Brake Pad Set - Front</v>
      </c>
      <c r="E343" s="7" t="n">
        <v>2</v>
      </c>
      <c r="F343" s="13" t="n">
        <v>480</v>
      </c>
      <c r="G343" s="13" t="n">
        <v>320</v>
      </c>
      <c r="H343" s="17" t="n">
        <f aca="false">IF(OR(E343="",F343=""),"",E343*F343)</f>
        <v>960</v>
      </c>
      <c r="I343" s="17" t="n">
        <f aca="false">IF(OR(E343="",G343=""),"",E343*G343)</f>
        <v>640</v>
      </c>
      <c r="J343" s="17" t="n">
        <f aca="false">IF(H343="","",H343-I343)</f>
        <v>320</v>
      </c>
    </row>
    <row r="344" customFormat="false" ht="15" hidden="false" customHeight="true" outlineLevel="0" collapsed="false">
      <c r="A344" s="7" t="s">
        <v>587</v>
      </c>
      <c r="B344" s="18" t="n">
        <f aca="false">IF(A344="","",IFERROR(INDEX(Sales_Memo!$B$2:$B$1001,MATCH(A344,Sales_Memo!$A$2:$A$1001,0)),""))</f>
        <v>46264</v>
      </c>
      <c r="C344" s="7" t="s">
        <v>96</v>
      </c>
      <c r="D344" s="16" t="str">
        <f aca="false">IF(C344="","",IFERROR(INDEX(Products!$B$2:$B$501,MATCH(C344,Products!$A$2:$A$501,0)),"CODE NOT FOUND"))</f>
        <v>Engine Oil 10W-30 (1L)</v>
      </c>
      <c r="E344" s="7" t="n">
        <v>2</v>
      </c>
      <c r="F344" s="13" t="n">
        <v>780</v>
      </c>
      <c r="G344" s="13" t="n">
        <v>620</v>
      </c>
      <c r="H344" s="17" t="n">
        <f aca="false">IF(OR(E344="",F344=""),"",E344*F344)</f>
        <v>1560</v>
      </c>
      <c r="I344" s="17" t="n">
        <f aca="false">IF(OR(E344="",G344=""),"",E344*G344)</f>
        <v>1240</v>
      </c>
      <c r="J344" s="17" t="n">
        <f aca="false">IF(H344="","",H344-I344)</f>
        <v>320</v>
      </c>
    </row>
    <row r="345" customFormat="false" ht="15" hidden="false" customHeight="true" outlineLevel="0" collapsed="false">
      <c r="A345" s="7" t="s">
        <v>589</v>
      </c>
      <c r="B345" s="18" t="n">
        <f aca="false">IF(A345="","",IFERROR(INDEX(Sales_Memo!$B$2:$B$1001,MATCH(A345,Sales_Memo!$A$2:$A$1001,0)),""))</f>
        <v>46265</v>
      </c>
      <c r="C345" s="7" t="s">
        <v>86</v>
      </c>
      <c r="D345" s="16" t="str">
        <f aca="false">IF(C345="","",IFERROR(INDEX(Products!$B$2:$B$501,MATCH(C345,Products!$A$2:$A$501,0)),"CODE NOT FOUND"))</f>
        <v>Spark Plug CPR8EA-9</v>
      </c>
      <c r="E345" s="7" t="n">
        <v>3</v>
      </c>
      <c r="F345" s="13" t="n">
        <v>260</v>
      </c>
      <c r="G345" s="13" t="n">
        <v>175</v>
      </c>
      <c r="H345" s="17" t="n">
        <f aca="false">IF(OR(E345="",F345=""),"",E345*F345)</f>
        <v>780</v>
      </c>
      <c r="I345" s="17" t="n">
        <f aca="false">IF(OR(E345="",G345=""),"",E345*G345)</f>
        <v>525</v>
      </c>
      <c r="J345" s="17" t="n">
        <f aca="false">IF(H345="","",H345-I345)</f>
        <v>255</v>
      </c>
    </row>
    <row r="346" customFormat="false" ht="15" hidden="false" customHeight="true" outlineLevel="0" collapsed="false">
      <c r="A346" s="7" t="s">
        <v>590</v>
      </c>
      <c r="B346" s="18" t="n">
        <f aca="false">IF(A346="","",IFERROR(INDEX(Sales_Memo!$B$2:$B$1001,MATCH(A346,Sales_Memo!$A$2:$A$1001,0)),""))</f>
        <v>46265</v>
      </c>
      <c r="C346" s="7" t="s">
        <v>90</v>
      </c>
      <c r="D346" s="16" t="str">
        <f aca="false">IF(C346="","",IFERROR(INDEX(Products!$B$2:$B$501,MATCH(C346,Products!$A$2:$A$501,0)),"CODE NOT FOUND"))</f>
        <v>Air Filter 150cc</v>
      </c>
      <c r="E346" s="7" t="n">
        <v>1</v>
      </c>
      <c r="F346" s="13" t="n">
        <v>340</v>
      </c>
      <c r="G346" s="13" t="n">
        <v>210</v>
      </c>
      <c r="H346" s="17" t="n">
        <f aca="false">IF(OR(E346="",F346=""),"",E346*F346)</f>
        <v>340</v>
      </c>
      <c r="I346" s="17" t="n">
        <f aca="false">IF(OR(E346="",G346=""),"",E346*G346)</f>
        <v>210</v>
      </c>
      <c r="J346" s="17" t="n">
        <f aca="false">IF(H346="","",H346-I346)</f>
        <v>130</v>
      </c>
    </row>
    <row r="347" customFormat="false" ht="15" hidden="false" customHeight="true" outlineLevel="0" collapsed="false">
      <c r="A347" s="7" t="s">
        <v>590</v>
      </c>
      <c r="B347" s="18" t="n">
        <f aca="false">IF(A347="","",IFERROR(INDEX(Sales_Memo!$B$2:$B$1001,MATCH(A347,Sales_Memo!$A$2:$A$1001,0)),""))</f>
        <v>46265</v>
      </c>
      <c r="C347" s="7" t="s">
        <v>119</v>
      </c>
      <c r="D347" s="16" t="str">
        <f aca="false">IF(C347="","",IFERROR(INDEX(Products!$B$2:$B$501,MATCH(C347,Products!$A$2:$A$501,0)),"CODE NOT FOUND"))</f>
        <v>Chain Lube Spray</v>
      </c>
      <c r="E347" s="7" t="n">
        <v>1</v>
      </c>
      <c r="F347" s="13" t="n">
        <v>270</v>
      </c>
      <c r="G347" s="13" t="n">
        <v>170</v>
      </c>
      <c r="H347" s="17" t="n">
        <f aca="false">IF(OR(E347="",F347=""),"",E347*F347)</f>
        <v>270</v>
      </c>
      <c r="I347" s="17" t="n">
        <f aca="false">IF(OR(E347="",G347=""),"",E347*G347)</f>
        <v>170</v>
      </c>
      <c r="J347" s="17" t="n">
        <f aca="false">IF(H347="","",H347-I347)</f>
        <v>100</v>
      </c>
    </row>
    <row r="348" customFormat="false" ht="15" hidden="false" customHeight="true" outlineLevel="0" collapsed="false">
      <c r="A348" s="7" t="s">
        <v>591</v>
      </c>
      <c r="B348" s="18" t="n">
        <f aca="false">IF(A348="","",IFERROR(INDEX(Sales_Memo!$B$2:$B$1001,MATCH(A348,Sales_Memo!$A$2:$A$1001,0)),""))</f>
        <v>46265</v>
      </c>
      <c r="C348" s="7" t="s">
        <v>99</v>
      </c>
      <c r="D348" s="16" t="str">
        <f aca="false">IF(C348="","",IFERROR(INDEX(Products!$B$2:$B$501,MATCH(C348,Products!$A$2:$A$501,0)),"CODE NOT FOUND"))</f>
        <v>Engine Oil 20W-50 (1L)</v>
      </c>
      <c r="E348" s="7" t="n">
        <v>1</v>
      </c>
      <c r="F348" s="13" t="n">
        <v>990</v>
      </c>
      <c r="G348" s="13" t="n">
        <v>780</v>
      </c>
      <c r="H348" s="17" t="n">
        <f aca="false">IF(OR(E348="",F348=""),"",E348*F348)</f>
        <v>990</v>
      </c>
      <c r="I348" s="17" t="n">
        <f aca="false">IF(OR(E348="",G348=""),"",E348*G348)</f>
        <v>780</v>
      </c>
      <c r="J348" s="17" t="n">
        <f aca="false">IF(H348="","",H348-I348)</f>
        <v>210</v>
      </c>
    </row>
    <row r="349" customFormat="false" ht="15" hidden="false" customHeight="true" outlineLevel="0" collapsed="false">
      <c r="A349" s="7" t="s">
        <v>592</v>
      </c>
      <c r="B349" s="18" t="n">
        <f aca="false">IF(A349="","",IFERROR(INDEX(Sales_Memo!$B$2:$B$1001,MATCH(A349,Sales_Memo!$A$2:$A$1001,0)),""))</f>
        <v>46265</v>
      </c>
      <c r="C349" s="7" t="s">
        <v>82</v>
      </c>
      <c r="D349" s="16" t="str">
        <f aca="false">IF(C349="","",IFERROR(INDEX(Products!$B$2:$B$501,MATCH(C349,Products!$A$2:$A$501,0)),"CODE NOT FOUND"))</f>
        <v>Clutch Cable</v>
      </c>
      <c r="E349" s="7" t="n">
        <v>3</v>
      </c>
      <c r="F349" s="13" t="n">
        <v>190</v>
      </c>
      <c r="G349" s="13" t="n">
        <v>110</v>
      </c>
      <c r="H349" s="17" t="n">
        <f aca="false">IF(OR(E349="",F349=""),"",E349*F349)</f>
        <v>570</v>
      </c>
      <c r="I349" s="17" t="n">
        <f aca="false">IF(OR(E349="",G349=""),"",E349*G349)</f>
        <v>330</v>
      </c>
      <c r="J349" s="17" t="n">
        <f aca="false">IF(H349="","",H349-I349)</f>
        <v>240</v>
      </c>
    </row>
    <row r="350" customFormat="false" ht="15" hidden="false" customHeight="true" outlineLevel="0" collapsed="false">
      <c r="A350" s="7" t="s">
        <v>593</v>
      </c>
      <c r="B350" s="18" t="n">
        <f aca="false">IF(A350="","",IFERROR(INDEX(Sales_Memo!$B$2:$B$1001,MATCH(A350,Sales_Memo!$A$2:$A$1001,0)),""))</f>
        <v>46265</v>
      </c>
      <c r="C350" s="7" t="s">
        <v>108</v>
      </c>
      <c r="D350" s="16" t="str">
        <f aca="false">IF(C350="","",IFERROR(INDEX(Products!$B$2:$B$501,MATCH(C350,Products!$A$2:$A$501,0)),"CODE NOT FOUND"))</f>
        <v>Tyre 90/90-17 Rear</v>
      </c>
      <c r="E350" s="7" t="n">
        <v>1</v>
      </c>
      <c r="F350" s="13" t="n">
        <v>3350</v>
      </c>
      <c r="G350" s="13" t="n">
        <v>2750</v>
      </c>
      <c r="H350" s="17" t="n">
        <f aca="false">IF(OR(E350="",F350=""),"",E350*F350)</f>
        <v>3350</v>
      </c>
      <c r="I350" s="17" t="n">
        <f aca="false">IF(OR(E350="",G350=""),"",E350*G350)</f>
        <v>2750</v>
      </c>
      <c r="J350" s="17" t="n">
        <f aca="false">IF(H350="","",H350-I350)</f>
        <v>600</v>
      </c>
    </row>
    <row r="351" customFormat="false" ht="15" hidden="false" customHeight="true" outlineLevel="0" collapsed="false">
      <c r="A351" s="7" t="s">
        <v>593</v>
      </c>
      <c r="B351" s="18" t="n">
        <f aca="false">IF(A351="","",IFERROR(INDEX(Sales_Memo!$B$2:$B$1001,MATCH(A351,Sales_Memo!$A$2:$A$1001,0)),""))</f>
        <v>46265</v>
      </c>
      <c r="C351" s="7" t="s">
        <v>90</v>
      </c>
      <c r="D351" s="16" t="str">
        <f aca="false">IF(C351="","",IFERROR(INDEX(Products!$B$2:$B$501,MATCH(C351,Products!$A$2:$A$501,0)),"CODE NOT FOUND"))</f>
        <v>Air Filter 150cc</v>
      </c>
      <c r="E351" s="7" t="n">
        <v>2</v>
      </c>
      <c r="F351" s="13" t="n">
        <v>340</v>
      </c>
      <c r="G351" s="13" t="n">
        <v>210</v>
      </c>
      <c r="H351" s="17" t="n">
        <f aca="false">IF(OR(E351="",F351=""),"",E351*F351)</f>
        <v>680</v>
      </c>
      <c r="I351" s="17" t="n">
        <f aca="false">IF(OR(E351="",G351=""),"",E351*G351)</f>
        <v>420</v>
      </c>
      <c r="J351" s="17" t="n">
        <f aca="false">IF(H351="","",H351-I351)</f>
        <v>260</v>
      </c>
    </row>
    <row r="352" customFormat="false" ht="15" hidden="false" customHeight="true" outlineLevel="0" collapsed="false">
      <c r="A352" s="7" t="s">
        <v>595</v>
      </c>
      <c r="B352" s="18" t="n">
        <f aca="false">IF(A352="","",IFERROR(INDEX(Sales_Memo!$B$2:$B$1001,MATCH(A352,Sales_Memo!$A$2:$A$1001,0)),""))</f>
        <v>46265</v>
      </c>
      <c r="C352" s="7" t="s">
        <v>77</v>
      </c>
      <c r="D352" s="16" t="str">
        <f aca="false">IF(C352="","",IFERROR(INDEX(Products!$B$2:$B$501,MATCH(C352,Products!$A$2:$A$501,0)),"CODE NOT FOUND"))</f>
        <v>Brake Pad Set - Front</v>
      </c>
      <c r="E352" s="7" t="n">
        <v>1</v>
      </c>
      <c r="F352" s="13" t="n">
        <v>480</v>
      </c>
      <c r="G352" s="13" t="n">
        <v>320</v>
      </c>
      <c r="H352" s="17" t="n">
        <f aca="false">IF(OR(E352="",F352=""),"",E352*F352)</f>
        <v>480</v>
      </c>
      <c r="I352" s="17" t="n">
        <f aca="false">IF(OR(E352="",G352=""),"",E352*G352)</f>
        <v>320</v>
      </c>
      <c r="J352" s="17" t="n">
        <f aca="false">IF(H352="","",H352-I352)</f>
        <v>160</v>
      </c>
    </row>
    <row r="353" customFormat="false" ht="15" hidden="false" customHeight="true" outlineLevel="0" collapsed="false">
      <c r="A353" s="7" t="s">
        <v>595</v>
      </c>
      <c r="B353" s="18" t="n">
        <f aca="false">IF(A353="","",IFERROR(INDEX(Sales_Memo!$B$2:$B$1001,MATCH(A353,Sales_Memo!$A$2:$A$1001,0)),""))</f>
        <v>46265</v>
      </c>
      <c r="C353" s="7" t="s">
        <v>99</v>
      </c>
      <c r="D353" s="16" t="str">
        <f aca="false">IF(C353="","",IFERROR(INDEX(Products!$B$2:$B$501,MATCH(C353,Products!$A$2:$A$501,0)),"CODE NOT FOUND"))</f>
        <v>Engine Oil 20W-50 (1L)</v>
      </c>
      <c r="E353" s="7" t="n">
        <v>2</v>
      </c>
      <c r="F353" s="13" t="n">
        <v>990</v>
      </c>
      <c r="G353" s="13" t="n">
        <v>780</v>
      </c>
      <c r="H353" s="17" t="n">
        <f aca="false">IF(OR(E353="",F353=""),"",E353*F353)</f>
        <v>1980</v>
      </c>
      <c r="I353" s="17" t="n">
        <f aca="false">IF(OR(E353="",G353=""),"",E353*G353)</f>
        <v>1560</v>
      </c>
      <c r="J353" s="17" t="n">
        <f aca="false">IF(H353="","",H353-I353)</f>
        <v>420</v>
      </c>
    </row>
    <row r="354" customFormat="false" ht="15" hidden="false" customHeight="true" outlineLevel="0" collapsed="false">
      <c r="A354" s="7" t="s">
        <v>597</v>
      </c>
      <c r="B354" s="18" t="n">
        <f aca="false">IF(A354="","",IFERROR(INDEX(Sales_Memo!$B$2:$B$1001,MATCH(A354,Sales_Memo!$A$2:$A$1001,0)),""))</f>
        <v>46265</v>
      </c>
      <c r="C354" s="7" t="s">
        <v>82</v>
      </c>
      <c r="D354" s="16" t="str">
        <f aca="false">IF(C354="","",IFERROR(INDEX(Products!$B$2:$B$501,MATCH(C354,Products!$A$2:$A$501,0)),"CODE NOT FOUND"))</f>
        <v>Clutch Cable</v>
      </c>
      <c r="E354" s="7" t="n">
        <v>2</v>
      </c>
      <c r="F354" s="13" t="n">
        <v>190</v>
      </c>
      <c r="G354" s="13" t="n">
        <v>110</v>
      </c>
      <c r="H354" s="17" t="n">
        <f aca="false">IF(OR(E354="",F354=""),"",E354*F354)</f>
        <v>380</v>
      </c>
      <c r="I354" s="17" t="n">
        <f aca="false">IF(OR(E354="",G354=""),"",E354*G354)</f>
        <v>220</v>
      </c>
      <c r="J354" s="17" t="n">
        <f aca="false">IF(H354="","",H354-I354)</f>
        <v>160</v>
      </c>
    </row>
    <row r="355" customFormat="false" ht="15" hidden="false" customHeight="true" outlineLevel="0" collapsed="false">
      <c r="A355" s="7" t="s">
        <v>598</v>
      </c>
      <c r="B355" s="18" t="n">
        <f aca="false">IF(A355="","",IFERROR(INDEX(Sales_Memo!$B$2:$B$1001,MATCH(A355,Sales_Memo!$A$2:$A$1001,0)),""))</f>
        <v>46265</v>
      </c>
      <c r="C355" s="7" t="s">
        <v>119</v>
      </c>
      <c r="D355" s="16" t="str">
        <f aca="false">IF(C355="","",IFERROR(INDEX(Products!$B$2:$B$501,MATCH(C355,Products!$A$2:$A$501,0)),"CODE NOT FOUND"))</f>
        <v>Chain Lube Spray</v>
      </c>
      <c r="E355" s="7" t="n">
        <v>1</v>
      </c>
      <c r="F355" s="13" t="n">
        <v>270</v>
      </c>
      <c r="G355" s="13" t="n">
        <v>170</v>
      </c>
      <c r="H355" s="17" t="n">
        <f aca="false">IF(OR(E355="",F355=""),"",E355*F355)</f>
        <v>270</v>
      </c>
      <c r="I355" s="17" t="n">
        <f aca="false">IF(OR(E355="",G355=""),"",E355*G355)</f>
        <v>170</v>
      </c>
      <c r="J355" s="17" t="n">
        <f aca="false">IF(H355="","",H355-I355)</f>
        <v>100</v>
      </c>
    </row>
    <row r="356" customFormat="false" ht="15" hidden="false" customHeight="true" outlineLevel="0" collapsed="false">
      <c r="A356" s="7" t="s">
        <v>599</v>
      </c>
      <c r="B356" s="18" t="n">
        <f aca="false">IF(A356="","",IFERROR(INDEX(Sales_Memo!$B$2:$B$1001,MATCH(A356,Sales_Memo!$A$2:$A$1001,0)),""))</f>
        <v>46266</v>
      </c>
      <c r="C356" s="7" t="s">
        <v>121</v>
      </c>
      <c r="D356" s="16" t="str">
        <f aca="false">IF(C356="","",IFERROR(INDEX(Products!$B$2:$B$501,MATCH(C356,Products!$A$2:$A$501,0)),"CODE NOT FOUND"))</f>
        <v>Handle Grip Set</v>
      </c>
      <c r="E356" s="7" t="n">
        <v>1</v>
      </c>
      <c r="F356" s="13" t="n">
        <v>280</v>
      </c>
      <c r="G356" s="13" t="n">
        <v>160</v>
      </c>
      <c r="H356" s="17" t="n">
        <f aca="false">IF(OR(E356="",F356=""),"",E356*F356)</f>
        <v>280</v>
      </c>
      <c r="I356" s="17" t="n">
        <f aca="false">IF(OR(E356="",G356=""),"",E356*G356)</f>
        <v>160</v>
      </c>
      <c r="J356" s="17" t="n">
        <f aca="false">IF(H356="","",H356-I356)</f>
        <v>120</v>
      </c>
    </row>
    <row r="357" customFormat="false" ht="15" hidden="false" customHeight="true" outlineLevel="0" collapsed="false">
      <c r="A357" s="7" t="s">
        <v>600</v>
      </c>
      <c r="B357" s="18" t="n">
        <f aca="false">IF(A357="","",IFERROR(INDEX(Sales_Memo!$B$2:$B$1001,MATCH(A357,Sales_Memo!$A$2:$A$1001,0)),""))</f>
        <v>46266</v>
      </c>
      <c r="C357" s="7" t="s">
        <v>99</v>
      </c>
      <c r="D357" s="16" t="str">
        <f aca="false">IF(C357="","",IFERROR(INDEX(Products!$B$2:$B$501,MATCH(C357,Products!$A$2:$A$501,0)),"CODE NOT FOUND"))</f>
        <v>Engine Oil 20W-50 (1L)</v>
      </c>
      <c r="E357" s="7" t="n">
        <v>2</v>
      </c>
      <c r="F357" s="13" t="n">
        <v>990</v>
      </c>
      <c r="G357" s="13" t="n">
        <v>780</v>
      </c>
      <c r="H357" s="17" t="n">
        <f aca="false">IF(OR(E357="",F357=""),"",E357*F357)</f>
        <v>1980</v>
      </c>
      <c r="I357" s="17" t="n">
        <f aca="false">IF(OR(E357="",G357=""),"",E357*G357)</f>
        <v>1560</v>
      </c>
      <c r="J357" s="17" t="n">
        <f aca="false">IF(H357="","",H357-I357)</f>
        <v>420</v>
      </c>
    </row>
    <row r="358" customFormat="false" ht="15" hidden="false" customHeight="true" outlineLevel="0" collapsed="false">
      <c r="A358" s="7" t="s">
        <v>601</v>
      </c>
      <c r="B358" s="18" t="n">
        <f aca="false">IF(A358="","",IFERROR(INDEX(Sales_Memo!$B$2:$B$1001,MATCH(A358,Sales_Memo!$A$2:$A$1001,0)),""))</f>
        <v>46266</v>
      </c>
      <c r="C358" s="7" t="s">
        <v>82</v>
      </c>
      <c r="D358" s="16" t="str">
        <f aca="false">IF(C358="","",IFERROR(INDEX(Products!$B$2:$B$501,MATCH(C358,Products!$A$2:$A$501,0)),"CODE NOT FOUND"))</f>
        <v>Clutch Cable</v>
      </c>
      <c r="E358" s="7" t="n">
        <v>2</v>
      </c>
      <c r="F358" s="13" t="n">
        <v>190</v>
      </c>
      <c r="G358" s="13" t="n">
        <v>110</v>
      </c>
      <c r="H358" s="17" t="n">
        <f aca="false">IF(OR(E358="",F358=""),"",E358*F358)</f>
        <v>380</v>
      </c>
      <c r="I358" s="17" t="n">
        <f aca="false">IF(OR(E358="",G358=""),"",E358*G358)</f>
        <v>220</v>
      </c>
      <c r="J358" s="17" t="n">
        <f aca="false">IF(H358="","",H358-I358)</f>
        <v>160</v>
      </c>
    </row>
    <row r="359" customFormat="false" ht="15" hidden="false" customHeight="true" outlineLevel="0" collapsed="false">
      <c r="A359" s="7" t="s">
        <v>602</v>
      </c>
      <c r="B359" s="18" t="n">
        <f aca="false">IF(A359="","",IFERROR(INDEX(Sales_Memo!$B$2:$B$1001,MATCH(A359,Sales_Memo!$A$2:$A$1001,0)),""))</f>
        <v>46266</v>
      </c>
      <c r="C359" s="7" t="s">
        <v>119</v>
      </c>
      <c r="D359" s="16" t="str">
        <f aca="false">IF(C359="","",IFERROR(INDEX(Products!$B$2:$B$501,MATCH(C359,Products!$A$2:$A$501,0)),"CODE NOT FOUND"))</f>
        <v>Chain Lube Spray</v>
      </c>
      <c r="E359" s="7" t="n">
        <v>3</v>
      </c>
      <c r="F359" s="13" t="n">
        <v>270</v>
      </c>
      <c r="G359" s="13" t="n">
        <v>170</v>
      </c>
      <c r="H359" s="17" t="n">
        <f aca="false">IF(OR(E359="",F359=""),"",E359*F359)</f>
        <v>810</v>
      </c>
      <c r="I359" s="17" t="n">
        <f aca="false">IF(OR(E359="",G359=""),"",E359*G359)</f>
        <v>510</v>
      </c>
      <c r="J359" s="17" t="n">
        <f aca="false">IF(H359="","",H359-I359)</f>
        <v>300</v>
      </c>
    </row>
    <row r="360" customFormat="false" ht="15" hidden="false" customHeight="true" outlineLevel="0" collapsed="false">
      <c r="A360" s="7" t="s">
        <v>602</v>
      </c>
      <c r="B360" s="18" t="n">
        <f aca="false">IF(A360="","",IFERROR(INDEX(Sales_Memo!$B$2:$B$1001,MATCH(A360,Sales_Memo!$A$2:$A$1001,0)),""))</f>
        <v>46266</v>
      </c>
      <c r="C360" s="7" t="s">
        <v>121</v>
      </c>
      <c r="D360" s="16" t="str">
        <f aca="false">IF(C360="","",IFERROR(INDEX(Products!$B$2:$B$501,MATCH(C360,Products!$A$2:$A$501,0)),"CODE NOT FOUND"))</f>
        <v>Handle Grip Set</v>
      </c>
      <c r="E360" s="7" t="n">
        <v>1</v>
      </c>
      <c r="F360" s="13" t="n">
        <v>280</v>
      </c>
      <c r="G360" s="13" t="n">
        <v>160</v>
      </c>
      <c r="H360" s="17" t="n">
        <f aca="false">IF(OR(E360="",F360=""),"",E360*F360)</f>
        <v>280</v>
      </c>
      <c r="I360" s="17" t="n">
        <f aca="false">IF(OR(E360="",G360=""),"",E360*G360)</f>
        <v>160</v>
      </c>
      <c r="J360" s="17" t="n">
        <f aca="false">IF(H360="","",H360-I360)</f>
        <v>120</v>
      </c>
    </row>
    <row r="361" customFormat="false" ht="15" hidden="false" customHeight="true" outlineLevel="0" collapsed="false">
      <c r="A361" s="7" t="s">
        <v>604</v>
      </c>
      <c r="B361" s="18" t="n">
        <f aca="false">IF(A361="","",IFERROR(INDEX(Sales_Memo!$B$2:$B$1001,MATCH(A361,Sales_Memo!$A$2:$A$1001,0)),""))</f>
        <v>46266</v>
      </c>
      <c r="C361" s="7" t="s">
        <v>119</v>
      </c>
      <c r="D361" s="16" t="str">
        <f aca="false">IF(C361="","",IFERROR(INDEX(Products!$B$2:$B$501,MATCH(C361,Products!$A$2:$A$501,0)),"CODE NOT FOUND"))</f>
        <v>Chain Lube Spray</v>
      </c>
      <c r="E361" s="7" t="n">
        <v>1</v>
      </c>
      <c r="F361" s="13" t="n">
        <v>270</v>
      </c>
      <c r="G361" s="13" t="n">
        <v>170</v>
      </c>
      <c r="H361" s="17" t="n">
        <f aca="false">IF(OR(E361="",F361=""),"",E361*F361)</f>
        <v>270</v>
      </c>
      <c r="I361" s="17" t="n">
        <f aca="false">IF(OR(E361="",G361=""),"",E361*G361)</f>
        <v>170</v>
      </c>
      <c r="J361" s="17" t="n">
        <f aca="false">IF(H361="","",H361-I361)</f>
        <v>100</v>
      </c>
    </row>
    <row r="362" customFormat="false" ht="15" hidden="false" customHeight="true" outlineLevel="0" collapsed="false">
      <c r="A362" s="7" t="s">
        <v>605</v>
      </c>
      <c r="B362" s="18" t="n">
        <f aca="false">IF(A362="","",IFERROR(INDEX(Sales_Memo!$B$2:$B$1001,MATCH(A362,Sales_Memo!$A$2:$A$1001,0)),""))</f>
        <v>46266</v>
      </c>
      <c r="C362" s="7" t="s">
        <v>93</v>
      </c>
      <c r="D362" s="16" t="str">
        <f aca="false">IF(C362="","",IFERROR(INDEX(Products!$B$2:$B$501,MATCH(C362,Products!$A$2:$A$501,0)),"CODE NOT FOUND"))</f>
        <v>Chain &amp; Sprocket Kit</v>
      </c>
      <c r="E362" s="7" t="n">
        <v>1</v>
      </c>
      <c r="F362" s="13" t="n">
        <v>2350</v>
      </c>
      <c r="G362" s="13" t="n">
        <v>1750</v>
      </c>
      <c r="H362" s="17" t="n">
        <f aca="false">IF(OR(E362="",F362=""),"",E362*F362)</f>
        <v>2350</v>
      </c>
      <c r="I362" s="17" t="n">
        <f aca="false">IF(OR(E362="",G362=""),"",E362*G362)</f>
        <v>1750</v>
      </c>
      <c r="J362" s="17" t="n">
        <f aca="false">IF(H362="","",H362-I362)</f>
        <v>600</v>
      </c>
    </row>
    <row r="363" customFormat="false" ht="15" hidden="false" customHeight="true" outlineLevel="0" collapsed="false">
      <c r="A363" s="7" t="s">
        <v>605</v>
      </c>
      <c r="B363" s="18" t="n">
        <f aca="false">IF(A363="","",IFERROR(INDEX(Sales_Memo!$B$2:$B$1001,MATCH(A363,Sales_Memo!$A$2:$A$1001,0)),""))</f>
        <v>46266</v>
      </c>
      <c r="C363" s="7" t="s">
        <v>96</v>
      </c>
      <c r="D363" s="16" t="str">
        <f aca="false">IF(C363="","",IFERROR(INDEX(Products!$B$2:$B$501,MATCH(C363,Products!$A$2:$A$501,0)),"CODE NOT FOUND"))</f>
        <v>Engine Oil 10W-30 (1L)</v>
      </c>
      <c r="E363" s="7" t="n">
        <v>1</v>
      </c>
      <c r="F363" s="13" t="n">
        <v>780</v>
      </c>
      <c r="G363" s="13" t="n">
        <v>620</v>
      </c>
      <c r="H363" s="17" t="n">
        <f aca="false">IF(OR(E363="",F363=""),"",E363*F363)</f>
        <v>780</v>
      </c>
      <c r="I363" s="17" t="n">
        <f aca="false">IF(OR(E363="",G363=""),"",E363*G363)</f>
        <v>620</v>
      </c>
      <c r="J363" s="17" t="n">
        <f aca="false">IF(H363="","",H363-I363)</f>
        <v>160</v>
      </c>
    </row>
    <row r="364" customFormat="false" ht="15" hidden="false" customHeight="true" outlineLevel="0" collapsed="false">
      <c r="A364" s="7" t="s">
        <v>607</v>
      </c>
      <c r="B364" s="18" t="n">
        <f aca="false">IF(A364="","",IFERROR(INDEX(Sales_Memo!$B$2:$B$1001,MATCH(A364,Sales_Memo!$A$2:$A$1001,0)),""))</f>
        <v>46266</v>
      </c>
      <c r="C364" s="7" t="s">
        <v>102</v>
      </c>
      <c r="D364" s="16" t="str">
        <f aca="false">IF(C364="","",IFERROR(INDEX(Products!$B$2:$B$501,MATCH(C364,Products!$A$2:$A$501,0)),"CODE NOT FOUND"))</f>
        <v>Headlight Bulb H4</v>
      </c>
      <c r="E364" s="7" t="n">
        <v>2</v>
      </c>
      <c r="F364" s="13" t="n">
        <v>240</v>
      </c>
      <c r="G364" s="13" t="n">
        <v>140</v>
      </c>
      <c r="H364" s="17" t="n">
        <f aca="false">IF(OR(E364="",F364=""),"",E364*F364)</f>
        <v>480</v>
      </c>
      <c r="I364" s="17" t="n">
        <f aca="false">IF(OR(E364="",G364=""),"",E364*G364)</f>
        <v>280</v>
      </c>
      <c r="J364" s="17" t="n">
        <f aca="false">IF(H364="","",H364-I364)</f>
        <v>200</v>
      </c>
    </row>
    <row r="365" customFormat="false" ht="15" hidden="false" customHeight="true" outlineLevel="0" collapsed="false">
      <c r="A365" s="7" t="s">
        <v>608</v>
      </c>
      <c r="B365" s="18" t="n">
        <f aca="false">IF(A365="","",IFERROR(INDEX(Sales_Memo!$B$2:$B$1001,MATCH(A365,Sales_Memo!$A$2:$A$1001,0)),""))</f>
        <v>46267</v>
      </c>
      <c r="C365" s="7" t="s">
        <v>102</v>
      </c>
      <c r="D365" s="16" t="str">
        <f aca="false">IF(C365="","",IFERROR(INDEX(Products!$B$2:$B$501,MATCH(C365,Products!$A$2:$A$501,0)),"CODE NOT FOUND"))</f>
        <v>Headlight Bulb H4</v>
      </c>
      <c r="E365" s="7" t="n">
        <v>1</v>
      </c>
      <c r="F365" s="13" t="n">
        <v>240</v>
      </c>
      <c r="G365" s="13" t="n">
        <v>140</v>
      </c>
      <c r="H365" s="17" t="n">
        <f aca="false">IF(OR(E365="",F365=""),"",E365*F365)</f>
        <v>240</v>
      </c>
      <c r="I365" s="17" t="n">
        <f aca="false">IF(OR(E365="",G365=""),"",E365*G365)</f>
        <v>140</v>
      </c>
      <c r="J365" s="17" t="n">
        <f aca="false">IF(H365="","",H365-I365)</f>
        <v>100</v>
      </c>
    </row>
    <row r="366" customFormat="false" ht="15" hidden="false" customHeight="true" outlineLevel="0" collapsed="false">
      <c r="A366" s="7" t="s">
        <v>609</v>
      </c>
      <c r="B366" s="18" t="n">
        <f aca="false">IF(A366="","",IFERROR(INDEX(Sales_Memo!$B$2:$B$1001,MATCH(A366,Sales_Memo!$A$2:$A$1001,0)),""))</f>
        <v>46267</v>
      </c>
      <c r="C366" s="7" t="s">
        <v>102</v>
      </c>
      <c r="D366" s="16" t="str">
        <f aca="false">IF(C366="","",IFERROR(INDEX(Products!$B$2:$B$501,MATCH(C366,Products!$A$2:$A$501,0)),"CODE NOT FOUND"))</f>
        <v>Headlight Bulb H4</v>
      </c>
      <c r="E366" s="7" t="n">
        <v>1</v>
      </c>
      <c r="F366" s="13" t="n">
        <v>240</v>
      </c>
      <c r="G366" s="13" t="n">
        <v>140</v>
      </c>
      <c r="H366" s="17" t="n">
        <f aca="false">IF(OR(E366="",F366=""),"",E366*F366)</f>
        <v>240</v>
      </c>
      <c r="I366" s="17" t="n">
        <f aca="false">IF(OR(E366="",G366=""),"",E366*G366)</f>
        <v>140</v>
      </c>
      <c r="J366" s="17" t="n">
        <f aca="false">IF(H366="","",H366-I366)</f>
        <v>100</v>
      </c>
    </row>
    <row r="367" customFormat="false" ht="15" hidden="false" customHeight="true" outlineLevel="0" collapsed="false">
      <c r="A367" s="7" t="s">
        <v>609</v>
      </c>
      <c r="B367" s="18" t="n">
        <f aca="false">IF(A367="","",IFERROR(INDEX(Sales_Memo!$B$2:$B$1001,MATCH(A367,Sales_Memo!$A$2:$A$1001,0)),""))</f>
        <v>46267</v>
      </c>
      <c r="C367" s="7" t="s">
        <v>82</v>
      </c>
      <c r="D367" s="16" t="str">
        <f aca="false">IF(C367="","",IFERROR(INDEX(Products!$B$2:$B$501,MATCH(C367,Products!$A$2:$A$501,0)),"CODE NOT FOUND"))</f>
        <v>Clutch Cable</v>
      </c>
      <c r="E367" s="7" t="n">
        <v>1</v>
      </c>
      <c r="F367" s="13" t="n">
        <v>190</v>
      </c>
      <c r="G367" s="13" t="n">
        <v>110</v>
      </c>
      <c r="H367" s="17" t="n">
        <f aca="false">IF(OR(E367="",F367=""),"",E367*F367)</f>
        <v>190</v>
      </c>
      <c r="I367" s="17" t="n">
        <f aca="false">IF(OR(E367="",G367=""),"",E367*G367)</f>
        <v>110</v>
      </c>
      <c r="J367" s="17" t="n">
        <f aca="false">IF(H367="","",H367-I367)</f>
        <v>80</v>
      </c>
    </row>
    <row r="368" customFormat="false" ht="15" hidden="false" customHeight="true" outlineLevel="0" collapsed="false">
      <c r="A368" s="7" t="s">
        <v>609</v>
      </c>
      <c r="B368" s="18" t="n">
        <f aca="false">IF(A368="","",IFERROR(INDEX(Sales_Memo!$B$2:$B$1001,MATCH(A368,Sales_Memo!$A$2:$A$1001,0)),""))</f>
        <v>46267</v>
      </c>
      <c r="C368" s="7" t="s">
        <v>86</v>
      </c>
      <c r="D368" s="16" t="str">
        <f aca="false">IF(C368="","",IFERROR(INDEX(Products!$B$2:$B$501,MATCH(C368,Products!$A$2:$A$501,0)),"CODE NOT FOUND"))</f>
        <v>Spark Plug CPR8EA-9</v>
      </c>
      <c r="E368" s="7" t="n">
        <v>2</v>
      </c>
      <c r="F368" s="13" t="n">
        <v>260</v>
      </c>
      <c r="G368" s="13" t="n">
        <v>175</v>
      </c>
      <c r="H368" s="17" t="n">
        <f aca="false">IF(OR(E368="",F368=""),"",E368*F368)</f>
        <v>520</v>
      </c>
      <c r="I368" s="17" t="n">
        <f aca="false">IF(OR(E368="",G368=""),"",E368*G368)</f>
        <v>350</v>
      </c>
      <c r="J368" s="17" t="n">
        <f aca="false">IF(H368="","",H368-I368)</f>
        <v>170</v>
      </c>
    </row>
    <row r="369" customFormat="false" ht="15" hidden="false" customHeight="true" outlineLevel="0" collapsed="false">
      <c r="A369" s="7" t="s">
        <v>611</v>
      </c>
      <c r="B369" s="18" t="n">
        <f aca="false">IF(A369="","",IFERROR(INDEX(Sales_Memo!$B$2:$B$1001,MATCH(A369,Sales_Memo!$A$2:$A$1001,0)),""))</f>
        <v>46267</v>
      </c>
      <c r="C369" s="7" t="s">
        <v>108</v>
      </c>
      <c r="D369" s="16" t="str">
        <f aca="false">IF(C369="","",IFERROR(INDEX(Products!$B$2:$B$501,MATCH(C369,Products!$A$2:$A$501,0)),"CODE NOT FOUND"))</f>
        <v>Tyre 90/90-17 Rear</v>
      </c>
      <c r="E369" s="7" t="n">
        <v>1</v>
      </c>
      <c r="F369" s="13" t="n">
        <v>3350</v>
      </c>
      <c r="G369" s="13" t="n">
        <v>2750</v>
      </c>
      <c r="H369" s="17" t="n">
        <f aca="false">IF(OR(E369="",F369=""),"",E369*F369)</f>
        <v>3350</v>
      </c>
      <c r="I369" s="17" t="n">
        <f aca="false">IF(OR(E369="",G369=""),"",E369*G369)</f>
        <v>2750</v>
      </c>
      <c r="J369" s="17" t="n">
        <f aca="false">IF(H369="","",H369-I369)</f>
        <v>600</v>
      </c>
    </row>
    <row r="370" customFormat="false" ht="15" hidden="false" customHeight="true" outlineLevel="0" collapsed="false">
      <c r="A370" s="7" t="s">
        <v>613</v>
      </c>
      <c r="B370" s="18" t="n">
        <f aca="false">IF(A370="","",IFERROR(INDEX(Sales_Memo!$B$2:$B$1001,MATCH(A370,Sales_Memo!$A$2:$A$1001,0)),""))</f>
        <v>46267</v>
      </c>
      <c r="C370" s="7" t="s">
        <v>82</v>
      </c>
      <c r="D370" s="16" t="str">
        <f aca="false">IF(C370="","",IFERROR(INDEX(Products!$B$2:$B$501,MATCH(C370,Products!$A$2:$A$501,0)),"CODE NOT FOUND"))</f>
        <v>Clutch Cable</v>
      </c>
      <c r="E370" s="7" t="n">
        <v>1</v>
      </c>
      <c r="F370" s="13" t="n">
        <v>190</v>
      </c>
      <c r="G370" s="13" t="n">
        <v>110</v>
      </c>
      <c r="H370" s="17" t="n">
        <f aca="false">IF(OR(E370="",F370=""),"",E370*F370)</f>
        <v>190</v>
      </c>
      <c r="I370" s="17" t="n">
        <f aca="false">IF(OR(E370="",G370=""),"",E370*G370)</f>
        <v>110</v>
      </c>
      <c r="J370" s="17" t="n">
        <f aca="false">IF(H370="","",H370-I370)</f>
        <v>80</v>
      </c>
    </row>
    <row r="371" customFormat="false" ht="15" hidden="false" customHeight="true" outlineLevel="0" collapsed="false">
      <c r="A371" s="7" t="s">
        <v>613</v>
      </c>
      <c r="B371" s="18" t="n">
        <f aca="false">IF(A371="","",IFERROR(INDEX(Sales_Memo!$B$2:$B$1001,MATCH(A371,Sales_Memo!$A$2:$A$1001,0)),""))</f>
        <v>46267</v>
      </c>
      <c r="C371" s="7" t="s">
        <v>102</v>
      </c>
      <c r="D371" s="16" t="str">
        <f aca="false">IF(C371="","",IFERROR(INDEX(Products!$B$2:$B$501,MATCH(C371,Products!$A$2:$A$501,0)),"CODE NOT FOUND"))</f>
        <v>Headlight Bulb H4</v>
      </c>
      <c r="E371" s="7" t="n">
        <v>2</v>
      </c>
      <c r="F371" s="13" t="n">
        <v>240</v>
      </c>
      <c r="G371" s="13" t="n">
        <v>140</v>
      </c>
      <c r="H371" s="17" t="n">
        <f aca="false">IF(OR(E371="",F371=""),"",E371*F371)</f>
        <v>480</v>
      </c>
      <c r="I371" s="17" t="n">
        <f aca="false">IF(OR(E371="",G371=""),"",E371*G371)</f>
        <v>280</v>
      </c>
      <c r="J371" s="17" t="n">
        <f aca="false">IF(H371="","",H371-I371)</f>
        <v>200</v>
      </c>
    </row>
    <row r="372" customFormat="false" ht="15" hidden="false" customHeight="true" outlineLevel="0" collapsed="false">
      <c r="A372" s="7" t="s">
        <v>615</v>
      </c>
      <c r="B372" s="18" t="n">
        <f aca="false">IF(A372="","",IFERROR(INDEX(Sales_Memo!$B$2:$B$1001,MATCH(A372,Sales_Memo!$A$2:$A$1001,0)),""))</f>
        <v>46267</v>
      </c>
      <c r="C372" s="7" t="s">
        <v>82</v>
      </c>
      <c r="D372" s="16" t="str">
        <f aca="false">IF(C372="","",IFERROR(INDEX(Products!$B$2:$B$501,MATCH(C372,Products!$A$2:$A$501,0)),"CODE NOT FOUND"))</f>
        <v>Clutch Cable</v>
      </c>
      <c r="E372" s="7" t="n">
        <v>3</v>
      </c>
      <c r="F372" s="13" t="n">
        <v>190</v>
      </c>
      <c r="G372" s="13" t="n">
        <v>110</v>
      </c>
      <c r="H372" s="17" t="n">
        <f aca="false">IF(OR(E372="",F372=""),"",E372*F372)</f>
        <v>570</v>
      </c>
      <c r="I372" s="17" t="n">
        <f aca="false">IF(OR(E372="",G372=""),"",E372*G372)</f>
        <v>330</v>
      </c>
      <c r="J372" s="17" t="n">
        <f aca="false">IF(H372="","",H372-I372)</f>
        <v>240</v>
      </c>
    </row>
    <row r="373" customFormat="false" ht="15" hidden="false" customHeight="true" outlineLevel="0" collapsed="false">
      <c r="A373" s="7" t="s">
        <v>616</v>
      </c>
      <c r="B373" s="18" t="n">
        <f aca="false">IF(A373="","",IFERROR(INDEX(Sales_Memo!$B$2:$B$1001,MATCH(A373,Sales_Memo!$A$2:$A$1001,0)),""))</f>
        <v>46267</v>
      </c>
      <c r="C373" s="7" t="s">
        <v>121</v>
      </c>
      <c r="D373" s="16" t="str">
        <f aca="false">IF(C373="","",IFERROR(INDEX(Products!$B$2:$B$501,MATCH(C373,Products!$A$2:$A$501,0)),"CODE NOT FOUND"))</f>
        <v>Handle Grip Set</v>
      </c>
      <c r="E373" s="7" t="n">
        <v>2</v>
      </c>
      <c r="F373" s="13" t="n">
        <v>280</v>
      </c>
      <c r="G373" s="13" t="n">
        <v>160</v>
      </c>
      <c r="H373" s="17" t="n">
        <f aca="false">IF(OR(E373="",F373=""),"",E373*F373)</f>
        <v>560</v>
      </c>
      <c r="I373" s="17" t="n">
        <f aca="false">IF(OR(E373="",G373=""),"",E373*G373)</f>
        <v>320</v>
      </c>
      <c r="J373" s="17" t="n">
        <f aca="false">IF(H373="","",H373-I373)</f>
        <v>240</v>
      </c>
    </row>
    <row r="374" customFormat="false" ht="15" hidden="false" customHeight="true" outlineLevel="0" collapsed="false">
      <c r="A374" s="7" t="s">
        <v>617</v>
      </c>
      <c r="B374" s="18" t="n">
        <f aca="false">IF(A374="","",IFERROR(INDEX(Sales_Memo!$B$2:$B$1001,MATCH(A374,Sales_Memo!$A$2:$A$1001,0)),""))</f>
        <v>46267</v>
      </c>
      <c r="C374" s="7" t="s">
        <v>77</v>
      </c>
      <c r="D374" s="16" t="str">
        <f aca="false">IF(C374="","",IFERROR(INDEX(Products!$B$2:$B$501,MATCH(C374,Products!$A$2:$A$501,0)),"CODE NOT FOUND"))</f>
        <v>Brake Pad Set - Front</v>
      </c>
      <c r="E374" s="7" t="n">
        <v>2</v>
      </c>
      <c r="F374" s="13" t="n">
        <v>480</v>
      </c>
      <c r="G374" s="13" t="n">
        <v>320</v>
      </c>
      <c r="H374" s="17" t="n">
        <f aca="false">IF(OR(E374="",F374=""),"",E374*F374)</f>
        <v>960</v>
      </c>
      <c r="I374" s="17" t="n">
        <f aca="false">IF(OR(E374="",G374=""),"",E374*G374)</f>
        <v>640</v>
      </c>
      <c r="J374" s="17" t="n">
        <f aca="false">IF(H374="","",H374-I374)</f>
        <v>320</v>
      </c>
    </row>
    <row r="375" customFormat="false" ht="15" hidden="false" customHeight="true" outlineLevel="0" collapsed="false">
      <c r="A375" s="7" t="s">
        <v>617</v>
      </c>
      <c r="B375" s="18" t="n">
        <f aca="false">IF(A375="","",IFERROR(INDEX(Sales_Memo!$B$2:$B$1001,MATCH(A375,Sales_Memo!$A$2:$A$1001,0)),""))</f>
        <v>46267</v>
      </c>
      <c r="C375" s="7" t="s">
        <v>86</v>
      </c>
      <c r="D375" s="16" t="str">
        <f aca="false">IF(C375="","",IFERROR(INDEX(Products!$B$2:$B$501,MATCH(C375,Products!$A$2:$A$501,0)),"CODE NOT FOUND"))</f>
        <v>Spark Plug CPR8EA-9</v>
      </c>
      <c r="E375" s="7" t="n">
        <v>3</v>
      </c>
      <c r="F375" s="13" t="n">
        <v>260</v>
      </c>
      <c r="G375" s="13" t="n">
        <v>175</v>
      </c>
      <c r="H375" s="17" t="n">
        <f aca="false">IF(OR(E375="",F375=""),"",E375*F375)</f>
        <v>780</v>
      </c>
      <c r="I375" s="17" t="n">
        <f aca="false">IF(OR(E375="",G375=""),"",E375*G375)</f>
        <v>525</v>
      </c>
      <c r="J375" s="17" t="n">
        <f aca="false">IF(H375="","",H375-I375)</f>
        <v>255</v>
      </c>
    </row>
    <row r="376" customFormat="false" ht="15" hidden="false" customHeight="true" outlineLevel="0" collapsed="false">
      <c r="A376" s="7" t="s">
        <v>617</v>
      </c>
      <c r="B376" s="18" t="n">
        <f aca="false">IF(A376="","",IFERROR(INDEX(Sales_Memo!$B$2:$B$1001,MATCH(A376,Sales_Memo!$A$2:$A$1001,0)),""))</f>
        <v>46267</v>
      </c>
      <c r="C376" s="7" t="s">
        <v>90</v>
      </c>
      <c r="D376" s="16" t="str">
        <f aca="false">IF(C376="","",IFERROR(INDEX(Products!$B$2:$B$501,MATCH(C376,Products!$A$2:$A$501,0)),"CODE NOT FOUND"))</f>
        <v>Air Filter 150cc</v>
      </c>
      <c r="E376" s="7" t="n">
        <v>2</v>
      </c>
      <c r="F376" s="13" t="n">
        <v>340</v>
      </c>
      <c r="G376" s="13" t="n">
        <v>210</v>
      </c>
      <c r="H376" s="17" t="n">
        <f aca="false">IF(OR(E376="",F376=""),"",E376*F376)</f>
        <v>680</v>
      </c>
      <c r="I376" s="17" t="n">
        <f aca="false">IF(OR(E376="",G376=""),"",E376*G376)</f>
        <v>420</v>
      </c>
      <c r="J376" s="17" t="n">
        <f aca="false">IF(H376="","",H376-I376)</f>
        <v>260</v>
      </c>
    </row>
    <row r="377" customFormat="false" ht="15" hidden="false" customHeight="true" outlineLevel="0" collapsed="false">
      <c r="A377" s="7" t="s">
        <v>619</v>
      </c>
      <c r="B377" s="18" t="n">
        <f aca="false">IF(A377="","",IFERROR(INDEX(Sales_Memo!$B$2:$B$1001,MATCH(A377,Sales_Memo!$A$2:$A$1001,0)),""))</f>
        <v>46267</v>
      </c>
      <c r="C377" s="7" t="s">
        <v>77</v>
      </c>
      <c r="D377" s="16" t="str">
        <f aca="false">IF(C377="","",IFERROR(INDEX(Products!$B$2:$B$501,MATCH(C377,Products!$A$2:$A$501,0)),"CODE NOT FOUND"))</f>
        <v>Brake Pad Set - Front</v>
      </c>
      <c r="E377" s="7" t="n">
        <v>2</v>
      </c>
      <c r="F377" s="13" t="n">
        <v>480</v>
      </c>
      <c r="G377" s="13" t="n">
        <v>320</v>
      </c>
      <c r="H377" s="17" t="n">
        <f aca="false">IF(OR(E377="",F377=""),"",E377*F377)</f>
        <v>960</v>
      </c>
      <c r="I377" s="17" t="n">
        <f aca="false">IF(OR(E377="",G377=""),"",E377*G377)</f>
        <v>640</v>
      </c>
      <c r="J377" s="17" t="n">
        <f aca="false">IF(H377="","",H377-I377)</f>
        <v>320</v>
      </c>
    </row>
    <row r="378" customFormat="false" ht="15" hidden="false" customHeight="true" outlineLevel="0" collapsed="false">
      <c r="A378" s="7" t="s">
        <v>620</v>
      </c>
      <c r="B378" s="18" t="n">
        <f aca="false">IF(A378="","",IFERROR(INDEX(Sales_Memo!$B$2:$B$1001,MATCH(A378,Sales_Memo!$A$2:$A$1001,0)),""))</f>
        <v>46267</v>
      </c>
      <c r="C378" s="7" t="s">
        <v>86</v>
      </c>
      <c r="D378" s="16" t="str">
        <f aca="false">IF(C378="","",IFERROR(INDEX(Products!$B$2:$B$501,MATCH(C378,Products!$A$2:$A$501,0)),"CODE NOT FOUND"))</f>
        <v>Spark Plug CPR8EA-9</v>
      </c>
      <c r="E378" s="7" t="n">
        <v>1</v>
      </c>
      <c r="F378" s="13" t="n">
        <v>260</v>
      </c>
      <c r="G378" s="13" t="n">
        <v>175</v>
      </c>
      <c r="H378" s="17" t="n">
        <f aca="false">IF(OR(E378="",F378=""),"",E378*F378)</f>
        <v>260</v>
      </c>
      <c r="I378" s="17" t="n">
        <f aca="false">IF(OR(E378="",G378=""),"",E378*G378)</f>
        <v>175</v>
      </c>
      <c r="J378" s="17" t="n">
        <f aca="false">IF(H378="","",H378-I378)</f>
        <v>85</v>
      </c>
    </row>
    <row r="379" customFormat="false" ht="15" hidden="false" customHeight="true" outlineLevel="0" collapsed="false">
      <c r="A379" s="7" t="s">
        <v>620</v>
      </c>
      <c r="B379" s="18" t="n">
        <f aca="false">IF(A379="","",IFERROR(INDEX(Sales_Memo!$B$2:$B$1001,MATCH(A379,Sales_Memo!$A$2:$A$1001,0)),""))</f>
        <v>46267</v>
      </c>
      <c r="C379" s="7" t="s">
        <v>119</v>
      </c>
      <c r="D379" s="16" t="str">
        <f aca="false">IF(C379="","",IFERROR(INDEX(Products!$B$2:$B$501,MATCH(C379,Products!$A$2:$A$501,0)),"CODE NOT FOUND"))</f>
        <v>Chain Lube Spray</v>
      </c>
      <c r="E379" s="7" t="n">
        <v>3</v>
      </c>
      <c r="F379" s="13" t="n">
        <v>270</v>
      </c>
      <c r="G379" s="13" t="n">
        <v>170</v>
      </c>
      <c r="H379" s="17" t="n">
        <f aca="false">IF(OR(E379="",F379=""),"",E379*F379)</f>
        <v>810</v>
      </c>
      <c r="I379" s="17" t="n">
        <f aca="false">IF(OR(E379="",G379=""),"",E379*G379)</f>
        <v>510</v>
      </c>
      <c r="J379" s="17" t="n">
        <f aca="false">IF(H379="","",H379-I379)</f>
        <v>300</v>
      </c>
    </row>
    <row r="380" customFormat="false" ht="15" hidden="false" customHeight="true" outlineLevel="0" collapsed="false">
      <c r="A380" s="7" t="s">
        <v>622</v>
      </c>
      <c r="B380" s="18" t="n">
        <f aca="false">IF(A380="","",IFERROR(INDEX(Sales_Memo!$B$2:$B$1001,MATCH(A380,Sales_Memo!$A$2:$A$1001,0)),""))</f>
        <v>46268</v>
      </c>
      <c r="C380" s="7" t="s">
        <v>77</v>
      </c>
      <c r="D380" s="16" t="str">
        <f aca="false">IF(C380="","",IFERROR(INDEX(Products!$B$2:$B$501,MATCH(C380,Products!$A$2:$A$501,0)),"CODE NOT FOUND"))</f>
        <v>Brake Pad Set - Front</v>
      </c>
      <c r="E380" s="7" t="n">
        <v>1</v>
      </c>
      <c r="F380" s="13" t="n">
        <v>480</v>
      </c>
      <c r="G380" s="13" t="n">
        <v>320</v>
      </c>
      <c r="H380" s="17" t="n">
        <f aca="false">IF(OR(E380="",F380=""),"",E380*F380)</f>
        <v>480</v>
      </c>
      <c r="I380" s="17" t="n">
        <f aca="false">IF(OR(E380="",G380=""),"",E380*G380)</f>
        <v>320</v>
      </c>
      <c r="J380" s="17" t="n">
        <f aca="false">IF(H380="","",H380-I380)</f>
        <v>160</v>
      </c>
    </row>
    <row r="381" customFormat="false" ht="15" hidden="false" customHeight="true" outlineLevel="0" collapsed="false">
      <c r="A381" s="7" t="s">
        <v>623</v>
      </c>
      <c r="B381" s="18" t="n">
        <f aca="false">IF(A381="","",IFERROR(INDEX(Sales_Memo!$B$2:$B$1001,MATCH(A381,Sales_Memo!$A$2:$A$1001,0)),""))</f>
        <v>46268</v>
      </c>
      <c r="C381" s="7" t="s">
        <v>102</v>
      </c>
      <c r="D381" s="16" t="str">
        <f aca="false">IF(C381="","",IFERROR(INDEX(Products!$B$2:$B$501,MATCH(C381,Products!$A$2:$A$501,0)),"CODE NOT FOUND"))</f>
        <v>Headlight Bulb H4</v>
      </c>
      <c r="E381" s="7" t="n">
        <v>2</v>
      </c>
      <c r="F381" s="13" t="n">
        <v>240</v>
      </c>
      <c r="G381" s="13" t="n">
        <v>140</v>
      </c>
      <c r="H381" s="17" t="n">
        <f aca="false">IF(OR(E381="",F381=""),"",E381*F381)</f>
        <v>480</v>
      </c>
      <c r="I381" s="17" t="n">
        <f aca="false">IF(OR(E381="",G381=""),"",E381*G381)</f>
        <v>280</v>
      </c>
      <c r="J381" s="17" t="n">
        <f aca="false">IF(H381="","",H381-I381)</f>
        <v>200</v>
      </c>
    </row>
    <row r="382" customFormat="false" ht="15" hidden="false" customHeight="true" outlineLevel="0" collapsed="false">
      <c r="A382" s="7" t="s">
        <v>623</v>
      </c>
      <c r="B382" s="18" t="n">
        <f aca="false">IF(A382="","",IFERROR(INDEX(Sales_Memo!$B$2:$B$1001,MATCH(A382,Sales_Memo!$A$2:$A$1001,0)),""))</f>
        <v>46268</v>
      </c>
      <c r="C382" s="7" t="s">
        <v>82</v>
      </c>
      <c r="D382" s="16" t="str">
        <f aca="false">IF(C382="","",IFERROR(INDEX(Products!$B$2:$B$501,MATCH(C382,Products!$A$2:$A$501,0)),"CODE NOT FOUND"))</f>
        <v>Clutch Cable</v>
      </c>
      <c r="E382" s="7" t="n">
        <v>1</v>
      </c>
      <c r="F382" s="13" t="n">
        <v>190</v>
      </c>
      <c r="G382" s="13" t="n">
        <v>110</v>
      </c>
      <c r="H382" s="17" t="n">
        <f aca="false">IF(OR(E382="",F382=""),"",E382*F382)</f>
        <v>190</v>
      </c>
      <c r="I382" s="17" t="n">
        <f aca="false">IF(OR(E382="",G382=""),"",E382*G382)</f>
        <v>110</v>
      </c>
      <c r="J382" s="17" t="n">
        <f aca="false">IF(H382="","",H382-I382)</f>
        <v>80</v>
      </c>
    </row>
    <row r="383" customFormat="false" ht="15" hidden="false" customHeight="true" outlineLevel="0" collapsed="false">
      <c r="A383" s="7" t="s">
        <v>623</v>
      </c>
      <c r="B383" s="18" t="n">
        <f aca="false">IF(A383="","",IFERROR(INDEX(Sales_Memo!$B$2:$B$1001,MATCH(A383,Sales_Memo!$A$2:$A$1001,0)),""))</f>
        <v>46268</v>
      </c>
      <c r="C383" s="7" t="s">
        <v>93</v>
      </c>
      <c r="D383" s="16" t="str">
        <f aca="false">IF(C383="","",IFERROR(INDEX(Products!$B$2:$B$501,MATCH(C383,Products!$A$2:$A$501,0)),"CODE NOT FOUND"))</f>
        <v>Chain &amp; Sprocket Kit</v>
      </c>
      <c r="E383" s="7" t="n">
        <v>1</v>
      </c>
      <c r="F383" s="13" t="n">
        <v>2350</v>
      </c>
      <c r="G383" s="13" t="n">
        <v>1750</v>
      </c>
      <c r="H383" s="17" t="n">
        <f aca="false">IF(OR(E383="",F383=""),"",E383*F383)</f>
        <v>2350</v>
      </c>
      <c r="I383" s="17" t="n">
        <f aca="false">IF(OR(E383="",G383=""),"",E383*G383)</f>
        <v>1750</v>
      </c>
      <c r="J383" s="17" t="n">
        <f aca="false">IF(H383="","",H383-I383)</f>
        <v>600</v>
      </c>
    </row>
    <row r="384" customFormat="false" ht="15" hidden="false" customHeight="true" outlineLevel="0" collapsed="false">
      <c r="A384" s="7" t="s">
        <v>625</v>
      </c>
      <c r="B384" s="18" t="n">
        <f aca="false">IF(A384="","",IFERROR(INDEX(Sales_Memo!$B$2:$B$1001,MATCH(A384,Sales_Memo!$A$2:$A$1001,0)),""))</f>
        <v>46268</v>
      </c>
      <c r="C384" s="7" t="s">
        <v>121</v>
      </c>
      <c r="D384" s="16" t="str">
        <f aca="false">IF(C384="","",IFERROR(INDEX(Products!$B$2:$B$501,MATCH(C384,Products!$A$2:$A$501,0)),"CODE NOT FOUND"))</f>
        <v>Handle Grip Set</v>
      </c>
      <c r="E384" s="7" t="n">
        <v>2</v>
      </c>
      <c r="F384" s="13" t="n">
        <v>280</v>
      </c>
      <c r="G384" s="13" t="n">
        <v>160</v>
      </c>
      <c r="H384" s="17" t="n">
        <f aca="false">IF(OR(E384="",F384=""),"",E384*F384)</f>
        <v>560</v>
      </c>
      <c r="I384" s="17" t="n">
        <f aca="false">IF(OR(E384="",G384=""),"",E384*G384)</f>
        <v>320</v>
      </c>
      <c r="J384" s="17" t="n">
        <f aca="false">IF(H384="","",H384-I384)</f>
        <v>240</v>
      </c>
    </row>
    <row r="385" customFormat="false" ht="15" hidden="false" customHeight="true" outlineLevel="0" collapsed="false">
      <c r="A385" s="7" t="s">
        <v>626</v>
      </c>
      <c r="B385" s="18" t="n">
        <f aca="false">IF(A385="","",IFERROR(INDEX(Sales_Memo!$B$2:$B$1001,MATCH(A385,Sales_Memo!$A$2:$A$1001,0)),""))</f>
        <v>46268</v>
      </c>
      <c r="C385" s="7" t="s">
        <v>102</v>
      </c>
      <c r="D385" s="16" t="str">
        <f aca="false">IF(C385="","",IFERROR(INDEX(Products!$B$2:$B$501,MATCH(C385,Products!$A$2:$A$501,0)),"CODE NOT FOUND"))</f>
        <v>Headlight Bulb H4</v>
      </c>
      <c r="E385" s="7" t="n">
        <v>1</v>
      </c>
      <c r="F385" s="13" t="n">
        <v>240</v>
      </c>
      <c r="G385" s="13" t="n">
        <v>140</v>
      </c>
      <c r="H385" s="17" t="n">
        <f aca="false">IF(OR(E385="",F385=""),"",E385*F385)</f>
        <v>240</v>
      </c>
      <c r="I385" s="17" t="n">
        <f aca="false">IF(OR(E385="",G385=""),"",E385*G385)</f>
        <v>140</v>
      </c>
      <c r="J385" s="17" t="n">
        <f aca="false">IF(H385="","",H385-I385)</f>
        <v>100</v>
      </c>
    </row>
    <row r="386" customFormat="false" ht="15" hidden="false" customHeight="true" outlineLevel="0" collapsed="false">
      <c r="A386" s="7" t="s">
        <v>626</v>
      </c>
      <c r="B386" s="18" t="n">
        <f aca="false">IF(A386="","",IFERROR(INDEX(Sales_Memo!$B$2:$B$1001,MATCH(A386,Sales_Memo!$A$2:$A$1001,0)),""))</f>
        <v>46268</v>
      </c>
      <c r="C386" s="7" t="s">
        <v>99</v>
      </c>
      <c r="D386" s="16" t="str">
        <f aca="false">IF(C386="","",IFERROR(INDEX(Products!$B$2:$B$501,MATCH(C386,Products!$A$2:$A$501,0)),"CODE NOT FOUND"))</f>
        <v>Engine Oil 20W-50 (1L)</v>
      </c>
      <c r="E386" s="7" t="n">
        <v>3</v>
      </c>
      <c r="F386" s="13" t="n">
        <v>990</v>
      </c>
      <c r="G386" s="13" t="n">
        <v>780</v>
      </c>
      <c r="H386" s="17" t="n">
        <f aca="false">IF(OR(E386="",F386=""),"",E386*F386)</f>
        <v>2970</v>
      </c>
      <c r="I386" s="17" t="n">
        <f aca="false">IF(OR(E386="",G386=""),"",E386*G386)</f>
        <v>2340</v>
      </c>
      <c r="J386" s="17" t="n">
        <f aca="false">IF(H386="","",H386-I386)</f>
        <v>630</v>
      </c>
    </row>
    <row r="387" customFormat="false" ht="15" hidden="false" customHeight="true" outlineLevel="0" collapsed="false">
      <c r="A387" s="7" t="s">
        <v>628</v>
      </c>
      <c r="B387" s="18" t="n">
        <f aca="false">IF(A387="","",IFERROR(INDEX(Sales_Memo!$B$2:$B$1001,MATCH(A387,Sales_Memo!$A$2:$A$1001,0)),""))</f>
        <v>46268</v>
      </c>
      <c r="C387" s="7" t="s">
        <v>82</v>
      </c>
      <c r="D387" s="16" t="str">
        <f aca="false">IF(C387="","",IFERROR(INDEX(Products!$B$2:$B$501,MATCH(C387,Products!$A$2:$A$501,0)),"CODE NOT FOUND"))</f>
        <v>Clutch Cable</v>
      </c>
      <c r="E387" s="7" t="n">
        <v>1</v>
      </c>
      <c r="F387" s="13" t="n">
        <v>190</v>
      </c>
      <c r="G387" s="13" t="n">
        <v>110</v>
      </c>
      <c r="H387" s="17" t="n">
        <f aca="false">IF(OR(E387="",F387=""),"",E387*F387)</f>
        <v>190</v>
      </c>
      <c r="I387" s="17" t="n">
        <f aca="false">IF(OR(E387="",G387=""),"",E387*G387)</f>
        <v>110</v>
      </c>
      <c r="J387" s="17" t="n">
        <f aca="false">IF(H387="","",H387-I387)</f>
        <v>80</v>
      </c>
    </row>
    <row r="388" customFormat="false" ht="15" hidden="false" customHeight="true" outlineLevel="0" collapsed="false">
      <c r="A388" s="7" t="s">
        <v>628</v>
      </c>
      <c r="B388" s="18" t="n">
        <f aca="false">IF(A388="","",IFERROR(INDEX(Sales_Memo!$B$2:$B$1001,MATCH(A388,Sales_Memo!$A$2:$A$1001,0)),""))</f>
        <v>46268</v>
      </c>
      <c r="C388" s="7" t="s">
        <v>77</v>
      </c>
      <c r="D388" s="16" t="str">
        <f aca="false">IF(C388="","",IFERROR(INDEX(Products!$B$2:$B$501,MATCH(C388,Products!$A$2:$A$501,0)),"CODE NOT FOUND"))</f>
        <v>Brake Pad Set - Front</v>
      </c>
      <c r="E388" s="7" t="n">
        <v>3</v>
      </c>
      <c r="F388" s="13" t="n">
        <v>480</v>
      </c>
      <c r="G388" s="13" t="n">
        <v>320</v>
      </c>
      <c r="H388" s="17" t="n">
        <f aca="false">IF(OR(E388="",F388=""),"",E388*F388)</f>
        <v>1440</v>
      </c>
      <c r="I388" s="17" t="n">
        <f aca="false">IF(OR(E388="",G388=""),"",E388*G388)</f>
        <v>960</v>
      </c>
      <c r="J388" s="17" t="n">
        <f aca="false">IF(H388="","",H388-I388)</f>
        <v>480</v>
      </c>
    </row>
    <row r="389" customFormat="false" ht="15" hidden="false" customHeight="true" outlineLevel="0" collapsed="false">
      <c r="A389" s="7" t="s">
        <v>630</v>
      </c>
      <c r="B389" s="18" t="n">
        <f aca="false">IF(A389="","",IFERROR(INDEX(Sales_Memo!$B$2:$B$1001,MATCH(A389,Sales_Memo!$A$2:$A$1001,0)),""))</f>
        <v>46268</v>
      </c>
      <c r="C389" s="7" t="s">
        <v>119</v>
      </c>
      <c r="D389" s="16" t="str">
        <f aca="false">IF(C389="","",IFERROR(INDEX(Products!$B$2:$B$501,MATCH(C389,Products!$A$2:$A$501,0)),"CODE NOT FOUND"))</f>
        <v>Chain Lube Spray</v>
      </c>
      <c r="E389" s="7" t="n">
        <v>1</v>
      </c>
      <c r="F389" s="13" t="n">
        <v>270</v>
      </c>
      <c r="G389" s="13" t="n">
        <v>170</v>
      </c>
      <c r="H389" s="17" t="n">
        <f aca="false">IF(OR(E389="",F389=""),"",E389*F389)</f>
        <v>270</v>
      </c>
      <c r="I389" s="17" t="n">
        <f aca="false">IF(OR(E389="",G389=""),"",E389*G389)</f>
        <v>170</v>
      </c>
      <c r="J389" s="17" t="n">
        <f aca="false">IF(H389="","",H389-I389)</f>
        <v>100</v>
      </c>
    </row>
    <row r="390" customFormat="false" ht="15" hidden="false" customHeight="true" outlineLevel="0" collapsed="false">
      <c r="A390" s="7" t="s">
        <v>630</v>
      </c>
      <c r="B390" s="18" t="n">
        <f aca="false">IF(A390="","",IFERROR(INDEX(Sales_Memo!$B$2:$B$1001,MATCH(A390,Sales_Memo!$A$2:$A$1001,0)),""))</f>
        <v>46268</v>
      </c>
      <c r="C390" s="7" t="s">
        <v>90</v>
      </c>
      <c r="D390" s="16" t="str">
        <f aca="false">IF(C390="","",IFERROR(INDEX(Products!$B$2:$B$501,MATCH(C390,Products!$A$2:$A$501,0)),"CODE NOT FOUND"))</f>
        <v>Air Filter 150cc</v>
      </c>
      <c r="E390" s="7" t="n">
        <v>1</v>
      </c>
      <c r="F390" s="13" t="n">
        <v>340</v>
      </c>
      <c r="G390" s="13" t="n">
        <v>210</v>
      </c>
      <c r="H390" s="17" t="n">
        <f aca="false">IF(OR(E390="",F390=""),"",E390*F390)</f>
        <v>340</v>
      </c>
      <c r="I390" s="17" t="n">
        <f aca="false">IF(OR(E390="",G390=""),"",E390*G390)</f>
        <v>210</v>
      </c>
      <c r="J390" s="17" t="n">
        <f aca="false">IF(H390="","",H390-I390)</f>
        <v>130</v>
      </c>
    </row>
    <row r="391" customFormat="false" ht="15" hidden="false" customHeight="true" outlineLevel="0" collapsed="false">
      <c r="A391" s="7" t="s">
        <v>631</v>
      </c>
      <c r="B391" s="18" t="n">
        <f aca="false">IF(A391="","",IFERROR(INDEX(Sales_Memo!$B$2:$B$1001,MATCH(A391,Sales_Memo!$A$2:$A$1001,0)),""))</f>
        <v>46268</v>
      </c>
      <c r="C391" s="7" t="s">
        <v>86</v>
      </c>
      <c r="D391" s="16" t="str">
        <f aca="false">IF(C391="","",IFERROR(INDEX(Products!$B$2:$B$501,MATCH(C391,Products!$A$2:$A$501,0)),"CODE NOT FOUND"))</f>
        <v>Spark Plug CPR8EA-9</v>
      </c>
      <c r="E391" s="7" t="n">
        <v>3</v>
      </c>
      <c r="F391" s="13" t="n">
        <v>260</v>
      </c>
      <c r="G391" s="13" t="n">
        <v>175</v>
      </c>
      <c r="H391" s="17" t="n">
        <f aca="false">IF(OR(E391="",F391=""),"",E391*F391)</f>
        <v>780</v>
      </c>
      <c r="I391" s="17" t="n">
        <f aca="false">IF(OR(E391="",G391=""),"",E391*G391)</f>
        <v>525</v>
      </c>
      <c r="J391" s="17" t="n">
        <f aca="false">IF(H391="","",H391-I391)</f>
        <v>255</v>
      </c>
    </row>
    <row r="392" customFormat="false" ht="15" hidden="false" customHeight="true" outlineLevel="0" collapsed="false">
      <c r="A392" s="7" t="s">
        <v>632</v>
      </c>
      <c r="B392" s="18" t="n">
        <f aca="false">IF(A392="","",IFERROR(INDEX(Sales_Memo!$B$2:$B$1001,MATCH(A392,Sales_Memo!$A$2:$A$1001,0)),""))</f>
        <v>46268</v>
      </c>
      <c r="C392" s="7" t="s">
        <v>121</v>
      </c>
      <c r="D392" s="16" t="str">
        <f aca="false">IF(C392="","",IFERROR(INDEX(Products!$B$2:$B$501,MATCH(C392,Products!$A$2:$A$501,0)),"CODE NOT FOUND"))</f>
        <v>Handle Grip Set</v>
      </c>
      <c r="E392" s="7" t="n">
        <v>3</v>
      </c>
      <c r="F392" s="13" t="n">
        <v>280</v>
      </c>
      <c r="G392" s="13" t="n">
        <v>160</v>
      </c>
      <c r="H392" s="17" t="n">
        <f aca="false">IF(OR(E392="",F392=""),"",E392*F392)</f>
        <v>840</v>
      </c>
      <c r="I392" s="17" t="n">
        <f aca="false">IF(OR(E392="",G392=""),"",E392*G392)</f>
        <v>480</v>
      </c>
      <c r="J392" s="17" t="n">
        <f aca="false">IF(H392="","",H392-I392)</f>
        <v>360</v>
      </c>
    </row>
    <row r="393" customFormat="false" ht="15" hidden="false" customHeight="true" outlineLevel="0" collapsed="false">
      <c r="A393" s="7" t="s">
        <v>633</v>
      </c>
      <c r="B393" s="18" t="n">
        <f aca="false">IF(A393="","",IFERROR(INDEX(Sales_Memo!$B$2:$B$1001,MATCH(A393,Sales_Memo!$A$2:$A$1001,0)),""))</f>
        <v>46270</v>
      </c>
      <c r="C393" s="7" t="s">
        <v>99</v>
      </c>
      <c r="D393" s="16" t="str">
        <f aca="false">IF(C393="","",IFERROR(INDEX(Products!$B$2:$B$501,MATCH(C393,Products!$A$2:$A$501,0)),"CODE NOT FOUND"))</f>
        <v>Engine Oil 20W-50 (1L)</v>
      </c>
      <c r="E393" s="7" t="n">
        <v>2</v>
      </c>
      <c r="F393" s="13" t="n">
        <v>990</v>
      </c>
      <c r="G393" s="13" t="n">
        <v>780</v>
      </c>
      <c r="H393" s="17" t="n">
        <f aca="false">IF(OR(E393="",F393=""),"",E393*F393)</f>
        <v>1980</v>
      </c>
      <c r="I393" s="17" t="n">
        <f aca="false">IF(OR(E393="",G393=""),"",E393*G393)</f>
        <v>1560</v>
      </c>
      <c r="J393" s="17" t="n">
        <f aca="false">IF(H393="","",H393-I393)</f>
        <v>420</v>
      </c>
    </row>
    <row r="394" customFormat="false" ht="15" hidden="false" customHeight="true" outlineLevel="0" collapsed="false">
      <c r="A394" s="7" t="s">
        <v>633</v>
      </c>
      <c r="B394" s="18" t="n">
        <f aca="false">IF(A394="","",IFERROR(INDEX(Sales_Memo!$B$2:$B$1001,MATCH(A394,Sales_Memo!$A$2:$A$1001,0)),""))</f>
        <v>46270</v>
      </c>
      <c r="C394" s="7" t="s">
        <v>86</v>
      </c>
      <c r="D394" s="16" t="str">
        <f aca="false">IF(C394="","",IFERROR(INDEX(Products!$B$2:$B$501,MATCH(C394,Products!$A$2:$A$501,0)),"CODE NOT FOUND"))</f>
        <v>Spark Plug CPR8EA-9</v>
      </c>
      <c r="E394" s="7" t="n">
        <v>1</v>
      </c>
      <c r="F394" s="13" t="n">
        <v>260</v>
      </c>
      <c r="G394" s="13" t="n">
        <v>175</v>
      </c>
      <c r="H394" s="17" t="n">
        <f aca="false">IF(OR(E394="",F394=""),"",E394*F394)</f>
        <v>260</v>
      </c>
      <c r="I394" s="17" t="n">
        <f aca="false">IF(OR(E394="",G394=""),"",E394*G394)</f>
        <v>175</v>
      </c>
      <c r="J394" s="17" t="n">
        <f aca="false">IF(H394="","",H394-I394)</f>
        <v>85</v>
      </c>
    </row>
    <row r="395" customFormat="false" ht="15" hidden="false" customHeight="true" outlineLevel="0" collapsed="false">
      <c r="A395" s="7" t="s">
        <v>634</v>
      </c>
      <c r="B395" s="18" t="n">
        <f aca="false">IF(A395="","",IFERROR(INDEX(Sales_Memo!$B$2:$B$1001,MATCH(A395,Sales_Memo!$A$2:$A$1001,0)),""))</f>
        <v>46270</v>
      </c>
      <c r="C395" s="7" t="s">
        <v>90</v>
      </c>
      <c r="D395" s="16" t="str">
        <f aca="false">IF(C395="","",IFERROR(INDEX(Products!$B$2:$B$501,MATCH(C395,Products!$A$2:$A$501,0)),"CODE NOT FOUND"))</f>
        <v>Air Filter 150cc</v>
      </c>
      <c r="E395" s="7" t="n">
        <v>3</v>
      </c>
      <c r="F395" s="13" t="n">
        <v>340</v>
      </c>
      <c r="G395" s="13" t="n">
        <v>210</v>
      </c>
      <c r="H395" s="17" t="n">
        <f aca="false">IF(OR(E395="",F395=""),"",E395*F395)</f>
        <v>1020</v>
      </c>
      <c r="I395" s="17" t="n">
        <f aca="false">IF(OR(E395="",G395=""),"",E395*G395)</f>
        <v>630</v>
      </c>
      <c r="J395" s="17" t="n">
        <f aca="false">IF(H395="","",H395-I395)</f>
        <v>390</v>
      </c>
    </row>
    <row r="396" customFormat="false" ht="15" hidden="false" customHeight="true" outlineLevel="0" collapsed="false">
      <c r="A396" s="7" t="s">
        <v>634</v>
      </c>
      <c r="B396" s="18" t="n">
        <f aca="false">IF(A396="","",IFERROR(INDEX(Sales_Memo!$B$2:$B$1001,MATCH(A396,Sales_Memo!$A$2:$A$1001,0)),""))</f>
        <v>46270</v>
      </c>
      <c r="C396" s="7" t="s">
        <v>82</v>
      </c>
      <c r="D396" s="16" t="str">
        <f aca="false">IF(C396="","",IFERROR(INDEX(Products!$B$2:$B$501,MATCH(C396,Products!$A$2:$A$501,0)),"CODE NOT FOUND"))</f>
        <v>Clutch Cable</v>
      </c>
      <c r="E396" s="7" t="n">
        <v>1</v>
      </c>
      <c r="F396" s="13" t="n">
        <v>190</v>
      </c>
      <c r="G396" s="13" t="n">
        <v>110</v>
      </c>
      <c r="H396" s="17" t="n">
        <f aca="false">IF(OR(E396="",F396=""),"",E396*F396)</f>
        <v>190</v>
      </c>
      <c r="I396" s="17" t="n">
        <f aca="false">IF(OR(E396="",G396=""),"",E396*G396)</f>
        <v>110</v>
      </c>
      <c r="J396" s="17" t="n">
        <f aca="false">IF(H396="","",H396-I396)</f>
        <v>80</v>
      </c>
    </row>
    <row r="397" customFormat="false" ht="15" hidden="false" customHeight="true" outlineLevel="0" collapsed="false">
      <c r="A397" s="7" t="s">
        <v>636</v>
      </c>
      <c r="B397" s="18" t="n">
        <f aca="false">IF(A397="","",IFERROR(INDEX(Sales_Memo!$B$2:$B$1001,MATCH(A397,Sales_Memo!$A$2:$A$1001,0)),""))</f>
        <v>46270</v>
      </c>
      <c r="C397" s="7" t="s">
        <v>90</v>
      </c>
      <c r="D397" s="16" t="str">
        <f aca="false">IF(C397="","",IFERROR(INDEX(Products!$B$2:$B$501,MATCH(C397,Products!$A$2:$A$501,0)),"CODE NOT FOUND"))</f>
        <v>Air Filter 150cc</v>
      </c>
      <c r="E397" s="7" t="n">
        <v>1</v>
      </c>
      <c r="F397" s="13" t="n">
        <v>340</v>
      </c>
      <c r="G397" s="13" t="n">
        <v>210</v>
      </c>
      <c r="H397" s="17" t="n">
        <f aca="false">IF(OR(E397="",F397=""),"",E397*F397)</f>
        <v>340</v>
      </c>
      <c r="I397" s="17" t="n">
        <f aca="false">IF(OR(E397="",G397=""),"",E397*G397)</f>
        <v>210</v>
      </c>
      <c r="J397" s="17" t="n">
        <f aca="false">IF(H397="","",H397-I397)</f>
        <v>130</v>
      </c>
    </row>
    <row r="398" customFormat="false" ht="15" hidden="false" customHeight="true" outlineLevel="0" collapsed="false">
      <c r="A398" s="7" t="s">
        <v>637</v>
      </c>
      <c r="B398" s="18" t="n">
        <f aca="false">IF(A398="","",IFERROR(INDEX(Sales_Memo!$B$2:$B$1001,MATCH(A398,Sales_Memo!$A$2:$A$1001,0)),""))</f>
        <v>46270</v>
      </c>
      <c r="C398" s="7" t="s">
        <v>114</v>
      </c>
      <c r="D398" s="16" t="str">
        <f aca="false">IF(C398="","",IFERROR(INDEX(Products!$B$2:$B$501,MATCH(C398,Products!$A$2:$A$501,0)),"CODE NOT FOUND"))</f>
        <v>Side Mirror (Pair)</v>
      </c>
      <c r="E398" s="7" t="n">
        <v>1</v>
      </c>
      <c r="F398" s="13" t="n">
        <v>620</v>
      </c>
      <c r="G398" s="13" t="n">
        <v>380</v>
      </c>
      <c r="H398" s="17" t="n">
        <f aca="false">IF(OR(E398="",F398=""),"",E398*F398)</f>
        <v>620</v>
      </c>
      <c r="I398" s="17" t="n">
        <f aca="false">IF(OR(E398="",G398=""),"",E398*G398)</f>
        <v>380</v>
      </c>
      <c r="J398" s="17" t="n">
        <f aca="false">IF(H398="","",H398-I398)</f>
        <v>240</v>
      </c>
    </row>
    <row r="399" customFormat="false" ht="15" hidden="false" customHeight="true" outlineLevel="0" collapsed="false">
      <c r="A399" s="7" t="s">
        <v>637</v>
      </c>
      <c r="B399" s="18" t="n">
        <f aca="false">IF(A399="","",IFERROR(INDEX(Sales_Memo!$B$2:$B$1001,MATCH(A399,Sales_Memo!$A$2:$A$1001,0)),""))</f>
        <v>46270</v>
      </c>
      <c r="C399" s="7" t="s">
        <v>99</v>
      </c>
      <c r="D399" s="16" t="str">
        <f aca="false">IF(C399="","",IFERROR(INDEX(Products!$B$2:$B$501,MATCH(C399,Products!$A$2:$A$501,0)),"CODE NOT FOUND"))</f>
        <v>Engine Oil 20W-50 (1L)</v>
      </c>
      <c r="E399" s="7" t="n">
        <v>1</v>
      </c>
      <c r="F399" s="13" t="n">
        <v>990</v>
      </c>
      <c r="G399" s="13" t="n">
        <v>780</v>
      </c>
      <c r="H399" s="17" t="n">
        <f aca="false">IF(OR(E399="",F399=""),"",E399*F399)</f>
        <v>990</v>
      </c>
      <c r="I399" s="17" t="n">
        <f aca="false">IF(OR(E399="",G399=""),"",E399*G399)</f>
        <v>780</v>
      </c>
      <c r="J399" s="17" t="n">
        <f aca="false">IF(H399="","",H399-I399)</f>
        <v>210</v>
      </c>
    </row>
    <row r="400" customFormat="false" ht="15" hidden="false" customHeight="true" outlineLevel="0" collapsed="false">
      <c r="A400" s="7" t="s">
        <v>637</v>
      </c>
      <c r="B400" s="18" t="n">
        <f aca="false">IF(A400="","",IFERROR(INDEX(Sales_Memo!$B$2:$B$1001,MATCH(A400,Sales_Memo!$A$2:$A$1001,0)),""))</f>
        <v>46270</v>
      </c>
      <c r="C400" s="7" t="s">
        <v>90</v>
      </c>
      <c r="D400" s="16" t="str">
        <f aca="false">IF(C400="","",IFERROR(INDEX(Products!$B$2:$B$501,MATCH(C400,Products!$A$2:$A$501,0)),"CODE NOT FOUND"))</f>
        <v>Air Filter 150cc</v>
      </c>
      <c r="E400" s="7" t="n">
        <v>2</v>
      </c>
      <c r="F400" s="13" t="n">
        <v>340</v>
      </c>
      <c r="G400" s="13" t="n">
        <v>210</v>
      </c>
      <c r="H400" s="17" t="n">
        <f aca="false">IF(OR(E400="",F400=""),"",E400*F400)</f>
        <v>680</v>
      </c>
      <c r="I400" s="17" t="n">
        <f aca="false">IF(OR(E400="",G400=""),"",E400*G400)</f>
        <v>420</v>
      </c>
      <c r="J400" s="17" t="n">
        <f aca="false">IF(H400="","",H400-I400)</f>
        <v>260</v>
      </c>
    </row>
    <row r="401" customFormat="false" ht="15" hidden="false" customHeight="true" outlineLevel="0" collapsed="false">
      <c r="A401" s="7" t="s">
        <v>639</v>
      </c>
      <c r="B401" s="18" t="n">
        <f aca="false">IF(A401="","",IFERROR(INDEX(Sales_Memo!$B$2:$B$1001,MATCH(A401,Sales_Memo!$A$2:$A$1001,0)),""))</f>
        <v>46270</v>
      </c>
      <c r="C401" s="7" t="s">
        <v>86</v>
      </c>
      <c r="D401" s="16" t="str">
        <f aca="false">IF(C401="","",IFERROR(INDEX(Products!$B$2:$B$501,MATCH(C401,Products!$A$2:$A$501,0)),"CODE NOT FOUND"))</f>
        <v>Spark Plug CPR8EA-9</v>
      </c>
      <c r="E401" s="7" t="n">
        <v>1</v>
      </c>
      <c r="F401" s="13" t="n">
        <v>260</v>
      </c>
      <c r="G401" s="13" t="n">
        <v>175</v>
      </c>
      <c r="H401" s="17" t="n">
        <f aca="false">IF(OR(E401="",F401=""),"",E401*F401)</f>
        <v>260</v>
      </c>
      <c r="I401" s="17" t="n">
        <f aca="false">IF(OR(E401="",G401=""),"",E401*G401)</f>
        <v>175</v>
      </c>
      <c r="J401" s="17" t="n">
        <f aca="false">IF(H401="","",H401-I401)</f>
        <v>85</v>
      </c>
    </row>
    <row r="402" customFormat="false" ht="15" hidden="false" customHeight="true" outlineLevel="0" collapsed="false">
      <c r="A402" s="7" t="s">
        <v>640</v>
      </c>
      <c r="B402" s="18" t="n">
        <f aca="false">IF(A402="","",IFERROR(INDEX(Sales_Memo!$B$2:$B$1001,MATCH(A402,Sales_Memo!$A$2:$A$1001,0)),""))</f>
        <v>46270</v>
      </c>
      <c r="C402" s="7" t="s">
        <v>102</v>
      </c>
      <c r="D402" s="16" t="str">
        <f aca="false">IF(C402="","",IFERROR(INDEX(Products!$B$2:$B$501,MATCH(C402,Products!$A$2:$A$501,0)),"CODE NOT FOUND"))</f>
        <v>Headlight Bulb H4</v>
      </c>
      <c r="E402" s="7" t="n">
        <v>3</v>
      </c>
      <c r="F402" s="13" t="n">
        <v>240</v>
      </c>
      <c r="G402" s="13" t="n">
        <v>140</v>
      </c>
      <c r="H402" s="17" t="n">
        <f aca="false">IF(OR(E402="",F402=""),"",E402*F402)</f>
        <v>720</v>
      </c>
      <c r="I402" s="17" t="n">
        <f aca="false">IF(OR(E402="",G402=""),"",E402*G402)</f>
        <v>420</v>
      </c>
      <c r="J402" s="17" t="n">
        <f aca="false">IF(H402="","",H402-I402)</f>
        <v>300</v>
      </c>
    </row>
    <row r="403" customFormat="false" ht="15" hidden="false" customHeight="true" outlineLevel="0" collapsed="false">
      <c r="A403" s="7" t="s">
        <v>641</v>
      </c>
      <c r="B403" s="18" t="n">
        <f aca="false">IF(A403="","",IFERROR(INDEX(Sales_Memo!$B$2:$B$1001,MATCH(A403,Sales_Memo!$A$2:$A$1001,0)),""))</f>
        <v>46270</v>
      </c>
      <c r="C403" s="7" t="s">
        <v>102</v>
      </c>
      <c r="D403" s="16" t="str">
        <f aca="false">IF(C403="","",IFERROR(INDEX(Products!$B$2:$B$501,MATCH(C403,Products!$A$2:$A$501,0)),"CODE NOT FOUND"))</f>
        <v>Headlight Bulb H4</v>
      </c>
      <c r="E403" s="7" t="n">
        <v>2</v>
      </c>
      <c r="F403" s="13" t="n">
        <v>240</v>
      </c>
      <c r="G403" s="13" t="n">
        <v>140</v>
      </c>
      <c r="H403" s="17" t="n">
        <f aca="false">IF(OR(E403="",F403=""),"",E403*F403)</f>
        <v>480</v>
      </c>
      <c r="I403" s="17" t="n">
        <f aca="false">IF(OR(E403="",G403=""),"",E403*G403)</f>
        <v>280</v>
      </c>
      <c r="J403" s="17" t="n">
        <f aca="false">IF(H403="","",H403-I403)</f>
        <v>200</v>
      </c>
    </row>
    <row r="404" customFormat="false" ht="15" hidden="false" customHeight="true" outlineLevel="0" collapsed="false">
      <c r="A404" s="7" t="s">
        <v>642</v>
      </c>
      <c r="B404" s="18" t="n">
        <f aca="false">IF(A404="","",IFERROR(INDEX(Sales_Memo!$B$2:$B$1001,MATCH(A404,Sales_Memo!$A$2:$A$1001,0)),""))</f>
        <v>46270</v>
      </c>
      <c r="C404" s="7" t="s">
        <v>86</v>
      </c>
      <c r="D404" s="16" t="str">
        <f aca="false">IF(C404="","",IFERROR(INDEX(Products!$B$2:$B$501,MATCH(C404,Products!$A$2:$A$501,0)),"CODE NOT FOUND"))</f>
        <v>Spark Plug CPR8EA-9</v>
      </c>
      <c r="E404" s="7" t="n">
        <v>2</v>
      </c>
      <c r="F404" s="13" t="n">
        <v>260</v>
      </c>
      <c r="G404" s="13" t="n">
        <v>175</v>
      </c>
      <c r="H404" s="17" t="n">
        <f aca="false">IF(OR(E404="",F404=""),"",E404*F404)</f>
        <v>520</v>
      </c>
      <c r="I404" s="17" t="n">
        <f aca="false">IF(OR(E404="",G404=""),"",E404*G404)</f>
        <v>350</v>
      </c>
      <c r="J404" s="17" t="n">
        <f aca="false">IF(H404="","",H404-I404)</f>
        <v>170</v>
      </c>
    </row>
    <row r="405" customFormat="false" ht="15" hidden="false" customHeight="true" outlineLevel="0" collapsed="false">
      <c r="A405" s="7" t="s">
        <v>643</v>
      </c>
      <c r="B405" s="18" t="n">
        <f aca="false">IF(A405="","",IFERROR(INDEX(Sales_Memo!$B$2:$B$1001,MATCH(A405,Sales_Memo!$A$2:$A$1001,0)),""))</f>
        <v>46270</v>
      </c>
      <c r="C405" s="7" t="s">
        <v>99</v>
      </c>
      <c r="D405" s="16" t="str">
        <f aca="false">IF(C405="","",IFERROR(INDEX(Products!$B$2:$B$501,MATCH(C405,Products!$A$2:$A$501,0)),"CODE NOT FOUND"))</f>
        <v>Engine Oil 20W-50 (1L)</v>
      </c>
      <c r="E405" s="7" t="n">
        <v>3</v>
      </c>
      <c r="F405" s="13" t="n">
        <v>990</v>
      </c>
      <c r="G405" s="13" t="n">
        <v>780</v>
      </c>
      <c r="H405" s="17" t="n">
        <f aca="false">IF(OR(E405="",F405=""),"",E405*F405)</f>
        <v>2970</v>
      </c>
      <c r="I405" s="17" t="n">
        <f aca="false">IF(OR(E405="",G405=""),"",E405*G405)</f>
        <v>2340</v>
      </c>
      <c r="J405" s="17" t="n">
        <f aca="false">IF(H405="","",H405-I405)</f>
        <v>630</v>
      </c>
    </row>
    <row r="406" customFormat="false" ht="15" hidden="false" customHeight="true" outlineLevel="0" collapsed="false">
      <c r="A406" s="7" t="s">
        <v>645</v>
      </c>
      <c r="B406" s="18" t="n">
        <f aca="false">IF(A406="","",IFERROR(INDEX(Sales_Memo!$B$2:$B$1001,MATCH(A406,Sales_Memo!$A$2:$A$1001,0)),""))</f>
        <v>46270</v>
      </c>
      <c r="C406" s="7" t="s">
        <v>90</v>
      </c>
      <c r="D406" s="16" t="str">
        <f aca="false">IF(C406="","",IFERROR(INDEX(Products!$B$2:$B$501,MATCH(C406,Products!$A$2:$A$501,0)),"CODE NOT FOUND"))</f>
        <v>Air Filter 150cc</v>
      </c>
      <c r="E406" s="7" t="n">
        <v>2</v>
      </c>
      <c r="F406" s="13" t="n">
        <v>340</v>
      </c>
      <c r="G406" s="13" t="n">
        <v>210</v>
      </c>
      <c r="H406" s="17" t="n">
        <f aca="false">IF(OR(E406="",F406=""),"",E406*F406)</f>
        <v>680</v>
      </c>
      <c r="I406" s="17" t="n">
        <f aca="false">IF(OR(E406="",G406=""),"",E406*G406)</f>
        <v>420</v>
      </c>
      <c r="J406" s="17" t="n">
        <f aca="false">IF(H406="","",H406-I406)</f>
        <v>260</v>
      </c>
    </row>
    <row r="407" customFormat="false" ht="15" hidden="false" customHeight="true" outlineLevel="0" collapsed="false">
      <c r="A407" s="7" t="s">
        <v>645</v>
      </c>
      <c r="B407" s="18" t="n">
        <f aca="false">IF(A407="","",IFERROR(INDEX(Sales_Memo!$B$2:$B$1001,MATCH(A407,Sales_Memo!$A$2:$A$1001,0)),""))</f>
        <v>46270</v>
      </c>
      <c r="C407" s="7" t="s">
        <v>86</v>
      </c>
      <c r="D407" s="16" t="str">
        <f aca="false">IF(C407="","",IFERROR(INDEX(Products!$B$2:$B$501,MATCH(C407,Products!$A$2:$A$501,0)),"CODE NOT FOUND"))</f>
        <v>Spark Plug CPR8EA-9</v>
      </c>
      <c r="E407" s="7" t="n">
        <v>1</v>
      </c>
      <c r="F407" s="13" t="n">
        <v>260</v>
      </c>
      <c r="G407" s="13" t="n">
        <v>175</v>
      </c>
      <c r="H407" s="17" t="n">
        <f aca="false">IF(OR(E407="",F407=""),"",E407*F407)</f>
        <v>260</v>
      </c>
      <c r="I407" s="17" t="n">
        <f aca="false">IF(OR(E407="",G407=""),"",E407*G407)</f>
        <v>175</v>
      </c>
      <c r="J407" s="17" t="n">
        <f aca="false">IF(H407="","",H407-I407)</f>
        <v>85</v>
      </c>
    </row>
    <row r="408" customFormat="false" ht="15" hidden="false" customHeight="true" outlineLevel="0" collapsed="false">
      <c r="A408" s="7" t="s">
        <v>645</v>
      </c>
      <c r="B408" s="18" t="n">
        <f aca="false">IF(A408="","",IFERROR(INDEX(Sales_Memo!$B$2:$B$1001,MATCH(A408,Sales_Memo!$A$2:$A$1001,0)),""))</f>
        <v>46270</v>
      </c>
      <c r="C408" s="7" t="s">
        <v>99</v>
      </c>
      <c r="D408" s="16" t="str">
        <f aca="false">IF(C408="","",IFERROR(INDEX(Products!$B$2:$B$501,MATCH(C408,Products!$A$2:$A$501,0)),"CODE NOT FOUND"))</f>
        <v>Engine Oil 20W-50 (1L)</v>
      </c>
      <c r="E408" s="7" t="n">
        <v>3</v>
      </c>
      <c r="F408" s="13" t="n">
        <v>990</v>
      </c>
      <c r="G408" s="13" t="n">
        <v>780</v>
      </c>
      <c r="H408" s="17" t="n">
        <f aca="false">IF(OR(E408="",F408=""),"",E408*F408)</f>
        <v>2970</v>
      </c>
      <c r="I408" s="17" t="n">
        <f aca="false">IF(OR(E408="",G408=""),"",E408*G408)</f>
        <v>2340</v>
      </c>
      <c r="J408" s="17" t="n">
        <f aca="false">IF(H408="","",H408-I408)</f>
        <v>630</v>
      </c>
    </row>
    <row r="409" customFormat="false" ht="15" hidden="false" customHeight="true" outlineLevel="0" collapsed="false">
      <c r="A409" s="7" t="s">
        <v>647</v>
      </c>
      <c r="B409" s="18" t="n">
        <f aca="false">IF(A409="","",IFERROR(INDEX(Sales_Memo!$B$2:$B$1001,MATCH(A409,Sales_Memo!$A$2:$A$1001,0)),""))</f>
        <v>46270</v>
      </c>
      <c r="C409" s="7" t="s">
        <v>77</v>
      </c>
      <c r="D409" s="16" t="str">
        <f aca="false">IF(C409="","",IFERROR(INDEX(Products!$B$2:$B$501,MATCH(C409,Products!$A$2:$A$501,0)),"CODE NOT FOUND"))</f>
        <v>Brake Pad Set - Front</v>
      </c>
      <c r="E409" s="7" t="n">
        <v>3</v>
      </c>
      <c r="F409" s="13" t="n">
        <v>480</v>
      </c>
      <c r="G409" s="13" t="n">
        <v>320</v>
      </c>
      <c r="H409" s="17" t="n">
        <f aca="false">IF(OR(E409="",F409=""),"",E409*F409)</f>
        <v>1440</v>
      </c>
      <c r="I409" s="17" t="n">
        <f aca="false">IF(OR(E409="",G409=""),"",E409*G409)</f>
        <v>960</v>
      </c>
      <c r="J409" s="17" t="n">
        <f aca="false">IF(H409="","",H409-I409)</f>
        <v>480</v>
      </c>
    </row>
    <row r="410" customFormat="false" ht="15" hidden="false" customHeight="true" outlineLevel="0" collapsed="false">
      <c r="A410" s="7" t="s">
        <v>648</v>
      </c>
      <c r="B410" s="18" t="n">
        <f aca="false">IF(A410="","",IFERROR(INDEX(Sales_Memo!$B$2:$B$1001,MATCH(A410,Sales_Memo!$A$2:$A$1001,0)),""))</f>
        <v>46270</v>
      </c>
      <c r="C410" s="7" t="s">
        <v>116</v>
      </c>
      <c r="D410" s="16" t="str">
        <f aca="false">IF(C410="","",IFERROR(INDEX(Products!$B$2:$B$501,MATCH(C410,Products!$A$2:$A$501,0)),"CODE NOT FOUND"))</f>
        <v>Helmet Full Face</v>
      </c>
      <c r="E410" s="7" t="n">
        <v>1</v>
      </c>
      <c r="F410" s="13" t="n">
        <v>1750</v>
      </c>
      <c r="G410" s="13" t="n">
        <v>1250</v>
      </c>
      <c r="H410" s="17" t="n">
        <f aca="false">IF(OR(E410="",F410=""),"",E410*F410)</f>
        <v>1750</v>
      </c>
      <c r="I410" s="17" t="n">
        <f aca="false">IF(OR(E410="",G410=""),"",E410*G410)</f>
        <v>1250</v>
      </c>
      <c r="J410" s="17" t="n">
        <f aca="false">IF(H410="","",H410-I410)</f>
        <v>500</v>
      </c>
    </row>
    <row r="411" customFormat="false" ht="15" hidden="false" customHeight="true" outlineLevel="0" collapsed="false">
      <c r="A411" s="7" t="s">
        <v>648</v>
      </c>
      <c r="B411" s="18" t="n">
        <f aca="false">IF(A411="","",IFERROR(INDEX(Sales_Memo!$B$2:$B$1001,MATCH(A411,Sales_Memo!$A$2:$A$1001,0)),""))</f>
        <v>46270</v>
      </c>
      <c r="C411" s="7" t="s">
        <v>77</v>
      </c>
      <c r="D411" s="16" t="str">
        <f aca="false">IF(C411="","",IFERROR(INDEX(Products!$B$2:$B$501,MATCH(C411,Products!$A$2:$A$501,0)),"CODE NOT FOUND"))</f>
        <v>Brake Pad Set - Front</v>
      </c>
      <c r="E411" s="7" t="n">
        <v>1</v>
      </c>
      <c r="F411" s="13" t="n">
        <v>480</v>
      </c>
      <c r="G411" s="13" t="n">
        <v>320</v>
      </c>
      <c r="H411" s="17" t="n">
        <f aca="false">IF(OR(E411="",F411=""),"",E411*F411)</f>
        <v>480</v>
      </c>
      <c r="I411" s="17" t="n">
        <f aca="false">IF(OR(E411="",G411=""),"",E411*G411)</f>
        <v>320</v>
      </c>
      <c r="J411" s="17" t="n">
        <f aca="false">IF(H411="","",H411-I411)</f>
        <v>160</v>
      </c>
    </row>
    <row r="412" customFormat="false" ht="15" hidden="false" customHeight="true" outlineLevel="0" collapsed="false">
      <c r="A412" s="7" t="s">
        <v>650</v>
      </c>
      <c r="B412" s="18" t="n">
        <f aca="false">IF(A412="","",IFERROR(INDEX(Sales_Memo!$B$2:$B$1001,MATCH(A412,Sales_Memo!$A$2:$A$1001,0)),""))</f>
        <v>46271</v>
      </c>
      <c r="C412" s="7" t="s">
        <v>82</v>
      </c>
      <c r="D412" s="16" t="str">
        <f aca="false">IF(C412="","",IFERROR(INDEX(Products!$B$2:$B$501,MATCH(C412,Products!$A$2:$A$501,0)),"CODE NOT FOUND"))</f>
        <v>Clutch Cable</v>
      </c>
      <c r="E412" s="7" t="n">
        <v>3</v>
      </c>
      <c r="F412" s="13" t="n">
        <v>190</v>
      </c>
      <c r="G412" s="13" t="n">
        <v>110</v>
      </c>
      <c r="H412" s="17" t="n">
        <f aca="false">IF(OR(E412="",F412=""),"",E412*F412)</f>
        <v>570</v>
      </c>
      <c r="I412" s="17" t="n">
        <f aca="false">IF(OR(E412="",G412=""),"",E412*G412)</f>
        <v>330</v>
      </c>
      <c r="J412" s="17" t="n">
        <f aca="false">IF(H412="","",H412-I412)</f>
        <v>240</v>
      </c>
    </row>
    <row r="413" customFormat="false" ht="15" hidden="false" customHeight="true" outlineLevel="0" collapsed="false">
      <c r="A413" s="7" t="s">
        <v>651</v>
      </c>
      <c r="B413" s="18" t="n">
        <f aca="false">IF(A413="","",IFERROR(INDEX(Sales_Memo!$B$2:$B$1001,MATCH(A413,Sales_Memo!$A$2:$A$1001,0)),""))</f>
        <v>46271</v>
      </c>
      <c r="C413" s="7" t="s">
        <v>82</v>
      </c>
      <c r="D413" s="16" t="str">
        <f aca="false">IF(C413="","",IFERROR(INDEX(Products!$B$2:$B$501,MATCH(C413,Products!$A$2:$A$501,0)),"CODE NOT FOUND"))</f>
        <v>Clutch Cable</v>
      </c>
      <c r="E413" s="7" t="n">
        <v>1</v>
      </c>
      <c r="F413" s="13" t="n">
        <v>190</v>
      </c>
      <c r="G413" s="13" t="n">
        <v>110</v>
      </c>
      <c r="H413" s="17" t="n">
        <f aca="false">IF(OR(E413="",F413=""),"",E413*F413)</f>
        <v>190</v>
      </c>
      <c r="I413" s="17" t="n">
        <f aca="false">IF(OR(E413="",G413=""),"",E413*G413)</f>
        <v>110</v>
      </c>
      <c r="J413" s="17" t="n">
        <f aca="false">IF(H413="","",H413-I413)</f>
        <v>80</v>
      </c>
    </row>
    <row r="414" customFormat="false" ht="15" hidden="false" customHeight="true" outlineLevel="0" collapsed="false">
      <c r="A414" s="7" t="s">
        <v>652</v>
      </c>
      <c r="B414" s="18" t="n">
        <f aca="false">IF(A414="","",IFERROR(INDEX(Sales_Memo!$B$2:$B$1001,MATCH(A414,Sales_Memo!$A$2:$A$1001,0)),""))</f>
        <v>46271</v>
      </c>
      <c r="C414" s="7" t="s">
        <v>119</v>
      </c>
      <c r="D414" s="16" t="str">
        <f aca="false">IF(C414="","",IFERROR(INDEX(Products!$B$2:$B$501,MATCH(C414,Products!$A$2:$A$501,0)),"CODE NOT FOUND"))</f>
        <v>Chain Lube Spray</v>
      </c>
      <c r="E414" s="7" t="n">
        <v>2</v>
      </c>
      <c r="F414" s="13" t="n">
        <v>270</v>
      </c>
      <c r="G414" s="13" t="n">
        <v>170</v>
      </c>
      <c r="H414" s="17" t="n">
        <f aca="false">IF(OR(E414="",F414=""),"",E414*F414)</f>
        <v>540</v>
      </c>
      <c r="I414" s="17" t="n">
        <f aca="false">IF(OR(E414="",G414=""),"",E414*G414)</f>
        <v>340</v>
      </c>
      <c r="J414" s="17" t="n">
        <f aca="false">IF(H414="","",H414-I414)</f>
        <v>200</v>
      </c>
    </row>
    <row r="415" customFormat="false" ht="15" hidden="false" customHeight="true" outlineLevel="0" collapsed="false">
      <c r="A415" s="7" t="s">
        <v>653</v>
      </c>
      <c r="B415" s="18" t="n">
        <f aca="false">IF(A415="","",IFERROR(INDEX(Sales_Memo!$B$2:$B$1001,MATCH(A415,Sales_Memo!$A$2:$A$1001,0)),""))</f>
        <v>46271</v>
      </c>
      <c r="C415" s="7" t="s">
        <v>114</v>
      </c>
      <c r="D415" s="16" t="str">
        <f aca="false">IF(C415="","",IFERROR(INDEX(Products!$B$2:$B$501,MATCH(C415,Products!$A$2:$A$501,0)),"CODE NOT FOUND"))</f>
        <v>Side Mirror (Pair)</v>
      </c>
      <c r="E415" s="7" t="n">
        <v>3</v>
      </c>
      <c r="F415" s="13" t="n">
        <v>620</v>
      </c>
      <c r="G415" s="13" t="n">
        <v>380</v>
      </c>
      <c r="H415" s="17" t="n">
        <f aca="false">IF(OR(E415="",F415=""),"",E415*F415)</f>
        <v>1860</v>
      </c>
      <c r="I415" s="17" t="n">
        <f aca="false">IF(OR(E415="",G415=""),"",E415*G415)</f>
        <v>1140</v>
      </c>
      <c r="J415" s="17" t="n">
        <f aca="false">IF(H415="","",H415-I415)</f>
        <v>720</v>
      </c>
    </row>
    <row r="416" customFormat="false" ht="15" hidden="false" customHeight="true" outlineLevel="0" collapsed="false">
      <c r="A416" s="7" t="s">
        <v>653</v>
      </c>
      <c r="B416" s="18" t="n">
        <f aca="false">IF(A416="","",IFERROR(INDEX(Sales_Memo!$B$2:$B$1001,MATCH(A416,Sales_Memo!$A$2:$A$1001,0)),""))</f>
        <v>46271</v>
      </c>
      <c r="C416" s="7" t="s">
        <v>121</v>
      </c>
      <c r="D416" s="16" t="str">
        <f aca="false">IF(C416="","",IFERROR(INDEX(Products!$B$2:$B$501,MATCH(C416,Products!$A$2:$A$501,0)),"CODE NOT FOUND"))</f>
        <v>Handle Grip Set</v>
      </c>
      <c r="E416" s="7" t="n">
        <v>1</v>
      </c>
      <c r="F416" s="13" t="n">
        <v>280</v>
      </c>
      <c r="G416" s="13" t="n">
        <v>160</v>
      </c>
      <c r="H416" s="17" t="n">
        <f aca="false">IF(OR(E416="",F416=""),"",E416*F416)</f>
        <v>280</v>
      </c>
      <c r="I416" s="17" t="n">
        <f aca="false">IF(OR(E416="",G416=""),"",E416*G416)</f>
        <v>160</v>
      </c>
      <c r="J416" s="17" t="n">
        <f aca="false">IF(H416="","",H416-I416)</f>
        <v>120</v>
      </c>
    </row>
    <row r="417" customFormat="false" ht="15" hidden="false" customHeight="true" outlineLevel="0" collapsed="false">
      <c r="A417" s="7" t="s">
        <v>653</v>
      </c>
      <c r="B417" s="18" t="n">
        <f aca="false">IF(A417="","",IFERROR(INDEX(Sales_Memo!$B$2:$B$1001,MATCH(A417,Sales_Memo!$A$2:$A$1001,0)),""))</f>
        <v>46271</v>
      </c>
      <c r="C417" s="7" t="s">
        <v>102</v>
      </c>
      <c r="D417" s="16" t="str">
        <f aca="false">IF(C417="","",IFERROR(INDEX(Products!$B$2:$B$501,MATCH(C417,Products!$A$2:$A$501,0)),"CODE NOT FOUND"))</f>
        <v>Headlight Bulb H4</v>
      </c>
      <c r="E417" s="7" t="n">
        <v>1</v>
      </c>
      <c r="F417" s="13" t="n">
        <v>240</v>
      </c>
      <c r="G417" s="13" t="n">
        <v>140</v>
      </c>
      <c r="H417" s="17" t="n">
        <f aca="false">IF(OR(E417="",F417=""),"",E417*F417)</f>
        <v>240</v>
      </c>
      <c r="I417" s="17" t="n">
        <f aca="false">IF(OR(E417="",G417=""),"",E417*G417)</f>
        <v>140</v>
      </c>
      <c r="J417" s="17" t="n">
        <f aca="false">IF(H417="","",H417-I417)</f>
        <v>100</v>
      </c>
    </row>
    <row r="418" customFormat="false" ht="15" hidden="false" customHeight="true" outlineLevel="0" collapsed="false">
      <c r="A418" s="7" t="s">
        <v>655</v>
      </c>
      <c r="B418" s="18" t="n">
        <f aca="false">IF(A418="","",IFERROR(INDEX(Sales_Memo!$B$2:$B$1001,MATCH(A418,Sales_Memo!$A$2:$A$1001,0)),""))</f>
        <v>46271</v>
      </c>
      <c r="C418" s="7" t="s">
        <v>121</v>
      </c>
      <c r="D418" s="16" t="str">
        <f aca="false">IF(C418="","",IFERROR(INDEX(Products!$B$2:$B$501,MATCH(C418,Products!$A$2:$A$501,0)),"CODE NOT FOUND"))</f>
        <v>Handle Grip Set</v>
      </c>
      <c r="E418" s="7" t="n">
        <v>1</v>
      </c>
      <c r="F418" s="13" t="n">
        <v>280</v>
      </c>
      <c r="G418" s="13" t="n">
        <v>160</v>
      </c>
      <c r="H418" s="17" t="n">
        <f aca="false">IF(OR(E418="",F418=""),"",E418*F418)</f>
        <v>280</v>
      </c>
      <c r="I418" s="17" t="n">
        <f aca="false">IF(OR(E418="",G418=""),"",E418*G418)</f>
        <v>160</v>
      </c>
      <c r="J418" s="17" t="n">
        <f aca="false">IF(H418="","",H418-I418)</f>
        <v>120</v>
      </c>
    </row>
    <row r="419" customFormat="false" ht="15" hidden="false" customHeight="true" outlineLevel="0" collapsed="false">
      <c r="A419" s="7" t="s">
        <v>655</v>
      </c>
      <c r="B419" s="18" t="n">
        <f aca="false">IF(A419="","",IFERROR(INDEX(Sales_Memo!$B$2:$B$1001,MATCH(A419,Sales_Memo!$A$2:$A$1001,0)),""))</f>
        <v>46271</v>
      </c>
      <c r="C419" s="7" t="s">
        <v>82</v>
      </c>
      <c r="D419" s="16" t="str">
        <f aca="false">IF(C419="","",IFERROR(INDEX(Products!$B$2:$B$501,MATCH(C419,Products!$A$2:$A$501,0)),"CODE NOT FOUND"))</f>
        <v>Clutch Cable</v>
      </c>
      <c r="E419" s="7" t="n">
        <v>1</v>
      </c>
      <c r="F419" s="13" t="n">
        <v>190</v>
      </c>
      <c r="G419" s="13" t="n">
        <v>110</v>
      </c>
      <c r="H419" s="17" t="n">
        <f aca="false">IF(OR(E419="",F419=""),"",E419*F419)</f>
        <v>190</v>
      </c>
      <c r="I419" s="17" t="n">
        <f aca="false">IF(OR(E419="",G419=""),"",E419*G419)</f>
        <v>110</v>
      </c>
      <c r="J419" s="17" t="n">
        <f aca="false">IF(H419="","",H419-I419)</f>
        <v>80</v>
      </c>
    </row>
    <row r="420" customFormat="false" ht="15" hidden="false" customHeight="true" outlineLevel="0" collapsed="false">
      <c r="A420" s="7" t="s">
        <v>655</v>
      </c>
      <c r="B420" s="18" t="n">
        <f aca="false">IF(A420="","",IFERROR(INDEX(Sales_Memo!$B$2:$B$1001,MATCH(A420,Sales_Memo!$A$2:$A$1001,0)),""))</f>
        <v>46271</v>
      </c>
      <c r="C420" s="7" t="s">
        <v>90</v>
      </c>
      <c r="D420" s="16" t="str">
        <f aca="false">IF(C420="","",IFERROR(INDEX(Products!$B$2:$B$501,MATCH(C420,Products!$A$2:$A$501,0)),"CODE NOT FOUND"))</f>
        <v>Air Filter 150cc</v>
      </c>
      <c r="E420" s="7" t="n">
        <v>1</v>
      </c>
      <c r="F420" s="13" t="n">
        <v>340</v>
      </c>
      <c r="G420" s="13" t="n">
        <v>210</v>
      </c>
      <c r="H420" s="17" t="n">
        <f aca="false">IF(OR(E420="",F420=""),"",E420*F420)</f>
        <v>340</v>
      </c>
      <c r="I420" s="17" t="n">
        <f aca="false">IF(OR(E420="",G420=""),"",E420*G420)</f>
        <v>210</v>
      </c>
      <c r="J420" s="17" t="n">
        <f aca="false">IF(H420="","",H420-I420)</f>
        <v>130</v>
      </c>
    </row>
    <row r="421" customFormat="false" ht="15" hidden="false" customHeight="true" outlineLevel="0" collapsed="false">
      <c r="A421" s="7" t="s">
        <v>656</v>
      </c>
      <c r="B421" s="18" t="n">
        <f aca="false">IF(A421="","",IFERROR(INDEX(Sales_Memo!$B$2:$B$1001,MATCH(A421,Sales_Memo!$A$2:$A$1001,0)),""))</f>
        <v>46271</v>
      </c>
      <c r="C421" s="7" t="s">
        <v>86</v>
      </c>
      <c r="D421" s="16" t="str">
        <f aca="false">IF(C421="","",IFERROR(INDEX(Products!$B$2:$B$501,MATCH(C421,Products!$A$2:$A$501,0)),"CODE NOT FOUND"))</f>
        <v>Spark Plug CPR8EA-9</v>
      </c>
      <c r="E421" s="7" t="n">
        <v>1</v>
      </c>
      <c r="F421" s="13" t="n">
        <v>260</v>
      </c>
      <c r="G421" s="13" t="n">
        <v>175</v>
      </c>
      <c r="H421" s="17" t="n">
        <f aca="false">IF(OR(E421="",F421=""),"",E421*F421)</f>
        <v>260</v>
      </c>
      <c r="I421" s="17" t="n">
        <f aca="false">IF(OR(E421="",G421=""),"",E421*G421)</f>
        <v>175</v>
      </c>
      <c r="J421" s="17" t="n">
        <f aca="false">IF(H421="","",H421-I421)</f>
        <v>85</v>
      </c>
    </row>
    <row r="422" customFormat="false" ht="15" hidden="false" customHeight="true" outlineLevel="0" collapsed="false">
      <c r="A422" s="7" t="s">
        <v>656</v>
      </c>
      <c r="B422" s="18" t="n">
        <f aca="false">IF(A422="","",IFERROR(INDEX(Sales_Memo!$B$2:$B$1001,MATCH(A422,Sales_Memo!$A$2:$A$1001,0)),""))</f>
        <v>46271</v>
      </c>
      <c r="C422" s="7" t="s">
        <v>119</v>
      </c>
      <c r="D422" s="16" t="str">
        <f aca="false">IF(C422="","",IFERROR(INDEX(Products!$B$2:$B$501,MATCH(C422,Products!$A$2:$A$501,0)),"CODE NOT FOUND"))</f>
        <v>Chain Lube Spray</v>
      </c>
      <c r="E422" s="7" t="n">
        <v>2</v>
      </c>
      <c r="F422" s="13" t="n">
        <v>270</v>
      </c>
      <c r="G422" s="13" t="n">
        <v>170</v>
      </c>
      <c r="H422" s="17" t="n">
        <f aca="false">IF(OR(E422="",F422=""),"",E422*F422)</f>
        <v>540</v>
      </c>
      <c r="I422" s="17" t="n">
        <f aca="false">IF(OR(E422="",G422=""),"",E422*G422)</f>
        <v>340</v>
      </c>
      <c r="J422" s="17" t="n">
        <f aca="false">IF(H422="","",H422-I422)</f>
        <v>200</v>
      </c>
    </row>
    <row r="423" customFormat="false" ht="15" hidden="false" customHeight="true" outlineLevel="0" collapsed="false">
      <c r="A423" s="7" t="s">
        <v>658</v>
      </c>
      <c r="B423" s="18" t="n">
        <f aca="false">IF(A423="","",IFERROR(INDEX(Sales_Memo!$B$2:$B$1001,MATCH(A423,Sales_Memo!$A$2:$A$1001,0)),""))</f>
        <v>46271</v>
      </c>
      <c r="C423" s="7" t="s">
        <v>90</v>
      </c>
      <c r="D423" s="16" t="str">
        <f aca="false">IF(C423="","",IFERROR(INDEX(Products!$B$2:$B$501,MATCH(C423,Products!$A$2:$A$501,0)),"CODE NOT FOUND"))</f>
        <v>Air Filter 150cc</v>
      </c>
      <c r="E423" s="7" t="n">
        <v>3</v>
      </c>
      <c r="F423" s="13" t="n">
        <v>340</v>
      </c>
      <c r="G423" s="13" t="n">
        <v>210</v>
      </c>
      <c r="H423" s="17" t="n">
        <f aca="false">IF(OR(E423="",F423=""),"",E423*F423)</f>
        <v>1020</v>
      </c>
      <c r="I423" s="17" t="n">
        <f aca="false">IF(OR(E423="",G423=""),"",E423*G423)</f>
        <v>630</v>
      </c>
      <c r="J423" s="17" t="n">
        <f aca="false">IF(H423="","",H423-I423)</f>
        <v>390</v>
      </c>
    </row>
    <row r="424" customFormat="false" ht="15" hidden="false" customHeight="true" outlineLevel="0" collapsed="false">
      <c r="A424" s="7" t="s">
        <v>659</v>
      </c>
      <c r="B424" s="18" t="n">
        <f aca="false">IF(A424="","",IFERROR(INDEX(Sales_Memo!$B$2:$B$1001,MATCH(A424,Sales_Memo!$A$2:$A$1001,0)),""))</f>
        <v>46271</v>
      </c>
      <c r="C424" s="7" t="s">
        <v>102</v>
      </c>
      <c r="D424" s="16" t="str">
        <f aca="false">IF(C424="","",IFERROR(INDEX(Products!$B$2:$B$501,MATCH(C424,Products!$A$2:$A$501,0)),"CODE NOT FOUND"))</f>
        <v>Headlight Bulb H4</v>
      </c>
      <c r="E424" s="7" t="n">
        <v>2</v>
      </c>
      <c r="F424" s="13" t="n">
        <v>240</v>
      </c>
      <c r="G424" s="13" t="n">
        <v>140</v>
      </c>
      <c r="H424" s="17" t="n">
        <f aca="false">IF(OR(E424="",F424=""),"",E424*F424)</f>
        <v>480</v>
      </c>
      <c r="I424" s="17" t="n">
        <f aca="false">IF(OR(E424="",G424=""),"",E424*G424)</f>
        <v>280</v>
      </c>
      <c r="J424" s="17" t="n">
        <f aca="false">IF(H424="","",H424-I424)</f>
        <v>200</v>
      </c>
    </row>
    <row r="425" customFormat="false" ht="15" hidden="false" customHeight="true" outlineLevel="0" collapsed="false">
      <c r="A425" s="7" t="s">
        <v>660</v>
      </c>
      <c r="B425" s="18" t="n">
        <f aca="false">IF(A425="","",IFERROR(INDEX(Sales_Memo!$B$2:$B$1001,MATCH(A425,Sales_Memo!$A$2:$A$1001,0)),""))</f>
        <v>46271</v>
      </c>
      <c r="C425" s="7" t="s">
        <v>82</v>
      </c>
      <c r="D425" s="16" t="str">
        <f aca="false">IF(C425="","",IFERROR(INDEX(Products!$B$2:$B$501,MATCH(C425,Products!$A$2:$A$501,0)),"CODE NOT FOUND"))</f>
        <v>Clutch Cable</v>
      </c>
      <c r="E425" s="7" t="n">
        <v>1</v>
      </c>
      <c r="F425" s="13" t="n">
        <v>190</v>
      </c>
      <c r="G425" s="13" t="n">
        <v>110</v>
      </c>
      <c r="H425" s="17" t="n">
        <f aca="false">IF(OR(E425="",F425=""),"",E425*F425)</f>
        <v>190</v>
      </c>
      <c r="I425" s="17" t="n">
        <f aca="false">IF(OR(E425="",G425=""),"",E425*G425)</f>
        <v>110</v>
      </c>
      <c r="J425" s="17" t="n">
        <f aca="false">IF(H425="","",H425-I425)</f>
        <v>80</v>
      </c>
    </row>
    <row r="426" customFormat="false" ht="15" hidden="false" customHeight="true" outlineLevel="0" collapsed="false">
      <c r="A426" s="7" t="s">
        <v>660</v>
      </c>
      <c r="B426" s="18" t="n">
        <f aca="false">IF(A426="","",IFERROR(INDEX(Sales_Memo!$B$2:$B$1001,MATCH(A426,Sales_Memo!$A$2:$A$1001,0)),""))</f>
        <v>46271</v>
      </c>
      <c r="C426" s="7" t="s">
        <v>119</v>
      </c>
      <c r="D426" s="16" t="str">
        <f aca="false">IF(C426="","",IFERROR(INDEX(Products!$B$2:$B$501,MATCH(C426,Products!$A$2:$A$501,0)),"CODE NOT FOUND"))</f>
        <v>Chain Lube Spray</v>
      </c>
      <c r="E426" s="7" t="n">
        <v>2</v>
      </c>
      <c r="F426" s="13" t="n">
        <v>270</v>
      </c>
      <c r="G426" s="13" t="n">
        <v>170</v>
      </c>
      <c r="H426" s="17" t="n">
        <f aca="false">IF(OR(E426="",F426=""),"",E426*F426)</f>
        <v>540</v>
      </c>
      <c r="I426" s="17" t="n">
        <f aca="false">IF(OR(E426="",G426=""),"",E426*G426)</f>
        <v>340</v>
      </c>
      <c r="J426" s="17" t="n">
        <f aca="false">IF(H426="","",H426-I426)</f>
        <v>200</v>
      </c>
    </row>
    <row r="427" customFormat="false" ht="15" hidden="false" customHeight="true" outlineLevel="0" collapsed="false">
      <c r="A427" s="7" t="s">
        <v>661</v>
      </c>
      <c r="B427" s="18" t="n">
        <f aca="false">IF(A427="","",IFERROR(INDEX(Sales_Memo!$B$2:$B$1001,MATCH(A427,Sales_Memo!$A$2:$A$1001,0)),""))</f>
        <v>46272</v>
      </c>
      <c r="C427" s="7" t="s">
        <v>102</v>
      </c>
      <c r="D427" s="16" t="str">
        <f aca="false">IF(C427="","",IFERROR(INDEX(Products!$B$2:$B$501,MATCH(C427,Products!$A$2:$A$501,0)),"CODE NOT FOUND"))</f>
        <v>Headlight Bulb H4</v>
      </c>
      <c r="E427" s="7" t="n">
        <v>3</v>
      </c>
      <c r="F427" s="13" t="n">
        <v>240</v>
      </c>
      <c r="G427" s="13" t="n">
        <v>140</v>
      </c>
      <c r="H427" s="17" t="n">
        <f aca="false">IF(OR(E427="",F427=""),"",E427*F427)</f>
        <v>720</v>
      </c>
      <c r="I427" s="17" t="n">
        <f aca="false">IF(OR(E427="",G427=""),"",E427*G427)</f>
        <v>420</v>
      </c>
      <c r="J427" s="17" t="n">
        <f aca="false">IF(H427="","",H427-I427)</f>
        <v>300</v>
      </c>
    </row>
    <row r="428" customFormat="false" ht="15" hidden="false" customHeight="true" outlineLevel="0" collapsed="false">
      <c r="A428" s="7" t="s">
        <v>661</v>
      </c>
      <c r="B428" s="18" t="n">
        <f aca="false">IF(A428="","",IFERROR(INDEX(Sales_Memo!$B$2:$B$1001,MATCH(A428,Sales_Memo!$A$2:$A$1001,0)),""))</f>
        <v>46272</v>
      </c>
      <c r="C428" s="7" t="s">
        <v>108</v>
      </c>
      <c r="D428" s="16" t="str">
        <f aca="false">IF(C428="","",IFERROR(INDEX(Products!$B$2:$B$501,MATCH(C428,Products!$A$2:$A$501,0)),"CODE NOT FOUND"))</f>
        <v>Tyre 90/90-17 Rear</v>
      </c>
      <c r="E428" s="7" t="n">
        <v>1</v>
      </c>
      <c r="F428" s="13" t="n">
        <v>3350</v>
      </c>
      <c r="G428" s="13" t="n">
        <v>2750</v>
      </c>
      <c r="H428" s="17" t="n">
        <f aca="false">IF(OR(E428="",F428=""),"",E428*F428)</f>
        <v>3350</v>
      </c>
      <c r="I428" s="17" t="n">
        <f aca="false">IF(OR(E428="",G428=""),"",E428*G428)</f>
        <v>2750</v>
      </c>
      <c r="J428" s="17" t="n">
        <f aca="false">IF(H428="","",H428-I428)</f>
        <v>600</v>
      </c>
    </row>
    <row r="429" customFormat="false" ht="15" hidden="false" customHeight="true" outlineLevel="0" collapsed="false">
      <c r="A429" s="7" t="s">
        <v>663</v>
      </c>
      <c r="B429" s="18" t="n">
        <f aca="false">IF(A429="","",IFERROR(INDEX(Sales_Memo!$B$2:$B$1001,MATCH(A429,Sales_Memo!$A$2:$A$1001,0)),""))</f>
        <v>46272</v>
      </c>
      <c r="C429" s="7" t="s">
        <v>82</v>
      </c>
      <c r="D429" s="16" t="str">
        <f aca="false">IF(C429="","",IFERROR(INDEX(Products!$B$2:$B$501,MATCH(C429,Products!$A$2:$A$501,0)),"CODE NOT FOUND"))</f>
        <v>Clutch Cable</v>
      </c>
      <c r="E429" s="7" t="n">
        <v>2</v>
      </c>
      <c r="F429" s="13" t="n">
        <v>190</v>
      </c>
      <c r="G429" s="13" t="n">
        <v>110</v>
      </c>
      <c r="H429" s="17" t="n">
        <f aca="false">IF(OR(E429="",F429=""),"",E429*F429)</f>
        <v>380</v>
      </c>
      <c r="I429" s="17" t="n">
        <f aca="false">IF(OR(E429="",G429=""),"",E429*G429)</f>
        <v>220</v>
      </c>
      <c r="J429" s="17" t="n">
        <f aca="false">IF(H429="","",H429-I429)</f>
        <v>160</v>
      </c>
    </row>
    <row r="430" customFormat="false" ht="15" hidden="false" customHeight="true" outlineLevel="0" collapsed="false">
      <c r="A430" s="7" t="s">
        <v>663</v>
      </c>
      <c r="B430" s="18" t="n">
        <f aca="false">IF(A430="","",IFERROR(INDEX(Sales_Memo!$B$2:$B$1001,MATCH(A430,Sales_Memo!$A$2:$A$1001,0)),""))</f>
        <v>46272</v>
      </c>
      <c r="C430" s="7" t="s">
        <v>86</v>
      </c>
      <c r="D430" s="16" t="str">
        <f aca="false">IF(C430="","",IFERROR(INDEX(Products!$B$2:$B$501,MATCH(C430,Products!$A$2:$A$501,0)),"CODE NOT FOUND"))</f>
        <v>Spark Plug CPR8EA-9</v>
      </c>
      <c r="E430" s="7" t="n">
        <v>2</v>
      </c>
      <c r="F430" s="13" t="n">
        <v>260</v>
      </c>
      <c r="G430" s="13" t="n">
        <v>175</v>
      </c>
      <c r="H430" s="17" t="n">
        <f aca="false">IF(OR(E430="",F430=""),"",E430*F430)</f>
        <v>520</v>
      </c>
      <c r="I430" s="17" t="n">
        <f aca="false">IF(OR(E430="",G430=""),"",E430*G430)</f>
        <v>350</v>
      </c>
      <c r="J430" s="17" t="n">
        <f aca="false">IF(H430="","",H430-I430)</f>
        <v>170</v>
      </c>
    </row>
    <row r="431" customFormat="false" ht="15" hidden="false" customHeight="true" outlineLevel="0" collapsed="false">
      <c r="A431" s="7" t="s">
        <v>664</v>
      </c>
      <c r="B431" s="18" t="n">
        <f aca="false">IF(A431="","",IFERROR(INDEX(Sales_Memo!$B$2:$B$1001,MATCH(A431,Sales_Memo!$A$2:$A$1001,0)),""))</f>
        <v>46272</v>
      </c>
      <c r="C431" s="7" t="s">
        <v>77</v>
      </c>
      <c r="D431" s="16" t="str">
        <f aca="false">IF(C431="","",IFERROR(INDEX(Products!$B$2:$B$501,MATCH(C431,Products!$A$2:$A$501,0)),"CODE NOT FOUND"))</f>
        <v>Brake Pad Set - Front</v>
      </c>
      <c r="E431" s="7" t="n">
        <v>1</v>
      </c>
      <c r="F431" s="13" t="n">
        <v>480</v>
      </c>
      <c r="G431" s="13" t="n">
        <v>320</v>
      </c>
      <c r="H431" s="17" t="n">
        <f aca="false">IF(OR(E431="",F431=""),"",E431*F431)</f>
        <v>480</v>
      </c>
      <c r="I431" s="17" t="n">
        <f aca="false">IF(OR(E431="",G431=""),"",E431*G431)</f>
        <v>320</v>
      </c>
      <c r="J431" s="17" t="n">
        <f aca="false">IF(H431="","",H431-I431)</f>
        <v>160</v>
      </c>
    </row>
    <row r="432" customFormat="false" ht="15" hidden="false" customHeight="true" outlineLevel="0" collapsed="false">
      <c r="A432" s="7" t="s">
        <v>664</v>
      </c>
      <c r="B432" s="18" t="n">
        <f aca="false">IF(A432="","",IFERROR(INDEX(Sales_Memo!$B$2:$B$1001,MATCH(A432,Sales_Memo!$A$2:$A$1001,0)),""))</f>
        <v>46272</v>
      </c>
      <c r="C432" s="7" t="s">
        <v>119</v>
      </c>
      <c r="D432" s="16" t="str">
        <f aca="false">IF(C432="","",IFERROR(INDEX(Products!$B$2:$B$501,MATCH(C432,Products!$A$2:$A$501,0)),"CODE NOT FOUND"))</f>
        <v>Chain Lube Spray</v>
      </c>
      <c r="E432" s="7" t="n">
        <v>2</v>
      </c>
      <c r="F432" s="13" t="n">
        <v>270</v>
      </c>
      <c r="G432" s="13" t="n">
        <v>170</v>
      </c>
      <c r="H432" s="17" t="n">
        <f aca="false">IF(OR(E432="",F432=""),"",E432*F432)</f>
        <v>540</v>
      </c>
      <c r="I432" s="17" t="n">
        <f aca="false">IF(OR(E432="",G432=""),"",E432*G432)</f>
        <v>340</v>
      </c>
      <c r="J432" s="17" t="n">
        <f aca="false">IF(H432="","",H432-I432)</f>
        <v>200</v>
      </c>
    </row>
    <row r="433" customFormat="false" ht="15" hidden="false" customHeight="true" outlineLevel="0" collapsed="false">
      <c r="A433" s="7" t="s">
        <v>665</v>
      </c>
      <c r="B433" s="18" t="n">
        <f aca="false">IF(A433="","",IFERROR(INDEX(Sales_Memo!$B$2:$B$1001,MATCH(A433,Sales_Memo!$A$2:$A$1001,0)),""))</f>
        <v>46272</v>
      </c>
      <c r="C433" s="7" t="s">
        <v>102</v>
      </c>
      <c r="D433" s="16" t="str">
        <f aca="false">IF(C433="","",IFERROR(INDEX(Products!$B$2:$B$501,MATCH(C433,Products!$A$2:$A$501,0)),"CODE NOT FOUND"))</f>
        <v>Headlight Bulb H4</v>
      </c>
      <c r="E433" s="7" t="n">
        <v>2</v>
      </c>
      <c r="F433" s="13" t="n">
        <v>240</v>
      </c>
      <c r="G433" s="13" t="n">
        <v>140</v>
      </c>
      <c r="H433" s="17" t="n">
        <f aca="false">IF(OR(E433="",F433=""),"",E433*F433)</f>
        <v>480</v>
      </c>
      <c r="I433" s="17" t="n">
        <f aca="false">IF(OR(E433="",G433=""),"",E433*G433)</f>
        <v>280</v>
      </c>
      <c r="J433" s="17" t="n">
        <f aca="false">IF(H433="","",H433-I433)</f>
        <v>200</v>
      </c>
    </row>
    <row r="434" customFormat="false" ht="15" hidden="false" customHeight="true" outlineLevel="0" collapsed="false">
      <c r="A434" s="7" t="s">
        <v>667</v>
      </c>
      <c r="B434" s="18" t="n">
        <f aca="false">IF(A434="","",IFERROR(INDEX(Sales_Memo!$B$2:$B$1001,MATCH(A434,Sales_Memo!$A$2:$A$1001,0)),""))</f>
        <v>46272</v>
      </c>
      <c r="C434" s="7" t="s">
        <v>116</v>
      </c>
      <c r="D434" s="16" t="str">
        <f aca="false">IF(C434="","",IFERROR(INDEX(Products!$B$2:$B$501,MATCH(C434,Products!$A$2:$A$501,0)),"CODE NOT FOUND"))</f>
        <v>Helmet Full Face</v>
      </c>
      <c r="E434" s="7" t="n">
        <v>1</v>
      </c>
      <c r="F434" s="13" t="n">
        <v>1750</v>
      </c>
      <c r="G434" s="13" t="n">
        <v>1250</v>
      </c>
      <c r="H434" s="17" t="n">
        <f aca="false">IF(OR(E434="",F434=""),"",E434*F434)</f>
        <v>1750</v>
      </c>
      <c r="I434" s="17" t="n">
        <f aca="false">IF(OR(E434="",G434=""),"",E434*G434)</f>
        <v>1250</v>
      </c>
      <c r="J434" s="17" t="n">
        <f aca="false">IF(H434="","",H434-I434)</f>
        <v>500</v>
      </c>
    </row>
    <row r="435" customFormat="false" ht="15" hidden="false" customHeight="true" outlineLevel="0" collapsed="false">
      <c r="A435" s="7" t="s">
        <v>668</v>
      </c>
      <c r="B435" s="18" t="n">
        <f aca="false">IF(A435="","",IFERROR(INDEX(Sales_Memo!$B$2:$B$1001,MATCH(A435,Sales_Memo!$A$2:$A$1001,0)),""))</f>
        <v>46272</v>
      </c>
      <c r="C435" s="7" t="s">
        <v>121</v>
      </c>
      <c r="D435" s="16" t="str">
        <f aca="false">IF(C435="","",IFERROR(INDEX(Products!$B$2:$B$501,MATCH(C435,Products!$A$2:$A$501,0)),"CODE NOT FOUND"))</f>
        <v>Handle Grip Set</v>
      </c>
      <c r="E435" s="7" t="n">
        <v>2</v>
      </c>
      <c r="F435" s="13" t="n">
        <v>280</v>
      </c>
      <c r="G435" s="13" t="n">
        <v>160</v>
      </c>
      <c r="H435" s="17" t="n">
        <f aca="false">IF(OR(E435="",F435=""),"",E435*F435)</f>
        <v>560</v>
      </c>
      <c r="I435" s="17" t="n">
        <f aca="false">IF(OR(E435="",G435=""),"",E435*G435)</f>
        <v>320</v>
      </c>
      <c r="J435" s="17" t="n">
        <f aca="false">IF(H435="","",H435-I435)</f>
        <v>240</v>
      </c>
    </row>
    <row r="436" customFormat="false" ht="15" hidden="false" customHeight="true" outlineLevel="0" collapsed="false">
      <c r="A436" s="7" t="s">
        <v>669</v>
      </c>
      <c r="B436" s="18" t="n">
        <f aca="false">IF(A436="","",IFERROR(INDEX(Sales_Memo!$B$2:$B$1001,MATCH(A436,Sales_Memo!$A$2:$A$1001,0)),""))</f>
        <v>46272</v>
      </c>
      <c r="C436" s="7" t="s">
        <v>90</v>
      </c>
      <c r="D436" s="16" t="str">
        <f aca="false">IF(C436="","",IFERROR(INDEX(Products!$B$2:$B$501,MATCH(C436,Products!$A$2:$A$501,0)),"CODE NOT FOUND"))</f>
        <v>Air Filter 150cc</v>
      </c>
      <c r="E436" s="7" t="n">
        <v>2</v>
      </c>
      <c r="F436" s="13" t="n">
        <v>340</v>
      </c>
      <c r="G436" s="13" t="n">
        <v>210</v>
      </c>
      <c r="H436" s="17" t="n">
        <f aca="false">IF(OR(E436="",F436=""),"",E436*F436)</f>
        <v>680</v>
      </c>
      <c r="I436" s="17" t="n">
        <f aca="false">IF(OR(E436="",G436=""),"",E436*G436)</f>
        <v>420</v>
      </c>
      <c r="J436" s="17" t="n">
        <f aca="false">IF(H436="","",H436-I436)</f>
        <v>260</v>
      </c>
    </row>
    <row r="437" customFormat="false" ht="15" hidden="false" customHeight="true" outlineLevel="0" collapsed="false">
      <c r="A437" s="7" t="s">
        <v>670</v>
      </c>
      <c r="B437" s="18" t="n">
        <f aca="false">IF(A437="","",IFERROR(INDEX(Sales_Memo!$B$2:$B$1001,MATCH(A437,Sales_Memo!$A$2:$A$1001,0)),""))</f>
        <v>46272</v>
      </c>
      <c r="C437" s="7" t="s">
        <v>121</v>
      </c>
      <c r="D437" s="16" t="str">
        <f aca="false">IF(C437="","",IFERROR(INDEX(Products!$B$2:$B$501,MATCH(C437,Products!$A$2:$A$501,0)),"CODE NOT FOUND"))</f>
        <v>Handle Grip Set</v>
      </c>
      <c r="E437" s="7" t="n">
        <v>3</v>
      </c>
      <c r="F437" s="13" t="n">
        <v>280</v>
      </c>
      <c r="G437" s="13" t="n">
        <v>160</v>
      </c>
      <c r="H437" s="17" t="n">
        <f aca="false">IF(OR(E437="",F437=""),"",E437*F437)</f>
        <v>840</v>
      </c>
      <c r="I437" s="17" t="n">
        <f aca="false">IF(OR(E437="",G437=""),"",E437*G437)</f>
        <v>480</v>
      </c>
      <c r="J437" s="17" t="n">
        <f aca="false">IF(H437="","",H437-I437)</f>
        <v>360</v>
      </c>
    </row>
    <row r="438" customFormat="false" ht="15" hidden="false" customHeight="true" outlineLevel="0" collapsed="false">
      <c r="A438" s="7" t="s">
        <v>671</v>
      </c>
      <c r="B438" s="18" t="n">
        <f aca="false">IF(A438="","",IFERROR(INDEX(Sales_Memo!$B$2:$B$1001,MATCH(A438,Sales_Memo!$A$2:$A$1001,0)),""))</f>
        <v>46272</v>
      </c>
      <c r="C438" s="7" t="s">
        <v>102</v>
      </c>
      <c r="D438" s="16" t="str">
        <f aca="false">IF(C438="","",IFERROR(INDEX(Products!$B$2:$B$501,MATCH(C438,Products!$A$2:$A$501,0)),"CODE NOT FOUND"))</f>
        <v>Headlight Bulb H4</v>
      </c>
      <c r="E438" s="7" t="n">
        <v>2</v>
      </c>
      <c r="F438" s="13" t="n">
        <v>240</v>
      </c>
      <c r="G438" s="13" t="n">
        <v>140</v>
      </c>
      <c r="H438" s="17" t="n">
        <f aca="false">IF(OR(E438="",F438=""),"",E438*F438)</f>
        <v>480</v>
      </c>
      <c r="I438" s="17" t="n">
        <f aca="false">IF(OR(E438="",G438=""),"",E438*G438)</f>
        <v>280</v>
      </c>
      <c r="J438" s="17" t="n">
        <f aca="false">IF(H438="","",H438-I438)</f>
        <v>200</v>
      </c>
    </row>
    <row r="439" customFormat="false" ht="15" hidden="false" customHeight="true" outlineLevel="0" collapsed="false">
      <c r="A439" s="7" t="s">
        <v>672</v>
      </c>
      <c r="B439" s="18" t="n">
        <f aca="false">IF(A439="","",IFERROR(INDEX(Sales_Memo!$B$2:$B$1001,MATCH(A439,Sales_Memo!$A$2:$A$1001,0)),""))</f>
        <v>46272</v>
      </c>
      <c r="C439" s="7" t="s">
        <v>102</v>
      </c>
      <c r="D439" s="16" t="str">
        <f aca="false">IF(C439="","",IFERROR(INDEX(Products!$B$2:$B$501,MATCH(C439,Products!$A$2:$A$501,0)),"CODE NOT FOUND"))</f>
        <v>Headlight Bulb H4</v>
      </c>
      <c r="E439" s="7" t="n">
        <v>2</v>
      </c>
      <c r="F439" s="13" t="n">
        <v>240</v>
      </c>
      <c r="G439" s="13" t="n">
        <v>140</v>
      </c>
      <c r="H439" s="17" t="n">
        <f aca="false">IF(OR(E439="",F439=""),"",E439*F439)</f>
        <v>480</v>
      </c>
      <c r="I439" s="17" t="n">
        <f aca="false">IF(OR(E439="",G439=""),"",E439*G439)</f>
        <v>280</v>
      </c>
      <c r="J439" s="17" t="n">
        <f aca="false">IF(H439="","",H439-I439)</f>
        <v>200</v>
      </c>
    </row>
    <row r="440" customFormat="false" ht="15" hidden="false" customHeight="true" outlineLevel="0" collapsed="false">
      <c r="A440" s="7" t="s">
        <v>673</v>
      </c>
      <c r="B440" s="18" t="n">
        <f aca="false">IF(A440="","",IFERROR(INDEX(Sales_Memo!$B$2:$B$1001,MATCH(A440,Sales_Memo!$A$2:$A$1001,0)),""))</f>
        <v>46272</v>
      </c>
      <c r="C440" s="7" t="s">
        <v>102</v>
      </c>
      <c r="D440" s="16" t="str">
        <f aca="false">IF(C440="","",IFERROR(INDEX(Products!$B$2:$B$501,MATCH(C440,Products!$A$2:$A$501,0)),"CODE NOT FOUND"))</f>
        <v>Headlight Bulb H4</v>
      </c>
      <c r="E440" s="7" t="n">
        <v>2</v>
      </c>
      <c r="F440" s="13" t="n">
        <v>240</v>
      </c>
      <c r="G440" s="13" t="n">
        <v>140</v>
      </c>
      <c r="H440" s="17" t="n">
        <f aca="false">IF(OR(E440="",F440=""),"",E440*F440)</f>
        <v>480</v>
      </c>
      <c r="I440" s="17" t="n">
        <f aca="false">IF(OR(E440="",G440=""),"",E440*G440)</f>
        <v>280</v>
      </c>
      <c r="J440" s="17" t="n">
        <f aca="false">IF(H440="","",H440-I440)</f>
        <v>200</v>
      </c>
    </row>
    <row r="441" customFormat="false" ht="15" hidden="false" customHeight="true" outlineLevel="0" collapsed="false">
      <c r="A441" s="7" t="s">
        <v>674</v>
      </c>
      <c r="B441" s="18" t="n">
        <f aca="false">IF(A441="","",IFERROR(INDEX(Sales_Memo!$B$2:$B$1001,MATCH(A441,Sales_Memo!$A$2:$A$1001,0)),""))</f>
        <v>46272</v>
      </c>
      <c r="C441" s="7" t="s">
        <v>77</v>
      </c>
      <c r="D441" s="16" t="str">
        <f aca="false">IF(C441="","",IFERROR(INDEX(Products!$B$2:$B$501,MATCH(C441,Products!$A$2:$A$501,0)),"CODE NOT FOUND"))</f>
        <v>Brake Pad Set - Front</v>
      </c>
      <c r="E441" s="7" t="n">
        <v>2</v>
      </c>
      <c r="F441" s="13" t="n">
        <v>480</v>
      </c>
      <c r="G441" s="13" t="n">
        <v>320</v>
      </c>
      <c r="H441" s="17" t="n">
        <f aca="false">IF(OR(E441="",F441=""),"",E441*F441)</f>
        <v>960</v>
      </c>
      <c r="I441" s="17" t="n">
        <f aca="false">IF(OR(E441="",G441=""),"",E441*G441)</f>
        <v>640</v>
      </c>
      <c r="J441" s="17" t="n">
        <f aca="false">IF(H441="","",H441-I441)</f>
        <v>320</v>
      </c>
    </row>
    <row r="442" customFormat="false" ht="15" hidden="false" customHeight="true" outlineLevel="0" collapsed="false">
      <c r="A442" s="7" t="s">
        <v>676</v>
      </c>
      <c r="B442" s="18" t="n">
        <f aca="false">IF(A442="","",IFERROR(INDEX(Sales_Memo!$B$2:$B$1001,MATCH(A442,Sales_Memo!$A$2:$A$1001,0)),""))</f>
        <v>46273</v>
      </c>
      <c r="C442" s="7" t="s">
        <v>82</v>
      </c>
      <c r="D442" s="16" t="str">
        <f aca="false">IF(C442="","",IFERROR(INDEX(Products!$B$2:$B$501,MATCH(C442,Products!$A$2:$A$501,0)),"CODE NOT FOUND"))</f>
        <v>Clutch Cable</v>
      </c>
      <c r="E442" s="7" t="n">
        <v>1</v>
      </c>
      <c r="F442" s="13" t="n">
        <v>190</v>
      </c>
      <c r="G442" s="13" t="n">
        <v>110</v>
      </c>
      <c r="H442" s="17" t="n">
        <f aca="false">IF(OR(E442="",F442=""),"",E442*F442)</f>
        <v>190</v>
      </c>
      <c r="I442" s="17" t="n">
        <f aca="false">IF(OR(E442="",G442=""),"",E442*G442)</f>
        <v>110</v>
      </c>
      <c r="J442" s="17" t="n">
        <f aca="false">IF(H442="","",H442-I442)</f>
        <v>80</v>
      </c>
    </row>
    <row r="443" customFormat="false" ht="15" hidden="false" customHeight="true" outlineLevel="0" collapsed="false">
      <c r="A443" s="7" t="s">
        <v>676</v>
      </c>
      <c r="B443" s="18" t="n">
        <f aca="false">IF(A443="","",IFERROR(INDEX(Sales_Memo!$B$2:$B$1001,MATCH(A443,Sales_Memo!$A$2:$A$1001,0)),""))</f>
        <v>46273</v>
      </c>
      <c r="C443" s="7" t="s">
        <v>99</v>
      </c>
      <c r="D443" s="16" t="str">
        <f aca="false">IF(C443="","",IFERROR(INDEX(Products!$B$2:$B$501,MATCH(C443,Products!$A$2:$A$501,0)),"CODE NOT FOUND"))</f>
        <v>Engine Oil 20W-50 (1L)</v>
      </c>
      <c r="E443" s="7" t="n">
        <v>3</v>
      </c>
      <c r="F443" s="13" t="n">
        <v>990</v>
      </c>
      <c r="G443" s="13" t="n">
        <v>780</v>
      </c>
      <c r="H443" s="17" t="n">
        <f aca="false">IF(OR(E443="",F443=""),"",E443*F443)</f>
        <v>2970</v>
      </c>
      <c r="I443" s="17" t="n">
        <f aca="false">IF(OR(E443="",G443=""),"",E443*G443)</f>
        <v>2340</v>
      </c>
      <c r="J443" s="17" t="n">
        <f aca="false">IF(H443="","",H443-I443)</f>
        <v>630</v>
      </c>
    </row>
    <row r="444" customFormat="false" ht="15" hidden="false" customHeight="true" outlineLevel="0" collapsed="false">
      <c r="A444" s="7" t="s">
        <v>678</v>
      </c>
      <c r="B444" s="18" t="n">
        <f aca="false">IF(A444="","",IFERROR(INDEX(Sales_Memo!$B$2:$B$1001,MATCH(A444,Sales_Memo!$A$2:$A$1001,0)),""))</f>
        <v>46273</v>
      </c>
      <c r="C444" s="7" t="s">
        <v>102</v>
      </c>
      <c r="D444" s="16" t="str">
        <f aca="false">IF(C444="","",IFERROR(INDEX(Products!$B$2:$B$501,MATCH(C444,Products!$A$2:$A$501,0)),"CODE NOT FOUND"))</f>
        <v>Headlight Bulb H4</v>
      </c>
      <c r="E444" s="7" t="n">
        <v>3</v>
      </c>
      <c r="F444" s="13" t="n">
        <v>240</v>
      </c>
      <c r="G444" s="13" t="n">
        <v>140</v>
      </c>
      <c r="H444" s="17" t="n">
        <f aca="false">IF(OR(E444="",F444=""),"",E444*F444)</f>
        <v>720</v>
      </c>
      <c r="I444" s="17" t="n">
        <f aca="false">IF(OR(E444="",G444=""),"",E444*G444)</f>
        <v>420</v>
      </c>
      <c r="J444" s="17" t="n">
        <f aca="false">IF(H444="","",H444-I444)</f>
        <v>300</v>
      </c>
    </row>
    <row r="445" customFormat="false" ht="15" hidden="false" customHeight="true" outlineLevel="0" collapsed="false">
      <c r="A445" s="7" t="s">
        <v>679</v>
      </c>
      <c r="B445" s="18" t="n">
        <f aca="false">IF(A445="","",IFERROR(INDEX(Sales_Memo!$B$2:$B$1001,MATCH(A445,Sales_Memo!$A$2:$A$1001,0)),""))</f>
        <v>46273</v>
      </c>
      <c r="C445" s="7" t="s">
        <v>82</v>
      </c>
      <c r="D445" s="16" t="str">
        <f aca="false">IF(C445="","",IFERROR(INDEX(Products!$B$2:$B$501,MATCH(C445,Products!$A$2:$A$501,0)),"CODE NOT FOUND"))</f>
        <v>Clutch Cable</v>
      </c>
      <c r="E445" s="7" t="n">
        <v>3</v>
      </c>
      <c r="F445" s="13" t="n">
        <v>190</v>
      </c>
      <c r="G445" s="13" t="n">
        <v>110</v>
      </c>
      <c r="H445" s="17" t="n">
        <f aca="false">IF(OR(E445="",F445=""),"",E445*F445)</f>
        <v>570</v>
      </c>
      <c r="I445" s="17" t="n">
        <f aca="false">IF(OR(E445="",G445=""),"",E445*G445)</f>
        <v>330</v>
      </c>
      <c r="J445" s="17" t="n">
        <f aca="false">IF(H445="","",H445-I445)</f>
        <v>240</v>
      </c>
    </row>
    <row r="446" customFormat="false" ht="15" hidden="false" customHeight="true" outlineLevel="0" collapsed="false">
      <c r="A446" s="7" t="s">
        <v>679</v>
      </c>
      <c r="B446" s="18" t="n">
        <f aca="false">IF(A446="","",IFERROR(INDEX(Sales_Memo!$B$2:$B$1001,MATCH(A446,Sales_Memo!$A$2:$A$1001,0)),""))</f>
        <v>46273</v>
      </c>
      <c r="C446" s="7" t="s">
        <v>86</v>
      </c>
      <c r="D446" s="16" t="str">
        <f aca="false">IF(C446="","",IFERROR(INDEX(Products!$B$2:$B$501,MATCH(C446,Products!$A$2:$A$501,0)),"CODE NOT FOUND"))</f>
        <v>Spark Plug CPR8EA-9</v>
      </c>
      <c r="E446" s="7" t="n">
        <v>2</v>
      </c>
      <c r="F446" s="13" t="n">
        <v>260</v>
      </c>
      <c r="G446" s="13" t="n">
        <v>175</v>
      </c>
      <c r="H446" s="17" t="n">
        <f aca="false">IF(OR(E446="",F446=""),"",E446*F446)</f>
        <v>520</v>
      </c>
      <c r="I446" s="17" t="n">
        <f aca="false">IF(OR(E446="",G446=""),"",E446*G446)</f>
        <v>350</v>
      </c>
      <c r="J446" s="17" t="n">
        <f aca="false">IF(H446="","",H446-I446)</f>
        <v>170</v>
      </c>
    </row>
    <row r="447" customFormat="false" ht="15" hidden="false" customHeight="true" outlineLevel="0" collapsed="false">
      <c r="A447" s="7" t="s">
        <v>679</v>
      </c>
      <c r="B447" s="18" t="n">
        <f aca="false">IF(A447="","",IFERROR(INDEX(Sales_Memo!$B$2:$B$1001,MATCH(A447,Sales_Memo!$A$2:$A$1001,0)),""))</f>
        <v>46273</v>
      </c>
      <c r="C447" s="7" t="s">
        <v>121</v>
      </c>
      <c r="D447" s="16" t="str">
        <f aca="false">IF(C447="","",IFERROR(INDEX(Products!$B$2:$B$501,MATCH(C447,Products!$A$2:$A$501,0)),"CODE NOT FOUND"))</f>
        <v>Handle Grip Set</v>
      </c>
      <c r="E447" s="7" t="n">
        <v>1</v>
      </c>
      <c r="F447" s="13" t="n">
        <v>280</v>
      </c>
      <c r="G447" s="13" t="n">
        <v>160</v>
      </c>
      <c r="H447" s="17" t="n">
        <f aca="false">IF(OR(E447="",F447=""),"",E447*F447)</f>
        <v>280</v>
      </c>
      <c r="I447" s="17" t="n">
        <f aca="false">IF(OR(E447="",G447=""),"",E447*G447)</f>
        <v>160</v>
      </c>
      <c r="J447" s="17" t="n">
        <f aca="false">IF(H447="","",H447-I447)</f>
        <v>120</v>
      </c>
    </row>
    <row r="448" customFormat="false" ht="15" hidden="false" customHeight="true" outlineLevel="0" collapsed="false">
      <c r="A448" s="7" t="s">
        <v>680</v>
      </c>
      <c r="B448" s="18" t="n">
        <f aca="false">IF(A448="","",IFERROR(INDEX(Sales_Memo!$B$2:$B$1001,MATCH(A448,Sales_Memo!$A$2:$A$1001,0)),""))</f>
        <v>46273</v>
      </c>
      <c r="C448" s="7" t="s">
        <v>82</v>
      </c>
      <c r="D448" s="16" t="str">
        <f aca="false">IF(C448="","",IFERROR(INDEX(Products!$B$2:$B$501,MATCH(C448,Products!$A$2:$A$501,0)),"CODE NOT FOUND"))</f>
        <v>Clutch Cable</v>
      </c>
      <c r="E448" s="7" t="n">
        <v>1</v>
      </c>
      <c r="F448" s="13" t="n">
        <v>190</v>
      </c>
      <c r="G448" s="13" t="n">
        <v>110</v>
      </c>
      <c r="H448" s="17" t="n">
        <f aca="false">IF(OR(E448="",F448=""),"",E448*F448)</f>
        <v>190</v>
      </c>
      <c r="I448" s="17" t="n">
        <f aca="false">IF(OR(E448="",G448=""),"",E448*G448)</f>
        <v>110</v>
      </c>
      <c r="J448" s="17" t="n">
        <f aca="false">IF(H448="","",H448-I448)</f>
        <v>80</v>
      </c>
    </row>
    <row r="449" customFormat="false" ht="15" hidden="false" customHeight="true" outlineLevel="0" collapsed="false">
      <c r="A449" s="7" t="s">
        <v>680</v>
      </c>
      <c r="B449" s="18" t="n">
        <f aca="false">IF(A449="","",IFERROR(INDEX(Sales_Memo!$B$2:$B$1001,MATCH(A449,Sales_Memo!$A$2:$A$1001,0)),""))</f>
        <v>46273</v>
      </c>
      <c r="C449" s="7" t="s">
        <v>102</v>
      </c>
      <c r="D449" s="16" t="str">
        <f aca="false">IF(C449="","",IFERROR(INDEX(Products!$B$2:$B$501,MATCH(C449,Products!$A$2:$A$501,0)),"CODE NOT FOUND"))</f>
        <v>Headlight Bulb H4</v>
      </c>
      <c r="E449" s="7" t="n">
        <v>1</v>
      </c>
      <c r="F449" s="13" t="n">
        <v>240</v>
      </c>
      <c r="G449" s="13" t="n">
        <v>140</v>
      </c>
      <c r="H449" s="17" t="n">
        <f aca="false">IF(OR(E449="",F449=""),"",E449*F449)</f>
        <v>240</v>
      </c>
      <c r="I449" s="17" t="n">
        <f aca="false">IF(OR(E449="",G449=""),"",E449*G449)</f>
        <v>140</v>
      </c>
      <c r="J449" s="17" t="n">
        <f aca="false">IF(H449="","",H449-I449)</f>
        <v>100</v>
      </c>
    </row>
    <row r="450" customFormat="false" ht="15" hidden="false" customHeight="true" outlineLevel="0" collapsed="false">
      <c r="A450" s="7" t="s">
        <v>681</v>
      </c>
      <c r="B450" s="18" t="n">
        <f aca="false">IF(A450="","",IFERROR(INDEX(Sales_Memo!$B$2:$B$1001,MATCH(A450,Sales_Memo!$A$2:$A$1001,0)),""))</f>
        <v>46273</v>
      </c>
      <c r="C450" s="7" t="s">
        <v>102</v>
      </c>
      <c r="D450" s="16" t="str">
        <f aca="false">IF(C450="","",IFERROR(INDEX(Products!$B$2:$B$501,MATCH(C450,Products!$A$2:$A$501,0)),"CODE NOT FOUND"))</f>
        <v>Headlight Bulb H4</v>
      </c>
      <c r="E450" s="7" t="n">
        <v>1</v>
      </c>
      <c r="F450" s="13" t="n">
        <v>240</v>
      </c>
      <c r="G450" s="13" t="n">
        <v>140</v>
      </c>
      <c r="H450" s="17" t="n">
        <f aca="false">IF(OR(E450="",F450=""),"",E450*F450)</f>
        <v>240</v>
      </c>
      <c r="I450" s="17" t="n">
        <f aca="false">IF(OR(E450="",G450=""),"",E450*G450)</f>
        <v>140</v>
      </c>
      <c r="J450" s="17" t="n">
        <f aca="false">IF(H450="","",H450-I450)</f>
        <v>100</v>
      </c>
    </row>
    <row r="451" customFormat="false" ht="15" hidden="false" customHeight="true" outlineLevel="0" collapsed="false">
      <c r="A451" s="7" t="s">
        <v>681</v>
      </c>
      <c r="B451" s="18" t="n">
        <f aca="false">IF(A451="","",IFERROR(INDEX(Sales_Memo!$B$2:$B$1001,MATCH(A451,Sales_Memo!$A$2:$A$1001,0)),""))</f>
        <v>46273</v>
      </c>
      <c r="C451" s="7" t="s">
        <v>77</v>
      </c>
      <c r="D451" s="16" t="str">
        <f aca="false">IF(C451="","",IFERROR(INDEX(Products!$B$2:$B$501,MATCH(C451,Products!$A$2:$A$501,0)),"CODE NOT FOUND"))</f>
        <v>Brake Pad Set - Front</v>
      </c>
      <c r="E451" s="7" t="n">
        <v>3</v>
      </c>
      <c r="F451" s="13" t="n">
        <v>480</v>
      </c>
      <c r="G451" s="13" t="n">
        <v>320</v>
      </c>
      <c r="H451" s="17" t="n">
        <f aca="false">IF(OR(E451="",F451=""),"",E451*F451)</f>
        <v>1440</v>
      </c>
      <c r="I451" s="17" t="n">
        <f aca="false">IF(OR(E451="",G451=""),"",E451*G451)</f>
        <v>960</v>
      </c>
      <c r="J451" s="17" t="n">
        <f aca="false">IF(H451="","",H451-I451)</f>
        <v>480</v>
      </c>
    </row>
    <row r="452" customFormat="false" ht="15" hidden="false" customHeight="true" outlineLevel="0" collapsed="false">
      <c r="A452" s="7" t="s">
        <v>681</v>
      </c>
      <c r="B452" s="18" t="n">
        <f aca="false">IF(A452="","",IFERROR(INDEX(Sales_Memo!$B$2:$B$1001,MATCH(A452,Sales_Memo!$A$2:$A$1001,0)),""))</f>
        <v>46273</v>
      </c>
      <c r="C452" s="7" t="s">
        <v>121</v>
      </c>
      <c r="D452" s="16" t="str">
        <f aca="false">IF(C452="","",IFERROR(INDEX(Products!$B$2:$B$501,MATCH(C452,Products!$A$2:$A$501,0)),"CODE NOT FOUND"))</f>
        <v>Handle Grip Set</v>
      </c>
      <c r="E452" s="7" t="n">
        <v>3</v>
      </c>
      <c r="F452" s="13" t="n">
        <v>280</v>
      </c>
      <c r="G452" s="13" t="n">
        <v>160</v>
      </c>
      <c r="H452" s="17" t="n">
        <f aca="false">IF(OR(E452="",F452=""),"",E452*F452)</f>
        <v>840</v>
      </c>
      <c r="I452" s="17" t="n">
        <f aca="false">IF(OR(E452="",G452=""),"",E452*G452)</f>
        <v>480</v>
      </c>
      <c r="J452" s="17" t="n">
        <f aca="false">IF(H452="","",H452-I452)</f>
        <v>360</v>
      </c>
    </row>
    <row r="453" customFormat="false" ht="15" hidden="false" customHeight="true" outlineLevel="0" collapsed="false">
      <c r="A453" s="7" t="s">
        <v>682</v>
      </c>
      <c r="B453" s="18" t="n">
        <f aca="false">IF(A453="","",IFERROR(INDEX(Sales_Memo!$B$2:$B$1001,MATCH(A453,Sales_Memo!$A$2:$A$1001,0)),""))</f>
        <v>46273</v>
      </c>
      <c r="C453" s="7" t="s">
        <v>111</v>
      </c>
      <c r="D453" s="16" t="str">
        <f aca="false">IF(C453="","",IFERROR(INDEX(Products!$B$2:$B$501,MATCH(C453,Products!$A$2:$A$501,0)),"CODE NOT FOUND"))</f>
        <v>Tyre 80/100-18 Front</v>
      </c>
      <c r="E453" s="7" t="n">
        <v>1</v>
      </c>
      <c r="F453" s="13" t="n">
        <v>2850</v>
      </c>
      <c r="G453" s="13" t="n">
        <v>2300</v>
      </c>
      <c r="H453" s="17" t="n">
        <f aca="false">IF(OR(E453="",F453=""),"",E453*F453)</f>
        <v>2850</v>
      </c>
      <c r="I453" s="17" t="n">
        <f aca="false">IF(OR(E453="",G453=""),"",E453*G453)</f>
        <v>2300</v>
      </c>
      <c r="J453" s="17" t="n">
        <f aca="false">IF(H453="","",H453-I453)</f>
        <v>550</v>
      </c>
    </row>
    <row r="454" customFormat="false" ht="15" hidden="false" customHeight="true" outlineLevel="0" collapsed="false">
      <c r="A454" s="7" t="s">
        <v>682</v>
      </c>
      <c r="B454" s="18" t="n">
        <f aca="false">IF(A454="","",IFERROR(INDEX(Sales_Memo!$B$2:$B$1001,MATCH(A454,Sales_Memo!$A$2:$A$1001,0)),""))</f>
        <v>46273</v>
      </c>
      <c r="C454" s="7" t="s">
        <v>102</v>
      </c>
      <c r="D454" s="16" t="str">
        <f aca="false">IF(C454="","",IFERROR(INDEX(Products!$B$2:$B$501,MATCH(C454,Products!$A$2:$A$501,0)),"CODE NOT FOUND"))</f>
        <v>Headlight Bulb H4</v>
      </c>
      <c r="E454" s="7" t="n">
        <v>1</v>
      </c>
      <c r="F454" s="13" t="n">
        <v>240</v>
      </c>
      <c r="G454" s="13" t="n">
        <v>140</v>
      </c>
      <c r="H454" s="17" t="n">
        <f aca="false">IF(OR(E454="",F454=""),"",E454*F454)</f>
        <v>240</v>
      </c>
      <c r="I454" s="17" t="n">
        <f aca="false">IF(OR(E454="",G454=""),"",E454*G454)</f>
        <v>140</v>
      </c>
      <c r="J454" s="17" t="n">
        <f aca="false">IF(H454="","",H454-I454)</f>
        <v>100</v>
      </c>
    </row>
    <row r="455" customFormat="false" ht="15" hidden="false" customHeight="true" outlineLevel="0" collapsed="false">
      <c r="A455" s="7" t="s">
        <v>684</v>
      </c>
      <c r="B455" s="18" t="n">
        <f aca="false">IF(A455="","",IFERROR(INDEX(Sales_Memo!$B$2:$B$1001,MATCH(A455,Sales_Memo!$A$2:$A$1001,0)),""))</f>
        <v>46273</v>
      </c>
      <c r="C455" s="7" t="s">
        <v>111</v>
      </c>
      <c r="D455" s="16" t="str">
        <f aca="false">IF(C455="","",IFERROR(INDEX(Products!$B$2:$B$501,MATCH(C455,Products!$A$2:$A$501,0)),"CODE NOT FOUND"))</f>
        <v>Tyre 80/100-18 Front</v>
      </c>
      <c r="E455" s="7" t="n">
        <v>1</v>
      </c>
      <c r="F455" s="13" t="n">
        <v>2850</v>
      </c>
      <c r="G455" s="13" t="n">
        <v>2300</v>
      </c>
      <c r="H455" s="17" t="n">
        <f aca="false">IF(OR(E455="",F455=""),"",E455*F455)</f>
        <v>2850</v>
      </c>
      <c r="I455" s="17" t="n">
        <f aca="false">IF(OR(E455="",G455=""),"",E455*G455)</f>
        <v>2300</v>
      </c>
      <c r="J455" s="17" t="n">
        <f aca="false">IF(H455="","",H455-I455)</f>
        <v>550</v>
      </c>
    </row>
    <row r="456" customFormat="false" ht="15" hidden="false" customHeight="true" outlineLevel="0" collapsed="false">
      <c r="A456" s="7" t="s">
        <v>685</v>
      </c>
      <c r="B456" s="18" t="n">
        <f aca="false">IF(A456="","",IFERROR(INDEX(Sales_Memo!$B$2:$B$1001,MATCH(A456,Sales_Memo!$A$2:$A$1001,0)),""))</f>
        <v>46273</v>
      </c>
      <c r="C456" s="7" t="s">
        <v>82</v>
      </c>
      <c r="D456" s="16" t="str">
        <f aca="false">IF(C456="","",IFERROR(INDEX(Products!$B$2:$B$501,MATCH(C456,Products!$A$2:$A$501,0)),"CODE NOT FOUND"))</f>
        <v>Clutch Cable</v>
      </c>
      <c r="E456" s="7" t="n">
        <v>2</v>
      </c>
      <c r="F456" s="13" t="n">
        <v>190</v>
      </c>
      <c r="G456" s="13" t="n">
        <v>110</v>
      </c>
      <c r="H456" s="17" t="n">
        <f aca="false">IF(OR(E456="",F456=""),"",E456*F456)</f>
        <v>380</v>
      </c>
      <c r="I456" s="17" t="n">
        <f aca="false">IF(OR(E456="",G456=""),"",E456*G456)</f>
        <v>220</v>
      </c>
      <c r="J456" s="17" t="n">
        <f aca="false">IF(H456="","",H456-I456)</f>
        <v>160</v>
      </c>
    </row>
    <row r="457" customFormat="false" ht="15" hidden="false" customHeight="true" outlineLevel="0" collapsed="false">
      <c r="A457" s="7" t="s">
        <v>686</v>
      </c>
      <c r="B457" s="18" t="n">
        <f aca="false">IF(A457="","",IFERROR(INDEX(Sales_Memo!$B$2:$B$1001,MATCH(A457,Sales_Memo!$A$2:$A$1001,0)),""))</f>
        <v>46273</v>
      </c>
      <c r="C457" s="7" t="s">
        <v>121</v>
      </c>
      <c r="D457" s="16" t="str">
        <f aca="false">IF(C457="","",IFERROR(INDEX(Products!$B$2:$B$501,MATCH(C457,Products!$A$2:$A$501,0)),"CODE NOT FOUND"))</f>
        <v>Handle Grip Set</v>
      </c>
      <c r="E457" s="7" t="n">
        <v>1</v>
      </c>
      <c r="F457" s="13" t="n">
        <v>280</v>
      </c>
      <c r="G457" s="13" t="n">
        <v>160</v>
      </c>
      <c r="H457" s="17" t="n">
        <f aca="false">IF(OR(E457="",F457=""),"",E457*F457)</f>
        <v>280</v>
      </c>
      <c r="I457" s="17" t="n">
        <f aca="false">IF(OR(E457="",G457=""),"",E457*G457)</f>
        <v>160</v>
      </c>
      <c r="J457" s="17" t="n">
        <f aca="false">IF(H457="","",H457-I457)</f>
        <v>120</v>
      </c>
    </row>
    <row r="458" customFormat="false" ht="15" hidden="false" customHeight="true" outlineLevel="0" collapsed="false">
      <c r="A458" s="7" t="s">
        <v>686</v>
      </c>
      <c r="B458" s="18" t="n">
        <f aca="false">IF(A458="","",IFERROR(INDEX(Sales_Memo!$B$2:$B$1001,MATCH(A458,Sales_Memo!$A$2:$A$1001,0)),""))</f>
        <v>46273</v>
      </c>
      <c r="C458" s="7" t="s">
        <v>119</v>
      </c>
      <c r="D458" s="16" t="str">
        <f aca="false">IF(C458="","",IFERROR(INDEX(Products!$B$2:$B$501,MATCH(C458,Products!$A$2:$A$501,0)),"CODE NOT FOUND"))</f>
        <v>Chain Lube Spray</v>
      </c>
      <c r="E458" s="7" t="n">
        <v>1</v>
      </c>
      <c r="F458" s="13" t="n">
        <v>270</v>
      </c>
      <c r="G458" s="13" t="n">
        <v>170</v>
      </c>
      <c r="H458" s="17" t="n">
        <f aca="false">IF(OR(E458="",F458=""),"",E458*F458)</f>
        <v>270</v>
      </c>
      <c r="I458" s="17" t="n">
        <f aca="false">IF(OR(E458="",G458=""),"",E458*G458)</f>
        <v>170</v>
      </c>
      <c r="J458" s="17" t="n">
        <f aca="false">IF(H458="","",H458-I458)</f>
        <v>100</v>
      </c>
    </row>
    <row r="459" customFormat="false" ht="15" hidden="false" customHeight="true" outlineLevel="0" collapsed="false">
      <c r="A459" s="7" t="s">
        <v>688</v>
      </c>
      <c r="B459" s="18" t="n">
        <f aca="false">IF(A459="","",IFERROR(INDEX(Sales_Memo!$B$2:$B$1001,MATCH(A459,Sales_Memo!$A$2:$A$1001,0)),""))</f>
        <v>46273</v>
      </c>
      <c r="C459" s="7" t="s">
        <v>102</v>
      </c>
      <c r="D459" s="16" t="str">
        <f aca="false">IF(C459="","",IFERROR(INDEX(Products!$B$2:$B$501,MATCH(C459,Products!$A$2:$A$501,0)),"CODE NOT FOUND"))</f>
        <v>Headlight Bulb H4</v>
      </c>
      <c r="E459" s="7" t="n">
        <v>3</v>
      </c>
      <c r="F459" s="13" t="n">
        <v>240</v>
      </c>
      <c r="G459" s="13" t="n">
        <v>140</v>
      </c>
      <c r="H459" s="17" t="n">
        <f aca="false">IF(OR(E459="",F459=""),"",E459*F459)</f>
        <v>720</v>
      </c>
      <c r="I459" s="17" t="n">
        <f aca="false">IF(OR(E459="",G459=""),"",E459*G459)</f>
        <v>420</v>
      </c>
      <c r="J459" s="17" t="n">
        <f aca="false">IF(H459="","",H459-I459)</f>
        <v>300</v>
      </c>
    </row>
    <row r="460" customFormat="false" ht="15" hidden="false" customHeight="true" outlineLevel="0" collapsed="false">
      <c r="A460" s="7" t="s">
        <v>688</v>
      </c>
      <c r="B460" s="18" t="n">
        <f aca="false">IF(A460="","",IFERROR(INDEX(Sales_Memo!$B$2:$B$1001,MATCH(A460,Sales_Memo!$A$2:$A$1001,0)),""))</f>
        <v>46273</v>
      </c>
      <c r="C460" s="7" t="s">
        <v>86</v>
      </c>
      <c r="D460" s="16" t="str">
        <f aca="false">IF(C460="","",IFERROR(INDEX(Products!$B$2:$B$501,MATCH(C460,Products!$A$2:$A$501,0)),"CODE NOT FOUND"))</f>
        <v>Spark Plug CPR8EA-9</v>
      </c>
      <c r="E460" s="7" t="n">
        <v>1</v>
      </c>
      <c r="F460" s="13" t="n">
        <v>260</v>
      </c>
      <c r="G460" s="13" t="n">
        <v>175</v>
      </c>
      <c r="H460" s="17" t="n">
        <f aca="false">IF(OR(E460="",F460=""),"",E460*F460)</f>
        <v>260</v>
      </c>
      <c r="I460" s="17" t="n">
        <f aca="false">IF(OR(E460="",G460=""),"",E460*G460)</f>
        <v>175</v>
      </c>
      <c r="J460" s="17" t="n">
        <f aca="false">IF(H460="","",H460-I460)</f>
        <v>85</v>
      </c>
    </row>
    <row r="461" customFormat="false" ht="15" hidden="false" customHeight="true" outlineLevel="0" collapsed="false">
      <c r="A461" s="7" t="s">
        <v>690</v>
      </c>
      <c r="B461" s="18" t="n">
        <f aca="false">IF(A461="","",IFERROR(INDEX(Sales_Memo!$B$2:$B$1001,MATCH(A461,Sales_Memo!$A$2:$A$1001,0)),""))</f>
        <v>46273</v>
      </c>
      <c r="C461" s="7" t="s">
        <v>82</v>
      </c>
      <c r="D461" s="16" t="str">
        <f aca="false">IF(C461="","",IFERROR(INDEX(Products!$B$2:$B$501,MATCH(C461,Products!$A$2:$A$501,0)),"CODE NOT FOUND"))</f>
        <v>Clutch Cable</v>
      </c>
      <c r="E461" s="7" t="n">
        <v>2</v>
      </c>
      <c r="F461" s="13" t="n">
        <v>190</v>
      </c>
      <c r="G461" s="13" t="n">
        <v>110</v>
      </c>
      <c r="H461" s="17" t="n">
        <f aca="false">IF(OR(E461="",F461=""),"",E461*F461)</f>
        <v>380</v>
      </c>
      <c r="I461" s="17" t="n">
        <f aca="false">IF(OR(E461="",G461=""),"",E461*G461)</f>
        <v>220</v>
      </c>
      <c r="J461" s="17" t="n">
        <f aca="false">IF(H461="","",H461-I461)</f>
        <v>160</v>
      </c>
    </row>
    <row r="462" customFormat="false" ht="15" hidden="false" customHeight="true" outlineLevel="0" collapsed="false">
      <c r="A462" s="7" t="s">
        <v>691</v>
      </c>
      <c r="B462" s="18" t="n">
        <f aca="false">IF(A462="","",IFERROR(INDEX(Sales_Memo!$B$2:$B$1001,MATCH(A462,Sales_Memo!$A$2:$A$1001,0)),""))</f>
        <v>46274</v>
      </c>
      <c r="C462" s="7" t="s">
        <v>99</v>
      </c>
      <c r="D462" s="16" t="str">
        <f aca="false">IF(C462="","",IFERROR(INDEX(Products!$B$2:$B$501,MATCH(C462,Products!$A$2:$A$501,0)),"CODE NOT FOUND"))</f>
        <v>Engine Oil 20W-50 (1L)</v>
      </c>
      <c r="E462" s="7" t="n">
        <v>3</v>
      </c>
      <c r="F462" s="13" t="n">
        <v>990</v>
      </c>
      <c r="G462" s="13" t="n">
        <v>780</v>
      </c>
      <c r="H462" s="17" t="n">
        <f aca="false">IF(OR(E462="",F462=""),"",E462*F462)</f>
        <v>2970</v>
      </c>
      <c r="I462" s="17" t="n">
        <f aca="false">IF(OR(E462="",G462=""),"",E462*G462)</f>
        <v>2340</v>
      </c>
      <c r="J462" s="17" t="n">
        <f aca="false">IF(H462="","",H462-I462)</f>
        <v>630</v>
      </c>
    </row>
    <row r="463" customFormat="false" ht="15" hidden="false" customHeight="true" outlineLevel="0" collapsed="false">
      <c r="A463" s="7" t="s">
        <v>691</v>
      </c>
      <c r="B463" s="18" t="n">
        <f aca="false">IF(A463="","",IFERROR(INDEX(Sales_Memo!$B$2:$B$1001,MATCH(A463,Sales_Memo!$A$2:$A$1001,0)),""))</f>
        <v>46274</v>
      </c>
      <c r="C463" s="7" t="s">
        <v>119</v>
      </c>
      <c r="D463" s="16" t="str">
        <f aca="false">IF(C463="","",IFERROR(INDEX(Products!$B$2:$B$501,MATCH(C463,Products!$A$2:$A$501,0)),"CODE NOT FOUND"))</f>
        <v>Chain Lube Spray</v>
      </c>
      <c r="E463" s="7" t="n">
        <v>1</v>
      </c>
      <c r="F463" s="13" t="n">
        <v>270</v>
      </c>
      <c r="G463" s="13" t="n">
        <v>170</v>
      </c>
      <c r="H463" s="17" t="n">
        <f aca="false">IF(OR(E463="",F463=""),"",E463*F463)</f>
        <v>270</v>
      </c>
      <c r="I463" s="17" t="n">
        <f aca="false">IF(OR(E463="",G463=""),"",E463*G463)</f>
        <v>170</v>
      </c>
      <c r="J463" s="17" t="n">
        <f aca="false">IF(H463="","",H463-I463)</f>
        <v>100</v>
      </c>
    </row>
    <row r="464" customFormat="false" ht="15" hidden="false" customHeight="true" outlineLevel="0" collapsed="false">
      <c r="A464" s="7" t="s">
        <v>693</v>
      </c>
      <c r="B464" s="18" t="n">
        <f aca="false">IF(A464="","",IFERROR(INDEX(Sales_Memo!$B$2:$B$1001,MATCH(A464,Sales_Memo!$A$2:$A$1001,0)),""))</f>
        <v>46274</v>
      </c>
      <c r="C464" s="7" t="s">
        <v>119</v>
      </c>
      <c r="D464" s="16" t="str">
        <f aca="false">IF(C464="","",IFERROR(INDEX(Products!$B$2:$B$501,MATCH(C464,Products!$A$2:$A$501,0)),"CODE NOT FOUND"))</f>
        <v>Chain Lube Spray</v>
      </c>
      <c r="E464" s="7" t="n">
        <v>2</v>
      </c>
      <c r="F464" s="13" t="n">
        <v>270</v>
      </c>
      <c r="G464" s="13" t="n">
        <v>170</v>
      </c>
      <c r="H464" s="17" t="n">
        <f aca="false">IF(OR(E464="",F464=""),"",E464*F464)</f>
        <v>540</v>
      </c>
      <c r="I464" s="17" t="n">
        <f aca="false">IF(OR(E464="",G464=""),"",E464*G464)</f>
        <v>340</v>
      </c>
      <c r="J464" s="17" t="n">
        <f aca="false">IF(H464="","",H464-I464)</f>
        <v>200</v>
      </c>
    </row>
    <row r="465" customFormat="false" ht="15" hidden="false" customHeight="true" outlineLevel="0" collapsed="false">
      <c r="A465" s="7" t="s">
        <v>693</v>
      </c>
      <c r="B465" s="18" t="n">
        <f aca="false">IF(A465="","",IFERROR(INDEX(Sales_Memo!$B$2:$B$1001,MATCH(A465,Sales_Memo!$A$2:$A$1001,0)),""))</f>
        <v>46274</v>
      </c>
      <c r="C465" s="7" t="s">
        <v>86</v>
      </c>
      <c r="D465" s="16" t="str">
        <f aca="false">IF(C465="","",IFERROR(INDEX(Products!$B$2:$B$501,MATCH(C465,Products!$A$2:$A$501,0)),"CODE NOT FOUND"))</f>
        <v>Spark Plug CPR8EA-9</v>
      </c>
      <c r="E465" s="7" t="n">
        <v>1</v>
      </c>
      <c r="F465" s="13" t="n">
        <v>260</v>
      </c>
      <c r="G465" s="13" t="n">
        <v>175</v>
      </c>
      <c r="H465" s="17" t="n">
        <f aca="false">IF(OR(E465="",F465=""),"",E465*F465)</f>
        <v>260</v>
      </c>
      <c r="I465" s="17" t="n">
        <f aca="false">IF(OR(E465="",G465=""),"",E465*G465)</f>
        <v>175</v>
      </c>
      <c r="J465" s="17" t="n">
        <f aca="false">IF(H465="","",H465-I465)</f>
        <v>85</v>
      </c>
    </row>
    <row r="466" customFormat="false" ht="15" hidden="false" customHeight="true" outlineLevel="0" collapsed="false">
      <c r="A466" s="7" t="s">
        <v>695</v>
      </c>
      <c r="B466" s="18" t="n">
        <f aca="false">IF(A466="","",IFERROR(INDEX(Sales_Memo!$B$2:$B$1001,MATCH(A466,Sales_Memo!$A$2:$A$1001,0)),""))</f>
        <v>46274</v>
      </c>
      <c r="C466" s="7" t="s">
        <v>77</v>
      </c>
      <c r="D466" s="16" t="str">
        <f aca="false">IF(C466="","",IFERROR(INDEX(Products!$B$2:$B$501,MATCH(C466,Products!$A$2:$A$501,0)),"CODE NOT FOUND"))</f>
        <v>Brake Pad Set - Front</v>
      </c>
      <c r="E466" s="7" t="n">
        <v>2</v>
      </c>
      <c r="F466" s="13" t="n">
        <v>480</v>
      </c>
      <c r="G466" s="13" t="n">
        <v>320</v>
      </c>
      <c r="H466" s="17" t="n">
        <f aca="false">IF(OR(E466="",F466=""),"",E466*F466)</f>
        <v>960</v>
      </c>
      <c r="I466" s="17" t="n">
        <f aca="false">IF(OR(E466="",G466=""),"",E466*G466)</f>
        <v>640</v>
      </c>
      <c r="J466" s="17" t="n">
        <f aca="false">IF(H466="","",H466-I466)</f>
        <v>320</v>
      </c>
    </row>
    <row r="467" customFormat="false" ht="15" hidden="false" customHeight="true" outlineLevel="0" collapsed="false">
      <c r="A467" s="7" t="s">
        <v>696</v>
      </c>
      <c r="B467" s="18" t="n">
        <f aca="false">IF(A467="","",IFERROR(INDEX(Sales_Memo!$B$2:$B$1001,MATCH(A467,Sales_Memo!$A$2:$A$1001,0)),""))</f>
        <v>46274</v>
      </c>
      <c r="C467" s="7" t="s">
        <v>102</v>
      </c>
      <c r="D467" s="16" t="str">
        <f aca="false">IF(C467="","",IFERROR(INDEX(Products!$B$2:$B$501,MATCH(C467,Products!$A$2:$A$501,0)),"CODE NOT FOUND"))</f>
        <v>Headlight Bulb H4</v>
      </c>
      <c r="E467" s="7" t="n">
        <v>2</v>
      </c>
      <c r="F467" s="13" t="n">
        <v>240</v>
      </c>
      <c r="G467" s="13" t="n">
        <v>140</v>
      </c>
      <c r="H467" s="17" t="n">
        <f aca="false">IF(OR(E467="",F467=""),"",E467*F467)</f>
        <v>480</v>
      </c>
      <c r="I467" s="17" t="n">
        <f aca="false">IF(OR(E467="",G467=""),"",E467*G467)</f>
        <v>280</v>
      </c>
      <c r="J467" s="17" t="n">
        <f aca="false">IF(H467="","",H467-I467)</f>
        <v>200</v>
      </c>
    </row>
    <row r="468" customFormat="false" ht="15" hidden="false" customHeight="true" outlineLevel="0" collapsed="false">
      <c r="A468" s="7" t="s">
        <v>696</v>
      </c>
      <c r="B468" s="18" t="n">
        <f aca="false">IF(A468="","",IFERROR(INDEX(Sales_Memo!$B$2:$B$1001,MATCH(A468,Sales_Memo!$A$2:$A$1001,0)),""))</f>
        <v>46274</v>
      </c>
      <c r="C468" s="7" t="s">
        <v>82</v>
      </c>
      <c r="D468" s="16" t="str">
        <f aca="false">IF(C468="","",IFERROR(INDEX(Products!$B$2:$B$501,MATCH(C468,Products!$A$2:$A$501,0)),"CODE NOT FOUND"))</f>
        <v>Clutch Cable</v>
      </c>
      <c r="E468" s="7" t="n">
        <v>1</v>
      </c>
      <c r="F468" s="13" t="n">
        <v>190</v>
      </c>
      <c r="G468" s="13" t="n">
        <v>110</v>
      </c>
      <c r="H468" s="17" t="n">
        <f aca="false">IF(OR(E468="",F468=""),"",E468*F468)</f>
        <v>190</v>
      </c>
      <c r="I468" s="17" t="n">
        <f aca="false">IF(OR(E468="",G468=""),"",E468*G468)</f>
        <v>110</v>
      </c>
      <c r="J468" s="17" t="n">
        <f aca="false">IF(H468="","",H468-I468)</f>
        <v>80</v>
      </c>
    </row>
    <row r="469" customFormat="false" ht="15" hidden="false" customHeight="true" outlineLevel="0" collapsed="false">
      <c r="A469" s="7" t="s">
        <v>697</v>
      </c>
      <c r="B469" s="18" t="n">
        <f aca="false">IF(A469="","",IFERROR(INDEX(Sales_Memo!$B$2:$B$1001,MATCH(A469,Sales_Memo!$A$2:$A$1001,0)),""))</f>
        <v>46274</v>
      </c>
      <c r="C469" s="7" t="s">
        <v>82</v>
      </c>
      <c r="D469" s="16" t="str">
        <f aca="false">IF(C469="","",IFERROR(INDEX(Products!$B$2:$B$501,MATCH(C469,Products!$A$2:$A$501,0)),"CODE NOT FOUND"))</f>
        <v>Clutch Cable</v>
      </c>
      <c r="E469" s="7" t="n">
        <v>3</v>
      </c>
      <c r="F469" s="13" t="n">
        <v>190</v>
      </c>
      <c r="G469" s="13" t="n">
        <v>110</v>
      </c>
      <c r="H469" s="17" t="n">
        <f aca="false">IF(OR(E469="",F469=""),"",E469*F469)</f>
        <v>570</v>
      </c>
      <c r="I469" s="17" t="n">
        <f aca="false">IF(OR(E469="",G469=""),"",E469*G469)</f>
        <v>330</v>
      </c>
      <c r="J469" s="17" t="n">
        <f aca="false">IF(H469="","",H469-I469)</f>
        <v>240</v>
      </c>
    </row>
    <row r="470" customFormat="false" ht="15" hidden="false" customHeight="true" outlineLevel="0" collapsed="false">
      <c r="A470" s="7" t="s">
        <v>698</v>
      </c>
      <c r="B470" s="18" t="n">
        <f aca="false">IF(A470="","",IFERROR(INDEX(Sales_Memo!$B$2:$B$1001,MATCH(A470,Sales_Memo!$A$2:$A$1001,0)),""))</f>
        <v>46274</v>
      </c>
      <c r="C470" s="7" t="s">
        <v>82</v>
      </c>
      <c r="D470" s="16" t="str">
        <f aca="false">IF(C470="","",IFERROR(INDEX(Products!$B$2:$B$501,MATCH(C470,Products!$A$2:$A$501,0)),"CODE NOT FOUND"))</f>
        <v>Clutch Cable</v>
      </c>
      <c r="E470" s="7" t="n">
        <v>1</v>
      </c>
      <c r="F470" s="13" t="n">
        <v>190</v>
      </c>
      <c r="G470" s="13" t="n">
        <v>110</v>
      </c>
      <c r="H470" s="17" t="n">
        <f aca="false">IF(OR(E470="",F470=""),"",E470*F470)</f>
        <v>190</v>
      </c>
      <c r="I470" s="17" t="n">
        <f aca="false">IF(OR(E470="",G470=""),"",E470*G470)</f>
        <v>110</v>
      </c>
      <c r="J470" s="17" t="n">
        <f aca="false">IF(H470="","",H470-I470)</f>
        <v>80</v>
      </c>
    </row>
    <row r="471" customFormat="false" ht="15" hidden="false" customHeight="true" outlineLevel="0" collapsed="false">
      <c r="A471" s="7" t="s">
        <v>699</v>
      </c>
      <c r="B471" s="18" t="n">
        <f aca="false">IF(A471="","",IFERROR(INDEX(Sales_Memo!$B$2:$B$1001,MATCH(A471,Sales_Memo!$A$2:$A$1001,0)),""))</f>
        <v>46274</v>
      </c>
      <c r="C471" s="7" t="s">
        <v>102</v>
      </c>
      <c r="D471" s="16" t="str">
        <f aca="false">IF(C471="","",IFERROR(INDEX(Products!$B$2:$B$501,MATCH(C471,Products!$A$2:$A$501,0)),"CODE NOT FOUND"))</f>
        <v>Headlight Bulb H4</v>
      </c>
      <c r="E471" s="7" t="n">
        <v>1</v>
      </c>
      <c r="F471" s="13" t="n">
        <v>240</v>
      </c>
      <c r="G471" s="13" t="n">
        <v>140</v>
      </c>
      <c r="H471" s="17" t="n">
        <f aca="false">IF(OR(E471="",F471=""),"",E471*F471)</f>
        <v>240</v>
      </c>
      <c r="I471" s="17" t="n">
        <f aca="false">IF(OR(E471="",G471=""),"",E471*G471)</f>
        <v>140</v>
      </c>
      <c r="J471" s="17" t="n">
        <f aca="false">IF(H471="","",H471-I471)</f>
        <v>100</v>
      </c>
    </row>
    <row r="472" customFormat="false" ht="15" hidden="false" customHeight="true" outlineLevel="0" collapsed="false">
      <c r="A472" s="7" t="s">
        <v>700</v>
      </c>
      <c r="B472" s="18" t="n">
        <f aca="false">IF(A472="","",IFERROR(INDEX(Sales_Memo!$B$2:$B$1001,MATCH(A472,Sales_Memo!$A$2:$A$1001,0)),""))</f>
        <v>46274</v>
      </c>
      <c r="C472" s="7" t="s">
        <v>90</v>
      </c>
      <c r="D472" s="16" t="str">
        <f aca="false">IF(C472="","",IFERROR(INDEX(Products!$B$2:$B$501,MATCH(C472,Products!$A$2:$A$501,0)),"CODE NOT FOUND"))</f>
        <v>Air Filter 150cc</v>
      </c>
      <c r="E472" s="7" t="n">
        <v>1</v>
      </c>
      <c r="F472" s="13" t="n">
        <v>340</v>
      </c>
      <c r="G472" s="13" t="n">
        <v>210</v>
      </c>
      <c r="H472" s="17" t="n">
        <f aca="false">IF(OR(E472="",F472=""),"",E472*F472)</f>
        <v>340</v>
      </c>
      <c r="I472" s="17" t="n">
        <f aca="false">IF(OR(E472="",G472=""),"",E472*G472)</f>
        <v>210</v>
      </c>
      <c r="J472" s="17" t="n">
        <f aca="false">IF(H472="","",H472-I472)</f>
        <v>130</v>
      </c>
    </row>
    <row r="473" customFormat="false" ht="15" hidden="false" customHeight="true" outlineLevel="0" collapsed="false">
      <c r="A473" s="7" t="s">
        <v>701</v>
      </c>
      <c r="B473" s="18" t="n">
        <f aca="false">IF(A473="","",IFERROR(INDEX(Sales_Memo!$B$2:$B$1001,MATCH(A473,Sales_Memo!$A$2:$A$1001,0)),""))</f>
        <v>46275</v>
      </c>
      <c r="C473" s="7" t="s">
        <v>121</v>
      </c>
      <c r="D473" s="16" t="str">
        <f aca="false">IF(C473="","",IFERROR(INDEX(Products!$B$2:$B$501,MATCH(C473,Products!$A$2:$A$501,0)),"CODE NOT FOUND"))</f>
        <v>Handle Grip Set</v>
      </c>
      <c r="E473" s="7" t="n">
        <v>2</v>
      </c>
      <c r="F473" s="13" t="n">
        <v>280</v>
      </c>
      <c r="G473" s="13" t="n">
        <v>160</v>
      </c>
      <c r="H473" s="17" t="n">
        <f aca="false">IF(OR(E473="",F473=""),"",E473*F473)</f>
        <v>560</v>
      </c>
      <c r="I473" s="17" t="n">
        <f aca="false">IF(OR(E473="",G473=""),"",E473*G473)</f>
        <v>320</v>
      </c>
      <c r="J473" s="17" t="n">
        <f aca="false">IF(H473="","",H473-I473)</f>
        <v>240</v>
      </c>
    </row>
    <row r="474" customFormat="false" ht="15" hidden="false" customHeight="true" outlineLevel="0" collapsed="false">
      <c r="A474" s="7" t="s">
        <v>702</v>
      </c>
      <c r="B474" s="18" t="n">
        <f aca="false">IF(A474="","",IFERROR(INDEX(Sales_Memo!$B$2:$B$1001,MATCH(A474,Sales_Memo!$A$2:$A$1001,0)),""))</f>
        <v>46275</v>
      </c>
      <c r="C474" s="7" t="s">
        <v>121</v>
      </c>
      <c r="D474" s="16" t="str">
        <f aca="false">IF(C474="","",IFERROR(INDEX(Products!$B$2:$B$501,MATCH(C474,Products!$A$2:$A$501,0)),"CODE NOT FOUND"))</f>
        <v>Handle Grip Set</v>
      </c>
      <c r="E474" s="7" t="n">
        <v>1</v>
      </c>
      <c r="F474" s="13" t="n">
        <v>280</v>
      </c>
      <c r="G474" s="13" t="n">
        <v>160</v>
      </c>
      <c r="H474" s="17" t="n">
        <f aca="false">IF(OR(E474="",F474=""),"",E474*F474)</f>
        <v>280</v>
      </c>
      <c r="I474" s="17" t="n">
        <f aca="false">IF(OR(E474="",G474=""),"",E474*G474)</f>
        <v>160</v>
      </c>
      <c r="J474" s="17" t="n">
        <f aca="false">IF(H474="","",H474-I474)</f>
        <v>120</v>
      </c>
    </row>
    <row r="475" customFormat="false" ht="15" hidden="false" customHeight="true" outlineLevel="0" collapsed="false">
      <c r="A475" s="7" t="s">
        <v>703</v>
      </c>
      <c r="B475" s="18" t="n">
        <f aca="false">IF(A475="","",IFERROR(INDEX(Sales_Memo!$B$2:$B$1001,MATCH(A475,Sales_Memo!$A$2:$A$1001,0)),""))</f>
        <v>46275</v>
      </c>
      <c r="C475" s="7" t="s">
        <v>121</v>
      </c>
      <c r="D475" s="16" t="str">
        <f aca="false">IF(C475="","",IFERROR(INDEX(Products!$B$2:$B$501,MATCH(C475,Products!$A$2:$A$501,0)),"CODE NOT FOUND"))</f>
        <v>Handle Grip Set</v>
      </c>
      <c r="E475" s="7" t="n">
        <v>2</v>
      </c>
      <c r="F475" s="13" t="n">
        <v>280</v>
      </c>
      <c r="G475" s="13" t="n">
        <v>160</v>
      </c>
      <c r="H475" s="17" t="n">
        <f aca="false">IF(OR(E475="",F475=""),"",E475*F475)</f>
        <v>560</v>
      </c>
      <c r="I475" s="17" t="n">
        <f aca="false">IF(OR(E475="",G475=""),"",E475*G475)</f>
        <v>320</v>
      </c>
      <c r="J475" s="17" t="n">
        <f aca="false">IF(H475="","",H475-I475)</f>
        <v>240</v>
      </c>
    </row>
    <row r="476" customFormat="false" ht="15" hidden="false" customHeight="true" outlineLevel="0" collapsed="false">
      <c r="A476" s="7" t="s">
        <v>704</v>
      </c>
      <c r="B476" s="18" t="n">
        <f aca="false">IF(A476="","",IFERROR(INDEX(Sales_Memo!$B$2:$B$1001,MATCH(A476,Sales_Memo!$A$2:$A$1001,0)),""))</f>
        <v>46275</v>
      </c>
      <c r="C476" s="7" t="s">
        <v>121</v>
      </c>
      <c r="D476" s="16" t="str">
        <f aca="false">IF(C476="","",IFERROR(INDEX(Products!$B$2:$B$501,MATCH(C476,Products!$A$2:$A$501,0)),"CODE NOT FOUND"))</f>
        <v>Handle Grip Set</v>
      </c>
      <c r="E476" s="7" t="n">
        <v>2</v>
      </c>
      <c r="F476" s="13" t="n">
        <v>280</v>
      </c>
      <c r="G476" s="13" t="n">
        <v>160</v>
      </c>
      <c r="H476" s="17" t="n">
        <f aca="false">IF(OR(E476="",F476=""),"",E476*F476)</f>
        <v>560</v>
      </c>
      <c r="I476" s="17" t="n">
        <f aca="false">IF(OR(E476="",G476=""),"",E476*G476)</f>
        <v>320</v>
      </c>
      <c r="J476" s="17" t="n">
        <f aca="false">IF(H476="","",H476-I476)</f>
        <v>240</v>
      </c>
    </row>
    <row r="477" customFormat="false" ht="15" hidden="false" customHeight="true" outlineLevel="0" collapsed="false">
      <c r="A477" s="7" t="s">
        <v>705</v>
      </c>
      <c r="B477" s="18" t="n">
        <f aca="false">IF(A477="","",IFERROR(INDEX(Sales_Memo!$B$2:$B$1001,MATCH(A477,Sales_Memo!$A$2:$A$1001,0)),""))</f>
        <v>46275</v>
      </c>
      <c r="C477" s="7" t="s">
        <v>82</v>
      </c>
      <c r="D477" s="16" t="str">
        <f aca="false">IF(C477="","",IFERROR(INDEX(Products!$B$2:$B$501,MATCH(C477,Products!$A$2:$A$501,0)),"CODE NOT FOUND"))</f>
        <v>Clutch Cable</v>
      </c>
      <c r="E477" s="7" t="n">
        <v>1</v>
      </c>
      <c r="F477" s="13" t="n">
        <v>190</v>
      </c>
      <c r="G477" s="13" t="n">
        <v>110</v>
      </c>
      <c r="H477" s="17" t="n">
        <f aca="false">IF(OR(E477="",F477=""),"",E477*F477)</f>
        <v>190</v>
      </c>
      <c r="I477" s="17" t="n">
        <f aca="false">IF(OR(E477="",G477=""),"",E477*G477)</f>
        <v>110</v>
      </c>
      <c r="J477" s="17" t="n">
        <f aca="false">IF(H477="","",H477-I477)</f>
        <v>80</v>
      </c>
    </row>
    <row r="478" customFormat="false" ht="15" hidden="false" customHeight="true" outlineLevel="0" collapsed="false">
      <c r="A478" s="7" t="s">
        <v>706</v>
      </c>
      <c r="B478" s="18" t="n">
        <f aca="false">IF(A478="","",IFERROR(INDEX(Sales_Memo!$B$2:$B$1001,MATCH(A478,Sales_Memo!$A$2:$A$1001,0)),""))</f>
        <v>46275</v>
      </c>
      <c r="C478" s="7" t="s">
        <v>90</v>
      </c>
      <c r="D478" s="16" t="str">
        <f aca="false">IF(C478="","",IFERROR(INDEX(Products!$B$2:$B$501,MATCH(C478,Products!$A$2:$A$501,0)),"CODE NOT FOUND"))</f>
        <v>Air Filter 150cc</v>
      </c>
      <c r="E478" s="7" t="n">
        <v>1</v>
      </c>
      <c r="F478" s="13" t="n">
        <v>340</v>
      </c>
      <c r="G478" s="13" t="n">
        <v>210</v>
      </c>
      <c r="H478" s="17" t="n">
        <f aca="false">IF(OR(E478="",F478=""),"",E478*F478)</f>
        <v>340</v>
      </c>
      <c r="I478" s="17" t="n">
        <f aca="false">IF(OR(E478="",G478=""),"",E478*G478)</f>
        <v>210</v>
      </c>
      <c r="J478" s="17" t="n">
        <f aca="false">IF(H478="","",H478-I478)</f>
        <v>130</v>
      </c>
    </row>
    <row r="479" customFormat="false" ht="15" hidden="false" customHeight="true" outlineLevel="0" collapsed="false">
      <c r="A479" s="7" t="s">
        <v>707</v>
      </c>
      <c r="B479" s="18" t="n">
        <f aca="false">IF(A479="","",IFERROR(INDEX(Sales_Memo!$B$2:$B$1001,MATCH(A479,Sales_Memo!$A$2:$A$1001,0)),""))</f>
        <v>46275</v>
      </c>
      <c r="C479" s="7" t="s">
        <v>86</v>
      </c>
      <c r="D479" s="16" t="str">
        <f aca="false">IF(C479="","",IFERROR(INDEX(Products!$B$2:$B$501,MATCH(C479,Products!$A$2:$A$501,0)),"CODE NOT FOUND"))</f>
        <v>Spark Plug CPR8EA-9</v>
      </c>
      <c r="E479" s="7" t="n">
        <v>1</v>
      </c>
      <c r="F479" s="13" t="n">
        <v>260</v>
      </c>
      <c r="G479" s="13" t="n">
        <v>175</v>
      </c>
      <c r="H479" s="17" t="n">
        <f aca="false">IF(OR(E479="",F479=""),"",E479*F479)</f>
        <v>260</v>
      </c>
      <c r="I479" s="17" t="n">
        <f aca="false">IF(OR(E479="",G479=""),"",E479*G479)</f>
        <v>175</v>
      </c>
      <c r="J479" s="17" t="n">
        <f aca="false">IF(H479="","",H479-I479)</f>
        <v>85</v>
      </c>
    </row>
    <row r="480" customFormat="false" ht="15" hidden="false" customHeight="true" outlineLevel="0" collapsed="false">
      <c r="A480" s="7" t="s">
        <v>707</v>
      </c>
      <c r="B480" s="18" t="n">
        <f aca="false">IF(A480="","",IFERROR(INDEX(Sales_Memo!$B$2:$B$1001,MATCH(A480,Sales_Memo!$A$2:$A$1001,0)),""))</f>
        <v>46275</v>
      </c>
      <c r="C480" s="7" t="s">
        <v>82</v>
      </c>
      <c r="D480" s="16" t="str">
        <f aca="false">IF(C480="","",IFERROR(INDEX(Products!$B$2:$B$501,MATCH(C480,Products!$A$2:$A$501,0)),"CODE NOT FOUND"))</f>
        <v>Clutch Cable</v>
      </c>
      <c r="E480" s="7" t="n">
        <v>2</v>
      </c>
      <c r="F480" s="13" t="n">
        <v>190</v>
      </c>
      <c r="G480" s="13" t="n">
        <v>110</v>
      </c>
      <c r="H480" s="17" t="n">
        <f aca="false">IF(OR(E480="",F480=""),"",E480*F480)</f>
        <v>380</v>
      </c>
      <c r="I480" s="17" t="n">
        <f aca="false">IF(OR(E480="",G480=""),"",E480*G480)</f>
        <v>220</v>
      </c>
      <c r="J480" s="17" t="n">
        <f aca="false">IF(H480="","",H480-I480)</f>
        <v>160</v>
      </c>
    </row>
    <row r="481" customFormat="false" ht="15" hidden="false" customHeight="true" outlineLevel="0" collapsed="false">
      <c r="A481" s="7" t="s">
        <v>709</v>
      </c>
      <c r="B481" s="18" t="n">
        <f aca="false">IF(A481="","",IFERROR(INDEX(Sales_Memo!$B$2:$B$1001,MATCH(A481,Sales_Memo!$A$2:$A$1001,0)),""))</f>
        <v>46275</v>
      </c>
      <c r="C481" s="7" t="s">
        <v>116</v>
      </c>
      <c r="D481" s="16" t="str">
        <f aca="false">IF(C481="","",IFERROR(INDEX(Products!$B$2:$B$501,MATCH(C481,Products!$A$2:$A$501,0)),"CODE NOT FOUND"))</f>
        <v>Helmet Full Face</v>
      </c>
      <c r="E481" s="7" t="n">
        <v>1</v>
      </c>
      <c r="F481" s="13" t="n">
        <v>1750</v>
      </c>
      <c r="G481" s="13" t="n">
        <v>1250</v>
      </c>
      <c r="H481" s="17" t="n">
        <f aca="false">IF(OR(E481="",F481=""),"",E481*F481)</f>
        <v>1750</v>
      </c>
      <c r="I481" s="17" t="n">
        <f aca="false">IF(OR(E481="",G481=""),"",E481*G481)</f>
        <v>1250</v>
      </c>
      <c r="J481" s="17" t="n">
        <f aca="false">IF(H481="","",H481-I481)</f>
        <v>500</v>
      </c>
    </row>
    <row r="482" customFormat="false" ht="15" hidden="false" customHeight="true" outlineLevel="0" collapsed="false">
      <c r="A482" s="7" t="s">
        <v>709</v>
      </c>
      <c r="B482" s="18" t="n">
        <f aca="false">IF(A482="","",IFERROR(INDEX(Sales_Memo!$B$2:$B$1001,MATCH(A482,Sales_Memo!$A$2:$A$1001,0)),""))</f>
        <v>46275</v>
      </c>
      <c r="C482" s="7" t="s">
        <v>99</v>
      </c>
      <c r="D482" s="16" t="str">
        <f aca="false">IF(C482="","",IFERROR(INDEX(Products!$B$2:$B$501,MATCH(C482,Products!$A$2:$A$501,0)),"CODE NOT FOUND"))</f>
        <v>Engine Oil 20W-50 (1L)</v>
      </c>
      <c r="E482" s="7" t="n">
        <v>1</v>
      </c>
      <c r="F482" s="13" t="n">
        <v>990</v>
      </c>
      <c r="G482" s="13" t="n">
        <v>780</v>
      </c>
      <c r="H482" s="17" t="n">
        <f aca="false">IF(OR(E482="",F482=""),"",E482*F482)</f>
        <v>990</v>
      </c>
      <c r="I482" s="17" t="n">
        <f aca="false">IF(OR(E482="",G482=""),"",E482*G482)</f>
        <v>780</v>
      </c>
      <c r="J482" s="17" t="n">
        <f aca="false">IF(H482="","",H482-I482)</f>
        <v>210</v>
      </c>
    </row>
    <row r="483" customFormat="false" ht="15" hidden="false" customHeight="true" outlineLevel="0" collapsed="false">
      <c r="A483" s="7" t="s">
        <v>711</v>
      </c>
      <c r="B483" s="18" t="n">
        <f aca="false">IF(A483="","",IFERROR(INDEX(Sales_Memo!$B$2:$B$1001,MATCH(A483,Sales_Memo!$A$2:$A$1001,0)),""))</f>
        <v>46275</v>
      </c>
      <c r="C483" s="7" t="s">
        <v>96</v>
      </c>
      <c r="D483" s="16" t="str">
        <f aca="false">IF(C483="","",IFERROR(INDEX(Products!$B$2:$B$501,MATCH(C483,Products!$A$2:$A$501,0)),"CODE NOT FOUND"))</f>
        <v>Engine Oil 10W-30 (1L)</v>
      </c>
      <c r="E483" s="7" t="n">
        <v>1</v>
      </c>
      <c r="F483" s="13" t="n">
        <v>780</v>
      </c>
      <c r="G483" s="13" t="n">
        <v>620</v>
      </c>
      <c r="H483" s="17" t="n">
        <f aca="false">IF(OR(E483="",F483=""),"",E483*F483)</f>
        <v>780</v>
      </c>
      <c r="I483" s="17" t="n">
        <f aca="false">IF(OR(E483="",G483=""),"",E483*G483)</f>
        <v>620</v>
      </c>
      <c r="J483" s="17" t="n">
        <f aca="false">IF(H483="","",H483-I483)</f>
        <v>160</v>
      </c>
    </row>
    <row r="484" customFormat="false" ht="15" hidden="false" customHeight="true" outlineLevel="0" collapsed="false">
      <c r="A484" s="7" t="s">
        <v>711</v>
      </c>
      <c r="B484" s="18" t="n">
        <f aca="false">IF(A484="","",IFERROR(INDEX(Sales_Memo!$B$2:$B$1001,MATCH(A484,Sales_Memo!$A$2:$A$1001,0)),""))</f>
        <v>46275</v>
      </c>
      <c r="C484" s="7" t="s">
        <v>121</v>
      </c>
      <c r="D484" s="16" t="str">
        <f aca="false">IF(C484="","",IFERROR(INDEX(Products!$B$2:$B$501,MATCH(C484,Products!$A$2:$A$501,0)),"CODE NOT FOUND"))</f>
        <v>Handle Grip Set</v>
      </c>
      <c r="E484" s="7" t="n">
        <v>3</v>
      </c>
      <c r="F484" s="13" t="n">
        <v>280</v>
      </c>
      <c r="G484" s="13" t="n">
        <v>160</v>
      </c>
      <c r="H484" s="17" t="n">
        <f aca="false">IF(OR(E484="",F484=""),"",E484*F484)</f>
        <v>840</v>
      </c>
      <c r="I484" s="17" t="n">
        <f aca="false">IF(OR(E484="",G484=""),"",E484*G484)</f>
        <v>480</v>
      </c>
      <c r="J484" s="17" t="n">
        <f aca="false">IF(H484="","",H484-I484)</f>
        <v>360</v>
      </c>
    </row>
    <row r="485" customFormat="false" ht="15" hidden="false" customHeight="true" outlineLevel="0" collapsed="false">
      <c r="A485" s="7" t="s">
        <v>711</v>
      </c>
      <c r="B485" s="18" t="n">
        <f aca="false">IF(A485="","",IFERROR(INDEX(Sales_Memo!$B$2:$B$1001,MATCH(A485,Sales_Memo!$A$2:$A$1001,0)),""))</f>
        <v>46275</v>
      </c>
      <c r="C485" s="7" t="s">
        <v>82</v>
      </c>
      <c r="D485" s="16" t="str">
        <f aca="false">IF(C485="","",IFERROR(INDEX(Products!$B$2:$B$501,MATCH(C485,Products!$A$2:$A$501,0)),"CODE NOT FOUND"))</f>
        <v>Clutch Cable</v>
      </c>
      <c r="E485" s="7" t="n">
        <v>2</v>
      </c>
      <c r="F485" s="13" t="n">
        <v>190</v>
      </c>
      <c r="G485" s="13" t="n">
        <v>110</v>
      </c>
      <c r="H485" s="17" t="n">
        <f aca="false">IF(OR(E485="",F485=""),"",E485*F485)</f>
        <v>380</v>
      </c>
      <c r="I485" s="17" t="n">
        <f aca="false">IF(OR(E485="",G485=""),"",E485*G485)</f>
        <v>220</v>
      </c>
      <c r="J485" s="17" t="n">
        <f aca="false">IF(H485="","",H485-I485)</f>
        <v>160</v>
      </c>
    </row>
    <row r="486" customFormat="false" ht="15" hidden="false" customHeight="true" outlineLevel="0" collapsed="false">
      <c r="A486" s="7" t="s">
        <v>713</v>
      </c>
      <c r="B486" s="18" t="n">
        <f aca="false">IF(A486="","",IFERROR(INDEX(Sales_Memo!$B$2:$B$1001,MATCH(A486,Sales_Memo!$A$2:$A$1001,0)),""))</f>
        <v>46275</v>
      </c>
      <c r="C486" s="7" t="s">
        <v>77</v>
      </c>
      <c r="D486" s="16" t="str">
        <f aca="false">IF(C486="","",IFERROR(INDEX(Products!$B$2:$B$501,MATCH(C486,Products!$A$2:$A$501,0)),"CODE NOT FOUND"))</f>
        <v>Brake Pad Set - Front</v>
      </c>
      <c r="E486" s="7" t="n">
        <v>1</v>
      </c>
      <c r="F486" s="13" t="n">
        <v>480</v>
      </c>
      <c r="G486" s="13" t="n">
        <v>320</v>
      </c>
      <c r="H486" s="17" t="n">
        <f aca="false">IF(OR(E486="",F486=""),"",E486*F486)</f>
        <v>480</v>
      </c>
      <c r="I486" s="17" t="n">
        <f aca="false">IF(OR(E486="",G486=""),"",E486*G486)</f>
        <v>320</v>
      </c>
      <c r="J486" s="17" t="n">
        <f aca="false">IF(H486="","",H486-I486)</f>
        <v>160</v>
      </c>
    </row>
    <row r="487" customFormat="false" ht="15" hidden="false" customHeight="true" outlineLevel="0" collapsed="false">
      <c r="A487" s="7" t="s">
        <v>713</v>
      </c>
      <c r="B487" s="18" t="n">
        <f aca="false">IF(A487="","",IFERROR(INDEX(Sales_Memo!$B$2:$B$1001,MATCH(A487,Sales_Memo!$A$2:$A$1001,0)),""))</f>
        <v>46275</v>
      </c>
      <c r="C487" s="7" t="s">
        <v>121</v>
      </c>
      <c r="D487" s="16" t="str">
        <f aca="false">IF(C487="","",IFERROR(INDEX(Products!$B$2:$B$501,MATCH(C487,Products!$A$2:$A$501,0)),"CODE NOT FOUND"))</f>
        <v>Handle Grip Set</v>
      </c>
      <c r="E487" s="7" t="n">
        <v>1</v>
      </c>
      <c r="F487" s="13" t="n">
        <v>280</v>
      </c>
      <c r="G487" s="13" t="n">
        <v>160</v>
      </c>
      <c r="H487" s="17" t="n">
        <f aca="false">IF(OR(E487="",F487=""),"",E487*F487)</f>
        <v>280</v>
      </c>
      <c r="I487" s="17" t="n">
        <f aca="false">IF(OR(E487="",G487=""),"",E487*G487)</f>
        <v>160</v>
      </c>
      <c r="J487" s="17" t="n">
        <f aca="false">IF(H487="","",H487-I487)</f>
        <v>120</v>
      </c>
    </row>
    <row r="488" customFormat="false" ht="15" hidden="false" customHeight="true" outlineLevel="0" collapsed="false">
      <c r="A488" s="7" t="s">
        <v>714</v>
      </c>
      <c r="B488" s="18" t="n">
        <f aca="false">IF(A488="","",IFERROR(INDEX(Sales_Memo!$B$2:$B$1001,MATCH(A488,Sales_Memo!$A$2:$A$1001,0)),""))</f>
        <v>46275</v>
      </c>
      <c r="C488" s="7" t="s">
        <v>82</v>
      </c>
      <c r="D488" s="16" t="str">
        <f aca="false">IF(C488="","",IFERROR(INDEX(Products!$B$2:$B$501,MATCH(C488,Products!$A$2:$A$501,0)),"CODE NOT FOUND"))</f>
        <v>Clutch Cable</v>
      </c>
      <c r="E488" s="7" t="n">
        <v>1</v>
      </c>
      <c r="F488" s="13" t="n">
        <v>190</v>
      </c>
      <c r="G488" s="13" t="n">
        <v>110</v>
      </c>
      <c r="H488" s="17" t="n">
        <f aca="false">IF(OR(E488="",F488=""),"",E488*F488)</f>
        <v>190</v>
      </c>
      <c r="I488" s="17" t="n">
        <f aca="false">IF(OR(E488="",G488=""),"",E488*G488)</f>
        <v>110</v>
      </c>
      <c r="J488" s="17" t="n">
        <f aca="false">IF(H488="","",H488-I488)</f>
        <v>80</v>
      </c>
    </row>
    <row r="489" customFormat="false" ht="15" hidden="false" customHeight="true" outlineLevel="0" collapsed="false">
      <c r="A489" s="7" t="s">
        <v>715</v>
      </c>
      <c r="B489" s="18" t="n">
        <f aca="false">IF(A489="","",IFERROR(INDEX(Sales_Memo!$B$2:$B$1001,MATCH(A489,Sales_Memo!$A$2:$A$1001,0)),""))</f>
        <v>46275</v>
      </c>
      <c r="C489" s="7" t="s">
        <v>82</v>
      </c>
      <c r="D489" s="16" t="str">
        <f aca="false">IF(C489="","",IFERROR(INDEX(Products!$B$2:$B$501,MATCH(C489,Products!$A$2:$A$501,0)),"CODE NOT FOUND"))</f>
        <v>Clutch Cable</v>
      </c>
      <c r="E489" s="7" t="n">
        <v>2</v>
      </c>
      <c r="F489" s="13" t="n">
        <v>190</v>
      </c>
      <c r="G489" s="13" t="n">
        <v>110</v>
      </c>
      <c r="H489" s="17" t="n">
        <f aca="false">IF(OR(E489="",F489=""),"",E489*F489)</f>
        <v>380</v>
      </c>
      <c r="I489" s="17" t="n">
        <f aca="false">IF(OR(E489="",G489=""),"",E489*G489)</f>
        <v>220</v>
      </c>
      <c r="J489" s="17" t="n">
        <f aca="false">IF(H489="","",H489-I489)</f>
        <v>160</v>
      </c>
    </row>
    <row r="490" customFormat="false" ht="15" hidden="false" customHeight="true" outlineLevel="0" collapsed="false">
      <c r="A490" s="7" t="s">
        <v>716</v>
      </c>
      <c r="B490" s="18" t="n">
        <f aca="false">IF(A490="","",IFERROR(INDEX(Sales_Memo!$B$2:$B$1001,MATCH(A490,Sales_Memo!$A$2:$A$1001,0)),""))</f>
        <v>46277</v>
      </c>
      <c r="C490" s="7" t="s">
        <v>82</v>
      </c>
      <c r="D490" s="16" t="str">
        <f aca="false">IF(C490="","",IFERROR(INDEX(Products!$B$2:$B$501,MATCH(C490,Products!$A$2:$A$501,0)),"CODE NOT FOUND"))</f>
        <v>Clutch Cable</v>
      </c>
      <c r="E490" s="7" t="n">
        <v>1</v>
      </c>
      <c r="F490" s="13" t="n">
        <v>190</v>
      </c>
      <c r="G490" s="13" t="n">
        <v>110</v>
      </c>
      <c r="H490" s="17" t="n">
        <f aca="false">IF(OR(E490="",F490=""),"",E490*F490)</f>
        <v>190</v>
      </c>
      <c r="I490" s="17" t="n">
        <f aca="false">IF(OR(E490="",G490=""),"",E490*G490)</f>
        <v>110</v>
      </c>
      <c r="J490" s="17" t="n">
        <f aca="false">IF(H490="","",H490-I490)</f>
        <v>80</v>
      </c>
    </row>
    <row r="491" customFormat="false" ht="15" hidden="false" customHeight="true" outlineLevel="0" collapsed="false">
      <c r="A491" s="7" t="s">
        <v>717</v>
      </c>
      <c r="B491" s="18" t="n">
        <f aca="false">IF(A491="","",IFERROR(INDEX(Sales_Memo!$B$2:$B$1001,MATCH(A491,Sales_Memo!$A$2:$A$1001,0)),""))</f>
        <v>46277</v>
      </c>
      <c r="C491" s="7" t="s">
        <v>96</v>
      </c>
      <c r="D491" s="16" t="str">
        <f aca="false">IF(C491="","",IFERROR(INDEX(Products!$B$2:$B$501,MATCH(C491,Products!$A$2:$A$501,0)),"CODE NOT FOUND"))</f>
        <v>Engine Oil 10W-30 (1L)</v>
      </c>
      <c r="E491" s="7" t="n">
        <v>3</v>
      </c>
      <c r="F491" s="13" t="n">
        <v>780</v>
      </c>
      <c r="G491" s="13" t="n">
        <v>620</v>
      </c>
      <c r="H491" s="17" t="n">
        <f aca="false">IF(OR(E491="",F491=""),"",E491*F491)</f>
        <v>2340</v>
      </c>
      <c r="I491" s="17" t="n">
        <f aca="false">IF(OR(E491="",G491=""),"",E491*G491)</f>
        <v>1860</v>
      </c>
      <c r="J491" s="17" t="n">
        <f aca="false">IF(H491="","",H491-I491)</f>
        <v>480</v>
      </c>
    </row>
    <row r="492" customFormat="false" ht="15" hidden="false" customHeight="true" outlineLevel="0" collapsed="false">
      <c r="A492" s="7" t="s">
        <v>717</v>
      </c>
      <c r="B492" s="18" t="n">
        <f aca="false">IF(A492="","",IFERROR(INDEX(Sales_Memo!$B$2:$B$1001,MATCH(A492,Sales_Memo!$A$2:$A$1001,0)),""))</f>
        <v>46277</v>
      </c>
      <c r="C492" s="7" t="s">
        <v>114</v>
      </c>
      <c r="D492" s="16" t="str">
        <f aca="false">IF(C492="","",IFERROR(INDEX(Products!$B$2:$B$501,MATCH(C492,Products!$A$2:$A$501,0)),"CODE NOT FOUND"))</f>
        <v>Side Mirror (Pair)</v>
      </c>
      <c r="E492" s="7" t="n">
        <v>1</v>
      </c>
      <c r="F492" s="13" t="n">
        <v>620</v>
      </c>
      <c r="G492" s="13" t="n">
        <v>380</v>
      </c>
      <c r="H492" s="17" t="n">
        <f aca="false">IF(OR(E492="",F492=""),"",E492*F492)</f>
        <v>620</v>
      </c>
      <c r="I492" s="17" t="n">
        <f aca="false">IF(OR(E492="",G492=""),"",E492*G492)</f>
        <v>380</v>
      </c>
      <c r="J492" s="17" t="n">
        <f aca="false">IF(H492="","",H492-I492)</f>
        <v>240</v>
      </c>
    </row>
    <row r="493" customFormat="false" ht="15" hidden="false" customHeight="true" outlineLevel="0" collapsed="false">
      <c r="A493" s="7" t="s">
        <v>717</v>
      </c>
      <c r="B493" s="18" t="n">
        <f aca="false">IF(A493="","",IFERROR(INDEX(Sales_Memo!$B$2:$B$1001,MATCH(A493,Sales_Memo!$A$2:$A$1001,0)),""))</f>
        <v>46277</v>
      </c>
      <c r="C493" s="7" t="s">
        <v>86</v>
      </c>
      <c r="D493" s="16" t="str">
        <f aca="false">IF(C493="","",IFERROR(INDEX(Products!$B$2:$B$501,MATCH(C493,Products!$A$2:$A$501,0)),"CODE NOT FOUND"))</f>
        <v>Spark Plug CPR8EA-9</v>
      </c>
      <c r="E493" s="7" t="n">
        <v>3</v>
      </c>
      <c r="F493" s="13" t="n">
        <v>260</v>
      </c>
      <c r="G493" s="13" t="n">
        <v>175</v>
      </c>
      <c r="H493" s="17" t="n">
        <f aca="false">IF(OR(E493="",F493=""),"",E493*F493)</f>
        <v>780</v>
      </c>
      <c r="I493" s="17" t="n">
        <f aca="false">IF(OR(E493="",G493=""),"",E493*G493)</f>
        <v>525</v>
      </c>
      <c r="J493" s="17" t="n">
        <f aca="false">IF(H493="","",H493-I493)</f>
        <v>255</v>
      </c>
    </row>
    <row r="494" customFormat="false" ht="15" hidden="false" customHeight="true" outlineLevel="0" collapsed="false">
      <c r="A494" s="7" t="s">
        <v>718</v>
      </c>
      <c r="B494" s="18" t="n">
        <f aca="false">IF(A494="","",IFERROR(INDEX(Sales_Memo!$B$2:$B$1001,MATCH(A494,Sales_Memo!$A$2:$A$1001,0)),""))</f>
        <v>46277</v>
      </c>
      <c r="C494" s="7" t="s">
        <v>86</v>
      </c>
      <c r="D494" s="16" t="str">
        <f aca="false">IF(C494="","",IFERROR(INDEX(Products!$B$2:$B$501,MATCH(C494,Products!$A$2:$A$501,0)),"CODE NOT FOUND"))</f>
        <v>Spark Plug CPR8EA-9</v>
      </c>
      <c r="E494" s="7" t="n">
        <v>2</v>
      </c>
      <c r="F494" s="13" t="n">
        <v>260</v>
      </c>
      <c r="G494" s="13" t="n">
        <v>175</v>
      </c>
      <c r="H494" s="17" t="n">
        <f aca="false">IF(OR(E494="",F494=""),"",E494*F494)</f>
        <v>520</v>
      </c>
      <c r="I494" s="17" t="n">
        <f aca="false">IF(OR(E494="",G494=""),"",E494*G494)</f>
        <v>350</v>
      </c>
      <c r="J494" s="17" t="n">
        <f aca="false">IF(H494="","",H494-I494)</f>
        <v>170</v>
      </c>
    </row>
    <row r="495" customFormat="false" ht="15" hidden="false" customHeight="true" outlineLevel="0" collapsed="false">
      <c r="A495" s="7" t="s">
        <v>718</v>
      </c>
      <c r="B495" s="18" t="n">
        <f aca="false">IF(A495="","",IFERROR(INDEX(Sales_Memo!$B$2:$B$1001,MATCH(A495,Sales_Memo!$A$2:$A$1001,0)),""))</f>
        <v>46277</v>
      </c>
      <c r="C495" s="7" t="s">
        <v>82</v>
      </c>
      <c r="D495" s="16" t="str">
        <f aca="false">IF(C495="","",IFERROR(INDEX(Products!$B$2:$B$501,MATCH(C495,Products!$A$2:$A$501,0)),"CODE NOT FOUND"))</f>
        <v>Clutch Cable</v>
      </c>
      <c r="E495" s="7" t="n">
        <v>3</v>
      </c>
      <c r="F495" s="13" t="n">
        <v>190</v>
      </c>
      <c r="G495" s="13" t="n">
        <v>110</v>
      </c>
      <c r="H495" s="17" t="n">
        <f aca="false">IF(OR(E495="",F495=""),"",E495*F495)</f>
        <v>570</v>
      </c>
      <c r="I495" s="17" t="n">
        <f aca="false">IF(OR(E495="",G495=""),"",E495*G495)</f>
        <v>330</v>
      </c>
      <c r="J495" s="17" t="n">
        <f aca="false">IF(H495="","",H495-I495)</f>
        <v>240</v>
      </c>
    </row>
    <row r="496" customFormat="false" ht="15" hidden="false" customHeight="true" outlineLevel="0" collapsed="false">
      <c r="A496" s="7" t="s">
        <v>719</v>
      </c>
      <c r="B496" s="18" t="n">
        <f aca="false">IF(A496="","",IFERROR(INDEX(Sales_Memo!$B$2:$B$1001,MATCH(A496,Sales_Memo!$A$2:$A$1001,0)),""))</f>
        <v>46277</v>
      </c>
      <c r="C496" s="7" t="s">
        <v>82</v>
      </c>
      <c r="D496" s="16" t="str">
        <f aca="false">IF(C496="","",IFERROR(INDEX(Products!$B$2:$B$501,MATCH(C496,Products!$A$2:$A$501,0)),"CODE NOT FOUND"))</f>
        <v>Clutch Cable</v>
      </c>
      <c r="E496" s="7" t="n">
        <v>3</v>
      </c>
      <c r="F496" s="13" t="n">
        <v>190</v>
      </c>
      <c r="G496" s="13" t="n">
        <v>110</v>
      </c>
      <c r="H496" s="17" t="n">
        <f aca="false">IF(OR(E496="",F496=""),"",E496*F496)</f>
        <v>570</v>
      </c>
      <c r="I496" s="17" t="n">
        <f aca="false">IF(OR(E496="",G496=""),"",E496*G496)</f>
        <v>330</v>
      </c>
      <c r="J496" s="17" t="n">
        <f aca="false">IF(H496="","",H496-I496)</f>
        <v>240</v>
      </c>
    </row>
    <row r="497" customFormat="false" ht="15" hidden="false" customHeight="true" outlineLevel="0" collapsed="false">
      <c r="A497" s="7" t="s">
        <v>720</v>
      </c>
      <c r="B497" s="18" t="n">
        <f aca="false">IF(A497="","",IFERROR(INDEX(Sales_Memo!$B$2:$B$1001,MATCH(A497,Sales_Memo!$A$2:$A$1001,0)),""))</f>
        <v>46277</v>
      </c>
      <c r="C497" s="7" t="s">
        <v>82</v>
      </c>
      <c r="D497" s="16" t="str">
        <f aca="false">IF(C497="","",IFERROR(INDEX(Products!$B$2:$B$501,MATCH(C497,Products!$A$2:$A$501,0)),"CODE NOT FOUND"))</f>
        <v>Clutch Cable</v>
      </c>
      <c r="E497" s="7" t="n">
        <v>1</v>
      </c>
      <c r="F497" s="13" t="n">
        <v>190</v>
      </c>
      <c r="G497" s="13" t="n">
        <v>110</v>
      </c>
      <c r="H497" s="17" t="n">
        <f aca="false">IF(OR(E497="",F497=""),"",E497*F497)</f>
        <v>190</v>
      </c>
      <c r="I497" s="17" t="n">
        <f aca="false">IF(OR(E497="",G497=""),"",E497*G497)</f>
        <v>110</v>
      </c>
      <c r="J497" s="17" t="n">
        <f aca="false">IF(H497="","",H497-I497)</f>
        <v>80</v>
      </c>
    </row>
    <row r="498" customFormat="false" ht="15" hidden="false" customHeight="true" outlineLevel="0" collapsed="false">
      <c r="A498" s="7" t="s">
        <v>720</v>
      </c>
      <c r="B498" s="18" t="n">
        <f aca="false">IF(A498="","",IFERROR(INDEX(Sales_Memo!$B$2:$B$1001,MATCH(A498,Sales_Memo!$A$2:$A$1001,0)),""))</f>
        <v>46277</v>
      </c>
      <c r="C498" s="7" t="s">
        <v>86</v>
      </c>
      <c r="D498" s="16" t="str">
        <f aca="false">IF(C498="","",IFERROR(INDEX(Products!$B$2:$B$501,MATCH(C498,Products!$A$2:$A$501,0)),"CODE NOT FOUND"))</f>
        <v>Spark Plug CPR8EA-9</v>
      </c>
      <c r="E498" s="7" t="n">
        <v>3</v>
      </c>
      <c r="F498" s="13" t="n">
        <v>260</v>
      </c>
      <c r="G498" s="13" t="n">
        <v>175</v>
      </c>
      <c r="H498" s="17" t="n">
        <f aca="false">IF(OR(E498="",F498=""),"",E498*F498)</f>
        <v>780</v>
      </c>
      <c r="I498" s="17" t="n">
        <f aca="false">IF(OR(E498="",G498=""),"",E498*G498)</f>
        <v>525</v>
      </c>
      <c r="J498" s="17" t="n">
        <f aca="false">IF(H498="","",H498-I498)</f>
        <v>255</v>
      </c>
    </row>
    <row r="499" customFormat="false" ht="15" hidden="false" customHeight="true" outlineLevel="0" collapsed="false">
      <c r="A499" s="7" t="s">
        <v>721</v>
      </c>
      <c r="B499" s="18" t="n">
        <f aca="false">IF(A499="","",IFERROR(INDEX(Sales_Memo!$B$2:$B$1001,MATCH(A499,Sales_Memo!$A$2:$A$1001,0)),""))</f>
        <v>46277</v>
      </c>
      <c r="C499" s="7" t="s">
        <v>96</v>
      </c>
      <c r="D499" s="16" t="str">
        <f aca="false">IF(C499="","",IFERROR(INDEX(Products!$B$2:$B$501,MATCH(C499,Products!$A$2:$A$501,0)),"CODE NOT FOUND"))</f>
        <v>Engine Oil 10W-30 (1L)</v>
      </c>
      <c r="E499" s="7" t="n">
        <v>3</v>
      </c>
      <c r="F499" s="13" t="n">
        <v>780</v>
      </c>
      <c r="G499" s="13" t="n">
        <v>620</v>
      </c>
      <c r="H499" s="17" t="n">
        <f aca="false">IF(OR(E499="",F499=""),"",E499*F499)</f>
        <v>2340</v>
      </c>
      <c r="I499" s="17" t="n">
        <f aca="false">IF(OR(E499="",G499=""),"",E499*G499)</f>
        <v>1860</v>
      </c>
      <c r="J499" s="17" t="n">
        <f aca="false">IF(H499="","",H499-I499)</f>
        <v>480</v>
      </c>
    </row>
    <row r="500" customFormat="false" ht="15" hidden="false" customHeight="true" outlineLevel="0" collapsed="false">
      <c r="A500" s="7" t="s">
        <v>722</v>
      </c>
      <c r="B500" s="18" t="n">
        <f aca="false">IF(A500="","",IFERROR(INDEX(Sales_Memo!$B$2:$B$1001,MATCH(A500,Sales_Memo!$A$2:$A$1001,0)),""))</f>
        <v>46277</v>
      </c>
      <c r="C500" s="7" t="s">
        <v>77</v>
      </c>
      <c r="D500" s="16" t="str">
        <f aca="false">IF(C500="","",IFERROR(INDEX(Products!$B$2:$B$501,MATCH(C500,Products!$A$2:$A$501,0)),"CODE NOT FOUND"))</f>
        <v>Brake Pad Set - Front</v>
      </c>
      <c r="E500" s="7" t="n">
        <v>1</v>
      </c>
      <c r="F500" s="13" t="n">
        <v>480</v>
      </c>
      <c r="G500" s="13" t="n">
        <v>320</v>
      </c>
      <c r="H500" s="17" t="n">
        <f aca="false">IF(OR(E500="",F500=""),"",E500*F500)</f>
        <v>480</v>
      </c>
      <c r="I500" s="17" t="n">
        <f aca="false">IF(OR(E500="",G500=""),"",E500*G500)</f>
        <v>320</v>
      </c>
      <c r="J500" s="17" t="n">
        <f aca="false">IF(H500="","",H500-I500)</f>
        <v>160</v>
      </c>
    </row>
    <row r="501" customFormat="false" ht="15" hidden="false" customHeight="true" outlineLevel="0" collapsed="false">
      <c r="A501" s="7" t="s">
        <v>722</v>
      </c>
      <c r="B501" s="18" t="n">
        <f aca="false">IF(A501="","",IFERROR(INDEX(Sales_Memo!$B$2:$B$1001,MATCH(A501,Sales_Memo!$A$2:$A$1001,0)),""))</f>
        <v>46277</v>
      </c>
      <c r="C501" s="7" t="s">
        <v>121</v>
      </c>
      <c r="D501" s="16" t="str">
        <f aca="false">IF(C501="","",IFERROR(INDEX(Products!$B$2:$B$501,MATCH(C501,Products!$A$2:$A$501,0)),"CODE NOT FOUND"))</f>
        <v>Handle Grip Set</v>
      </c>
      <c r="E501" s="7" t="n">
        <v>2</v>
      </c>
      <c r="F501" s="13" t="n">
        <v>280</v>
      </c>
      <c r="G501" s="13" t="n">
        <v>160</v>
      </c>
      <c r="H501" s="17" t="n">
        <f aca="false">IF(OR(E501="",F501=""),"",E501*F501)</f>
        <v>560</v>
      </c>
      <c r="I501" s="17" t="n">
        <f aca="false">IF(OR(E501="",G501=""),"",E501*G501)</f>
        <v>320</v>
      </c>
      <c r="J501" s="17" t="n">
        <f aca="false">IF(H501="","",H501-I501)</f>
        <v>240</v>
      </c>
    </row>
    <row r="502" customFormat="false" ht="15" hidden="false" customHeight="true" outlineLevel="0" collapsed="false">
      <c r="A502" s="7" t="s">
        <v>723</v>
      </c>
      <c r="B502" s="18" t="n">
        <f aca="false">IF(A502="","",IFERROR(INDEX(Sales_Memo!$B$2:$B$1001,MATCH(A502,Sales_Memo!$A$2:$A$1001,0)),""))</f>
        <v>46277</v>
      </c>
      <c r="C502" s="7" t="s">
        <v>102</v>
      </c>
      <c r="D502" s="16" t="str">
        <f aca="false">IF(C502="","",IFERROR(INDEX(Products!$B$2:$B$501,MATCH(C502,Products!$A$2:$A$501,0)),"CODE NOT FOUND"))</f>
        <v>Headlight Bulb H4</v>
      </c>
      <c r="E502" s="7" t="n">
        <v>2</v>
      </c>
      <c r="F502" s="13" t="n">
        <v>240</v>
      </c>
      <c r="G502" s="13" t="n">
        <v>140</v>
      </c>
      <c r="H502" s="17" t="n">
        <f aca="false">IF(OR(E502="",F502=""),"",E502*F502)</f>
        <v>480</v>
      </c>
      <c r="I502" s="17" t="n">
        <f aca="false">IF(OR(E502="",G502=""),"",E502*G502)</f>
        <v>280</v>
      </c>
      <c r="J502" s="17" t="n">
        <f aca="false">IF(H502="","",H502-I502)</f>
        <v>200</v>
      </c>
    </row>
    <row r="503" customFormat="false" ht="15" hidden="false" customHeight="true" outlineLevel="0" collapsed="false">
      <c r="A503" s="7" t="s">
        <v>724</v>
      </c>
      <c r="B503" s="18" t="n">
        <f aca="false">IF(A503="","",IFERROR(INDEX(Sales_Memo!$B$2:$B$1001,MATCH(A503,Sales_Memo!$A$2:$A$1001,0)),""))</f>
        <v>46278</v>
      </c>
      <c r="C503" s="7" t="s">
        <v>90</v>
      </c>
      <c r="D503" s="16" t="str">
        <f aca="false">IF(C503="","",IFERROR(INDEX(Products!$B$2:$B$501,MATCH(C503,Products!$A$2:$A$501,0)),"CODE NOT FOUND"))</f>
        <v>Air Filter 150cc</v>
      </c>
      <c r="E503" s="7" t="n">
        <v>3</v>
      </c>
      <c r="F503" s="13" t="n">
        <v>340</v>
      </c>
      <c r="G503" s="13" t="n">
        <v>210</v>
      </c>
      <c r="H503" s="17" t="n">
        <f aca="false">IF(OR(E503="",F503=""),"",E503*F503)</f>
        <v>1020</v>
      </c>
      <c r="I503" s="17" t="n">
        <f aca="false">IF(OR(E503="",G503=""),"",E503*G503)</f>
        <v>630</v>
      </c>
      <c r="J503" s="17" t="n">
        <f aca="false">IF(H503="","",H503-I503)</f>
        <v>390</v>
      </c>
    </row>
    <row r="504" customFormat="false" ht="15" hidden="false" customHeight="true" outlineLevel="0" collapsed="false">
      <c r="A504" s="7" t="s">
        <v>725</v>
      </c>
      <c r="B504" s="18" t="n">
        <f aca="false">IF(A504="","",IFERROR(INDEX(Sales_Memo!$B$2:$B$1001,MATCH(A504,Sales_Memo!$A$2:$A$1001,0)),""))</f>
        <v>46278</v>
      </c>
      <c r="C504" s="7" t="s">
        <v>96</v>
      </c>
      <c r="D504" s="16" t="str">
        <f aca="false">IF(C504="","",IFERROR(INDEX(Products!$B$2:$B$501,MATCH(C504,Products!$A$2:$A$501,0)),"CODE NOT FOUND"))</f>
        <v>Engine Oil 10W-30 (1L)</v>
      </c>
      <c r="E504" s="7" t="n">
        <v>1</v>
      </c>
      <c r="F504" s="13" t="n">
        <v>780</v>
      </c>
      <c r="G504" s="13" t="n">
        <v>620</v>
      </c>
      <c r="H504" s="17" t="n">
        <f aca="false">IF(OR(E504="",F504=""),"",E504*F504)</f>
        <v>780</v>
      </c>
      <c r="I504" s="17" t="n">
        <f aca="false">IF(OR(E504="",G504=""),"",E504*G504)</f>
        <v>620</v>
      </c>
      <c r="J504" s="17" t="n">
        <f aca="false">IF(H504="","",H504-I504)</f>
        <v>160</v>
      </c>
    </row>
    <row r="505" customFormat="false" ht="15" hidden="false" customHeight="true" outlineLevel="0" collapsed="false">
      <c r="A505" s="7" t="s">
        <v>725</v>
      </c>
      <c r="B505" s="18" t="n">
        <f aca="false">IF(A505="","",IFERROR(INDEX(Sales_Memo!$B$2:$B$1001,MATCH(A505,Sales_Memo!$A$2:$A$1001,0)),""))</f>
        <v>46278</v>
      </c>
      <c r="C505" s="7" t="s">
        <v>102</v>
      </c>
      <c r="D505" s="16" t="str">
        <f aca="false">IF(C505="","",IFERROR(INDEX(Products!$B$2:$B$501,MATCH(C505,Products!$A$2:$A$501,0)),"CODE NOT FOUND"))</f>
        <v>Headlight Bulb H4</v>
      </c>
      <c r="E505" s="7" t="n">
        <v>2</v>
      </c>
      <c r="F505" s="13" t="n">
        <v>240</v>
      </c>
      <c r="G505" s="13" t="n">
        <v>140</v>
      </c>
      <c r="H505" s="17" t="n">
        <f aca="false">IF(OR(E505="",F505=""),"",E505*F505)</f>
        <v>480</v>
      </c>
      <c r="I505" s="17" t="n">
        <f aca="false">IF(OR(E505="",G505=""),"",E505*G505)</f>
        <v>280</v>
      </c>
      <c r="J505" s="17" t="n">
        <f aca="false">IF(H505="","",H505-I505)</f>
        <v>200</v>
      </c>
    </row>
    <row r="506" customFormat="false" ht="15" hidden="false" customHeight="true" outlineLevel="0" collapsed="false">
      <c r="A506" s="7" t="s">
        <v>727</v>
      </c>
      <c r="B506" s="18" t="n">
        <f aca="false">IF(A506="","",IFERROR(INDEX(Sales_Memo!$B$2:$B$1001,MATCH(A506,Sales_Memo!$A$2:$A$1001,0)),""))</f>
        <v>46278</v>
      </c>
      <c r="C506" s="7" t="s">
        <v>86</v>
      </c>
      <c r="D506" s="16" t="str">
        <f aca="false">IF(C506="","",IFERROR(INDEX(Products!$B$2:$B$501,MATCH(C506,Products!$A$2:$A$501,0)),"CODE NOT FOUND"))</f>
        <v>Spark Plug CPR8EA-9</v>
      </c>
      <c r="E506" s="7" t="n">
        <v>2</v>
      </c>
      <c r="F506" s="13" t="n">
        <v>260</v>
      </c>
      <c r="G506" s="13" t="n">
        <v>175</v>
      </c>
      <c r="H506" s="17" t="n">
        <f aca="false">IF(OR(E506="",F506=""),"",E506*F506)</f>
        <v>520</v>
      </c>
      <c r="I506" s="17" t="n">
        <f aca="false">IF(OR(E506="",G506=""),"",E506*G506)</f>
        <v>350</v>
      </c>
      <c r="J506" s="17" t="n">
        <f aca="false">IF(H506="","",H506-I506)</f>
        <v>170</v>
      </c>
    </row>
    <row r="507" customFormat="false" ht="15" hidden="false" customHeight="true" outlineLevel="0" collapsed="false">
      <c r="A507" s="7" t="s">
        <v>727</v>
      </c>
      <c r="B507" s="18" t="n">
        <f aca="false">IF(A507="","",IFERROR(INDEX(Sales_Memo!$B$2:$B$1001,MATCH(A507,Sales_Memo!$A$2:$A$1001,0)),""))</f>
        <v>46278</v>
      </c>
      <c r="C507" s="7" t="s">
        <v>119</v>
      </c>
      <c r="D507" s="16" t="str">
        <f aca="false">IF(C507="","",IFERROR(INDEX(Products!$B$2:$B$501,MATCH(C507,Products!$A$2:$A$501,0)),"CODE NOT FOUND"))</f>
        <v>Chain Lube Spray</v>
      </c>
      <c r="E507" s="7" t="n">
        <v>1</v>
      </c>
      <c r="F507" s="13" t="n">
        <v>270</v>
      </c>
      <c r="G507" s="13" t="n">
        <v>170</v>
      </c>
      <c r="H507" s="17" t="n">
        <f aca="false">IF(OR(E507="",F507=""),"",E507*F507)</f>
        <v>270</v>
      </c>
      <c r="I507" s="17" t="n">
        <f aca="false">IF(OR(E507="",G507=""),"",E507*G507)</f>
        <v>170</v>
      </c>
      <c r="J507" s="17" t="n">
        <f aca="false">IF(H507="","",H507-I507)</f>
        <v>100</v>
      </c>
    </row>
    <row r="508" customFormat="false" ht="15" hidden="false" customHeight="true" outlineLevel="0" collapsed="false">
      <c r="A508" s="7" t="s">
        <v>727</v>
      </c>
      <c r="B508" s="18" t="n">
        <f aca="false">IF(A508="","",IFERROR(INDEX(Sales_Memo!$B$2:$B$1001,MATCH(A508,Sales_Memo!$A$2:$A$1001,0)),""))</f>
        <v>46278</v>
      </c>
      <c r="C508" s="7" t="s">
        <v>82</v>
      </c>
      <c r="D508" s="16" t="str">
        <f aca="false">IF(C508="","",IFERROR(INDEX(Products!$B$2:$B$501,MATCH(C508,Products!$A$2:$A$501,0)),"CODE NOT FOUND"))</f>
        <v>Clutch Cable</v>
      </c>
      <c r="E508" s="7" t="n">
        <v>2</v>
      </c>
      <c r="F508" s="13" t="n">
        <v>190</v>
      </c>
      <c r="G508" s="13" t="n">
        <v>110</v>
      </c>
      <c r="H508" s="17" t="n">
        <f aca="false">IF(OR(E508="",F508=""),"",E508*F508)</f>
        <v>380</v>
      </c>
      <c r="I508" s="17" t="n">
        <f aca="false">IF(OR(E508="",G508=""),"",E508*G508)</f>
        <v>220</v>
      </c>
      <c r="J508" s="17" t="n">
        <f aca="false">IF(H508="","",H508-I508)</f>
        <v>160</v>
      </c>
    </row>
    <row r="509" customFormat="false" ht="15" hidden="false" customHeight="true" outlineLevel="0" collapsed="false">
      <c r="A509" s="7" t="s">
        <v>728</v>
      </c>
      <c r="B509" s="18" t="n">
        <f aca="false">IF(A509="","",IFERROR(INDEX(Sales_Memo!$B$2:$B$1001,MATCH(A509,Sales_Memo!$A$2:$A$1001,0)),""))</f>
        <v>46278</v>
      </c>
      <c r="C509" s="7" t="s">
        <v>102</v>
      </c>
      <c r="D509" s="16" t="str">
        <f aca="false">IF(C509="","",IFERROR(INDEX(Products!$B$2:$B$501,MATCH(C509,Products!$A$2:$A$501,0)),"CODE NOT FOUND"))</f>
        <v>Headlight Bulb H4</v>
      </c>
      <c r="E509" s="7" t="n">
        <v>2</v>
      </c>
      <c r="F509" s="13" t="n">
        <v>240</v>
      </c>
      <c r="G509" s="13" t="n">
        <v>140</v>
      </c>
      <c r="H509" s="17" t="n">
        <f aca="false">IF(OR(E509="",F509=""),"",E509*F509)</f>
        <v>480</v>
      </c>
      <c r="I509" s="17" t="n">
        <f aca="false">IF(OR(E509="",G509=""),"",E509*G509)</f>
        <v>280</v>
      </c>
      <c r="J509" s="17" t="n">
        <f aca="false">IF(H509="","",H509-I509)</f>
        <v>200</v>
      </c>
    </row>
    <row r="510" customFormat="false" ht="15" hidden="false" customHeight="true" outlineLevel="0" collapsed="false">
      <c r="A510" s="7" t="s">
        <v>728</v>
      </c>
      <c r="B510" s="18" t="n">
        <f aca="false">IF(A510="","",IFERROR(INDEX(Sales_Memo!$B$2:$B$1001,MATCH(A510,Sales_Memo!$A$2:$A$1001,0)),""))</f>
        <v>46278</v>
      </c>
      <c r="C510" s="7" t="s">
        <v>119</v>
      </c>
      <c r="D510" s="16" t="str">
        <f aca="false">IF(C510="","",IFERROR(INDEX(Products!$B$2:$B$501,MATCH(C510,Products!$A$2:$A$501,0)),"CODE NOT FOUND"))</f>
        <v>Chain Lube Spray</v>
      </c>
      <c r="E510" s="7" t="n">
        <v>3</v>
      </c>
      <c r="F510" s="13" t="n">
        <v>270</v>
      </c>
      <c r="G510" s="13" t="n">
        <v>170</v>
      </c>
      <c r="H510" s="17" t="n">
        <f aca="false">IF(OR(E510="",F510=""),"",E510*F510)</f>
        <v>810</v>
      </c>
      <c r="I510" s="17" t="n">
        <f aca="false">IF(OR(E510="",G510=""),"",E510*G510)</f>
        <v>510</v>
      </c>
      <c r="J510" s="17" t="n">
        <f aca="false">IF(H510="","",H510-I510)</f>
        <v>300</v>
      </c>
    </row>
    <row r="511" customFormat="false" ht="15" hidden="false" customHeight="true" outlineLevel="0" collapsed="false">
      <c r="A511" s="7" t="s">
        <v>729</v>
      </c>
      <c r="B511" s="18" t="n">
        <f aca="false">IF(A511="","",IFERROR(INDEX(Sales_Memo!$B$2:$B$1001,MATCH(A511,Sales_Memo!$A$2:$A$1001,0)),""))</f>
        <v>46278</v>
      </c>
      <c r="C511" s="7" t="s">
        <v>86</v>
      </c>
      <c r="D511" s="16" t="str">
        <f aca="false">IF(C511="","",IFERROR(INDEX(Products!$B$2:$B$501,MATCH(C511,Products!$A$2:$A$501,0)),"CODE NOT FOUND"))</f>
        <v>Spark Plug CPR8EA-9</v>
      </c>
      <c r="E511" s="7" t="n">
        <v>1</v>
      </c>
      <c r="F511" s="13" t="n">
        <v>260</v>
      </c>
      <c r="G511" s="13" t="n">
        <v>175</v>
      </c>
      <c r="H511" s="17" t="n">
        <f aca="false">IF(OR(E511="",F511=""),"",E511*F511)</f>
        <v>260</v>
      </c>
      <c r="I511" s="17" t="n">
        <f aca="false">IF(OR(E511="",G511=""),"",E511*G511)</f>
        <v>175</v>
      </c>
      <c r="J511" s="17" t="n">
        <f aca="false">IF(H511="","",H511-I511)</f>
        <v>85</v>
      </c>
    </row>
    <row r="512" customFormat="false" ht="15" hidden="false" customHeight="true" outlineLevel="0" collapsed="false">
      <c r="A512" s="7" t="s">
        <v>729</v>
      </c>
      <c r="B512" s="18" t="n">
        <f aca="false">IF(A512="","",IFERROR(INDEX(Sales_Memo!$B$2:$B$1001,MATCH(A512,Sales_Memo!$A$2:$A$1001,0)),""))</f>
        <v>46278</v>
      </c>
      <c r="C512" s="7" t="s">
        <v>102</v>
      </c>
      <c r="D512" s="16" t="str">
        <f aca="false">IF(C512="","",IFERROR(INDEX(Products!$B$2:$B$501,MATCH(C512,Products!$A$2:$A$501,0)),"CODE NOT FOUND"))</f>
        <v>Headlight Bulb H4</v>
      </c>
      <c r="E512" s="7" t="n">
        <v>2</v>
      </c>
      <c r="F512" s="13" t="n">
        <v>240</v>
      </c>
      <c r="G512" s="13" t="n">
        <v>140</v>
      </c>
      <c r="H512" s="17" t="n">
        <f aca="false">IF(OR(E512="",F512=""),"",E512*F512)</f>
        <v>480</v>
      </c>
      <c r="I512" s="17" t="n">
        <f aca="false">IF(OR(E512="",G512=""),"",E512*G512)</f>
        <v>280</v>
      </c>
      <c r="J512" s="17" t="n">
        <f aca="false">IF(H512="","",H512-I512)</f>
        <v>200</v>
      </c>
    </row>
    <row r="513" customFormat="false" ht="15" hidden="false" customHeight="true" outlineLevel="0" collapsed="false">
      <c r="A513" s="7" t="s">
        <v>730</v>
      </c>
      <c r="B513" s="18" t="n">
        <f aca="false">IF(A513="","",IFERROR(INDEX(Sales_Memo!$B$2:$B$1001,MATCH(A513,Sales_Memo!$A$2:$A$1001,0)),""))</f>
        <v>46278</v>
      </c>
      <c r="C513" s="7" t="s">
        <v>77</v>
      </c>
      <c r="D513" s="16" t="str">
        <f aca="false">IF(C513="","",IFERROR(INDEX(Products!$B$2:$B$501,MATCH(C513,Products!$A$2:$A$501,0)),"CODE NOT FOUND"))</f>
        <v>Brake Pad Set - Front</v>
      </c>
      <c r="E513" s="7" t="n">
        <v>2</v>
      </c>
      <c r="F513" s="13" t="n">
        <v>480</v>
      </c>
      <c r="G513" s="13" t="n">
        <v>320</v>
      </c>
      <c r="H513" s="17" t="n">
        <f aca="false">IF(OR(E513="",F513=""),"",E513*F513)</f>
        <v>960</v>
      </c>
      <c r="I513" s="17" t="n">
        <f aca="false">IF(OR(E513="",G513=""),"",E513*G513)</f>
        <v>640</v>
      </c>
      <c r="J513" s="17" t="n">
        <f aca="false">IF(H513="","",H513-I513)</f>
        <v>320</v>
      </c>
    </row>
    <row r="514" customFormat="false" ht="15" hidden="false" customHeight="true" outlineLevel="0" collapsed="false">
      <c r="A514" s="7" t="s">
        <v>730</v>
      </c>
      <c r="B514" s="18" t="n">
        <f aca="false">IF(A514="","",IFERROR(INDEX(Sales_Memo!$B$2:$B$1001,MATCH(A514,Sales_Memo!$A$2:$A$1001,0)),""))</f>
        <v>46278</v>
      </c>
      <c r="C514" s="7" t="s">
        <v>119</v>
      </c>
      <c r="D514" s="16" t="str">
        <f aca="false">IF(C514="","",IFERROR(INDEX(Products!$B$2:$B$501,MATCH(C514,Products!$A$2:$A$501,0)),"CODE NOT FOUND"))</f>
        <v>Chain Lube Spray</v>
      </c>
      <c r="E514" s="7" t="n">
        <v>1</v>
      </c>
      <c r="F514" s="13" t="n">
        <v>270</v>
      </c>
      <c r="G514" s="13" t="n">
        <v>170</v>
      </c>
      <c r="H514" s="17" t="n">
        <f aca="false">IF(OR(E514="",F514=""),"",E514*F514)</f>
        <v>270</v>
      </c>
      <c r="I514" s="17" t="n">
        <f aca="false">IF(OR(E514="",G514=""),"",E514*G514)</f>
        <v>170</v>
      </c>
      <c r="J514" s="17" t="n">
        <f aca="false">IF(H514="","",H514-I514)</f>
        <v>100</v>
      </c>
    </row>
    <row r="515" customFormat="false" ht="15" hidden="false" customHeight="true" outlineLevel="0" collapsed="false">
      <c r="A515" s="7" t="s">
        <v>730</v>
      </c>
      <c r="B515" s="18" t="n">
        <f aca="false">IF(A515="","",IFERROR(INDEX(Sales_Memo!$B$2:$B$1001,MATCH(A515,Sales_Memo!$A$2:$A$1001,0)),""))</f>
        <v>46278</v>
      </c>
      <c r="C515" s="7" t="s">
        <v>102</v>
      </c>
      <c r="D515" s="16" t="str">
        <f aca="false">IF(C515="","",IFERROR(INDEX(Products!$B$2:$B$501,MATCH(C515,Products!$A$2:$A$501,0)),"CODE NOT FOUND"))</f>
        <v>Headlight Bulb H4</v>
      </c>
      <c r="E515" s="7" t="n">
        <v>2</v>
      </c>
      <c r="F515" s="13" t="n">
        <v>240</v>
      </c>
      <c r="G515" s="13" t="n">
        <v>140</v>
      </c>
      <c r="H515" s="17" t="n">
        <f aca="false">IF(OR(E515="",F515=""),"",E515*F515)</f>
        <v>480</v>
      </c>
      <c r="I515" s="17" t="n">
        <f aca="false">IF(OR(E515="",G515=""),"",E515*G515)</f>
        <v>280</v>
      </c>
      <c r="J515" s="17" t="n">
        <f aca="false">IF(H515="","",H515-I515)</f>
        <v>200</v>
      </c>
    </row>
    <row r="516" customFormat="false" ht="15" hidden="false" customHeight="true" outlineLevel="0" collapsed="false">
      <c r="A516" s="7" t="s">
        <v>732</v>
      </c>
      <c r="B516" s="18" t="n">
        <f aca="false">IF(A516="","",IFERROR(INDEX(Sales_Memo!$B$2:$B$1001,MATCH(A516,Sales_Memo!$A$2:$A$1001,0)),""))</f>
        <v>46278</v>
      </c>
      <c r="C516" s="7" t="s">
        <v>121</v>
      </c>
      <c r="D516" s="16" t="str">
        <f aca="false">IF(C516="","",IFERROR(INDEX(Products!$B$2:$B$501,MATCH(C516,Products!$A$2:$A$501,0)),"CODE NOT FOUND"))</f>
        <v>Handle Grip Set</v>
      </c>
      <c r="E516" s="7" t="n">
        <v>2</v>
      </c>
      <c r="F516" s="13" t="n">
        <v>280</v>
      </c>
      <c r="G516" s="13" t="n">
        <v>160</v>
      </c>
      <c r="H516" s="17" t="n">
        <f aca="false">IF(OR(E516="",F516=""),"",E516*F516)</f>
        <v>560</v>
      </c>
      <c r="I516" s="17" t="n">
        <f aca="false">IF(OR(E516="",G516=""),"",E516*G516)</f>
        <v>320</v>
      </c>
      <c r="J516" s="17" t="n">
        <f aca="false">IF(H516="","",H516-I516)</f>
        <v>240</v>
      </c>
    </row>
    <row r="517" customFormat="false" ht="15" hidden="false" customHeight="true" outlineLevel="0" collapsed="false">
      <c r="A517" s="7" t="s">
        <v>733</v>
      </c>
      <c r="B517" s="18" t="n">
        <f aca="false">IF(A517="","",IFERROR(INDEX(Sales_Memo!$B$2:$B$1001,MATCH(A517,Sales_Memo!$A$2:$A$1001,0)),""))</f>
        <v>46278</v>
      </c>
      <c r="C517" s="7" t="s">
        <v>82</v>
      </c>
      <c r="D517" s="16" t="str">
        <f aca="false">IF(C517="","",IFERROR(INDEX(Products!$B$2:$B$501,MATCH(C517,Products!$A$2:$A$501,0)),"CODE NOT FOUND"))</f>
        <v>Clutch Cable</v>
      </c>
      <c r="E517" s="7" t="n">
        <v>2</v>
      </c>
      <c r="F517" s="13" t="n">
        <v>190</v>
      </c>
      <c r="G517" s="13" t="n">
        <v>110</v>
      </c>
      <c r="H517" s="17" t="n">
        <f aca="false">IF(OR(E517="",F517=""),"",E517*F517)</f>
        <v>380</v>
      </c>
      <c r="I517" s="17" t="n">
        <f aca="false">IF(OR(E517="",G517=""),"",E517*G517)</f>
        <v>220</v>
      </c>
      <c r="J517" s="17" t="n">
        <f aca="false">IF(H517="","",H517-I517)</f>
        <v>160</v>
      </c>
    </row>
    <row r="518" customFormat="false" ht="15" hidden="false" customHeight="true" outlineLevel="0" collapsed="false">
      <c r="A518" s="7" t="s">
        <v>733</v>
      </c>
      <c r="B518" s="18" t="n">
        <f aca="false">IF(A518="","",IFERROR(INDEX(Sales_Memo!$B$2:$B$1001,MATCH(A518,Sales_Memo!$A$2:$A$1001,0)),""))</f>
        <v>46278</v>
      </c>
      <c r="C518" s="7" t="s">
        <v>96</v>
      </c>
      <c r="D518" s="16" t="str">
        <f aca="false">IF(C518="","",IFERROR(INDEX(Products!$B$2:$B$501,MATCH(C518,Products!$A$2:$A$501,0)),"CODE NOT FOUND"))</f>
        <v>Engine Oil 10W-30 (1L)</v>
      </c>
      <c r="E518" s="7" t="n">
        <v>1</v>
      </c>
      <c r="F518" s="13" t="n">
        <v>780</v>
      </c>
      <c r="G518" s="13" t="n">
        <v>620</v>
      </c>
      <c r="H518" s="17" t="n">
        <f aca="false">IF(OR(E518="",F518=""),"",E518*F518)</f>
        <v>780</v>
      </c>
      <c r="I518" s="17" t="n">
        <f aca="false">IF(OR(E518="",G518=""),"",E518*G518)</f>
        <v>620</v>
      </c>
      <c r="J518" s="17" t="n">
        <f aca="false">IF(H518="","",H518-I518)</f>
        <v>160</v>
      </c>
    </row>
    <row r="519" customFormat="false" ht="15" hidden="false" customHeight="true" outlineLevel="0" collapsed="false">
      <c r="A519" s="7" t="s">
        <v>733</v>
      </c>
      <c r="B519" s="18" t="n">
        <f aca="false">IF(A519="","",IFERROR(INDEX(Sales_Memo!$B$2:$B$1001,MATCH(A519,Sales_Memo!$A$2:$A$1001,0)),""))</f>
        <v>46278</v>
      </c>
      <c r="C519" s="7" t="s">
        <v>77</v>
      </c>
      <c r="D519" s="16" t="str">
        <f aca="false">IF(C519="","",IFERROR(INDEX(Products!$B$2:$B$501,MATCH(C519,Products!$A$2:$A$501,0)),"CODE NOT FOUND"))</f>
        <v>Brake Pad Set - Front</v>
      </c>
      <c r="E519" s="7" t="n">
        <v>2</v>
      </c>
      <c r="F519" s="13" t="n">
        <v>480</v>
      </c>
      <c r="G519" s="13" t="n">
        <v>320</v>
      </c>
      <c r="H519" s="17" t="n">
        <f aca="false">IF(OR(E519="",F519=""),"",E519*F519)</f>
        <v>960</v>
      </c>
      <c r="I519" s="17" t="n">
        <f aca="false">IF(OR(E519="",G519=""),"",E519*G519)</f>
        <v>640</v>
      </c>
      <c r="J519" s="17" t="n">
        <f aca="false">IF(H519="","",H519-I519)</f>
        <v>320</v>
      </c>
    </row>
    <row r="520" customFormat="false" ht="15" hidden="false" customHeight="true" outlineLevel="0" collapsed="false">
      <c r="A520" s="7" t="s">
        <v>735</v>
      </c>
      <c r="B520" s="18" t="n">
        <f aca="false">IF(A520="","",IFERROR(INDEX(Sales_Memo!$B$2:$B$1001,MATCH(A520,Sales_Memo!$A$2:$A$1001,0)),""))</f>
        <v>46278</v>
      </c>
      <c r="C520" s="7" t="s">
        <v>121</v>
      </c>
      <c r="D520" s="16" t="str">
        <f aca="false">IF(C520="","",IFERROR(INDEX(Products!$B$2:$B$501,MATCH(C520,Products!$A$2:$A$501,0)),"CODE NOT FOUND"))</f>
        <v>Handle Grip Set</v>
      </c>
      <c r="E520" s="7" t="n">
        <v>2</v>
      </c>
      <c r="F520" s="13" t="n">
        <v>280</v>
      </c>
      <c r="G520" s="13" t="n">
        <v>160</v>
      </c>
      <c r="H520" s="17" t="n">
        <f aca="false">IF(OR(E520="",F520=""),"",E520*F520)</f>
        <v>560</v>
      </c>
      <c r="I520" s="17" t="n">
        <f aca="false">IF(OR(E520="",G520=""),"",E520*G520)</f>
        <v>320</v>
      </c>
      <c r="J520" s="17" t="n">
        <f aca="false">IF(H520="","",H520-I520)</f>
        <v>240</v>
      </c>
    </row>
    <row r="521" customFormat="false" ht="15" hidden="false" customHeight="true" outlineLevel="0" collapsed="false">
      <c r="A521" s="7" t="s">
        <v>736</v>
      </c>
      <c r="B521" s="18" t="n">
        <f aca="false">IF(A521="","",IFERROR(INDEX(Sales_Memo!$B$2:$B$1001,MATCH(A521,Sales_Memo!$A$2:$A$1001,0)),""))</f>
        <v>46278</v>
      </c>
      <c r="C521" s="7" t="s">
        <v>86</v>
      </c>
      <c r="D521" s="16" t="str">
        <f aca="false">IF(C521="","",IFERROR(INDEX(Products!$B$2:$B$501,MATCH(C521,Products!$A$2:$A$501,0)),"CODE NOT FOUND"))</f>
        <v>Spark Plug CPR8EA-9</v>
      </c>
      <c r="E521" s="7" t="n">
        <v>2</v>
      </c>
      <c r="F521" s="13" t="n">
        <v>260</v>
      </c>
      <c r="G521" s="13" t="n">
        <v>175</v>
      </c>
      <c r="H521" s="17" t="n">
        <f aca="false">IF(OR(E521="",F521=""),"",E521*F521)</f>
        <v>520</v>
      </c>
      <c r="I521" s="17" t="n">
        <f aca="false">IF(OR(E521="",G521=""),"",E521*G521)</f>
        <v>350</v>
      </c>
      <c r="J521" s="17" t="n">
        <f aca="false">IF(H521="","",H521-I521)</f>
        <v>170</v>
      </c>
    </row>
    <row r="522" customFormat="false" ht="15" hidden="false" customHeight="true" outlineLevel="0" collapsed="false">
      <c r="A522" s="7" t="s">
        <v>737</v>
      </c>
      <c r="B522" s="18" t="n">
        <f aca="false">IF(A522="","",IFERROR(INDEX(Sales_Memo!$B$2:$B$1001,MATCH(A522,Sales_Memo!$A$2:$A$1001,0)),""))</f>
        <v>46278</v>
      </c>
      <c r="C522" s="7" t="s">
        <v>119</v>
      </c>
      <c r="D522" s="16" t="str">
        <f aca="false">IF(C522="","",IFERROR(INDEX(Products!$B$2:$B$501,MATCH(C522,Products!$A$2:$A$501,0)),"CODE NOT FOUND"))</f>
        <v>Chain Lube Spray</v>
      </c>
      <c r="E522" s="7" t="n">
        <v>3</v>
      </c>
      <c r="F522" s="13" t="n">
        <v>270</v>
      </c>
      <c r="G522" s="13" t="n">
        <v>170</v>
      </c>
      <c r="H522" s="17" t="n">
        <f aca="false">IF(OR(E522="",F522=""),"",E522*F522)</f>
        <v>810</v>
      </c>
      <c r="I522" s="17" t="n">
        <f aca="false">IF(OR(E522="",G522=""),"",E522*G522)</f>
        <v>510</v>
      </c>
      <c r="J522" s="17" t="n">
        <f aca="false">IF(H522="","",H522-I522)</f>
        <v>300</v>
      </c>
    </row>
    <row r="523" customFormat="false" ht="15" hidden="false" customHeight="true" outlineLevel="0" collapsed="false">
      <c r="A523" s="7" t="s">
        <v>738</v>
      </c>
      <c r="B523" s="18" t="n">
        <f aca="false">IF(A523="","",IFERROR(INDEX(Sales_Memo!$B$2:$B$1001,MATCH(A523,Sales_Memo!$A$2:$A$1001,0)),""))</f>
        <v>46278</v>
      </c>
      <c r="C523" s="7" t="s">
        <v>82</v>
      </c>
      <c r="D523" s="16" t="str">
        <f aca="false">IF(C523="","",IFERROR(INDEX(Products!$B$2:$B$501,MATCH(C523,Products!$A$2:$A$501,0)),"CODE NOT FOUND"))</f>
        <v>Clutch Cable</v>
      </c>
      <c r="E523" s="7" t="n">
        <v>3</v>
      </c>
      <c r="F523" s="13" t="n">
        <v>190</v>
      </c>
      <c r="G523" s="13" t="n">
        <v>110</v>
      </c>
      <c r="H523" s="17" t="n">
        <f aca="false">IF(OR(E523="",F523=""),"",E523*F523)</f>
        <v>570</v>
      </c>
      <c r="I523" s="17" t="n">
        <f aca="false">IF(OR(E523="",G523=""),"",E523*G523)</f>
        <v>330</v>
      </c>
      <c r="J523" s="17" t="n">
        <f aca="false">IF(H523="","",H523-I523)</f>
        <v>240</v>
      </c>
    </row>
    <row r="524" customFormat="false" ht="15" hidden="false" customHeight="true" outlineLevel="0" collapsed="false">
      <c r="A524" s="7" t="s">
        <v>739</v>
      </c>
      <c r="B524" s="18" t="n">
        <f aca="false">IF(A524="","",IFERROR(INDEX(Sales_Memo!$B$2:$B$1001,MATCH(A524,Sales_Memo!$A$2:$A$1001,0)),""))</f>
        <v>46279</v>
      </c>
      <c r="C524" s="7" t="s">
        <v>121</v>
      </c>
      <c r="D524" s="16" t="str">
        <f aca="false">IF(C524="","",IFERROR(INDEX(Products!$B$2:$B$501,MATCH(C524,Products!$A$2:$A$501,0)),"CODE NOT FOUND"))</f>
        <v>Handle Grip Set</v>
      </c>
      <c r="E524" s="7" t="n">
        <v>2</v>
      </c>
      <c r="F524" s="13" t="n">
        <v>280</v>
      </c>
      <c r="G524" s="13" t="n">
        <v>160</v>
      </c>
      <c r="H524" s="17" t="n">
        <f aca="false">IF(OR(E524="",F524=""),"",E524*F524)</f>
        <v>560</v>
      </c>
      <c r="I524" s="17" t="n">
        <f aca="false">IF(OR(E524="",G524=""),"",E524*G524)</f>
        <v>320</v>
      </c>
      <c r="J524" s="17" t="n">
        <f aca="false">IF(H524="","",H524-I524)</f>
        <v>240</v>
      </c>
    </row>
    <row r="525" customFormat="false" ht="15" hidden="false" customHeight="true" outlineLevel="0" collapsed="false">
      <c r="A525" s="7" t="s">
        <v>740</v>
      </c>
      <c r="B525" s="18" t="n">
        <f aca="false">IF(A525="","",IFERROR(INDEX(Sales_Memo!$B$2:$B$1001,MATCH(A525,Sales_Memo!$A$2:$A$1001,0)),""))</f>
        <v>46279</v>
      </c>
      <c r="C525" s="7" t="s">
        <v>82</v>
      </c>
      <c r="D525" s="16" t="str">
        <f aca="false">IF(C525="","",IFERROR(INDEX(Products!$B$2:$B$501,MATCH(C525,Products!$A$2:$A$501,0)),"CODE NOT FOUND"))</f>
        <v>Clutch Cable</v>
      </c>
      <c r="E525" s="7" t="n">
        <v>2</v>
      </c>
      <c r="F525" s="13" t="n">
        <v>190</v>
      </c>
      <c r="G525" s="13" t="n">
        <v>110</v>
      </c>
      <c r="H525" s="17" t="n">
        <f aca="false">IF(OR(E525="",F525=""),"",E525*F525)</f>
        <v>380</v>
      </c>
      <c r="I525" s="17" t="n">
        <f aca="false">IF(OR(E525="",G525=""),"",E525*G525)</f>
        <v>220</v>
      </c>
      <c r="J525" s="17" t="n">
        <f aca="false">IF(H525="","",H525-I525)</f>
        <v>160</v>
      </c>
    </row>
    <row r="526" customFormat="false" ht="15" hidden="false" customHeight="true" outlineLevel="0" collapsed="false">
      <c r="A526" s="7" t="s">
        <v>741</v>
      </c>
      <c r="B526" s="18" t="n">
        <f aca="false">IF(A526="","",IFERROR(INDEX(Sales_Memo!$B$2:$B$1001,MATCH(A526,Sales_Memo!$A$2:$A$1001,0)),""))</f>
        <v>46279</v>
      </c>
      <c r="C526" s="7" t="s">
        <v>121</v>
      </c>
      <c r="D526" s="16" t="str">
        <f aca="false">IF(C526="","",IFERROR(INDEX(Products!$B$2:$B$501,MATCH(C526,Products!$A$2:$A$501,0)),"CODE NOT FOUND"))</f>
        <v>Handle Grip Set</v>
      </c>
      <c r="E526" s="7" t="n">
        <v>3</v>
      </c>
      <c r="F526" s="13" t="n">
        <v>280</v>
      </c>
      <c r="G526" s="13" t="n">
        <v>160</v>
      </c>
      <c r="H526" s="17" t="n">
        <f aca="false">IF(OR(E526="",F526=""),"",E526*F526)</f>
        <v>840</v>
      </c>
      <c r="I526" s="17" t="n">
        <f aca="false">IF(OR(E526="",G526=""),"",E526*G526)</f>
        <v>480</v>
      </c>
      <c r="J526" s="17" t="n">
        <f aca="false">IF(H526="","",H526-I526)</f>
        <v>360</v>
      </c>
    </row>
    <row r="527" customFormat="false" ht="15" hidden="false" customHeight="true" outlineLevel="0" collapsed="false">
      <c r="A527" s="7" t="s">
        <v>741</v>
      </c>
      <c r="B527" s="18" t="n">
        <f aca="false">IF(A527="","",IFERROR(INDEX(Sales_Memo!$B$2:$B$1001,MATCH(A527,Sales_Memo!$A$2:$A$1001,0)),""))</f>
        <v>46279</v>
      </c>
      <c r="C527" s="7" t="s">
        <v>86</v>
      </c>
      <c r="D527" s="16" t="str">
        <f aca="false">IF(C527="","",IFERROR(INDEX(Products!$B$2:$B$501,MATCH(C527,Products!$A$2:$A$501,0)),"CODE NOT FOUND"))</f>
        <v>Spark Plug CPR8EA-9</v>
      </c>
      <c r="E527" s="7" t="n">
        <v>3</v>
      </c>
      <c r="F527" s="13" t="n">
        <v>260</v>
      </c>
      <c r="G527" s="13" t="n">
        <v>175</v>
      </c>
      <c r="H527" s="17" t="n">
        <f aca="false">IF(OR(E527="",F527=""),"",E527*F527)</f>
        <v>780</v>
      </c>
      <c r="I527" s="17" t="n">
        <f aca="false">IF(OR(E527="",G527=""),"",E527*G527)</f>
        <v>525</v>
      </c>
      <c r="J527" s="17" t="n">
        <f aca="false">IF(H527="","",H527-I527)</f>
        <v>255</v>
      </c>
    </row>
    <row r="528" customFormat="false" ht="15" hidden="false" customHeight="true" outlineLevel="0" collapsed="false">
      <c r="A528" s="7" t="s">
        <v>743</v>
      </c>
      <c r="B528" s="18" t="n">
        <f aca="false">IF(A528="","",IFERROR(INDEX(Sales_Memo!$B$2:$B$1001,MATCH(A528,Sales_Memo!$A$2:$A$1001,0)),""))</f>
        <v>46279</v>
      </c>
      <c r="C528" s="7" t="s">
        <v>121</v>
      </c>
      <c r="D528" s="16" t="str">
        <f aca="false">IF(C528="","",IFERROR(INDEX(Products!$B$2:$B$501,MATCH(C528,Products!$A$2:$A$501,0)),"CODE NOT FOUND"))</f>
        <v>Handle Grip Set</v>
      </c>
      <c r="E528" s="7" t="n">
        <v>3</v>
      </c>
      <c r="F528" s="13" t="n">
        <v>280</v>
      </c>
      <c r="G528" s="13" t="n">
        <v>160</v>
      </c>
      <c r="H528" s="17" t="n">
        <f aca="false">IF(OR(E528="",F528=""),"",E528*F528)</f>
        <v>840</v>
      </c>
      <c r="I528" s="17" t="n">
        <f aca="false">IF(OR(E528="",G528=""),"",E528*G528)</f>
        <v>480</v>
      </c>
      <c r="J528" s="17" t="n">
        <f aca="false">IF(H528="","",H528-I528)</f>
        <v>360</v>
      </c>
    </row>
    <row r="529" customFormat="false" ht="15" hidden="false" customHeight="true" outlineLevel="0" collapsed="false">
      <c r="A529" s="7" t="s">
        <v>743</v>
      </c>
      <c r="B529" s="18" t="n">
        <f aca="false">IF(A529="","",IFERROR(INDEX(Sales_Memo!$B$2:$B$1001,MATCH(A529,Sales_Memo!$A$2:$A$1001,0)),""))</f>
        <v>46279</v>
      </c>
      <c r="C529" s="7" t="s">
        <v>114</v>
      </c>
      <c r="D529" s="16" t="str">
        <f aca="false">IF(C529="","",IFERROR(INDEX(Products!$B$2:$B$501,MATCH(C529,Products!$A$2:$A$501,0)),"CODE NOT FOUND"))</f>
        <v>Side Mirror (Pair)</v>
      </c>
      <c r="E529" s="7" t="n">
        <v>2</v>
      </c>
      <c r="F529" s="13" t="n">
        <v>620</v>
      </c>
      <c r="G529" s="13" t="n">
        <v>380</v>
      </c>
      <c r="H529" s="17" t="n">
        <f aca="false">IF(OR(E529="",F529=""),"",E529*F529)</f>
        <v>1240</v>
      </c>
      <c r="I529" s="17" t="n">
        <f aca="false">IF(OR(E529="",G529=""),"",E529*G529)</f>
        <v>760</v>
      </c>
      <c r="J529" s="17" t="n">
        <f aca="false">IF(H529="","",H529-I529)</f>
        <v>480</v>
      </c>
    </row>
    <row r="530" customFormat="false" ht="15" hidden="false" customHeight="true" outlineLevel="0" collapsed="false">
      <c r="A530" s="7" t="s">
        <v>745</v>
      </c>
      <c r="B530" s="18" t="n">
        <f aca="false">IF(A530="","",IFERROR(INDEX(Sales_Memo!$B$2:$B$1001,MATCH(A530,Sales_Memo!$A$2:$A$1001,0)),""))</f>
        <v>46279</v>
      </c>
      <c r="C530" s="7" t="s">
        <v>90</v>
      </c>
      <c r="D530" s="16" t="str">
        <f aca="false">IF(C530="","",IFERROR(INDEX(Products!$B$2:$B$501,MATCH(C530,Products!$A$2:$A$501,0)),"CODE NOT FOUND"))</f>
        <v>Air Filter 150cc</v>
      </c>
      <c r="E530" s="7" t="n">
        <v>2</v>
      </c>
      <c r="F530" s="13" t="n">
        <v>340</v>
      </c>
      <c r="G530" s="13" t="n">
        <v>210</v>
      </c>
      <c r="H530" s="17" t="n">
        <f aca="false">IF(OR(E530="",F530=""),"",E530*F530)</f>
        <v>680</v>
      </c>
      <c r="I530" s="17" t="n">
        <f aca="false">IF(OR(E530="",G530=""),"",E530*G530)</f>
        <v>420</v>
      </c>
      <c r="J530" s="17" t="n">
        <f aca="false">IF(H530="","",H530-I530)</f>
        <v>260</v>
      </c>
    </row>
    <row r="531" customFormat="false" ht="15" hidden="false" customHeight="true" outlineLevel="0" collapsed="false">
      <c r="A531" s="7" t="s">
        <v>746</v>
      </c>
      <c r="B531" s="18" t="n">
        <f aca="false">IF(A531="","",IFERROR(INDEX(Sales_Memo!$B$2:$B$1001,MATCH(A531,Sales_Memo!$A$2:$A$1001,0)),""))</f>
        <v>46279</v>
      </c>
      <c r="C531" s="7" t="s">
        <v>93</v>
      </c>
      <c r="D531" s="16" t="str">
        <f aca="false">IF(C531="","",IFERROR(INDEX(Products!$B$2:$B$501,MATCH(C531,Products!$A$2:$A$501,0)),"CODE NOT FOUND"))</f>
        <v>Chain &amp; Sprocket Kit</v>
      </c>
      <c r="E531" s="7" t="n">
        <v>1</v>
      </c>
      <c r="F531" s="13" t="n">
        <v>2350</v>
      </c>
      <c r="G531" s="13" t="n">
        <v>1750</v>
      </c>
      <c r="H531" s="17" t="n">
        <f aca="false">IF(OR(E531="",F531=""),"",E531*F531)</f>
        <v>2350</v>
      </c>
      <c r="I531" s="17" t="n">
        <f aca="false">IF(OR(E531="",G531=""),"",E531*G531)</f>
        <v>1750</v>
      </c>
      <c r="J531" s="17" t="n">
        <f aca="false">IF(H531="","",H531-I531)</f>
        <v>600</v>
      </c>
    </row>
    <row r="532" customFormat="false" ht="15" hidden="false" customHeight="true" outlineLevel="0" collapsed="false">
      <c r="A532" s="7" t="s">
        <v>748</v>
      </c>
      <c r="B532" s="18" t="n">
        <f aca="false">IF(A532="","",IFERROR(INDEX(Sales_Memo!$B$2:$B$1001,MATCH(A532,Sales_Memo!$A$2:$A$1001,0)),""))</f>
        <v>46279</v>
      </c>
      <c r="C532" s="7" t="s">
        <v>102</v>
      </c>
      <c r="D532" s="16" t="str">
        <f aca="false">IF(C532="","",IFERROR(INDEX(Products!$B$2:$B$501,MATCH(C532,Products!$A$2:$A$501,0)),"CODE NOT FOUND"))</f>
        <v>Headlight Bulb H4</v>
      </c>
      <c r="E532" s="7" t="n">
        <v>1</v>
      </c>
      <c r="F532" s="13" t="n">
        <v>240</v>
      </c>
      <c r="G532" s="13" t="n">
        <v>140</v>
      </c>
      <c r="H532" s="17" t="n">
        <f aca="false">IF(OR(E532="",F532=""),"",E532*F532)</f>
        <v>240</v>
      </c>
      <c r="I532" s="17" t="n">
        <f aca="false">IF(OR(E532="",G532=""),"",E532*G532)</f>
        <v>140</v>
      </c>
      <c r="J532" s="17" t="n">
        <f aca="false">IF(H532="","",H532-I532)</f>
        <v>100</v>
      </c>
    </row>
    <row r="533" customFormat="false" ht="15" hidden="false" customHeight="true" outlineLevel="0" collapsed="false">
      <c r="A533" s="7" t="s">
        <v>748</v>
      </c>
      <c r="B533" s="18" t="n">
        <f aca="false">IF(A533="","",IFERROR(INDEX(Sales_Memo!$B$2:$B$1001,MATCH(A533,Sales_Memo!$A$2:$A$1001,0)),""))</f>
        <v>46279</v>
      </c>
      <c r="C533" s="7" t="s">
        <v>90</v>
      </c>
      <c r="D533" s="16" t="str">
        <f aca="false">IF(C533="","",IFERROR(INDEX(Products!$B$2:$B$501,MATCH(C533,Products!$A$2:$A$501,0)),"CODE NOT FOUND"))</f>
        <v>Air Filter 150cc</v>
      </c>
      <c r="E533" s="7" t="n">
        <v>1</v>
      </c>
      <c r="F533" s="13" t="n">
        <v>340</v>
      </c>
      <c r="G533" s="13" t="n">
        <v>210</v>
      </c>
      <c r="H533" s="17" t="n">
        <f aca="false">IF(OR(E533="",F533=""),"",E533*F533)</f>
        <v>340</v>
      </c>
      <c r="I533" s="17" t="n">
        <f aca="false">IF(OR(E533="",G533=""),"",E533*G533)</f>
        <v>210</v>
      </c>
      <c r="J533" s="17" t="n">
        <f aca="false">IF(H533="","",H533-I533)</f>
        <v>130</v>
      </c>
    </row>
    <row r="534" customFormat="false" ht="15" hidden="false" customHeight="true" outlineLevel="0" collapsed="false">
      <c r="A534" s="7" t="s">
        <v>749</v>
      </c>
      <c r="B534" s="18" t="n">
        <f aca="false">IF(A534="","",IFERROR(INDEX(Sales_Memo!$B$2:$B$1001,MATCH(A534,Sales_Memo!$A$2:$A$1001,0)),""))</f>
        <v>46280</v>
      </c>
      <c r="C534" s="7" t="s">
        <v>90</v>
      </c>
      <c r="D534" s="16" t="str">
        <f aca="false">IF(C534="","",IFERROR(INDEX(Products!$B$2:$B$501,MATCH(C534,Products!$A$2:$A$501,0)),"CODE NOT FOUND"))</f>
        <v>Air Filter 150cc</v>
      </c>
      <c r="E534" s="7" t="n">
        <v>2</v>
      </c>
      <c r="F534" s="13" t="n">
        <v>340</v>
      </c>
      <c r="G534" s="13" t="n">
        <v>210</v>
      </c>
      <c r="H534" s="17" t="n">
        <f aca="false">IF(OR(E534="",F534=""),"",E534*F534)</f>
        <v>680</v>
      </c>
      <c r="I534" s="17" t="n">
        <f aca="false">IF(OR(E534="",G534=""),"",E534*G534)</f>
        <v>420</v>
      </c>
      <c r="J534" s="17" t="n">
        <f aca="false">IF(H534="","",H534-I534)</f>
        <v>260</v>
      </c>
    </row>
    <row r="535" customFormat="false" ht="15" hidden="false" customHeight="true" outlineLevel="0" collapsed="false">
      <c r="A535" s="7" t="s">
        <v>750</v>
      </c>
      <c r="B535" s="18" t="n">
        <f aca="false">IF(A535="","",IFERROR(INDEX(Sales_Memo!$B$2:$B$1001,MATCH(A535,Sales_Memo!$A$2:$A$1001,0)),""))</f>
        <v>46280</v>
      </c>
      <c r="C535" s="7" t="s">
        <v>96</v>
      </c>
      <c r="D535" s="16" t="str">
        <f aca="false">IF(C535="","",IFERROR(INDEX(Products!$B$2:$B$501,MATCH(C535,Products!$A$2:$A$501,0)),"CODE NOT FOUND"))</f>
        <v>Engine Oil 10W-30 (1L)</v>
      </c>
      <c r="E535" s="7" t="n">
        <v>3</v>
      </c>
      <c r="F535" s="13" t="n">
        <v>780</v>
      </c>
      <c r="G535" s="13" t="n">
        <v>620</v>
      </c>
      <c r="H535" s="17" t="n">
        <f aca="false">IF(OR(E535="",F535=""),"",E535*F535)</f>
        <v>2340</v>
      </c>
      <c r="I535" s="17" t="n">
        <f aca="false">IF(OR(E535="",G535=""),"",E535*G535)</f>
        <v>1860</v>
      </c>
      <c r="J535" s="17" t="n">
        <f aca="false">IF(H535="","",H535-I535)</f>
        <v>480</v>
      </c>
    </row>
    <row r="536" customFormat="false" ht="15" hidden="false" customHeight="true" outlineLevel="0" collapsed="false">
      <c r="A536" s="7" t="s">
        <v>750</v>
      </c>
      <c r="B536" s="18" t="n">
        <f aca="false">IF(A536="","",IFERROR(INDEX(Sales_Memo!$B$2:$B$1001,MATCH(A536,Sales_Memo!$A$2:$A$1001,0)),""))</f>
        <v>46280</v>
      </c>
      <c r="C536" s="7" t="s">
        <v>119</v>
      </c>
      <c r="D536" s="16" t="str">
        <f aca="false">IF(C536="","",IFERROR(INDEX(Products!$B$2:$B$501,MATCH(C536,Products!$A$2:$A$501,0)),"CODE NOT FOUND"))</f>
        <v>Chain Lube Spray</v>
      </c>
      <c r="E536" s="7" t="n">
        <v>1</v>
      </c>
      <c r="F536" s="13" t="n">
        <v>270</v>
      </c>
      <c r="G536" s="13" t="n">
        <v>170</v>
      </c>
      <c r="H536" s="17" t="n">
        <f aca="false">IF(OR(E536="",F536=""),"",E536*F536)</f>
        <v>270</v>
      </c>
      <c r="I536" s="17" t="n">
        <f aca="false">IF(OR(E536="",G536=""),"",E536*G536)</f>
        <v>170</v>
      </c>
      <c r="J536" s="17" t="n">
        <f aca="false">IF(H536="","",H536-I536)</f>
        <v>100</v>
      </c>
    </row>
    <row r="537" customFormat="false" ht="15" hidden="false" customHeight="true" outlineLevel="0" collapsed="false">
      <c r="A537" s="7" t="s">
        <v>750</v>
      </c>
      <c r="B537" s="18" t="n">
        <f aca="false">IF(A537="","",IFERROR(INDEX(Sales_Memo!$B$2:$B$1001,MATCH(A537,Sales_Memo!$A$2:$A$1001,0)),""))</f>
        <v>46280</v>
      </c>
      <c r="C537" s="7" t="s">
        <v>86</v>
      </c>
      <c r="D537" s="16" t="str">
        <f aca="false">IF(C537="","",IFERROR(INDEX(Products!$B$2:$B$501,MATCH(C537,Products!$A$2:$A$501,0)),"CODE NOT FOUND"))</f>
        <v>Spark Plug CPR8EA-9</v>
      </c>
      <c r="E537" s="7" t="n">
        <v>1</v>
      </c>
      <c r="F537" s="13" t="n">
        <v>260</v>
      </c>
      <c r="G537" s="13" t="n">
        <v>175</v>
      </c>
      <c r="H537" s="17" t="n">
        <f aca="false">IF(OR(E537="",F537=""),"",E537*F537)</f>
        <v>260</v>
      </c>
      <c r="I537" s="17" t="n">
        <f aca="false">IF(OR(E537="",G537=""),"",E537*G537)</f>
        <v>175</v>
      </c>
      <c r="J537" s="17" t="n">
        <f aca="false">IF(H537="","",H537-I537)</f>
        <v>85</v>
      </c>
    </row>
    <row r="538" customFormat="false" ht="15" hidden="false" customHeight="true" outlineLevel="0" collapsed="false">
      <c r="A538" s="7" t="s">
        <v>752</v>
      </c>
      <c r="B538" s="18" t="n">
        <f aca="false">IF(A538="","",IFERROR(INDEX(Sales_Memo!$B$2:$B$1001,MATCH(A538,Sales_Memo!$A$2:$A$1001,0)),""))</f>
        <v>46280</v>
      </c>
      <c r="C538" s="7" t="s">
        <v>77</v>
      </c>
      <c r="D538" s="16" t="str">
        <f aca="false">IF(C538="","",IFERROR(INDEX(Products!$B$2:$B$501,MATCH(C538,Products!$A$2:$A$501,0)),"CODE NOT FOUND"))</f>
        <v>Brake Pad Set - Front</v>
      </c>
      <c r="E538" s="7" t="n">
        <v>1</v>
      </c>
      <c r="F538" s="13" t="n">
        <v>480</v>
      </c>
      <c r="G538" s="13" t="n">
        <v>320</v>
      </c>
      <c r="H538" s="17" t="n">
        <f aca="false">IF(OR(E538="",F538=""),"",E538*F538)</f>
        <v>480</v>
      </c>
      <c r="I538" s="17" t="n">
        <f aca="false">IF(OR(E538="",G538=""),"",E538*G538)</f>
        <v>320</v>
      </c>
      <c r="J538" s="17" t="n">
        <f aca="false">IF(H538="","",H538-I538)</f>
        <v>160</v>
      </c>
    </row>
    <row r="539" customFormat="false" ht="15" hidden="false" customHeight="true" outlineLevel="0" collapsed="false">
      <c r="A539" s="7" t="s">
        <v>753</v>
      </c>
      <c r="B539" s="18" t="n">
        <f aca="false">IF(A539="","",IFERROR(INDEX(Sales_Memo!$B$2:$B$1001,MATCH(A539,Sales_Memo!$A$2:$A$1001,0)),""))</f>
        <v>46280</v>
      </c>
      <c r="C539" s="7" t="s">
        <v>82</v>
      </c>
      <c r="D539" s="16" t="str">
        <f aca="false">IF(C539="","",IFERROR(INDEX(Products!$B$2:$B$501,MATCH(C539,Products!$A$2:$A$501,0)),"CODE NOT FOUND"))</f>
        <v>Clutch Cable</v>
      </c>
      <c r="E539" s="7" t="n">
        <v>2</v>
      </c>
      <c r="F539" s="13" t="n">
        <v>190</v>
      </c>
      <c r="G539" s="13" t="n">
        <v>110</v>
      </c>
      <c r="H539" s="17" t="n">
        <f aca="false">IF(OR(E539="",F539=""),"",E539*F539)</f>
        <v>380</v>
      </c>
      <c r="I539" s="17" t="n">
        <f aca="false">IF(OR(E539="",G539=""),"",E539*G539)</f>
        <v>220</v>
      </c>
      <c r="J539" s="17" t="n">
        <f aca="false">IF(H539="","",H539-I539)</f>
        <v>160</v>
      </c>
    </row>
    <row r="540" customFormat="false" ht="15" hidden="false" customHeight="true" outlineLevel="0" collapsed="false">
      <c r="A540" s="7" t="s">
        <v>753</v>
      </c>
      <c r="B540" s="18" t="n">
        <f aca="false">IF(A540="","",IFERROR(INDEX(Sales_Memo!$B$2:$B$1001,MATCH(A540,Sales_Memo!$A$2:$A$1001,0)),""))</f>
        <v>46280</v>
      </c>
      <c r="C540" s="7" t="s">
        <v>86</v>
      </c>
      <c r="D540" s="16" t="str">
        <f aca="false">IF(C540="","",IFERROR(INDEX(Products!$B$2:$B$501,MATCH(C540,Products!$A$2:$A$501,0)),"CODE NOT FOUND"))</f>
        <v>Spark Plug CPR8EA-9</v>
      </c>
      <c r="E540" s="7" t="n">
        <v>3</v>
      </c>
      <c r="F540" s="13" t="n">
        <v>260</v>
      </c>
      <c r="G540" s="13" t="n">
        <v>175</v>
      </c>
      <c r="H540" s="17" t="n">
        <f aca="false">IF(OR(E540="",F540=""),"",E540*F540)</f>
        <v>780</v>
      </c>
      <c r="I540" s="17" t="n">
        <f aca="false">IF(OR(E540="",G540=""),"",E540*G540)</f>
        <v>525</v>
      </c>
      <c r="J540" s="17" t="n">
        <f aca="false">IF(H540="","",H540-I540)</f>
        <v>255</v>
      </c>
    </row>
    <row r="541" customFormat="false" ht="15" hidden="false" customHeight="true" outlineLevel="0" collapsed="false">
      <c r="A541" s="7" t="s">
        <v>755</v>
      </c>
      <c r="B541" s="18" t="n">
        <f aca="false">IF(A541="","",IFERROR(INDEX(Sales_Memo!$B$2:$B$1001,MATCH(A541,Sales_Memo!$A$2:$A$1001,0)),""))</f>
        <v>46280</v>
      </c>
      <c r="C541" s="7" t="s">
        <v>90</v>
      </c>
      <c r="D541" s="16" t="str">
        <f aca="false">IF(C541="","",IFERROR(INDEX(Products!$B$2:$B$501,MATCH(C541,Products!$A$2:$A$501,0)),"CODE NOT FOUND"))</f>
        <v>Air Filter 150cc</v>
      </c>
      <c r="E541" s="7" t="n">
        <v>2</v>
      </c>
      <c r="F541" s="13" t="n">
        <v>340</v>
      </c>
      <c r="G541" s="13" t="n">
        <v>210</v>
      </c>
      <c r="H541" s="17" t="n">
        <f aca="false">IF(OR(E541="",F541=""),"",E541*F541)</f>
        <v>680</v>
      </c>
      <c r="I541" s="17" t="n">
        <f aca="false">IF(OR(E541="",G541=""),"",E541*G541)</f>
        <v>420</v>
      </c>
      <c r="J541" s="17" t="n">
        <f aca="false">IF(H541="","",H541-I541)</f>
        <v>260</v>
      </c>
    </row>
    <row r="542" customFormat="false" ht="15" hidden="false" customHeight="true" outlineLevel="0" collapsed="false">
      <c r="A542" s="7" t="s">
        <v>756</v>
      </c>
      <c r="B542" s="18" t="n">
        <f aca="false">IF(A542="","",IFERROR(INDEX(Sales_Memo!$B$2:$B$1001,MATCH(A542,Sales_Memo!$A$2:$A$1001,0)),""))</f>
        <v>46280</v>
      </c>
      <c r="C542" s="7" t="s">
        <v>82</v>
      </c>
      <c r="D542" s="16" t="str">
        <f aca="false">IF(C542="","",IFERROR(INDEX(Products!$B$2:$B$501,MATCH(C542,Products!$A$2:$A$501,0)),"CODE NOT FOUND"))</f>
        <v>Clutch Cable</v>
      </c>
      <c r="E542" s="7" t="n">
        <v>1</v>
      </c>
      <c r="F542" s="13" t="n">
        <v>190</v>
      </c>
      <c r="G542" s="13" t="n">
        <v>110</v>
      </c>
      <c r="H542" s="17" t="n">
        <f aca="false">IF(OR(E542="",F542=""),"",E542*F542)</f>
        <v>190</v>
      </c>
      <c r="I542" s="17" t="n">
        <f aca="false">IF(OR(E542="",G542=""),"",E542*G542)</f>
        <v>110</v>
      </c>
      <c r="J542" s="17" t="n">
        <f aca="false">IF(H542="","",H542-I542)</f>
        <v>80</v>
      </c>
    </row>
    <row r="543" customFormat="false" ht="15" hidden="false" customHeight="true" outlineLevel="0" collapsed="false">
      <c r="A543" s="7" t="s">
        <v>756</v>
      </c>
      <c r="B543" s="18" t="n">
        <f aca="false">IF(A543="","",IFERROR(INDEX(Sales_Memo!$B$2:$B$1001,MATCH(A543,Sales_Memo!$A$2:$A$1001,0)),""))</f>
        <v>46280</v>
      </c>
      <c r="C543" s="7" t="s">
        <v>86</v>
      </c>
      <c r="D543" s="16" t="str">
        <f aca="false">IF(C543="","",IFERROR(INDEX(Products!$B$2:$B$501,MATCH(C543,Products!$A$2:$A$501,0)),"CODE NOT FOUND"))</f>
        <v>Spark Plug CPR8EA-9</v>
      </c>
      <c r="E543" s="7" t="n">
        <v>3</v>
      </c>
      <c r="F543" s="13" t="n">
        <v>260</v>
      </c>
      <c r="G543" s="13" t="n">
        <v>175</v>
      </c>
      <c r="H543" s="17" t="n">
        <f aca="false">IF(OR(E543="",F543=""),"",E543*F543)</f>
        <v>780</v>
      </c>
      <c r="I543" s="17" t="n">
        <f aca="false">IF(OR(E543="",G543=""),"",E543*G543)</f>
        <v>525</v>
      </c>
      <c r="J543" s="17" t="n">
        <f aca="false">IF(H543="","",H543-I543)</f>
        <v>255</v>
      </c>
    </row>
    <row r="544" customFormat="false" ht="15" hidden="false" customHeight="true" outlineLevel="0" collapsed="false">
      <c r="A544" s="7" t="s">
        <v>756</v>
      </c>
      <c r="B544" s="18" t="n">
        <f aca="false">IF(A544="","",IFERROR(INDEX(Sales_Memo!$B$2:$B$1001,MATCH(A544,Sales_Memo!$A$2:$A$1001,0)),""))</f>
        <v>46280</v>
      </c>
      <c r="C544" s="7" t="s">
        <v>121</v>
      </c>
      <c r="D544" s="16" t="str">
        <f aca="false">IF(C544="","",IFERROR(INDEX(Products!$B$2:$B$501,MATCH(C544,Products!$A$2:$A$501,0)),"CODE NOT FOUND"))</f>
        <v>Handle Grip Set</v>
      </c>
      <c r="E544" s="7" t="n">
        <v>2</v>
      </c>
      <c r="F544" s="13" t="n">
        <v>280</v>
      </c>
      <c r="G544" s="13" t="n">
        <v>160</v>
      </c>
      <c r="H544" s="17" t="n">
        <f aca="false">IF(OR(E544="",F544=""),"",E544*F544)</f>
        <v>560</v>
      </c>
      <c r="I544" s="17" t="n">
        <f aca="false">IF(OR(E544="",G544=""),"",E544*G544)</f>
        <v>320</v>
      </c>
      <c r="J544" s="17" t="n">
        <f aca="false">IF(H544="","",H544-I544)</f>
        <v>240</v>
      </c>
    </row>
    <row r="545" customFormat="false" ht="15" hidden="false" customHeight="true" outlineLevel="0" collapsed="false">
      <c r="A545" s="7" t="s">
        <v>758</v>
      </c>
      <c r="B545" s="18" t="n">
        <f aca="false">IF(A545="","",IFERROR(INDEX(Sales_Memo!$B$2:$B$1001,MATCH(A545,Sales_Memo!$A$2:$A$1001,0)),""))</f>
        <v>46280</v>
      </c>
      <c r="C545" s="7" t="s">
        <v>99</v>
      </c>
      <c r="D545" s="16" t="str">
        <f aca="false">IF(C545="","",IFERROR(INDEX(Products!$B$2:$B$501,MATCH(C545,Products!$A$2:$A$501,0)),"CODE NOT FOUND"))</f>
        <v>Engine Oil 20W-50 (1L)</v>
      </c>
      <c r="E545" s="7" t="n">
        <v>2</v>
      </c>
      <c r="F545" s="13" t="n">
        <v>990</v>
      </c>
      <c r="G545" s="13" t="n">
        <v>780</v>
      </c>
      <c r="H545" s="17" t="n">
        <f aca="false">IF(OR(E545="",F545=""),"",E545*F545)</f>
        <v>1980</v>
      </c>
      <c r="I545" s="17" t="n">
        <f aca="false">IF(OR(E545="",G545=""),"",E545*G545)</f>
        <v>1560</v>
      </c>
      <c r="J545" s="17" t="n">
        <f aca="false">IF(H545="","",H545-I545)</f>
        <v>420</v>
      </c>
    </row>
    <row r="546" customFormat="false" ht="15" hidden="false" customHeight="true" outlineLevel="0" collapsed="false">
      <c r="A546" s="7" t="s">
        <v>760</v>
      </c>
      <c r="B546" s="18" t="n">
        <f aca="false">IF(A546="","",IFERROR(INDEX(Sales_Memo!$B$2:$B$1001,MATCH(A546,Sales_Memo!$A$2:$A$1001,0)),""))</f>
        <v>46280</v>
      </c>
      <c r="C546" s="7" t="s">
        <v>116</v>
      </c>
      <c r="D546" s="16" t="str">
        <f aca="false">IF(C546="","",IFERROR(INDEX(Products!$B$2:$B$501,MATCH(C546,Products!$A$2:$A$501,0)),"CODE NOT FOUND"))</f>
        <v>Helmet Full Face</v>
      </c>
      <c r="E546" s="7" t="n">
        <v>1</v>
      </c>
      <c r="F546" s="13" t="n">
        <v>1750</v>
      </c>
      <c r="G546" s="13" t="n">
        <v>1250</v>
      </c>
      <c r="H546" s="17" t="n">
        <f aca="false">IF(OR(E546="",F546=""),"",E546*F546)</f>
        <v>1750</v>
      </c>
      <c r="I546" s="17" t="n">
        <f aca="false">IF(OR(E546="",G546=""),"",E546*G546)</f>
        <v>1250</v>
      </c>
      <c r="J546" s="17" t="n">
        <f aca="false">IF(H546="","",H546-I546)</f>
        <v>500</v>
      </c>
    </row>
    <row r="547" customFormat="false" ht="15" hidden="false" customHeight="true" outlineLevel="0" collapsed="false">
      <c r="A547" s="7" t="s">
        <v>761</v>
      </c>
      <c r="B547" s="18" t="n">
        <f aca="false">IF(A547="","",IFERROR(INDEX(Sales_Memo!$B$2:$B$1001,MATCH(A547,Sales_Memo!$A$2:$A$1001,0)),""))</f>
        <v>46280</v>
      </c>
      <c r="C547" s="7" t="s">
        <v>121</v>
      </c>
      <c r="D547" s="16" t="str">
        <f aca="false">IF(C547="","",IFERROR(INDEX(Products!$B$2:$B$501,MATCH(C547,Products!$A$2:$A$501,0)),"CODE NOT FOUND"))</f>
        <v>Handle Grip Set</v>
      </c>
      <c r="E547" s="7" t="n">
        <v>1</v>
      </c>
      <c r="F547" s="13" t="n">
        <v>280</v>
      </c>
      <c r="G547" s="13" t="n">
        <v>160</v>
      </c>
      <c r="H547" s="17" t="n">
        <f aca="false">IF(OR(E547="",F547=""),"",E547*F547)</f>
        <v>280</v>
      </c>
      <c r="I547" s="17" t="n">
        <f aca="false">IF(OR(E547="",G547=""),"",E547*G547)</f>
        <v>160</v>
      </c>
      <c r="J547" s="17" t="n">
        <f aca="false">IF(H547="","",H547-I547)</f>
        <v>120</v>
      </c>
    </row>
    <row r="548" customFormat="false" ht="15" hidden="false" customHeight="true" outlineLevel="0" collapsed="false">
      <c r="A548" s="7" t="s">
        <v>762</v>
      </c>
      <c r="B548" s="18" t="n">
        <f aca="false">IF(A548="","",IFERROR(INDEX(Sales_Memo!$B$2:$B$1001,MATCH(A548,Sales_Memo!$A$2:$A$1001,0)),""))</f>
        <v>46280</v>
      </c>
      <c r="C548" s="7" t="s">
        <v>77</v>
      </c>
      <c r="D548" s="16" t="str">
        <f aca="false">IF(C548="","",IFERROR(INDEX(Products!$B$2:$B$501,MATCH(C548,Products!$A$2:$A$501,0)),"CODE NOT FOUND"))</f>
        <v>Brake Pad Set - Front</v>
      </c>
      <c r="E548" s="7" t="n">
        <v>2</v>
      </c>
      <c r="F548" s="13" t="n">
        <v>480</v>
      </c>
      <c r="G548" s="13" t="n">
        <v>320</v>
      </c>
      <c r="H548" s="17" t="n">
        <f aca="false">IF(OR(E548="",F548=""),"",E548*F548)</f>
        <v>960</v>
      </c>
      <c r="I548" s="17" t="n">
        <f aca="false">IF(OR(E548="",G548=""),"",E548*G548)</f>
        <v>640</v>
      </c>
      <c r="J548" s="17" t="n">
        <f aca="false">IF(H548="","",H548-I548)</f>
        <v>320</v>
      </c>
    </row>
    <row r="549" customFormat="false" ht="15" hidden="false" customHeight="true" outlineLevel="0" collapsed="false">
      <c r="A549" s="7" t="s">
        <v>762</v>
      </c>
      <c r="B549" s="18" t="n">
        <f aca="false">IF(A549="","",IFERROR(INDEX(Sales_Memo!$B$2:$B$1001,MATCH(A549,Sales_Memo!$A$2:$A$1001,0)),""))</f>
        <v>46280</v>
      </c>
      <c r="C549" s="7" t="s">
        <v>114</v>
      </c>
      <c r="D549" s="16" t="str">
        <f aca="false">IF(C549="","",IFERROR(INDEX(Products!$B$2:$B$501,MATCH(C549,Products!$A$2:$A$501,0)),"CODE NOT FOUND"))</f>
        <v>Side Mirror (Pair)</v>
      </c>
      <c r="E549" s="7" t="n">
        <v>3</v>
      </c>
      <c r="F549" s="13" t="n">
        <v>620</v>
      </c>
      <c r="G549" s="13" t="n">
        <v>380</v>
      </c>
      <c r="H549" s="17" t="n">
        <f aca="false">IF(OR(E549="",F549=""),"",E549*F549)</f>
        <v>1860</v>
      </c>
      <c r="I549" s="17" t="n">
        <f aca="false">IF(OR(E549="",G549=""),"",E549*G549)</f>
        <v>1140</v>
      </c>
      <c r="J549" s="17" t="n">
        <f aca="false">IF(H549="","",H549-I549)</f>
        <v>720</v>
      </c>
    </row>
    <row r="550" customFormat="false" ht="15" hidden="false" customHeight="true" outlineLevel="0" collapsed="false">
      <c r="A550" s="7" t="s">
        <v>764</v>
      </c>
      <c r="B550" s="18" t="n">
        <f aca="false">IF(A550="","",IFERROR(INDEX(Sales_Memo!$B$2:$B$1001,MATCH(A550,Sales_Memo!$A$2:$A$1001,0)),""))</f>
        <v>46281</v>
      </c>
      <c r="C550" s="7" t="s">
        <v>82</v>
      </c>
      <c r="D550" s="16" t="str">
        <f aca="false">IF(C550="","",IFERROR(INDEX(Products!$B$2:$B$501,MATCH(C550,Products!$A$2:$A$501,0)),"CODE NOT FOUND"))</f>
        <v>Clutch Cable</v>
      </c>
      <c r="E550" s="7" t="n">
        <v>1</v>
      </c>
      <c r="F550" s="13" t="n">
        <v>190</v>
      </c>
      <c r="G550" s="13" t="n">
        <v>110</v>
      </c>
      <c r="H550" s="17" t="n">
        <f aca="false">IF(OR(E550="",F550=""),"",E550*F550)</f>
        <v>190</v>
      </c>
      <c r="I550" s="17" t="n">
        <f aca="false">IF(OR(E550="",G550=""),"",E550*G550)</f>
        <v>110</v>
      </c>
      <c r="J550" s="17" t="n">
        <f aca="false">IF(H550="","",H550-I550)</f>
        <v>80</v>
      </c>
    </row>
    <row r="551" customFormat="false" ht="15" hidden="false" customHeight="true" outlineLevel="0" collapsed="false">
      <c r="A551" s="7" t="s">
        <v>765</v>
      </c>
      <c r="B551" s="18" t="n">
        <f aca="false">IF(A551="","",IFERROR(INDEX(Sales_Memo!$B$2:$B$1001,MATCH(A551,Sales_Memo!$A$2:$A$1001,0)),""))</f>
        <v>46281</v>
      </c>
      <c r="C551" s="7" t="s">
        <v>86</v>
      </c>
      <c r="D551" s="16" t="str">
        <f aca="false">IF(C551="","",IFERROR(INDEX(Products!$B$2:$B$501,MATCH(C551,Products!$A$2:$A$501,0)),"CODE NOT FOUND"))</f>
        <v>Spark Plug CPR8EA-9</v>
      </c>
      <c r="E551" s="7" t="n">
        <v>3</v>
      </c>
      <c r="F551" s="13" t="n">
        <v>260</v>
      </c>
      <c r="G551" s="13" t="n">
        <v>175</v>
      </c>
      <c r="H551" s="17" t="n">
        <f aca="false">IF(OR(E551="",F551=""),"",E551*F551)</f>
        <v>780</v>
      </c>
      <c r="I551" s="17" t="n">
        <f aca="false">IF(OR(E551="",G551=""),"",E551*G551)</f>
        <v>525</v>
      </c>
      <c r="J551" s="17" t="n">
        <f aca="false">IF(H551="","",H551-I551)</f>
        <v>255</v>
      </c>
    </row>
    <row r="552" customFormat="false" ht="15" hidden="false" customHeight="true" outlineLevel="0" collapsed="false">
      <c r="A552" s="7" t="s">
        <v>766</v>
      </c>
      <c r="B552" s="18" t="n">
        <f aca="false">IF(A552="","",IFERROR(INDEX(Sales_Memo!$B$2:$B$1001,MATCH(A552,Sales_Memo!$A$2:$A$1001,0)),""))</f>
        <v>46281</v>
      </c>
      <c r="C552" s="7" t="s">
        <v>119</v>
      </c>
      <c r="D552" s="16" t="str">
        <f aca="false">IF(C552="","",IFERROR(INDEX(Products!$B$2:$B$501,MATCH(C552,Products!$A$2:$A$501,0)),"CODE NOT FOUND"))</f>
        <v>Chain Lube Spray</v>
      </c>
      <c r="E552" s="7" t="n">
        <v>2</v>
      </c>
      <c r="F552" s="13" t="n">
        <v>270</v>
      </c>
      <c r="G552" s="13" t="n">
        <v>170</v>
      </c>
      <c r="H552" s="17" t="n">
        <f aca="false">IF(OR(E552="",F552=""),"",E552*F552)</f>
        <v>540</v>
      </c>
      <c r="I552" s="17" t="n">
        <f aca="false">IF(OR(E552="",G552=""),"",E552*G552)</f>
        <v>340</v>
      </c>
      <c r="J552" s="17" t="n">
        <f aca="false">IF(H552="","",H552-I552)</f>
        <v>200</v>
      </c>
    </row>
    <row r="553" customFormat="false" ht="15" hidden="false" customHeight="true" outlineLevel="0" collapsed="false">
      <c r="A553" s="7" t="s">
        <v>766</v>
      </c>
      <c r="B553" s="18" t="n">
        <f aca="false">IF(A553="","",IFERROR(INDEX(Sales_Memo!$B$2:$B$1001,MATCH(A553,Sales_Memo!$A$2:$A$1001,0)),""))</f>
        <v>46281</v>
      </c>
      <c r="C553" s="7" t="s">
        <v>102</v>
      </c>
      <c r="D553" s="16" t="str">
        <f aca="false">IF(C553="","",IFERROR(INDEX(Products!$B$2:$B$501,MATCH(C553,Products!$A$2:$A$501,0)),"CODE NOT FOUND"))</f>
        <v>Headlight Bulb H4</v>
      </c>
      <c r="E553" s="7" t="n">
        <v>2</v>
      </c>
      <c r="F553" s="13" t="n">
        <v>240</v>
      </c>
      <c r="G553" s="13" t="n">
        <v>140</v>
      </c>
      <c r="H553" s="17" t="n">
        <f aca="false">IF(OR(E553="",F553=""),"",E553*F553)</f>
        <v>480</v>
      </c>
      <c r="I553" s="17" t="n">
        <f aca="false">IF(OR(E553="",G553=""),"",E553*G553)</f>
        <v>280</v>
      </c>
      <c r="J553" s="17" t="n">
        <f aca="false">IF(H553="","",H553-I553)</f>
        <v>200</v>
      </c>
    </row>
    <row r="554" customFormat="false" ht="15" hidden="false" customHeight="true" outlineLevel="0" collapsed="false">
      <c r="A554" s="7" t="s">
        <v>766</v>
      </c>
      <c r="B554" s="18" t="n">
        <f aca="false">IF(A554="","",IFERROR(INDEX(Sales_Memo!$B$2:$B$1001,MATCH(A554,Sales_Memo!$A$2:$A$1001,0)),""))</f>
        <v>46281</v>
      </c>
      <c r="C554" s="7" t="s">
        <v>121</v>
      </c>
      <c r="D554" s="16" t="str">
        <f aca="false">IF(C554="","",IFERROR(INDEX(Products!$B$2:$B$501,MATCH(C554,Products!$A$2:$A$501,0)),"CODE NOT FOUND"))</f>
        <v>Handle Grip Set</v>
      </c>
      <c r="E554" s="7" t="n">
        <v>2</v>
      </c>
      <c r="F554" s="13" t="n">
        <v>280</v>
      </c>
      <c r="G554" s="13" t="n">
        <v>160</v>
      </c>
      <c r="H554" s="17" t="n">
        <f aca="false">IF(OR(E554="",F554=""),"",E554*F554)</f>
        <v>560</v>
      </c>
      <c r="I554" s="17" t="n">
        <f aca="false">IF(OR(E554="",G554=""),"",E554*G554)</f>
        <v>320</v>
      </c>
      <c r="J554" s="17" t="n">
        <f aca="false">IF(H554="","",H554-I554)</f>
        <v>240</v>
      </c>
    </row>
    <row r="555" customFormat="false" ht="15" hidden="false" customHeight="true" outlineLevel="0" collapsed="false">
      <c r="A555" s="7" t="s">
        <v>768</v>
      </c>
      <c r="B555" s="18" t="n">
        <f aca="false">IF(A555="","",IFERROR(INDEX(Sales_Memo!$B$2:$B$1001,MATCH(A555,Sales_Memo!$A$2:$A$1001,0)),""))</f>
        <v>46281</v>
      </c>
      <c r="C555" s="7" t="s">
        <v>99</v>
      </c>
      <c r="D555" s="16" t="str">
        <f aca="false">IF(C555="","",IFERROR(INDEX(Products!$B$2:$B$501,MATCH(C555,Products!$A$2:$A$501,0)),"CODE NOT FOUND"))</f>
        <v>Engine Oil 20W-50 (1L)</v>
      </c>
      <c r="E555" s="7" t="n">
        <v>2</v>
      </c>
      <c r="F555" s="13" t="n">
        <v>990</v>
      </c>
      <c r="G555" s="13" t="n">
        <v>780</v>
      </c>
      <c r="H555" s="17" t="n">
        <f aca="false">IF(OR(E555="",F555=""),"",E555*F555)</f>
        <v>1980</v>
      </c>
      <c r="I555" s="17" t="n">
        <f aca="false">IF(OR(E555="",G555=""),"",E555*G555)</f>
        <v>1560</v>
      </c>
      <c r="J555" s="17" t="n">
        <f aca="false">IF(H555="","",H555-I555)</f>
        <v>420</v>
      </c>
    </row>
    <row r="556" customFormat="false" ht="15" hidden="false" customHeight="true" outlineLevel="0" collapsed="false">
      <c r="A556" s="7" t="s">
        <v>768</v>
      </c>
      <c r="B556" s="18" t="n">
        <f aca="false">IF(A556="","",IFERROR(INDEX(Sales_Memo!$B$2:$B$1001,MATCH(A556,Sales_Memo!$A$2:$A$1001,0)),""))</f>
        <v>46281</v>
      </c>
      <c r="C556" s="7" t="s">
        <v>102</v>
      </c>
      <c r="D556" s="16" t="str">
        <f aca="false">IF(C556="","",IFERROR(INDEX(Products!$B$2:$B$501,MATCH(C556,Products!$A$2:$A$501,0)),"CODE NOT FOUND"))</f>
        <v>Headlight Bulb H4</v>
      </c>
      <c r="E556" s="7" t="n">
        <v>2</v>
      </c>
      <c r="F556" s="13" t="n">
        <v>240</v>
      </c>
      <c r="G556" s="13" t="n">
        <v>140</v>
      </c>
      <c r="H556" s="17" t="n">
        <f aca="false">IF(OR(E556="",F556=""),"",E556*F556)</f>
        <v>480</v>
      </c>
      <c r="I556" s="17" t="n">
        <f aca="false">IF(OR(E556="",G556=""),"",E556*G556)</f>
        <v>280</v>
      </c>
      <c r="J556" s="17" t="n">
        <f aca="false">IF(H556="","",H556-I556)</f>
        <v>200</v>
      </c>
    </row>
    <row r="557" customFormat="false" ht="15" hidden="false" customHeight="true" outlineLevel="0" collapsed="false">
      <c r="A557" s="7" t="s">
        <v>769</v>
      </c>
      <c r="B557" s="18" t="n">
        <f aca="false">IF(A557="","",IFERROR(INDEX(Sales_Memo!$B$2:$B$1001,MATCH(A557,Sales_Memo!$A$2:$A$1001,0)),""))</f>
        <v>46281</v>
      </c>
      <c r="C557" s="7" t="s">
        <v>102</v>
      </c>
      <c r="D557" s="16" t="str">
        <f aca="false">IF(C557="","",IFERROR(INDEX(Products!$B$2:$B$501,MATCH(C557,Products!$A$2:$A$501,0)),"CODE NOT FOUND"))</f>
        <v>Headlight Bulb H4</v>
      </c>
      <c r="E557" s="7" t="n">
        <v>1</v>
      </c>
      <c r="F557" s="13" t="n">
        <v>240</v>
      </c>
      <c r="G557" s="13" t="n">
        <v>140</v>
      </c>
      <c r="H557" s="17" t="n">
        <f aca="false">IF(OR(E557="",F557=""),"",E557*F557)</f>
        <v>240</v>
      </c>
      <c r="I557" s="17" t="n">
        <f aca="false">IF(OR(E557="",G557=""),"",E557*G557)</f>
        <v>140</v>
      </c>
      <c r="J557" s="17" t="n">
        <f aca="false">IF(H557="","",H557-I557)</f>
        <v>100</v>
      </c>
    </row>
    <row r="558" customFormat="false" ht="15" hidden="false" customHeight="true" outlineLevel="0" collapsed="false">
      <c r="A558" s="7" t="s">
        <v>770</v>
      </c>
      <c r="B558" s="18" t="n">
        <f aca="false">IF(A558="","",IFERROR(INDEX(Sales_Memo!$B$2:$B$1001,MATCH(A558,Sales_Memo!$A$2:$A$1001,0)),""))</f>
        <v>46281</v>
      </c>
      <c r="C558" s="7" t="s">
        <v>82</v>
      </c>
      <c r="D558" s="16" t="str">
        <f aca="false">IF(C558="","",IFERROR(INDEX(Products!$B$2:$B$501,MATCH(C558,Products!$A$2:$A$501,0)),"CODE NOT FOUND"))</f>
        <v>Clutch Cable</v>
      </c>
      <c r="E558" s="7" t="n">
        <v>3</v>
      </c>
      <c r="F558" s="13" t="n">
        <v>190</v>
      </c>
      <c r="G558" s="13" t="n">
        <v>110</v>
      </c>
      <c r="H558" s="17" t="n">
        <f aca="false">IF(OR(E558="",F558=""),"",E558*F558)</f>
        <v>570</v>
      </c>
      <c r="I558" s="17" t="n">
        <f aca="false">IF(OR(E558="",G558=""),"",E558*G558)</f>
        <v>330</v>
      </c>
      <c r="J558" s="17" t="n">
        <f aca="false">IF(H558="","",H558-I558)</f>
        <v>240</v>
      </c>
    </row>
    <row r="559" customFormat="false" ht="15" hidden="false" customHeight="true" outlineLevel="0" collapsed="false">
      <c r="A559" s="7" t="s">
        <v>771</v>
      </c>
      <c r="B559" s="18" t="n">
        <f aca="false">IF(A559="","",IFERROR(INDEX(Sales_Memo!$B$2:$B$1001,MATCH(A559,Sales_Memo!$A$2:$A$1001,0)),""))</f>
        <v>46281</v>
      </c>
      <c r="C559" s="7" t="s">
        <v>90</v>
      </c>
      <c r="D559" s="16" t="str">
        <f aca="false">IF(C559="","",IFERROR(INDEX(Products!$B$2:$B$501,MATCH(C559,Products!$A$2:$A$501,0)),"CODE NOT FOUND"))</f>
        <v>Air Filter 150cc</v>
      </c>
      <c r="E559" s="7" t="n">
        <v>2</v>
      </c>
      <c r="F559" s="13" t="n">
        <v>340</v>
      </c>
      <c r="G559" s="13" t="n">
        <v>210</v>
      </c>
      <c r="H559" s="17" t="n">
        <f aca="false">IF(OR(E559="",F559=""),"",E559*F559)</f>
        <v>680</v>
      </c>
      <c r="I559" s="17" t="n">
        <f aca="false">IF(OR(E559="",G559=""),"",E559*G559)</f>
        <v>420</v>
      </c>
      <c r="J559" s="17" t="n">
        <f aca="false">IF(H559="","",H559-I559)</f>
        <v>260</v>
      </c>
    </row>
    <row r="560" customFormat="false" ht="15" hidden="false" customHeight="true" outlineLevel="0" collapsed="false">
      <c r="A560" s="7" t="s">
        <v>771</v>
      </c>
      <c r="B560" s="18" t="n">
        <f aca="false">IF(A560="","",IFERROR(INDEX(Sales_Memo!$B$2:$B$1001,MATCH(A560,Sales_Memo!$A$2:$A$1001,0)),""))</f>
        <v>46281</v>
      </c>
      <c r="C560" s="7" t="s">
        <v>102</v>
      </c>
      <c r="D560" s="16" t="str">
        <f aca="false">IF(C560="","",IFERROR(INDEX(Products!$B$2:$B$501,MATCH(C560,Products!$A$2:$A$501,0)),"CODE NOT FOUND"))</f>
        <v>Headlight Bulb H4</v>
      </c>
      <c r="E560" s="7" t="n">
        <v>3</v>
      </c>
      <c r="F560" s="13" t="n">
        <v>240</v>
      </c>
      <c r="G560" s="13" t="n">
        <v>140</v>
      </c>
      <c r="H560" s="17" t="n">
        <f aca="false">IF(OR(E560="",F560=""),"",E560*F560)</f>
        <v>720</v>
      </c>
      <c r="I560" s="17" t="n">
        <f aca="false">IF(OR(E560="",G560=""),"",E560*G560)</f>
        <v>420</v>
      </c>
      <c r="J560" s="17" t="n">
        <f aca="false">IF(H560="","",H560-I560)</f>
        <v>300</v>
      </c>
    </row>
    <row r="561" customFormat="false" ht="15" hidden="false" customHeight="true" outlineLevel="0" collapsed="false">
      <c r="A561" s="7" t="s">
        <v>771</v>
      </c>
      <c r="B561" s="18" t="n">
        <f aca="false">IF(A561="","",IFERROR(INDEX(Sales_Memo!$B$2:$B$1001,MATCH(A561,Sales_Memo!$A$2:$A$1001,0)),""))</f>
        <v>46281</v>
      </c>
      <c r="C561" s="7" t="s">
        <v>86</v>
      </c>
      <c r="D561" s="16" t="str">
        <f aca="false">IF(C561="","",IFERROR(INDEX(Products!$B$2:$B$501,MATCH(C561,Products!$A$2:$A$501,0)),"CODE NOT FOUND"))</f>
        <v>Spark Plug CPR8EA-9</v>
      </c>
      <c r="E561" s="7" t="n">
        <v>1</v>
      </c>
      <c r="F561" s="13" t="n">
        <v>260</v>
      </c>
      <c r="G561" s="13" t="n">
        <v>175</v>
      </c>
      <c r="H561" s="17" t="n">
        <f aca="false">IF(OR(E561="",F561=""),"",E561*F561)</f>
        <v>260</v>
      </c>
      <c r="I561" s="17" t="n">
        <f aca="false">IF(OR(E561="",G561=""),"",E561*G561)</f>
        <v>175</v>
      </c>
      <c r="J561" s="17" t="n">
        <f aca="false">IF(H561="","",H561-I561)</f>
        <v>85</v>
      </c>
    </row>
    <row r="562" customFormat="false" ht="15" hidden="false" customHeight="true" outlineLevel="0" collapsed="false">
      <c r="A562" s="7" t="s">
        <v>772</v>
      </c>
      <c r="B562" s="18" t="n">
        <f aca="false">IF(A562="","",IFERROR(INDEX(Sales_Memo!$B$2:$B$1001,MATCH(A562,Sales_Memo!$A$2:$A$1001,0)),""))</f>
        <v>46281</v>
      </c>
      <c r="C562" s="7" t="s">
        <v>82</v>
      </c>
      <c r="D562" s="16" t="str">
        <f aca="false">IF(C562="","",IFERROR(INDEX(Products!$B$2:$B$501,MATCH(C562,Products!$A$2:$A$501,0)),"CODE NOT FOUND"))</f>
        <v>Clutch Cable</v>
      </c>
      <c r="E562" s="7" t="n">
        <v>1</v>
      </c>
      <c r="F562" s="13" t="n">
        <v>190</v>
      </c>
      <c r="G562" s="13" t="n">
        <v>110</v>
      </c>
      <c r="H562" s="17" t="n">
        <f aca="false">IF(OR(E562="",F562=""),"",E562*F562)</f>
        <v>190</v>
      </c>
      <c r="I562" s="17" t="n">
        <f aca="false">IF(OR(E562="",G562=""),"",E562*G562)</f>
        <v>110</v>
      </c>
      <c r="J562" s="17" t="n">
        <f aca="false">IF(H562="","",H562-I562)</f>
        <v>80</v>
      </c>
    </row>
    <row r="563" customFormat="false" ht="15" hidden="false" customHeight="true" outlineLevel="0" collapsed="false">
      <c r="A563" s="7" t="s">
        <v>772</v>
      </c>
      <c r="B563" s="18" t="n">
        <f aca="false">IF(A563="","",IFERROR(INDEX(Sales_Memo!$B$2:$B$1001,MATCH(A563,Sales_Memo!$A$2:$A$1001,0)),""))</f>
        <v>46281</v>
      </c>
      <c r="C563" s="7" t="s">
        <v>96</v>
      </c>
      <c r="D563" s="16" t="str">
        <f aca="false">IF(C563="","",IFERROR(INDEX(Products!$B$2:$B$501,MATCH(C563,Products!$A$2:$A$501,0)),"CODE NOT FOUND"))</f>
        <v>Engine Oil 10W-30 (1L)</v>
      </c>
      <c r="E563" s="7" t="n">
        <v>3</v>
      </c>
      <c r="F563" s="13" t="n">
        <v>780</v>
      </c>
      <c r="G563" s="13" t="n">
        <v>620</v>
      </c>
      <c r="H563" s="17" t="n">
        <f aca="false">IF(OR(E563="",F563=""),"",E563*F563)</f>
        <v>2340</v>
      </c>
      <c r="I563" s="17" t="n">
        <f aca="false">IF(OR(E563="",G563=""),"",E563*G563)</f>
        <v>1860</v>
      </c>
      <c r="J563" s="17" t="n">
        <f aca="false">IF(H563="","",H563-I563)</f>
        <v>480</v>
      </c>
    </row>
    <row r="564" customFormat="false" ht="15" hidden="false" customHeight="true" outlineLevel="0" collapsed="false">
      <c r="A564" s="7" t="s">
        <v>772</v>
      </c>
      <c r="B564" s="18" t="n">
        <f aca="false">IF(A564="","",IFERROR(INDEX(Sales_Memo!$B$2:$B$1001,MATCH(A564,Sales_Memo!$A$2:$A$1001,0)),""))</f>
        <v>46281</v>
      </c>
      <c r="C564" s="7" t="s">
        <v>102</v>
      </c>
      <c r="D564" s="16" t="str">
        <f aca="false">IF(C564="","",IFERROR(INDEX(Products!$B$2:$B$501,MATCH(C564,Products!$A$2:$A$501,0)),"CODE NOT FOUND"))</f>
        <v>Headlight Bulb H4</v>
      </c>
      <c r="E564" s="7" t="n">
        <v>2</v>
      </c>
      <c r="F564" s="13" t="n">
        <v>240</v>
      </c>
      <c r="G564" s="13" t="n">
        <v>140</v>
      </c>
      <c r="H564" s="17" t="n">
        <f aca="false">IF(OR(E564="",F564=""),"",E564*F564)</f>
        <v>480</v>
      </c>
      <c r="I564" s="17" t="n">
        <f aca="false">IF(OR(E564="",G564=""),"",E564*G564)</f>
        <v>280</v>
      </c>
      <c r="J564" s="17" t="n">
        <f aca="false">IF(H564="","",H564-I564)</f>
        <v>200</v>
      </c>
    </row>
    <row r="565" customFormat="false" ht="15" hidden="false" customHeight="true" outlineLevel="0" collapsed="false">
      <c r="A565" s="7" t="s">
        <v>774</v>
      </c>
      <c r="B565" s="18" t="n">
        <f aca="false">IF(A565="","",IFERROR(INDEX(Sales_Memo!$B$2:$B$1001,MATCH(A565,Sales_Memo!$A$2:$A$1001,0)),""))</f>
        <v>46281</v>
      </c>
      <c r="C565" s="7" t="s">
        <v>86</v>
      </c>
      <c r="D565" s="16" t="str">
        <f aca="false">IF(C565="","",IFERROR(INDEX(Products!$B$2:$B$501,MATCH(C565,Products!$A$2:$A$501,0)),"CODE NOT FOUND"))</f>
        <v>Spark Plug CPR8EA-9</v>
      </c>
      <c r="E565" s="7" t="n">
        <v>1</v>
      </c>
      <c r="F565" s="13" t="n">
        <v>260</v>
      </c>
      <c r="G565" s="13" t="n">
        <v>175</v>
      </c>
      <c r="H565" s="17" t="n">
        <f aca="false">IF(OR(E565="",F565=""),"",E565*F565)</f>
        <v>260</v>
      </c>
      <c r="I565" s="17" t="n">
        <f aca="false">IF(OR(E565="",G565=""),"",E565*G565)</f>
        <v>175</v>
      </c>
      <c r="J565" s="17" t="n">
        <f aca="false">IF(H565="","",H565-I565)</f>
        <v>85</v>
      </c>
    </row>
    <row r="566" customFormat="false" ht="15" hidden="false" customHeight="true" outlineLevel="0" collapsed="false">
      <c r="A566" s="7" t="s">
        <v>774</v>
      </c>
      <c r="B566" s="18" t="n">
        <f aca="false">IF(A566="","",IFERROR(INDEX(Sales_Memo!$B$2:$B$1001,MATCH(A566,Sales_Memo!$A$2:$A$1001,0)),""))</f>
        <v>46281</v>
      </c>
      <c r="C566" s="7" t="s">
        <v>119</v>
      </c>
      <c r="D566" s="16" t="str">
        <f aca="false">IF(C566="","",IFERROR(INDEX(Products!$B$2:$B$501,MATCH(C566,Products!$A$2:$A$501,0)),"CODE NOT FOUND"))</f>
        <v>Chain Lube Spray</v>
      </c>
      <c r="E566" s="7" t="n">
        <v>2</v>
      </c>
      <c r="F566" s="13" t="n">
        <v>270</v>
      </c>
      <c r="G566" s="13" t="n">
        <v>170</v>
      </c>
      <c r="H566" s="17" t="n">
        <f aca="false">IF(OR(E566="",F566=""),"",E566*F566)</f>
        <v>540</v>
      </c>
      <c r="I566" s="17" t="n">
        <f aca="false">IF(OR(E566="",G566=""),"",E566*G566)</f>
        <v>340</v>
      </c>
      <c r="J566" s="17" t="n">
        <f aca="false">IF(H566="","",H566-I566)</f>
        <v>200</v>
      </c>
    </row>
    <row r="567" customFormat="false" ht="15" hidden="false" customHeight="true" outlineLevel="0" collapsed="false">
      <c r="A567" s="7" t="s">
        <v>774</v>
      </c>
      <c r="B567" s="18" t="n">
        <f aca="false">IF(A567="","",IFERROR(INDEX(Sales_Memo!$B$2:$B$1001,MATCH(A567,Sales_Memo!$A$2:$A$1001,0)),""))</f>
        <v>46281</v>
      </c>
      <c r="C567" s="7" t="s">
        <v>77</v>
      </c>
      <c r="D567" s="16" t="str">
        <f aca="false">IF(C567="","",IFERROR(INDEX(Products!$B$2:$B$501,MATCH(C567,Products!$A$2:$A$501,0)),"CODE NOT FOUND"))</f>
        <v>Brake Pad Set - Front</v>
      </c>
      <c r="E567" s="7" t="n">
        <v>3</v>
      </c>
      <c r="F567" s="13" t="n">
        <v>480</v>
      </c>
      <c r="G567" s="13" t="n">
        <v>320</v>
      </c>
      <c r="H567" s="17" t="n">
        <f aca="false">IF(OR(E567="",F567=""),"",E567*F567)</f>
        <v>1440</v>
      </c>
      <c r="I567" s="17" t="n">
        <f aca="false">IF(OR(E567="",G567=""),"",E567*G567)</f>
        <v>960</v>
      </c>
      <c r="J567" s="17" t="n">
        <f aca="false">IF(H567="","",H567-I567)</f>
        <v>480</v>
      </c>
    </row>
    <row r="568" customFormat="false" ht="15" hidden="false" customHeight="true" outlineLevel="0" collapsed="false">
      <c r="A568" s="7" t="s">
        <v>775</v>
      </c>
      <c r="B568" s="18" t="n">
        <f aca="false">IF(A568="","",IFERROR(INDEX(Sales_Memo!$B$2:$B$1001,MATCH(A568,Sales_Memo!$A$2:$A$1001,0)),""))</f>
        <v>46281</v>
      </c>
      <c r="C568" s="7" t="s">
        <v>82</v>
      </c>
      <c r="D568" s="16" t="str">
        <f aca="false">IF(C568="","",IFERROR(INDEX(Products!$B$2:$B$501,MATCH(C568,Products!$A$2:$A$501,0)),"CODE NOT FOUND"))</f>
        <v>Clutch Cable</v>
      </c>
      <c r="E568" s="7" t="n">
        <v>3</v>
      </c>
      <c r="F568" s="13" t="n">
        <v>190</v>
      </c>
      <c r="G568" s="13" t="n">
        <v>110</v>
      </c>
      <c r="H568" s="17" t="n">
        <f aca="false">IF(OR(E568="",F568=""),"",E568*F568)</f>
        <v>570</v>
      </c>
      <c r="I568" s="17" t="n">
        <f aca="false">IF(OR(E568="",G568=""),"",E568*G568)</f>
        <v>330</v>
      </c>
      <c r="J568" s="17" t="n">
        <f aca="false">IF(H568="","",H568-I568)</f>
        <v>240</v>
      </c>
    </row>
    <row r="569" customFormat="false" ht="15" hidden="false" customHeight="true" outlineLevel="0" collapsed="false">
      <c r="A569" s="7" t="s">
        <v>775</v>
      </c>
      <c r="B569" s="18" t="n">
        <f aca="false">IF(A569="","",IFERROR(INDEX(Sales_Memo!$B$2:$B$1001,MATCH(A569,Sales_Memo!$A$2:$A$1001,0)),""))</f>
        <v>46281</v>
      </c>
      <c r="C569" s="7" t="s">
        <v>86</v>
      </c>
      <c r="D569" s="16" t="str">
        <f aca="false">IF(C569="","",IFERROR(INDEX(Products!$B$2:$B$501,MATCH(C569,Products!$A$2:$A$501,0)),"CODE NOT FOUND"))</f>
        <v>Spark Plug CPR8EA-9</v>
      </c>
      <c r="E569" s="7" t="n">
        <v>2</v>
      </c>
      <c r="F569" s="13" t="n">
        <v>260</v>
      </c>
      <c r="G569" s="13" t="n">
        <v>175</v>
      </c>
      <c r="H569" s="17" t="n">
        <f aca="false">IF(OR(E569="",F569=""),"",E569*F569)</f>
        <v>520</v>
      </c>
      <c r="I569" s="17" t="n">
        <f aca="false">IF(OR(E569="",G569=""),"",E569*G569)</f>
        <v>350</v>
      </c>
      <c r="J569" s="17" t="n">
        <f aca="false">IF(H569="","",H569-I569)</f>
        <v>170</v>
      </c>
    </row>
    <row r="570" customFormat="false" ht="15" hidden="false" customHeight="true" outlineLevel="0" collapsed="false">
      <c r="A570" s="7" t="s">
        <v>776</v>
      </c>
      <c r="B570" s="18" t="n">
        <f aca="false">IF(A570="","",IFERROR(INDEX(Sales_Memo!$B$2:$B$1001,MATCH(A570,Sales_Memo!$A$2:$A$1001,0)),""))</f>
        <v>46281</v>
      </c>
      <c r="C570" s="7" t="s">
        <v>105</v>
      </c>
      <c r="D570" s="16" t="str">
        <f aca="false">IF(C570="","",IFERROR(INDEX(Products!$B$2:$B$501,MATCH(C570,Products!$A$2:$A$501,0)),"CODE NOT FOUND"))</f>
        <v>Battery 12V 5Ah</v>
      </c>
      <c r="E570" s="7" t="n">
        <v>1</v>
      </c>
      <c r="F570" s="13" t="n">
        <v>2950</v>
      </c>
      <c r="G570" s="13" t="n">
        <v>2350</v>
      </c>
      <c r="H570" s="17" t="n">
        <f aca="false">IF(OR(E570="",F570=""),"",E570*F570)</f>
        <v>2950</v>
      </c>
      <c r="I570" s="17" t="n">
        <f aca="false">IF(OR(E570="",G570=""),"",E570*G570)</f>
        <v>2350</v>
      </c>
      <c r="J570" s="17" t="n">
        <f aca="false">IF(H570="","",H570-I570)</f>
        <v>600</v>
      </c>
    </row>
    <row r="571" customFormat="false" ht="15" hidden="false" customHeight="true" outlineLevel="0" collapsed="false">
      <c r="A571" s="7" t="s">
        <v>776</v>
      </c>
      <c r="B571" s="18" t="n">
        <f aca="false">IF(A571="","",IFERROR(INDEX(Sales_Memo!$B$2:$B$1001,MATCH(A571,Sales_Memo!$A$2:$A$1001,0)),""))</f>
        <v>46281</v>
      </c>
      <c r="C571" s="7" t="s">
        <v>82</v>
      </c>
      <c r="D571" s="16" t="str">
        <f aca="false">IF(C571="","",IFERROR(INDEX(Products!$B$2:$B$501,MATCH(C571,Products!$A$2:$A$501,0)),"CODE NOT FOUND"))</f>
        <v>Clutch Cable</v>
      </c>
      <c r="E571" s="7" t="n">
        <v>2</v>
      </c>
      <c r="F571" s="13" t="n">
        <v>190</v>
      </c>
      <c r="G571" s="13" t="n">
        <v>110</v>
      </c>
      <c r="H571" s="17" t="n">
        <f aca="false">IF(OR(E571="",F571=""),"",E571*F571)</f>
        <v>380</v>
      </c>
      <c r="I571" s="17" t="n">
        <f aca="false">IF(OR(E571="",G571=""),"",E571*G571)</f>
        <v>220</v>
      </c>
      <c r="J571" s="17" t="n">
        <f aca="false">IF(H571="","",H571-I571)</f>
        <v>160</v>
      </c>
    </row>
    <row r="572" customFormat="false" ht="15" hidden="false" customHeight="true" outlineLevel="0" collapsed="false">
      <c r="A572" s="7" t="s">
        <v>778</v>
      </c>
      <c r="B572" s="18" t="n">
        <f aca="false">IF(A572="","",IFERROR(INDEX(Sales_Memo!$B$2:$B$1001,MATCH(A572,Sales_Memo!$A$2:$A$1001,0)),""))</f>
        <v>46282</v>
      </c>
      <c r="C572" s="7" t="s">
        <v>86</v>
      </c>
      <c r="D572" s="16" t="str">
        <f aca="false">IF(C572="","",IFERROR(INDEX(Products!$B$2:$B$501,MATCH(C572,Products!$A$2:$A$501,0)),"CODE NOT FOUND"))</f>
        <v>Spark Plug CPR8EA-9</v>
      </c>
      <c r="E572" s="7" t="n">
        <v>1</v>
      </c>
      <c r="F572" s="13" t="n">
        <v>260</v>
      </c>
      <c r="G572" s="13" t="n">
        <v>175</v>
      </c>
      <c r="H572" s="17" t="n">
        <f aca="false">IF(OR(E572="",F572=""),"",E572*F572)</f>
        <v>260</v>
      </c>
      <c r="I572" s="17" t="n">
        <f aca="false">IF(OR(E572="",G572=""),"",E572*G572)</f>
        <v>175</v>
      </c>
      <c r="J572" s="17" t="n">
        <f aca="false">IF(H572="","",H572-I572)</f>
        <v>85</v>
      </c>
    </row>
    <row r="573" customFormat="false" ht="15" hidden="false" customHeight="true" outlineLevel="0" collapsed="false">
      <c r="A573" s="7" t="s">
        <v>778</v>
      </c>
      <c r="B573" s="18" t="n">
        <f aca="false">IF(A573="","",IFERROR(INDEX(Sales_Memo!$B$2:$B$1001,MATCH(A573,Sales_Memo!$A$2:$A$1001,0)),""))</f>
        <v>46282</v>
      </c>
      <c r="C573" s="7" t="s">
        <v>96</v>
      </c>
      <c r="D573" s="16" t="str">
        <f aca="false">IF(C573="","",IFERROR(INDEX(Products!$B$2:$B$501,MATCH(C573,Products!$A$2:$A$501,0)),"CODE NOT FOUND"))</f>
        <v>Engine Oil 10W-30 (1L)</v>
      </c>
      <c r="E573" s="7" t="n">
        <v>1</v>
      </c>
      <c r="F573" s="13" t="n">
        <v>780</v>
      </c>
      <c r="G573" s="13" t="n">
        <v>620</v>
      </c>
      <c r="H573" s="17" t="n">
        <f aca="false">IF(OR(E573="",F573=""),"",E573*F573)</f>
        <v>780</v>
      </c>
      <c r="I573" s="17" t="n">
        <f aca="false">IF(OR(E573="",G573=""),"",E573*G573)</f>
        <v>620</v>
      </c>
      <c r="J573" s="17" t="n">
        <f aca="false">IF(H573="","",H573-I573)</f>
        <v>160</v>
      </c>
    </row>
    <row r="574" customFormat="false" ht="15" hidden="false" customHeight="true" outlineLevel="0" collapsed="false">
      <c r="A574" s="7" t="s">
        <v>780</v>
      </c>
      <c r="B574" s="18" t="n">
        <f aca="false">IF(A574="","",IFERROR(INDEX(Sales_Memo!$B$2:$B$1001,MATCH(A574,Sales_Memo!$A$2:$A$1001,0)),""))</f>
        <v>46282</v>
      </c>
      <c r="C574" s="7" t="s">
        <v>121</v>
      </c>
      <c r="D574" s="16" t="str">
        <f aca="false">IF(C574="","",IFERROR(INDEX(Products!$B$2:$B$501,MATCH(C574,Products!$A$2:$A$501,0)),"CODE NOT FOUND"))</f>
        <v>Handle Grip Set</v>
      </c>
      <c r="E574" s="7" t="n">
        <v>1</v>
      </c>
      <c r="F574" s="13" t="n">
        <v>280</v>
      </c>
      <c r="G574" s="13" t="n">
        <v>160</v>
      </c>
      <c r="H574" s="17" t="n">
        <f aca="false">IF(OR(E574="",F574=""),"",E574*F574)</f>
        <v>280</v>
      </c>
      <c r="I574" s="17" t="n">
        <f aca="false">IF(OR(E574="",G574=""),"",E574*G574)</f>
        <v>160</v>
      </c>
      <c r="J574" s="17" t="n">
        <f aca="false">IF(H574="","",H574-I574)</f>
        <v>120</v>
      </c>
    </row>
    <row r="575" customFormat="false" ht="15" hidden="false" customHeight="true" outlineLevel="0" collapsed="false">
      <c r="A575" s="7" t="s">
        <v>780</v>
      </c>
      <c r="B575" s="18" t="n">
        <f aca="false">IF(A575="","",IFERROR(INDEX(Sales_Memo!$B$2:$B$1001,MATCH(A575,Sales_Memo!$A$2:$A$1001,0)),""))</f>
        <v>46282</v>
      </c>
      <c r="C575" s="7" t="s">
        <v>82</v>
      </c>
      <c r="D575" s="16" t="str">
        <f aca="false">IF(C575="","",IFERROR(INDEX(Products!$B$2:$B$501,MATCH(C575,Products!$A$2:$A$501,0)),"CODE NOT FOUND"))</f>
        <v>Clutch Cable</v>
      </c>
      <c r="E575" s="7" t="n">
        <v>1</v>
      </c>
      <c r="F575" s="13" t="n">
        <v>190</v>
      </c>
      <c r="G575" s="13" t="n">
        <v>110</v>
      </c>
      <c r="H575" s="17" t="n">
        <f aca="false">IF(OR(E575="",F575=""),"",E575*F575)</f>
        <v>190</v>
      </c>
      <c r="I575" s="17" t="n">
        <f aca="false">IF(OR(E575="",G575=""),"",E575*G575)</f>
        <v>110</v>
      </c>
      <c r="J575" s="17" t="n">
        <f aca="false">IF(H575="","",H575-I575)</f>
        <v>80</v>
      </c>
    </row>
    <row r="576" customFormat="false" ht="15" hidden="false" customHeight="true" outlineLevel="0" collapsed="false">
      <c r="A576" s="7" t="s">
        <v>781</v>
      </c>
      <c r="B576" s="18" t="n">
        <f aca="false">IF(A576="","",IFERROR(INDEX(Sales_Memo!$B$2:$B$1001,MATCH(A576,Sales_Memo!$A$2:$A$1001,0)),""))</f>
        <v>46282</v>
      </c>
      <c r="C576" s="7" t="s">
        <v>119</v>
      </c>
      <c r="D576" s="16" t="str">
        <f aca="false">IF(C576="","",IFERROR(INDEX(Products!$B$2:$B$501,MATCH(C576,Products!$A$2:$A$501,0)),"CODE NOT FOUND"))</f>
        <v>Chain Lube Spray</v>
      </c>
      <c r="E576" s="7" t="n">
        <v>1</v>
      </c>
      <c r="F576" s="13" t="n">
        <v>270</v>
      </c>
      <c r="G576" s="13" t="n">
        <v>170</v>
      </c>
      <c r="H576" s="17" t="n">
        <f aca="false">IF(OR(E576="",F576=""),"",E576*F576)</f>
        <v>270</v>
      </c>
      <c r="I576" s="17" t="n">
        <f aca="false">IF(OR(E576="",G576=""),"",E576*G576)</f>
        <v>170</v>
      </c>
      <c r="J576" s="17" t="n">
        <f aca="false">IF(H576="","",H576-I576)</f>
        <v>100</v>
      </c>
    </row>
    <row r="577" customFormat="false" ht="15" hidden="false" customHeight="true" outlineLevel="0" collapsed="false">
      <c r="A577" s="7" t="s">
        <v>782</v>
      </c>
      <c r="B577" s="18" t="n">
        <f aca="false">IF(A577="","",IFERROR(INDEX(Sales_Memo!$B$2:$B$1001,MATCH(A577,Sales_Memo!$A$2:$A$1001,0)),""))</f>
        <v>46282</v>
      </c>
      <c r="C577" s="7" t="s">
        <v>86</v>
      </c>
      <c r="D577" s="16" t="str">
        <f aca="false">IF(C577="","",IFERROR(INDEX(Products!$B$2:$B$501,MATCH(C577,Products!$A$2:$A$501,0)),"CODE NOT FOUND"))</f>
        <v>Spark Plug CPR8EA-9</v>
      </c>
      <c r="E577" s="7" t="n">
        <v>1</v>
      </c>
      <c r="F577" s="13" t="n">
        <v>260</v>
      </c>
      <c r="G577" s="13" t="n">
        <v>175</v>
      </c>
      <c r="H577" s="17" t="n">
        <f aca="false">IF(OR(E577="",F577=""),"",E577*F577)</f>
        <v>260</v>
      </c>
      <c r="I577" s="17" t="n">
        <f aca="false">IF(OR(E577="",G577=""),"",E577*G577)</f>
        <v>175</v>
      </c>
      <c r="J577" s="17" t="n">
        <f aca="false">IF(H577="","",H577-I577)</f>
        <v>85</v>
      </c>
    </row>
    <row r="578" customFormat="false" ht="15" hidden="false" customHeight="true" outlineLevel="0" collapsed="false">
      <c r="A578" s="7" t="s">
        <v>782</v>
      </c>
      <c r="B578" s="18" t="n">
        <f aca="false">IF(A578="","",IFERROR(INDEX(Sales_Memo!$B$2:$B$1001,MATCH(A578,Sales_Memo!$A$2:$A$1001,0)),""))</f>
        <v>46282</v>
      </c>
      <c r="C578" s="7" t="s">
        <v>111</v>
      </c>
      <c r="D578" s="16" t="str">
        <f aca="false">IF(C578="","",IFERROR(INDEX(Products!$B$2:$B$501,MATCH(C578,Products!$A$2:$A$501,0)),"CODE NOT FOUND"))</f>
        <v>Tyre 80/100-18 Front</v>
      </c>
      <c r="E578" s="7" t="n">
        <v>1</v>
      </c>
      <c r="F578" s="13" t="n">
        <v>2850</v>
      </c>
      <c r="G578" s="13" t="n">
        <v>2300</v>
      </c>
      <c r="H578" s="17" t="n">
        <f aca="false">IF(OR(E578="",F578=""),"",E578*F578)</f>
        <v>2850</v>
      </c>
      <c r="I578" s="17" t="n">
        <f aca="false">IF(OR(E578="",G578=""),"",E578*G578)</f>
        <v>2300</v>
      </c>
      <c r="J578" s="17" t="n">
        <f aca="false">IF(H578="","",H578-I578)</f>
        <v>550</v>
      </c>
    </row>
    <row r="579" customFormat="false" ht="15" hidden="false" customHeight="true" outlineLevel="0" collapsed="false">
      <c r="A579" s="7" t="s">
        <v>784</v>
      </c>
      <c r="B579" s="18" t="n">
        <f aca="false">IF(A579="","",IFERROR(INDEX(Sales_Memo!$B$2:$B$1001,MATCH(A579,Sales_Memo!$A$2:$A$1001,0)),""))</f>
        <v>46282</v>
      </c>
      <c r="C579" s="7" t="s">
        <v>77</v>
      </c>
      <c r="D579" s="16" t="str">
        <f aca="false">IF(C579="","",IFERROR(INDEX(Products!$B$2:$B$501,MATCH(C579,Products!$A$2:$A$501,0)),"CODE NOT FOUND"))</f>
        <v>Brake Pad Set - Front</v>
      </c>
      <c r="E579" s="7" t="n">
        <v>1</v>
      </c>
      <c r="F579" s="13" t="n">
        <v>480</v>
      </c>
      <c r="G579" s="13" t="n">
        <v>320</v>
      </c>
      <c r="H579" s="17" t="n">
        <f aca="false">IF(OR(E579="",F579=""),"",E579*F579)</f>
        <v>480</v>
      </c>
      <c r="I579" s="17" t="n">
        <f aca="false">IF(OR(E579="",G579=""),"",E579*G579)</f>
        <v>320</v>
      </c>
      <c r="J579" s="17" t="n">
        <f aca="false">IF(H579="","",H579-I579)</f>
        <v>160</v>
      </c>
    </row>
    <row r="580" customFormat="false" ht="15" hidden="false" customHeight="true" outlineLevel="0" collapsed="false">
      <c r="A580" s="7" t="s">
        <v>784</v>
      </c>
      <c r="B580" s="18" t="n">
        <f aca="false">IF(A580="","",IFERROR(INDEX(Sales_Memo!$B$2:$B$1001,MATCH(A580,Sales_Memo!$A$2:$A$1001,0)),""))</f>
        <v>46282</v>
      </c>
      <c r="C580" s="7" t="s">
        <v>86</v>
      </c>
      <c r="D580" s="16" t="str">
        <f aca="false">IF(C580="","",IFERROR(INDEX(Products!$B$2:$B$501,MATCH(C580,Products!$A$2:$A$501,0)),"CODE NOT FOUND"))</f>
        <v>Spark Plug CPR8EA-9</v>
      </c>
      <c r="E580" s="7" t="n">
        <v>1</v>
      </c>
      <c r="F580" s="13" t="n">
        <v>260</v>
      </c>
      <c r="G580" s="13" t="n">
        <v>175</v>
      </c>
      <c r="H580" s="17" t="n">
        <f aca="false">IF(OR(E580="",F580=""),"",E580*F580)</f>
        <v>260</v>
      </c>
      <c r="I580" s="17" t="n">
        <f aca="false">IF(OR(E580="",G580=""),"",E580*G580)</f>
        <v>175</v>
      </c>
      <c r="J580" s="17" t="n">
        <f aca="false">IF(H580="","",H580-I580)</f>
        <v>85</v>
      </c>
    </row>
    <row r="581" customFormat="false" ht="15" hidden="false" customHeight="true" outlineLevel="0" collapsed="false">
      <c r="A581" s="7" t="s">
        <v>785</v>
      </c>
      <c r="B581" s="18" t="n">
        <f aca="false">IF(A581="","",IFERROR(INDEX(Sales_Memo!$B$2:$B$1001,MATCH(A581,Sales_Memo!$A$2:$A$1001,0)),""))</f>
        <v>46282</v>
      </c>
      <c r="C581" s="7" t="s">
        <v>90</v>
      </c>
      <c r="D581" s="16" t="str">
        <f aca="false">IF(C581="","",IFERROR(INDEX(Products!$B$2:$B$501,MATCH(C581,Products!$A$2:$A$501,0)),"CODE NOT FOUND"))</f>
        <v>Air Filter 150cc</v>
      </c>
      <c r="E581" s="7" t="n">
        <v>1</v>
      </c>
      <c r="F581" s="13" t="n">
        <v>340</v>
      </c>
      <c r="G581" s="13" t="n">
        <v>210</v>
      </c>
      <c r="H581" s="17" t="n">
        <f aca="false">IF(OR(E581="",F581=""),"",E581*F581)</f>
        <v>340</v>
      </c>
      <c r="I581" s="17" t="n">
        <f aca="false">IF(OR(E581="",G581=""),"",E581*G581)</f>
        <v>210</v>
      </c>
      <c r="J581" s="17" t="n">
        <f aca="false">IF(H581="","",H581-I581)</f>
        <v>130</v>
      </c>
    </row>
    <row r="582" customFormat="false" ht="15" hidden="false" customHeight="true" outlineLevel="0" collapsed="false">
      <c r="A582" s="7" t="s">
        <v>786</v>
      </c>
      <c r="B582" s="18" t="n">
        <f aca="false">IF(A582="","",IFERROR(INDEX(Sales_Memo!$B$2:$B$1001,MATCH(A582,Sales_Memo!$A$2:$A$1001,0)),""))</f>
        <v>46282</v>
      </c>
      <c r="C582" s="7" t="s">
        <v>105</v>
      </c>
      <c r="D582" s="16" t="str">
        <f aca="false">IF(C582="","",IFERROR(INDEX(Products!$B$2:$B$501,MATCH(C582,Products!$A$2:$A$501,0)),"CODE NOT FOUND"))</f>
        <v>Battery 12V 5Ah</v>
      </c>
      <c r="E582" s="7" t="n">
        <v>1</v>
      </c>
      <c r="F582" s="13" t="n">
        <v>2950</v>
      </c>
      <c r="G582" s="13" t="n">
        <v>2350</v>
      </c>
      <c r="H582" s="17" t="n">
        <f aca="false">IF(OR(E582="",F582=""),"",E582*F582)</f>
        <v>2950</v>
      </c>
      <c r="I582" s="17" t="n">
        <f aca="false">IF(OR(E582="",G582=""),"",E582*G582)</f>
        <v>2350</v>
      </c>
      <c r="J582" s="17" t="n">
        <f aca="false">IF(H582="","",H582-I582)</f>
        <v>600</v>
      </c>
    </row>
    <row r="583" customFormat="false" ht="15" hidden="false" customHeight="true" outlineLevel="0" collapsed="false">
      <c r="A583" s="7" t="s">
        <v>786</v>
      </c>
      <c r="B583" s="18" t="n">
        <f aca="false">IF(A583="","",IFERROR(INDEX(Sales_Memo!$B$2:$B$1001,MATCH(A583,Sales_Memo!$A$2:$A$1001,0)),""))</f>
        <v>46282</v>
      </c>
      <c r="C583" s="7" t="s">
        <v>82</v>
      </c>
      <c r="D583" s="16" t="str">
        <f aca="false">IF(C583="","",IFERROR(INDEX(Products!$B$2:$B$501,MATCH(C583,Products!$A$2:$A$501,0)),"CODE NOT FOUND"))</f>
        <v>Clutch Cable</v>
      </c>
      <c r="E583" s="7" t="n">
        <v>3</v>
      </c>
      <c r="F583" s="13" t="n">
        <v>190</v>
      </c>
      <c r="G583" s="13" t="n">
        <v>110</v>
      </c>
      <c r="H583" s="17" t="n">
        <f aca="false">IF(OR(E583="",F583=""),"",E583*F583)</f>
        <v>570</v>
      </c>
      <c r="I583" s="17" t="n">
        <f aca="false">IF(OR(E583="",G583=""),"",E583*G583)</f>
        <v>330</v>
      </c>
      <c r="J583" s="17" t="n">
        <f aca="false">IF(H583="","",H583-I583)</f>
        <v>240</v>
      </c>
    </row>
    <row r="584" customFormat="false" ht="15" hidden="false" customHeight="true" outlineLevel="0" collapsed="false">
      <c r="A584" s="7" t="s">
        <v>788</v>
      </c>
      <c r="B584" s="18" t="n">
        <f aca="false">IF(A584="","",IFERROR(INDEX(Sales_Memo!$B$2:$B$1001,MATCH(A584,Sales_Memo!$A$2:$A$1001,0)),""))</f>
        <v>46282</v>
      </c>
      <c r="C584" s="7" t="s">
        <v>119</v>
      </c>
      <c r="D584" s="16" t="str">
        <f aca="false">IF(C584="","",IFERROR(INDEX(Products!$B$2:$B$501,MATCH(C584,Products!$A$2:$A$501,0)),"CODE NOT FOUND"))</f>
        <v>Chain Lube Spray</v>
      </c>
      <c r="E584" s="7" t="n">
        <v>2</v>
      </c>
      <c r="F584" s="13" t="n">
        <v>270</v>
      </c>
      <c r="G584" s="13" t="n">
        <v>170</v>
      </c>
      <c r="H584" s="17" t="n">
        <f aca="false">IF(OR(E584="",F584=""),"",E584*F584)</f>
        <v>540</v>
      </c>
      <c r="I584" s="17" t="n">
        <f aca="false">IF(OR(E584="",G584=""),"",E584*G584)</f>
        <v>340</v>
      </c>
      <c r="J584" s="17" t="n">
        <f aca="false">IF(H584="","",H584-I584)</f>
        <v>200</v>
      </c>
    </row>
    <row r="585" customFormat="false" ht="15" hidden="false" customHeight="true" outlineLevel="0" collapsed="false">
      <c r="A585" s="7" t="s">
        <v>788</v>
      </c>
      <c r="B585" s="18" t="n">
        <f aca="false">IF(A585="","",IFERROR(INDEX(Sales_Memo!$B$2:$B$1001,MATCH(A585,Sales_Memo!$A$2:$A$1001,0)),""))</f>
        <v>46282</v>
      </c>
      <c r="C585" s="7" t="s">
        <v>96</v>
      </c>
      <c r="D585" s="16" t="str">
        <f aca="false">IF(C585="","",IFERROR(INDEX(Products!$B$2:$B$501,MATCH(C585,Products!$A$2:$A$501,0)),"CODE NOT FOUND"))</f>
        <v>Engine Oil 10W-30 (1L)</v>
      </c>
      <c r="E585" s="7" t="n">
        <v>2</v>
      </c>
      <c r="F585" s="13" t="n">
        <v>780</v>
      </c>
      <c r="G585" s="13" t="n">
        <v>620</v>
      </c>
      <c r="H585" s="17" t="n">
        <f aca="false">IF(OR(E585="",F585=""),"",E585*F585)</f>
        <v>1560</v>
      </c>
      <c r="I585" s="17" t="n">
        <f aca="false">IF(OR(E585="",G585=""),"",E585*G585)</f>
        <v>1240</v>
      </c>
      <c r="J585" s="17" t="n">
        <f aca="false">IF(H585="","",H585-I585)</f>
        <v>320</v>
      </c>
    </row>
    <row r="586" customFormat="false" ht="15" hidden="false" customHeight="true" outlineLevel="0" collapsed="false">
      <c r="A586" s="7" t="s">
        <v>790</v>
      </c>
      <c r="B586" s="18" t="n">
        <f aca="false">IF(A586="","",IFERROR(INDEX(Sales_Memo!$B$2:$B$1001,MATCH(A586,Sales_Memo!$A$2:$A$1001,0)),""))</f>
        <v>46282</v>
      </c>
      <c r="C586" s="7" t="s">
        <v>77</v>
      </c>
      <c r="D586" s="16" t="str">
        <f aca="false">IF(C586="","",IFERROR(INDEX(Products!$B$2:$B$501,MATCH(C586,Products!$A$2:$A$501,0)),"CODE NOT FOUND"))</f>
        <v>Brake Pad Set - Front</v>
      </c>
      <c r="E586" s="7" t="n">
        <v>2</v>
      </c>
      <c r="F586" s="13" t="n">
        <v>480</v>
      </c>
      <c r="G586" s="13" t="n">
        <v>320</v>
      </c>
      <c r="H586" s="17" t="n">
        <f aca="false">IF(OR(E586="",F586=""),"",E586*F586)</f>
        <v>960</v>
      </c>
      <c r="I586" s="17" t="n">
        <f aca="false">IF(OR(E586="",G586=""),"",E586*G586)</f>
        <v>640</v>
      </c>
      <c r="J586" s="17" t="n">
        <f aca="false">IF(H586="","",H586-I586)</f>
        <v>320</v>
      </c>
    </row>
    <row r="587" customFormat="false" ht="15" hidden="false" customHeight="true" outlineLevel="0" collapsed="false">
      <c r="A587" s="7" t="s">
        <v>791</v>
      </c>
      <c r="B587" s="18" t="n">
        <f aca="false">IF(A587="","",IFERROR(INDEX(Sales_Memo!$B$2:$B$1001,MATCH(A587,Sales_Memo!$A$2:$A$1001,0)),""))</f>
        <v>46284</v>
      </c>
      <c r="C587" s="7" t="s">
        <v>99</v>
      </c>
      <c r="D587" s="16" t="str">
        <f aca="false">IF(C587="","",IFERROR(INDEX(Products!$B$2:$B$501,MATCH(C587,Products!$A$2:$A$501,0)),"CODE NOT FOUND"))</f>
        <v>Engine Oil 20W-50 (1L)</v>
      </c>
      <c r="E587" s="7" t="n">
        <v>2</v>
      </c>
      <c r="F587" s="13" t="n">
        <v>990</v>
      </c>
      <c r="G587" s="13" t="n">
        <v>780</v>
      </c>
      <c r="H587" s="17" t="n">
        <f aca="false">IF(OR(E587="",F587=""),"",E587*F587)</f>
        <v>1980</v>
      </c>
      <c r="I587" s="17" t="n">
        <f aca="false">IF(OR(E587="",G587=""),"",E587*G587)</f>
        <v>1560</v>
      </c>
      <c r="J587" s="17" t="n">
        <f aca="false">IF(H587="","",H587-I587)</f>
        <v>420</v>
      </c>
    </row>
    <row r="588" customFormat="false" ht="15" hidden="false" customHeight="true" outlineLevel="0" collapsed="false">
      <c r="A588" s="7" t="s">
        <v>793</v>
      </c>
      <c r="B588" s="18" t="n">
        <f aca="false">IF(A588="","",IFERROR(INDEX(Sales_Memo!$B$2:$B$1001,MATCH(A588,Sales_Memo!$A$2:$A$1001,0)),""))</f>
        <v>46284</v>
      </c>
      <c r="C588" s="7" t="s">
        <v>90</v>
      </c>
      <c r="D588" s="16" t="str">
        <f aca="false">IF(C588="","",IFERROR(INDEX(Products!$B$2:$B$501,MATCH(C588,Products!$A$2:$A$501,0)),"CODE NOT FOUND"))</f>
        <v>Air Filter 150cc</v>
      </c>
      <c r="E588" s="7" t="n">
        <v>3</v>
      </c>
      <c r="F588" s="13" t="n">
        <v>340</v>
      </c>
      <c r="G588" s="13" t="n">
        <v>210</v>
      </c>
      <c r="H588" s="17" t="n">
        <f aca="false">IF(OR(E588="",F588=""),"",E588*F588)</f>
        <v>1020</v>
      </c>
      <c r="I588" s="17" t="n">
        <f aca="false">IF(OR(E588="",G588=""),"",E588*G588)</f>
        <v>630</v>
      </c>
      <c r="J588" s="17" t="n">
        <f aca="false">IF(H588="","",H588-I588)</f>
        <v>390</v>
      </c>
    </row>
    <row r="589" customFormat="false" ht="15" hidden="false" customHeight="true" outlineLevel="0" collapsed="false">
      <c r="A589" s="7" t="s">
        <v>794</v>
      </c>
      <c r="B589" s="18" t="n">
        <f aca="false">IF(A589="","",IFERROR(INDEX(Sales_Memo!$B$2:$B$1001,MATCH(A589,Sales_Memo!$A$2:$A$1001,0)),""))</f>
        <v>46284</v>
      </c>
      <c r="C589" s="7" t="s">
        <v>86</v>
      </c>
      <c r="D589" s="16" t="str">
        <f aca="false">IF(C589="","",IFERROR(INDEX(Products!$B$2:$B$501,MATCH(C589,Products!$A$2:$A$501,0)),"CODE NOT FOUND"))</f>
        <v>Spark Plug CPR8EA-9</v>
      </c>
      <c r="E589" s="7" t="n">
        <v>2</v>
      </c>
      <c r="F589" s="13" t="n">
        <v>260</v>
      </c>
      <c r="G589" s="13" t="n">
        <v>175</v>
      </c>
      <c r="H589" s="17" t="n">
        <f aca="false">IF(OR(E589="",F589=""),"",E589*F589)</f>
        <v>520</v>
      </c>
      <c r="I589" s="17" t="n">
        <f aca="false">IF(OR(E589="",G589=""),"",E589*G589)</f>
        <v>350</v>
      </c>
      <c r="J589" s="17" t="n">
        <f aca="false">IF(H589="","",H589-I589)</f>
        <v>170</v>
      </c>
    </row>
    <row r="590" customFormat="false" ht="15" hidden="false" customHeight="true" outlineLevel="0" collapsed="false">
      <c r="A590" s="7" t="s">
        <v>795</v>
      </c>
      <c r="B590" s="18" t="n">
        <f aca="false">IF(A590="","",IFERROR(INDEX(Sales_Memo!$B$2:$B$1001,MATCH(A590,Sales_Memo!$A$2:$A$1001,0)),""))</f>
        <v>46284</v>
      </c>
      <c r="C590" s="7" t="s">
        <v>99</v>
      </c>
      <c r="D590" s="16" t="str">
        <f aca="false">IF(C590="","",IFERROR(INDEX(Products!$B$2:$B$501,MATCH(C590,Products!$A$2:$A$501,0)),"CODE NOT FOUND"))</f>
        <v>Engine Oil 20W-50 (1L)</v>
      </c>
      <c r="E590" s="7" t="n">
        <v>1</v>
      </c>
      <c r="F590" s="13" t="n">
        <v>990</v>
      </c>
      <c r="G590" s="13" t="n">
        <v>780</v>
      </c>
      <c r="H590" s="17" t="n">
        <f aca="false">IF(OR(E590="",F590=""),"",E590*F590)</f>
        <v>990</v>
      </c>
      <c r="I590" s="17" t="n">
        <f aca="false">IF(OR(E590="",G590=""),"",E590*G590)</f>
        <v>780</v>
      </c>
      <c r="J590" s="17" t="n">
        <f aca="false">IF(H590="","",H590-I590)</f>
        <v>210</v>
      </c>
    </row>
    <row r="591" customFormat="false" ht="15" hidden="false" customHeight="true" outlineLevel="0" collapsed="false">
      <c r="A591" s="7" t="s">
        <v>796</v>
      </c>
      <c r="B591" s="18" t="n">
        <f aca="false">IF(A591="","",IFERROR(INDEX(Sales_Memo!$B$2:$B$1001,MATCH(A591,Sales_Memo!$A$2:$A$1001,0)),""))</f>
        <v>46284</v>
      </c>
      <c r="C591" s="7" t="s">
        <v>102</v>
      </c>
      <c r="D591" s="16" t="str">
        <f aca="false">IF(C591="","",IFERROR(INDEX(Products!$B$2:$B$501,MATCH(C591,Products!$A$2:$A$501,0)),"CODE NOT FOUND"))</f>
        <v>Headlight Bulb H4</v>
      </c>
      <c r="E591" s="7" t="n">
        <v>1</v>
      </c>
      <c r="F591" s="13" t="n">
        <v>240</v>
      </c>
      <c r="G591" s="13" t="n">
        <v>140</v>
      </c>
      <c r="H591" s="17" t="n">
        <f aca="false">IF(OR(E591="",F591=""),"",E591*F591)</f>
        <v>240</v>
      </c>
      <c r="I591" s="17" t="n">
        <f aca="false">IF(OR(E591="",G591=""),"",E591*G591)</f>
        <v>140</v>
      </c>
      <c r="J591" s="17" t="n">
        <f aca="false">IF(H591="","",H591-I591)</f>
        <v>100</v>
      </c>
    </row>
    <row r="592" customFormat="false" ht="15" hidden="false" customHeight="true" outlineLevel="0" collapsed="false">
      <c r="A592" s="7" t="s">
        <v>796</v>
      </c>
      <c r="B592" s="18" t="n">
        <f aca="false">IF(A592="","",IFERROR(INDEX(Sales_Memo!$B$2:$B$1001,MATCH(A592,Sales_Memo!$A$2:$A$1001,0)),""))</f>
        <v>46284</v>
      </c>
      <c r="C592" s="7" t="s">
        <v>121</v>
      </c>
      <c r="D592" s="16" t="str">
        <f aca="false">IF(C592="","",IFERROR(INDEX(Products!$B$2:$B$501,MATCH(C592,Products!$A$2:$A$501,0)),"CODE NOT FOUND"))</f>
        <v>Handle Grip Set</v>
      </c>
      <c r="E592" s="7" t="n">
        <v>2</v>
      </c>
      <c r="F592" s="13" t="n">
        <v>280</v>
      </c>
      <c r="G592" s="13" t="n">
        <v>160</v>
      </c>
      <c r="H592" s="17" t="n">
        <f aca="false">IF(OR(E592="",F592=""),"",E592*F592)</f>
        <v>560</v>
      </c>
      <c r="I592" s="17" t="n">
        <f aca="false">IF(OR(E592="",G592=""),"",E592*G592)</f>
        <v>320</v>
      </c>
      <c r="J592" s="17" t="n">
        <f aca="false">IF(H592="","",H592-I592)</f>
        <v>240</v>
      </c>
    </row>
    <row r="593" customFormat="false" ht="15" hidden="false" customHeight="true" outlineLevel="0" collapsed="false">
      <c r="A593" s="7" t="s">
        <v>798</v>
      </c>
      <c r="B593" s="18" t="n">
        <f aca="false">IF(A593="","",IFERROR(INDEX(Sales_Memo!$B$2:$B$1001,MATCH(A593,Sales_Memo!$A$2:$A$1001,0)),""))</f>
        <v>46284</v>
      </c>
      <c r="C593" s="7" t="s">
        <v>82</v>
      </c>
      <c r="D593" s="16" t="str">
        <f aca="false">IF(C593="","",IFERROR(INDEX(Products!$B$2:$B$501,MATCH(C593,Products!$A$2:$A$501,0)),"CODE NOT FOUND"))</f>
        <v>Clutch Cable</v>
      </c>
      <c r="E593" s="7" t="n">
        <v>2</v>
      </c>
      <c r="F593" s="13" t="n">
        <v>190</v>
      </c>
      <c r="G593" s="13" t="n">
        <v>110</v>
      </c>
      <c r="H593" s="17" t="n">
        <f aca="false">IF(OR(E593="",F593=""),"",E593*F593)</f>
        <v>380</v>
      </c>
      <c r="I593" s="17" t="n">
        <f aca="false">IF(OR(E593="",G593=""),"",E593*G593)</f>
        <v>220</v>
      </c>
      <c r="J593" s="17" t="n">
        <f aca="false">IF(H593="","",H593-I593)</f>
        <v>160</v>
      </c>
    </row>
    <row r="594" customFormat="false" ht="15" hidden="false" customHeight="true" outlineLevel="0" collapsed="false">
      <c r="A594" s="7" t="s">
        <v>798</v>
      </c>
      <c r="B594" s="18" t="n">
        <f aca="false">IF(A594="","",IFERROR(INDEX(Sales_Memo!$B$2:$B$1001,MATCH(A594,Sales_Memo!$A$2:$A$1001,0)),""))</f>
        <v>46284</v>
      </c>
      <c r="C594" s="7" t="s">
        <v>114</v>
      </c>
      <c r="D594" s="16" t="str">
        <f aca="false">IF(C594="","",IFERROR(INDEX(Products!$B$2:$B$501,MATCH(C594,Products!$A$2:$A$501,0)),"CODE NOT FOUND"))</f>
        <v>Side Mirror (Pair)</v>
      </c>
      <c r="E594" s="7" t="n">
        <v>1</v>
      </c>
      <c r="F594" s="13" t="n">
        <v>620</v>
      </c>
      <c r="G594" s="13" t="n">
        <v>380</v>
      </c>
      <c r="H594" s="17" t="n">
        <f aca="false">IF(OR(E594="",F594=""),"",E594*F594)</f>
        <v>620</v>
      </c>
      <c r="I594" s="17" t="n">
        <f aca="false">IF(OR(E594="",G594=""),"",E594*G594)</f>
        <v>380</v>
      </c>
      <c r="J594" s="17" t="n">
        <f aca="false">IF(H594="","",H594-I594)</f>
        <v>240</v>
      </c>
    </row>
    <row r="595" customFormat="false" ht="15" hidden="false" customHeight="true" outlineLevel="0" collapsed="false">
      <c r="A595" s="7" t="s">
        <v>798</v>
      </c>
      <c r="B595" s="18" t="n">
        <f aca="false">IF(A595="","",IFERROR(INDEX(Sales_Memo!$B$2:$B$1001,MATCH(A595,Sales_Memo!$A$2:$A$1001,0)),""))</f>
        <v>46284</v>
      </c>
      <c r="C595" s="7" t="s">
        <v>102</v>
      </c>
      <c r="D595" s="16" t="str">
        <f aca="false">IF(C595="","",IFERROR(INDEX(Products!$B$2:$B$501,MATCH(C595,Products!$A$2:$A$501,0)),"CODE NOT FOUND"))</f>
        <v>Headlight Bulb H4</v>
      </c>
      <c r="E595" s="7" t="n">
        <v>1</v>
      </c>
      <c r="F595" s="13" t="n">
        <v>240</v>
      </c>
      <c r="G595" s="13" t="n">
        <v>140</v>
      </c>
      <c r="H595" s="17" t="n">
        <f aca="false">IF(OR(E595="",F595=""),"",E595*F595)</f>
        <v>240</v>
      </c>
      <c r="I595" s="17" t="n">
        <f aca="false">IF(OR(E595="",G595=""),"",E595*G595)</f>
        <v>140</v>
      </c>
      <c r="J595" s="17" t="n">
        <f aca="false">IF(H595="","",H595-I595)</f>
        <v>100</v>
      </c>
    </row>
    <row r="596" customFormat="false" ht="15" hidden="false" customHeight="true" outlineLevel="0" collapsed="false">
      <c r="A596" s="7" t="s">
        <v>799</v>
      </c>
      <c r="B596" s="18" t="n">
        <f aca="false">IF(A596="","",IFERROR(INDEX(Sales_Memo!$B$2:$B$1001,MATCH(A596,Sales_Memo!$A$2:$A$1001,0)),""))</f>
        <v>46284</v>
      </c>
      <c r="C596" s="7" t="s">
        <v>102</v>
      </c>
      <c r="D596" s="16" t="str">
        <f aca="false">IF(C596="","",IFERROR(INDEX(Products!$B$2:$B$501,MATCH(C596,Products!$A$2:$A$501,0)),"CODE NOT FOUND"))</f>
        <v>Headlight Bulb H4</v>
      </c>
      <c r="E596" s="7" t="n">
        <v>1</v>
      </c>
      <c r="F596" s="13" t="n">
        <v>240</v>
      </c>
      <c r="G596" s="13" t="n">
        <v>140</v>
      </c>
      <c r="H596" s="17" t="n">
        <f aca="false">IF(OR(E596="",F596=""),"",E596*F596)</f>
        <v>240</v>
      </c>
      <c r="I596" s="17" t="n">
        <f aca="false">IF(OR(E596="",G596=""),"",E596*G596)</f>
        <v>140</v>
      </c>
      <c r="J596" s="17" t="n">
        <f aca="false">IF(H596="","",H596-I596)</f>
        <v>100</v>
      </c>
    </row>
    <row r="597" customFormat="false" ht="15" hidden="false" customHeight="true" outlineLevel="0" collapsed="false">
      <c r="A597" s="7" t="s">
        <v>799</v>
      </c>
      <c r="B597" s="18" t="n">
        <f aca="false">IF(A597="","",IFERROR(INDEX(Sales_Memo!$B$2:$B$1001,MATCH(A597,Sales_Memo!$A$2:$A$1001,0)),""))</f>
        <v>46284</v>
      </c>
      <c r="C597" s="7" t="s">
        <v>82</v>
      </c>
      <c r="D597" s="16" t="str">
        <f aca="false">IF(C597="","",IFERROR(INDEX(Products!$B$2:$B$501,MATCH(C597,Products!$A$2:$A$501,0)),"CODE NOT FOUND"))</f>
        <v>Clutch Cable</v>
      </c>
      <c r="E597" s="7" t="n">
        <v>1</v>
      </c>
      <c r="F597" s="13" t="n">
        <v>190</v>
      </c>
      <c r="G597" s="13" t="n">
        <v>110</v>
      </c>
      <c r="H597" s="17" t="n">
        <f aca="false">IF(OR(E597="",F597=""),"",E597*F597)</f>
        <v>190</v>
      </c>
      <c r="I597" s="17" t="n">
        <f aca="false">IF(OR(E597="",G597=""),"",E597*G597)</f>
        <v>110</v>
      </c>
      <c r="J597" s="17" t="n">
        <f aca="false">IF(H597="","",H597-I597)</f>
        <v>80</v>
      </c>
    </row>
    <row r="598" customFormat="false" ht="15" hidden="false" customHeight="true" outlineLevel="0" collapsed="false">
      <c r="A598" s="7" t="s">
        <v>800</v>
      </c>
      <c r="B598" s="18" t="n">
        <f aca="false">IF(A598="","",IFERROR(INDEX(Sales_Memo!$B$2:$B$1001,MATCH(A598,Sales_Memo!$A$2:$A$1001,0)),""))</f>
        <v>46284</v>
      </c>
      <c r="C598" s="7" t="s">
        <v>82</v>
      </c>
      <c r="D598" s="16" t="str">
        <f aca="false">IF(C598="","",IFERROR(INDEX(Products!$B$2:$B$501,MATCH(C598,Products!$A$2:$A$501,0)),"CODE NOT FOUND"))</f>
        <v>Clutch Cable</v>
      </c>
      <c r="E598" s="7" t="n">
        <v>1</v>
      </c>
      <c r="F598" s="13" t="n">
        <v>190</v>
      </c>
      <c r="G598" s="13" t="n">
        <v>110</v>
      </c>
      <c r="H598" s="17" t="n">
        <f aca="false">IF(OR(E598="",F598=""),"",E598*F598)</f>
        <v>190</v>
      </c>
      <c r="I598" s="17" t="n">
        <f aca="false">IF(OR(E598="",G598=""),"",E598*G598)</f>
        <v>110</v>
      </c>
      <c r="J598" s="17" t="n">
        <f aca="false">IF(H598="","",H598-I598)</f>
        <v>80</v>
      </c>
    </row>
    <row r="599" customFormat="false" ht="15" hidden="false" customHeight="true" outlineLevel="0" collapsed="false">
      <c r="A599" s="7" t="s">
        <v>800</v>
      </c>
      <c r="B599" s="18" t="n">
        <f aca="false">IF(A599="","",IFERROR(INDEX(Sales_Memo!$B$2:$B$1001,MATCH(A599,Sales_Memo!$A$2:$A$1001,0)),""))</f>
        <v>46284</v>
      </c>
      <c r="C599" s="7" t="s">
        <v>86</v>
      </c>
      <c r="D599" s="16" t="str">
        <f aca="false">IF(C599="","",IFERROR(INDEX(Products!$B$2:$B$501,MATCH(C599,Products!$A$2:$A$501,0)),"CODE NOT FOUND"))</f>
        <v>Spark Plug CPR8EA-9</v>
      </c>
      <c r="E599" s="7" t="n">
        <v>1</v>
      </c>
      <c r="F599" s="13" t="n">
        <v>260</v>
      </c>
      <c r="G599" s="13" t="n">
        <v>175</v>
      </c>
      <c r="H599" s="17" t="n">
        <f aca="false">IF(OR(E599="",F599=""),"",E599*F599)</f>
        <v>260</v>
      </c>
      <c r="I599" s="17" t="n">
        <f aca="false">IF(OR(E599="",G599=""),"",E599*G599)</f>
        <v>175</v>
      </c>
      <c r="J599" s="17" t="n">
        <f aca="false">IF(H599="","",H599-I599)</f>
        <v>85</v>
      </c>
    </row>
    <row r="600" customFormat="false" ht="15" hidden="false" customHeight="true" outlineLevel="0" collapsed="false">
      <c r="A600" s="7" t="s">
        <v>802</v>
      </c>
      <c r="B600" s="18" t="n">
        <f aca="false">IF(A600="","",IFERROR(INDEX(Sales_Memo!$B$2:$B$1001,MATCH(A600,Sales_Memo!$A$2:$A$1001,0)),""))</f>
        <v>46284</v>
      </c>
      <c r="C600" s="7" t="s">
        <v>82</v>
      </c>
      <c r="D600" s="16" t="str">
        <f aca="false">IF(C600="","",IFERROR(INDEX(Products!$B$2:$B$501,MATCH(C600,Products!$A$2:$A$501,0)),"CODE NOT FOUND"))</f>
        <v>Clutch Cable</v>
      </c>
      <c r="E600" s="7" t="n">
        <v>1</v>
      </c>
      <c r="F600" s="13" t="n">
        <v>190</v>
      </c>
      <c r="G600" s="13" t="n">
        <v>110</v>
      </c>
      <c r="H600" s="17" t="n">
        <f aca="false">IF(OR(E600="",F600=""),"",E600*F600)</f>
        <v>190</v>
      </c>
      <c r="I600" s="17" t="n">
        <f aca="false">IF(OR(E600="",G600=""),"",E600*G600)</f>
        <v>110</v>
      </c>
      <c r="J600" s="17" t="n">
        <f aca="false">IF(H600="","",H600-I600)</f>
        <v>80</v>
      </c>
    </row>
    <row r="601" customFormat="false" ht="15" hidden="false" customHeight="true" outlineLevel="0" collapsed="false">
      <c r="A601" s="7" t="s">
        <v>802</v>
      </c>
      <c r="B601" s="18" t="n">
        <f aca="false">IF(A601="","",IFERROR(INDEX(Sales_Memo!$B$2:$B$1001,MATCH(A601,Sales_Memo!$A$2:$A$1001,0)),""))</f>
        <v>46284</v>
      </c>
      <c r="C601" s="7" t="s">
        <v>102</v>
      </c>
      <c r="D601" s="16" t="str">
        <f aca="false">IF(C601="","",IFERROR(INDEX(Products!$B$2:$B$501,MATCH(C601,Products!$A$2:$A$501,0)),"CODE NOT FOUND"))</f>
        <v>Headlight Bulb H4</v>
      </c>
      <c r="E601" s="7" t="n">
        <v>1</v>
      </c>
      <c r="F601" s="13" t="n">
        <v>240</v>
      </c>
      <c r="G601" s="13" t="n">
        <v>140</v>
      </c>
      <c r="H601" s="17" t="n">
        <f aca="false">IF(OR(E601="",F601=""),"",E601*F601)</f>
        <v>240</v>
      </c>
      <c r="I601" s="17" t="n">
        <f aca="false">IF(OR(E601="",G601=""),"",E601*G601)</f>
        <v>140</v>
      </c>
      <c r="J601" s="17" t="n">
        <f aca="false">IF(H601="","",H601-I601)</f>
        <v>100</v>
      </c>
    </row>
    <row r="602" customFormat="false" ht="15" hidden="false" customHeight="true" outlineLevel="0" collapsed="false">
      <c r="A602" s="7" t="s">
        <v>802</v>
      </c>
      <c r="B602" s="18" t="n">
        <f aca="false">IF(A602="","",IFERROR(INDEX(Sales_Memo!$B$2:$B$1001,MATCH(A602,Sales_Memo!$A$2:$A$1001,0)),""))</f>
        <v>46284</v>
      </c>
      <c r="C602" s="7" t="s">
        <v>121</v>
      </c>
      <c r="D602" s="16" t="str">
        <f aca="false">IF(C602="","",IFERROR(INDEX(Products!$B$2:$B$501,MATCH(C602,Products!$A$2:$A$501,0)),"CODE NOT FOUND"))</f>
        <v>Handle Grip Set</v>
      </c>
      <c r="E602" s="7" t="n">
        <v>2</v>
      </c>
      <c r="F602" s="13" t="n">
        <v>280</v>
      </c>
      <c r="G602" s="13" t="n">
        <v>160</v>
      </c>
      <c r="H602" s="17" t="n">
        <f aca="false">IF(OR(E602="",F602=""),"",E602*F602)</f>
        <v>560</v>
      </c>
      <c r="I602" s="17" t="n">
        <f aca="false">IF(OR(E602="",G602=""),"",E602*G602)</f>
        <v>320</v>
      </c>
      <c r="J602" s="17" t="n">
        <f aca="false">IF(H602="","",H602-I602)</f>
        <v>240</v>
      </c>
    </row>
    <row r="603" customFormat="false" ht="15" hidden="false" customHeight="true" outlineLevel="0" collapsed="false">
      <c r="A603" s="7" t="s">
        <v>803</v>
      </c>
      <c r="B603" s="18" t="n">
        <f aca="false">IF(A603="","",IFERROR(INDEX(Sales_Memo!$B$2:$B$1001,MATCH(A603,Sales_Memo!$A$2:$A$1001,0)),""))</f>
        <v>46284</v>
      </c>
      <c r="C603" s="7" t="s">
        <v>102</v>
      </c>
      <c r="D603" s="16" t="str">
        <f aca="false">IF(C603="","",IFERROR(INDEX(Products!$B$2:$B$501,MATCH(C603,Products!$A$2:$A$501,0)),"CODE NOT FOUND"))</f>
        <v>Headlight Bulb H4</v>
      </c>
      <c r="E603" s="7" t="n">
        <v>3</v>
      </c>
      <c r="F603" s="13" t="n">
        <v>240</v>
      </c>
      <c r="G603" s="13" t="n">
        <v>140</v>
      </c>
      <c r="H603" s="17" t="n">
        <f aca="false">IF(OR(E603="",F603=""),"",E603*F603)</f>
        <v>720</v>
      </c>
      <c r="I603" s="17" t="n">
        <f aca="false">IF(OR(E603="",G603=""),"",E603*G603)</f>
        <v>420</v>
      </c>
      <c r="J603" s="17" t="n">
        <f aca="false">IF(H603="","",H603-I603)</f>
        <v>300</v>
      </c>
    </row>
    <row r="604" customFormat="false" ht="15" hidden="false" customHeight="true" outlineLevel="0" collapsed="false">
      <c r="A604" s="7" t="s">
        <v>804</v>
      </c>
      <c r="B604" s="18" t="n">
        <f aca="false">IF(A604="","",IFERROR(INDEX(Sales_Memo!$B$2:$B$1001,MATCH(A604,Sales_Memo!$A$2:$A$1001,0)),""))</f>
        <v>46284</v>
      </c>
      <c r="C604" s="7" t="s">
        <v>90</v>
      </c>
      <c r="D604" s="16" t="str">
        <f aca="false">IF(C604="","",IFERROR(INDEX(Products!$B$2:$B$501,MATCH(C604,Products!$A$2:$A$501,0)),"CODE NOT FOUND"))</f>
        <v>Air Filter 150cc</v>
      </c>
      <c r="E604" s="7" t="n">
        <v>1</v>
      </c>
      <c r="F604" s="13" t="n">
        <v>340</v>
      </c>
      <c r="G604" s="13" t="n">
        <v>210</v>
      </c>
      <c r="H604" s="17" t="n">
        <f aca="false">IF(OR(E604="",F604=""),"",E604*F604)</f>
        <v>340</v>
      </c>
      <c r="I604" s="17" t="n">
        <f aca="false">IF(OR(E604="",G604=""),"",E604*G604)</f>
        <v>210</v>
      </c>
      <c r="J604" s="17" t="n">
        <f aca="false">IF(H604="","",H604-I604)</f>
        <v>130</v>
      </c>
    </row>
    <row r="605" customFormat="false" ht="15" hidden="false" customHeight="true" outlineLevel="0" collapsed="false">
      <c r="A605" s="7" t="s">
        <v>805</v>
      </c>
      <c r="B605" s="18" t="n">
        <f aca="false">IF(A605="","",IFERROR(INDEX(Sales_Memo!$B$2:$B$1001,MATCH(A605,Sales_Memo!$A$2:$A$1001,0)),""))</f>
        <v>46285</v>
      </c>
      <c r="C605" s="7" t="s">
        <v>86</v>
      </c>
      <c r="D605" s="16" t="str">
        <f aca="false">IF(C605="","",IFERROR(INDEX(Products!$B$2:$B$501,MATCH(C605,Products!$A$2:$A$501,0)),"CODE NOT FOUND"))</f>
        <v>Spark Plug CPR8EA-9</v>
      </c>
      <c r="E605" s="7" t="n">
        <v>1</v>
      </c>
      <c r="F605" s="13" t="n">
        <v>260</v>
      </c>
      <c r="G605" s="13" t="n">
        <v>175</v>
      </c>
      <c r="H605" s="17" t="n">
        <f aca="false">IF(OR(E605="",F605=""),"",E605*F605)</f>
        <v>260</v>
      </c>
      <c r="I605" s="17" t="n">
        <f aca="false">IF(OR(E605="",G605=""),"",E605*G605)</f>
        <v>175</v>
      </c>
      <c r="J605" s="17" t="n">
        <f aca="false">IF(H605="","",H605-I605)</f>
        <v>85</v>
      </c>
    </row>
    <row r="606" customFormat="false" ht="15" hidden="false" customHeight="true" outlineLevel="0" collapsed="false">
      <c r="A606" s="7" t="s">
        <v>807</v>
      </c>
      <c r="B606" s="18" t="n">
        <f aca="false">IF(A606="","",IFERROR(INDEX(Sales_Memo!$B$2:$B$1001,MATCH(A606,Sales_Memo!$A$2:$A$1001,0)),""))</f>
        <v>46285</v>
      </c>
      <c r="C606" s="7" t="s">
        <v>90</v>
      </c>
      <c r="D606" s="16" t="str">
        <f aca="false">IF(C606="","",IFERROR(INDEX(Products!$B$2:$B$501,MATCH(C606,Products!$A$2:$A$501,0)),"CODE NOT FOUND"))</f>
        <v>Air Filter 150cc</v>
      </c>
      <c r="E606" s="7" t="n">
        <v>1</v>
      </c>
      <c r="F606" s="13" t="n">
        <v>340</v>
      </c>
      <c r="G606" s="13" t="n">
        <v>210</v>
      </c>
      <c r="H606" s="17" t="n">
        <f aca="false">IF(OR(E606="",F606=""),"",E606*F606)</f>
        <v>340</v>
      </c>
      <c r="I606" s="17" t="n">
        <f aca="false">IF(OR(E606="",G606=""),"",E606*G606)</f>
        <v>210</v>
      </c>
      <c r="J606" s="17" t="n">
        <f aca="false">IF(H606="","",H606-I606)</f>
        <v>130</v>
      </c>
    </row>
    <row r="607" customFormat="false" ht="15" hidden="false" customHeight="true" outlineLevel="0" collapsed="false">
      <c r="A607" s="7" t="s">
        <v>808</v>
      </c>
      <c r="B607" s="18" t="n">
        <f aca="false">IF(A607="","",IFERROR(INDEX(Sales_Memo!$B$2:$B$1001,MATCH(A607,Sales_Memo!$A$2:$A$1001,0)),""))</f>
        <v>46285</v>
      </c>
      <c r="C607" s="7" t="s">
        <v>86</v>
      </c>
      <c r="D607" s="16" t="str">
        <f aca="false">IF(C607="","",IFERROR(INDEX(Products!$B$2:$B$501,MATCH(C607,Products!$A$2:$A$501,0)),"CODE NOT FOUND"))</f>
        <v>Spark Plug CPR8EA-9</v>
      </c>
      <c r="E607" s="7" t="n">
        <v>1</v>
      </c>
      <c r="F607" s="13" t="n">
        <v>260</v>
      </c>
      <c r="G607" s="13" t="n">
        <v>175</v>
      </c>
      <c r="H607" s="17" t="n">
        <f aca="false">IF(OR(E607="",F607=""),"",E607*F607)</f>
        <v>260</v>
      </c>
      <c r="I607" s="17" t="n">
        <f aca="false">IF(OR(E607="",G607=""),"",E607*G607)</f>
        <v>175</v>
      </c>
      <c r="J607" s="17" t="n">
        <f aca="false">IF(H607="","",H607-I607)</f>
        <v>85</v>
      </c>
    </row>
    <row r="608" customFormat="false" ht="15" hidden="false" customHeight="true" outlineLevel="0" collapsed="false">
      <c r="A608" s="7" t="s">
        <v>808</v>
      </c>
      <c r="B608" s="18" t="n">
        <f aca="false">IF(A608="","",IFERROR(INDEX(Sales_Memo!$B$2:$B$1001,MATCH(A608,Sales_Memo!$A$2:$A$1001,0)),""))</f>
        <v>46285</v>
      </c>
      <c r="C608" s="7" t="s">
        <v>77</v>
      </c>
      <c r="D608" s="16" t="str">
        <f aca="false">IF(C608="","",IFERROR(INDEX(Products!$B$2:$B$501,MATCH(C608,Products!$A$2:$A$501,0)),"CODE NOT FOUND"))</f>
        <v>Brake Pad Set - Front</v>
      </c>
      <c r="E608" s="7" t="n">
        <v>2</v>
      </c>
      <c r="F608" s="13" t="n">
        <v>480</v>
      </c>
      <c r="G608" s="13" t="n">
        <v>320</v>
      </c>
      <c r="H608" s="17" t="n">
        <f aca="false">IF(OR(E608="",F608=""),"",E608*F608)</f>
        <v>960</v>
      </c>
      <c r="I608" s="17" t="n">
        <f aca="false">IF(OR(E608="",G608=""),"",E608*G608)</f>
        <v>640</v>
      </c>
      <c r="J608" s="17" t="n">
        <f aca="false">IF(H608="","",H608-I608)</f>
        <v>320</v>
      </c>
    </row>
    <row r="609" customFormat="false" ht="15" hidden="false" customHeight="true" outlineLevel="0" collapsed="false">
      <c r="A609" s="7" t="s">
        <v>808</v>
      </c>
      <c r="B609" s="18" t="n">
        <f aca="false">IF(A609="","",IFERROR(INDEX(Sales_Memo!$B$2:$B$1001,MATCH(A609,Sales_Memo!$A$2:$A$1001,0)),""))</f>
        <v>46285</v>
      </c>
      <c r="C609" s="7" t="s">
        <v>102</v>
      </c>
      <c r="D609" s="16" t="str">
        <f aca="false">IF(C609="","",IFERROR(INDEX(Products!$B$2:$B$501,MATCH(C609,Products!$A$2:$A$501,0)),"CODE NOT FOUND"))</f>
        <v>Headlight Bulb H4</v>
      </c>
      <c r="E609" s="7" t="n">
        <v>1</v>
      </c>
      <c r="F609" s="13" t="n">
        <v>240</v>
      </c>
      <c r="G609" s="13" t="n">
        <v>140</v>
      </c>
      <c r="H609" s="17" t="n">
        <f aca="false">IF(OR(E609="",F609=""),"",E609*F609)</f>
        <v>240</v>
      </c>
      <c r="I609" s="17" t="n">
        <f aca="false">IF(OR(E609="",G609=""),"",E609*G609)</f>
        <v>140</v>
      </c>
      <c r="J609" s="17" t="n">
        <f aca="false">IF(H609="","",H609-I609)</f>
        <v>100</v>
      </c>
    </row>
    <row r="610" customFormat="false" ht="15" hidden="false" customHeight="true" outlineLevel="0" collapsed="false">
      <c r="A610" s="7" t="s">
        <v>810</v>
      </c>
      <c r="B610" s="18" t="n">
        <f aca="false">IF(A610="","",IFERROR(INDEX(Sales_Memo!$B$2:$B$1001,MATCH(A610,Sales_Memo!$A$2:$A$1001,0)),""))</f>
        <v>46285</v>
      </c>
      <c r="C610" s="7" t="s">
        <v>90</v>
      </c>
      <c r="D610" s="16" t="str">
        <f aca="false">IF(C610="","",IFERROR(INDEX(Products!$B$2:$B$501,MATCH(C610,Products!$A$2:$A$501,0)),"CODE NOT FOUND"))</f>
        <v>Air Filter 150cc</v>
      </c>
      <c r="E610" s="7" t="n">
        <v>2</v>
      </c>
      <c r="F610" s="13" t="n">
        <v>340</v>
      </c>
      <c r="G610" s="13" t="n">
        <v>210</v>
      </c>
      <c r="H610" s="17" t="n">
        <f aca="false">IF(OR(E610="",F610=""),"",E610*F610)</f>
        <v>680</v>
      </c>
      <c r="I610" s="17" t="n">
        <f aca="false">IF(OR(E610="",G610=""),"",E610*G610)</f>
        <v>420</v>
      </c>
      <c r="J610" s="17" t="n">
        <f aca="false">IF(H610="","",H610-I610)</f>
        <v>260</v>
      </c>
    </row>
    <row r="611" customFormat="false" ht="15" hidden="false" customHeight="true" outlineLevel="0" collapsed="false">
      <c r="A611" s="7" t="s">
        <v>811</v>
      </c>
      <c r="B611" s="18" t="n">
        <f aca="false">IF(A611="","",IFERROR(INDEX(Sales_Memo!$B$2:$B$1001,MATCH(A611,Sales_Memo!$A$2:$A$1001,0)),""))</f>
        <v>46285</v>
      </c>
      <c r="C611" s="7" t="s">
        <v>77</v>
      </c>
      <c r="D611" s="16" t="str">
        <f aca="false">IF(C611="","",IFERROR(INDEX(Products!$B$2:$B$501,MATCH(C611,Products!$A$2:$A$501,0)),"CODE NOT FOUND"))</f>
        <v>Brake Pad Set - Front</v>
      </c>
      <c r="E611" s="7" t="n">
        <v>3</v>
      </c>
      <c r="F611" s="13" t="n">
        <v>480</v>
      </c>
      <c r="G611" s="13" t="n">
        <v>320</v>
      </c>
      <c r="H611" s="17" t="n">
        <f aca="false">IF(OR(E611="",F611=""),"",E611*F611)</f>
        <v>1440</v>
      </c>
      <c r="I611" s="17" t="n">
        <f aca="false">IF(OR(E611="",G611=""),"",E611*G611)</f>
        <v>960</v>
      </c>
      <c r="J611" s="17" t="n">
        <f aca="false">IF(H611="","",H611-I611)</f>
        <v>480</v>
      </c>
    </row>
    <row r="612" customFormat="false" ht="15" hidden="false" customHeight="true" outlineLevel="0" collapsed="false">
      <c r="A612" s="7" t="s">
        <v>811</v>
      </c>
      <c r="B612" s="18" t="n">
        <f aca="false">IF(A612="","",IFERROR(INDEX(Sales_Memo!$B$2:$B$1001,MATCH(A612,Sales_Memo!$A$2:$A$1001,0)),""))</f>
        <v>46285</v>
      </c>
      <c r="C612" s="7" t="s">
        <v>102</v>
      </c>
      <c r="D612" s="16" t="str">
        <f aca="false">IF(C612="","",IFERROR(INDEX(Products!$B$2:$B$501,MATCH(C612,Products!$A$2:$A$501,0)),"CODE NOT FOUND"))</f>
        <v>Headlight Bulb H4</v>
      </c>
      <c r="E612" s="7" t="n">
        <v>2</v>
      </c>
      <c r="F612" s="13" t="n">
        <v>240</v>
      </c>
      <c r="G612" s="13" t="n">
        <v>140</v>
      </c>
      <c r="H612" s="17" t="n">
        <f aca="false">IF(OR(E612="",F612=""),"",E612*F612)</f>
        <v>480</v>
      </c>
      <c r="I612" s="17" t="n">
        <f aca="false">IF(OR(E612="",G612=""),"",E612*G612)</f>
        <v>280</v>
      </c>
      <c r="J612" s="17" t="n">
        <f aca="false">IF(H612="","",H612-I612)</f>
        <v>200</v>
      </c>
    </row>
    <row r="613" customFormat="false" ht="15" hidden="false" customHeight="true" outlineLevel="0" collapsed="false">
      <c r="A613" s="7" t="s">
        <v>812</v>
      </c>
      <c r="B613" s="18" t="n">
        <f aca="false">IF(A613="","",IFERROR(INDEX(Sales_Memo!$B$2:$B$1001,MATCH(A613,Sales_Memo!$A$2:$A$1001,0)),""))</f>
        <v>46285</v>
      </c>
      <c r="C613" s="7" t="s">
        <v>82</v>
      </c>
      <c r="D613" s="16" t="str">
        <f aca="false">IF(C613="","",IFERROR(INDEX(Products!$B$2:$B$501,MATCH(C613,Products!$A$2:$A$501,0)),"CODE NOT FOUND"))</f>
        <v>Clutch Cable</v>
      </c>
      <c r="E613" s="7" t="n">
        <v>2</v>
      </c>
      <c r="F613" s="13" t="n">
        <v>190</v>
      </c>
      <c r="G613" s="13" t="n">
        <v>110</v>
      </c>
      <c r="H613" s="17" t="n">
        <f aca="false">IF(OR(E613="",F613=""),"",E613*F613)</f>
        <v>380</v>
      </c>
      <c r="I613" s="17" t="n">
        <f aca="false">IF(OR(E613="",G613=""),"",E613*G613)</f>
        <v>220</v>
      </c>
      <c r="J613" s="17" t="n">
        <f aca="false">IF(H613="","",H613-I613)</f>
        <v>160</v>
      </c>
    </row>
    <row r="614" customFormat="false" ht="15" hidden="false" customHeight="true" outlineLevel="0" collapsed="false">
      <c r="A614" s="7" t="s">
        <v>813</v>
      </c>
      <c r="B614" s="18" t="n">
        <f aca="false">IF(A614="","",IFERROR(INDEX(Sales_Memo!$B$2:$B$1001,MATCH(A614,Sales_Memo!$A$2:$A$1001,0)),""))</f>
        <v>46285</v>
      </c>
      <c r="C614" s="7" t="s">
        <v>82</v>
      </c>
      <c r="D614" s="16" t="str">
        <f aca="false">IF(C614="","",IFERROR(INDEX(Products!$B$2:$B$501,MATCH(C614,Products!$A$2:$A$501,0)),"CODE NOT FOUND"))</f>
        <v>Clutch Cable</v>
      </c>
      <c r="E614" s="7" t="n">
        <v>2</v>
      </c>
      <c r="F614" s="13" t="n">
        <v>190</v>
      </c>
      <c r="G614" s="13" t="n">
        <v>110</v>
      </c>
      <c r="H614" s="17" t="n">
        <f aca="false">IF(OR(E614="",F614=""),"",E614*F614)</f>
        <v>380</v>
      </c>
      <c r="I614" s="17" t="n">
        <f aca="false">IF(OR(E614="",G614=""),"",E614*G614)</f>
        <v>220</v>
      </c>
      <c r="J614" s="17" t="n">
        <f aca="false">IF(H614="","",H614-I614)</f>
        <v>160</v>
      </c>
    </row>
    <row r="615" customFormat="false" ht="15" hidden="false" customHeight="true" outlineLevel="0" collapsed="false">
      <c r="A615" s="7" t="s">
        <v>813</v>
      </c>
      <c r="B615" s="18" t="n">
        <f aca="false">IF(A615="","",IFERROR(INDEX(Sales_Memo!$B$2:$B$1001,MATCH(A615,Sales_Memo!$A$2:$A$1001,0)),""))</f>
        <v>46285</v>
      </c>
      <c r="C615" s="7" t="s">
        <v>114</v>
      </c>
      <c r="D615" s="16" t="str">
        <f aca="false">IF(C615="","",IFERROR(INDEX(Products!$B$2:$B$501,MATCH(C615,Products!$A$2:$A$501,0)),"CODE NOT FOUND"))</f>
        <v>Side Mirror (Pair)</v>
      </c>
      <c r="E615" s="7" t="n">
        <v>1</v>
      </c>
      <c r="F615" s="13" t="n">
        <v>620</v>
      </c>
      <c r="G615" s="13" t="n">
        <v>380</v>
      </c>
      <c r="H615" s="17" t="n">
        <f aca="false">IF(OR(E615="",F615=""),"",E615*F615)</f>
        <v>620</v>
      </c>
      <c r="I615" s="17" t="n">
        <f aca="false">IF(OR(E615="",G615=""),"",E615*G615)</f>
        <v>380</v>
      </c>
      <c r="J615" s="17" t="n">
        <f aca="false">IF(H615="","",H615-I615)</f>
        <v>240</v>
      </c>
    </row>
    <row r="616" customFormat="false" ht="15" hidden="false" customHeight="true" outlineLevel="0" collapsed="false">
      <c r="A616" s="7" t="s">
        <v>813</v>
      </c>
      <c r="B616" s="18" t="n">
        <f aca="false">IF(A616="","",IFERROR(INDEX(Sales_Memo!$B$2:$B$1001,MATCH(A616,Sales_Memo!$A$2:$A$1001,0)),""))</f>
        <v>46285</v>
      </c>
      <c r="C616" s="7" t="s">
        <v>86</v>
      </c>
      <c r="D616" s="16" t="str">
        <f aca="false">IF(C616="","",IFERROR(INDEX(Products!$B$2:$B$501,MATCH(C616,Products!$A$2:$A$501,0)),"CODE NOT FOUND"))</f>
        <v>Spark Plug CPR8EA-9</v>
      </c>
      <c r="E616" s="7" t="n">
        <v>1</v>
      </c>
      <c r="F616" s="13" t="n">
        <v>260</v>
      </c>
      <c r="G616" s="13" t="n">
        <v>175</v>
      </c>
      <c r="H616" s="17" t="n">
        <f aca="false">IF(OR(E616="",F616=""),"",E616*F616)</f>
        <v>260</v>
      </c>
      <c r="I616" s="17" t="n">
        <f aca="false">IF(OR(E616="",G616=""),"",E616*G616)</f>
        <v>175</v>
      </c>
      <c r="J616" s="17" t="n">
        <f aca="false">IF(H616="","",H616-I616)</f>
        <v>85</v>
      </c>
    </row>
    <row r="617" customFormat="false" ht="15" hidden="false" customHeight="true" outlineLevel="0" collapsed="false">
      <c r="A617" s="7" t="s">
        <v>814</v>
      </c>
      <c r="B617" s="18" t="n">
        <f aca="false">IF(A617="","",IFERROR(INDEX(Sales_Memo!$B$2:$B$1001,MATCH(A617,Sales_Memo!$A$2:$A$1001,0)),""))</f>
        <v>46285</v>
      </c>
      <c r="C617" s="7" t="s">
        <v>119</v>
      </c>
      <c r="D617" s="16" t="str">
        <f aca="false">IF(C617="","",IFERROR(INDEX(Products!$B$2:$B$501,MATCH(C617,Products!$A$2:$A$501,0)),"CODE NOT FOUND"))</f>
        <v>Chain Lube Spray</v>
      </c>
      <c r="E617" s="7" t="n">
        <v>2</v>
      </c>
      <c r="F617" s="13" t="n">
        <v>270</v>
      </c>
      <c r="G617" s="13" t="n">
        <v>170</v>
      </c>
      <c r="H617" s="17" t="n">
        <f aca="false">IF(OR(E617="",F617=""),"",E617*F617)</f>
        <v>540</v>
      </c>
      <c r="I617" s="17" t="n">
        <f aca="false">IF(OR(E617="",G617=""),"",E617*G617)</f>
        <v>340</v>
      </c>
      <c r="J617" s="17" t="n">
        <f aca="false">IF(H617="","",H617-I617)</f>
        <v>200</v>
      </c>
    </row>
    <row r="618" customFormat="false" ht="15" hidden="false" customHeight="true" outlineLevel="0" collapsed="false">
      <c r="A618" s="7" t="s">
        <v>815</v>
      </c>
      <c r="B618" s="18" t="n">
        <f aca="false">IF(A618="","",IFERROR(INDEX(Sales_Memo!$B$2:$B$1001,MATCH(A618,Sales_Memo!$A$2:$A$1001,0)),""))</f>
        <v>46286</v>
      </c>
      <c r="C618" s="7" t="s">
        <v>102</v>
      </c>
      <c r="D618" s="16" t="str">
        <f aca="false">IF(C618="","",IFERROR(INDEX(Products!$B$2:$B$501,MATCH(C618,Products!$A$2:$A$501,0)),"CODE NOT FOUND"))</f>
        <v>Headlight Bulb H4</v>
      </c>
      <c r="E618" s="7" t="n">
        <v>1</v>
      </c>
      <c r="F618" s="13" t="n">
        <v>240</v>
      </c>
      <c r="G618" s="13" t="n">
        <v>140</v>
      </c>
      <c r="H618" s="17" t="n">
        <f aca="false">IF(OR(E618="",F618=""),"",E618*F618)</f>
        <v>240</v>
      </c>
      <c r="I618" s="17" t="n">
        <f aca="false">IF(OR(E618="",G618=""),"",E618*G618)</f>
        <v>140</v>
      </c>
      <c r="J618" s="17" t="n">
        <f aca="false">IF(H618="","",H618-I618)</f>
        <v>100</v>
      </c>
    </row>
    <row r="619" customFormat="false" ht="15" hidden="false" customHeight="true" outlineLevel="0" collapsed="false">
      <c r="A619" s="7" t="s">
        <v>816</v>
      </c>
      <c r="B619" s="18" t="n">
        <f aca="false">IF(A619="","",IFERROR(INDEX(Sales_Memo!$B$2:$B$1001,MATCH(A619,Sales_Memo!$A$2:$A$1001,0)),""))</f>
        <v>46286</v>
      </c>
      <c r="C619" s="7" t="s">
        <v>82</v>
      </c>
      <c r="D619" s="16" t="str">
        <f aca="false">IF(C619="","",IFERROR(INDEX(Products!$B$2:$B$501,MATCH(C619,Products!$A$2:$A$501,0)),"CODE NOT FOUND"))</f>
        <v>Clutch Cable</v>
      </c>
      <c r="E619" s="7" t="n">
        <v>3</v>
      </c>
      <c r="F619" s="13" t="n">
        <v>190</v>
      </c>
      <c r="G619" s="13" t="n">
        <v>110</v>
      </c>
      <c r="H619" s="17" t="n">
        <f aca="false">IF(OR(E619="",F619=""),"",E619*F619)</f>
        <v>570</v>
      </c>
      <c r="I619" s="17" t="n">
        <f aca="false">IF(OR(E619="",G619=""),"",E619*G619)</f>
        <v>330</v>
      </c>
      <c r="J619" s="17" t="n">
        <f aca="false">IF(H619="","",H619-I619)</f>
        <v>240</v>
      </c>
    </row>
    <row r="620" customFormat="false" ht="15" hidden="false" customHeight="true" outlineLevel="0" collapsed="false">
      <c r="A620" s="7" t="s">
        <v>817</v>
      </c>
      <c r="B620" s="18" t="n">
        <f aca="false">IF(A620="","",IFERROR(INDEX(Sales_Memo!$B$2:$B$1001,MATCH(A620,Sales_Memo!$A$2:$A$1001,0)),""))</f>
        <v>46286</v>
      </c>
      <c r="C620" s="7" t="s">
        <v>82</v>
      </c>
      <c r="D620" s="16" t="str">
        <f aca="false">IF(C620="","",IFERROR(INDEX(Products!$B$2:$B$501,MATCH(C620,Products!$A$2:$A$501,0)),"CODE NOT FOUND"))</f>
        <v>Clutch Cable</v>
      </c>
      <c r="E620" s="7" t="n">
        <v>3</v>
      </c>
      <c r="F620" s="13" t="n">
        <v>190</v>
      </c>
      <c r="G620" s="13" t="n">
        <v>110</v>
      </c>
      <c r="H620" s="17" t="n">
        <f aca="false">IF(OR(E620="",F620=""),"",E620*F620)</f>
        <v>570</v>
      </c>
      <c r="I620" s="17" t="n">
        <f aca="false">IF(OR(E620="",G620=""),"",E620*G620)</f>
        <v>330</v>
      </c>
      <c r="J620" s="17" t="n">
        <f aca="false">IF(H620="","",H620-I620)</f>
        <v>240</v>
      </c>
    </row>
    <row r="621" customFormat="false" ht="15" hidden="false" customHeight="true" outlineLevel="0" collapsed="false">
      <c r="A621" s="7" t="s">
        <v>817</v>
      </c>
      <c r="B621" s="18" t="n">
        <f aca="false">IF(A621="","",IFERROR(INDEX(Sales_Memo!$B$2:$B$1001,MATCH(A621,Sales_Memo!$A$2:$A$1001,0)),""))</f>
        <v>46286</v>
      </c>
      <c r="C621" s="7" t="s">
        <v>114</v>
      </c>
      <c r="D621" s="16" t="str">
        <f aca="false">IF(C621="","",IFERROR(INDEX(Products!$B$2:$B$501,MATCH(C621,Products!$A$2:$A$501,0)),"CODE NOT FOUND"))</f>
        <v>Side Mirror (Pair)</v>
      </c>
      <c r="E621" s="7" t="n">
        <v>1</v>
      </c>
      <c r="F621" s="13" t="n">
        <v>620</v>
      </c>
      <c r="G621" s="13" t="n">
        <v>380</v>
      </c>
      <c r="H621" s="17" t="n">
        <f aca="false">IF(OR(E621="",F621=""),"",E621*F621)</f>
        <v>620</v>
      </c>
      <c r="I621" s="17" t="n">
        <f aca="false">IF(OR(E621="",G621=""),"",E621*G621)</f>
        <v>380</v>
      </c>
      <c r="J621" s="17" t="n">
        <f aca="false">IF(H621="","",H621-I621)</f>
        <v>240</v>
      </c>
    </row>
    <row r="622" customFormat="false" ht="15" hidden="false" customHeight="true" outlineLevel="0" collapsed="false">
      <c r="A622" s="7" t="s">
        <v>818</v>
      </c>
      <c r="B622" s="18" t="n">
        <f aca="false">IF(A622="","",IFERROR(INDEX(Sales_Memo!$B$2:$B$1001,MATCH(A622,Sales_Memo!$A$2:$A$1001,0)),""))</f>
        <v>46286</v>
      </c>
      <c r="C622" s="7" t="s">
        <v>82</v>
      </c>
      <c r="D622" s="16" t="str">
        <f aca="false">IF(C622="","",IFERROR(INDEX(Products!$B$2:$B$501,MATCH(C622,Products!$A$2:$A$501,0)),"CODE NOT FOUND"))</f>
        <v>Clutch Cable</v>
      </c>
      <c r="E622" s="7" t="n">
        <v>2</v>
      </c>
      <c r="F622" s="13" t="n">
        <v>190</v>
      </c>
      <c r="G622" s="13" t="n">
        <v>110</v>
      </c>
      <c r="H622" s="17" t="n">
        <f aca="false">IF(OR(E622="",F622=""),"",E622*F622)</f>
        <v>380</v>
      </c>
      <c r="I622" s="17" t="n">
        <f aca="false">IF(OR(E622="",G622=""),"",E622*G622)</f>
        <v>220</v>
      </c>
      <c r="J622" s="17" t="n">
        <f aca="false">IF(H622="","",H622-I622)</f>
        <v>160</v>
      </c>
    </row>
    <row r="623" customFormat="false" ht="15" hidden="false" customHeight="true" outlineLevel="0" collapsed="false">
      <c r="A623" s="7" t="s">
        <v>819</v>
      </c>
      <c r="B623" s="18" t="n">
        <f aca="false">IF(A623="","",IFERROR(INDEX(Sales_Memo!$B$2:$B$1001,MATCH(A623,Sales_Memo!$A$2:$A$1001,0)),""))</f>
        <v>46286</v>
      </c>
      <c r="C623" s="7" t="s">
        <v>102</v>
      </c>
      <c r="D623" s="16" t="str">
        <f aca="false">IF(C623="","",IFERROR(INDEX(Products!$B$2:$B$501,MATCH(C623,Products!$A$2:$A$501,0)),"CODE NOT FOUND"))</f>
        <v>Headlight Bulb H4</v>
      </c>
      <c r="E623" s="7" t="n">
        <v>1</v>
      </c>
      <c r="F623" s="13" t="n">
        <v>240</v>
      </c>
      <c r="G623" s="13" t="n">
        <v>140</v>
      </c>
      <c r="H623" s="17" t="n">
        <f aca="false">IF(OR(E623="",F623=""),"",E623*F623)</f>
        <v>240</v>
      </c>
      <c r="I623" s="17" t="n">
        <f aca="false">IF(OR(E623="",G623=""),"",E623*G623)</f>
        <v>140</v>
      </c>
      <c r="J623" s="17" t="n">
        <f aca="false">IF(H623="","",H623-I623)</f>
        <v>100</v>
      </c>
    </row>
    <row r="624" customFormat="false" ht="15" hidden="false" customHeight="true" outlineLevel="0" collapsed="false">
      <c r="A624" s="7" t="s">
        <v>820</v>
      </c>
      <c r="B624" s="18" t="n">
        <f aca="false">IF(A624="","",IFERROR(INDEX(Sales_Memo!$B$2:$B$1001,MATCH(A624,Sales_Memo!$A$2:$A$1001,0)),""))</f>
        <v>46286</v>
      </c>
      <c r="C624" s="7" t="s">
        <v>82</v>
      </c>
      <c r="D624" s="16" t="str">
        <f aca="false">IF(C624="","",IFERROR(INDEX(Products!$B$2:$B$501,MATCH(C624,Products!$A$2:$A$501,0)),"CODE NOT FOUND"))</f>
        <v>Clutch Cable</v>
      </c>
      <c r="E624" s="7" t="n">
        <v>1</v>
      </c>
      <c r="F624" s="13" t="n">
        <v>190</v>
      </c>
      <c r="G624" s="13" t="n">
        <v>110</v>
      </c>
      <c r="H624" s="17" t="n">
        <f aca="false">IF(OR(E624="",F624=""),"",E624*F624)</f>
        <v>190</v>
      </c>
      <c r="I624" s="17" t="n">
        <f aca="false">IF(OR(E624="",G624=""),"",E624*G624)</f>
        <v>110</v>
      </c>
      <c r="J624" s="17" t="n">
        <f aca="false">IF(H624="","",H624-I624)</f>
        <v>80</v>
      </c>
    </row>
    <row r="625" customFormat="false" ht="15" hidden="false" customHeight="true" outlineLevel="0" collapsed="false">
      <c r="A625" s="7" t="s">
        <v>820</v>
      </c>
      <c r="B625" s="18" t="n">
        <f aca="false">IF(A625="","",IFERROR(INDEX(Sales_Memo!$B$2:$B$1001,MATCH(A625,Sales_Memo!$A$2:$A$1001,0)),""))</f>
        <v>46286</v>
      </c>
      <c r="C625" s="7" t="s">
        <v>86</v>
      </c>
      <c r="D625" s="16" t="str">
        <f aca="false">IF(C625="","",IFERROR(INDEX(Products!$B$2:$B$501,MATCH(C625,Products!$A$2:$A$501,0)),"CODE NOT FOUND"))</f>
        <v>Spark Plug CPR8EA-9</v>
      </c>
      <c r="E625" s="7" t="n">
        <v>2</v>
      </c>
      <c r="F625" s="13" t="n">
        <v>260</v>
      </c>
      <c r="G625" s="13" t="n">
        <v>175</v>
      </c>
      <c r="H625" s="17" t="n">
        <f aca="false">IF(OR(E625="",F625=""),"",E625*F625)</f>
        <v>520</v>
      </c>
      <c r="I625" s="17" t="n">
        <f aca="false">IF(OR(E625="",G625=""),"",E625*G625)</f>
        <v>350</v>
      </c>
      <c r="J625" s="17" t="n">
        <f aca="false">IF(H625="","",H625-I625)</f>
        <v>170</v>
      </c>
    </row>
    <row r="626" customFormat="false" ht="15" hidden="false" customHeight="true" outlineLevel="0" collapsed="false">
      <c r="A626" s="7" t="s">
        <v>821</v>
      </c>
      <c r="B626" s="18" t="n">
        <f aca="false">IF(A626="","",IFERROR(INDEX(Sales_Memo!$B$2:$B$1001,MATCH(A626,Sales_Memo!$A$2:$A$1001,0)),""))</f>
        <v>46286</v>
      </c>
      <c r="C626" s="7" t="s">
        <v>102</v>
      </c>
      <c r="D626" s="16" t="str">
        <f aca="false">IF(C626="","",IFERROR(INDEX(Products!$B$2:$B$501,MATCH(C626,Products!$A$2:$A$501,0)),"CODE NOT FOUND"))</f>
        <v>Headlight Bulb H4</v>
      </c>
      <c r="E626" s="7" t="n">
        <v>2</v>
      </c>
      <c r="F626" s="13" t="n">
        <v>240</v>
      </c>
      <c r="G626" s="13" t="n">
        <v>140</v>
      </c>
      <c r="H626" s="17" t="n">
        <f aca="false">IF(OR(E626="",F626=""),"",E626*F626)</f>
        <v>480</v>
      </c>
      <c r="I626" s="17" t="n">
        <f aca="false">IF(OR(E626="",G626=""),"",E626*G626)</f>
        <v>280</v>
      </c>
      <c r="J626" s="17" t="n">
        <f aca="false">IF(H626="","",H626-I626)</f>
        <v>200</v>
      </c>
    </row>
    <row r="627" customFormat="false" ht="15" hidden="false" customHeight="true" outlineLevel="0" collapsed="false">
      <c r="A627" s="7" t="s">
        <v>822</v>
      </c>
      <c r="B627" s="18" t="n">
        <f aca="false">IF(A627="","",IFERROR(INDEX(Sales_Memo!$B$2:$B$1001,MATCH(A627,Sales_Memo!$A$2:$A$1001,0)),""))</f>
        <v>46286</v>
      </c>
      <c r="C627" s="7" t="s">
        <v>90</v>
      </c>
      <c r="D627" s="16" t="str">
        <f aca="false">IF(C627="","",IFERROR(INDEX(Products!$B$2:$B$501,MATCH(C627,Products!$A$2:$A$501,0)),"CODE NOT FOUND"))</f>
        <v>Air Filter 150cc</v>
      </c>
      <c r="E627" s="7" t="n">
        <v>2</v>
      </c>
      <c r="F627" s="13" t="n">
        <v>340</v>
      </c>
      <c r="G627" s="13" t="n">
        <v>210</v>
      </c>
      <c r="H627" s="17" t="n">
        <f aca="false">IF(OR(E627="",F627=""),"",E627*F627)</f>
        <v>680</v>
      </c>
      <c r="I627" s="17" t="n">
        <f aca="false">IF(OR(E627="",G627=""),"",E627*G627)</f>
        <v>420</v>
      </c>
      <c r="J627" s="17" t="n">
        <f aca="false">IF(H627="","",H627-I627)</f>
        <v>260</v>
      </c>
    </row>
    <row r="628" customFormat="false" ht="15" hidden="false" customHeight="true" outlineLevel="0" collapsed="false">
      <c r="A628" s="7" t="s">
        <v>822</v>
      </c>
      <c r="B628" s="18" t="n">
        <f aca="false">IF(A628="","",IFERROR(INDEX(Sales_Memo!$B$2:$B$1001,MATCH(A628,Sales_Memo!$A$2:$A$1001,0)),""))</f>
        <v>46286</v>
      </c>
      <c r="C628" s="7" t="s">
        <v>102</v>
      </c>
      <c r="D628" s="16" t="str">
        <f aca="false">IF(C628="","",IFERROR(INDEX(Products!$B$2:$B$501,MATCH(C628,Products!$A$2:$A$501,0)),"CODE NOT FOUND"))</f>
        <v>Headlight Bulb H4</v>
      </c>
      <c r="E628" s="7" t="n">
        <v>3</v>
      </c>
      <c r="F628" s="13" t="n">
        <v>240</v>
      </c>
      <c r="G628" s="13" t="n">
        <v>140</v>
      </c>
      <c r="H628" s="17" t="n">
        <f aca="false">IF(OR(E628="",F628=""),"",E628*F628)</f>
        <v>720</v>
      </c>
      <c r="I628" s="17" t="n">
        <f aca="false">IF(OR(E628="",G628=""),"",E628*G628)</f>
        <v>420</v>
      </c>
      <c r="J628" s="17" t="n">
        <f aca="false">IF(H628="","",H628-I628)</f>
        <v>300</v>
      </c>
    </row>
    <row r="629" customFormat="false" ht="15" hidden="false" customHeight="true" outlineLevel="0" collapsed="false">
      <c r="A629" s="7" t="s">
        <v>822</v>
      </c>
      <c r="B629" s="18" t="n">
        <f aca="false">IF(A629="","",IFERROR(INDEX(Sales_Memo!$B$2:$B$1001,MATCH(A629,Sales_Memo!$A$2:$A$1001,0)),""))</f>
        <v>46286</v>
      </c>
      <c r="C629" s="7" t="s">
        <v>121</v>
      </c>
      <c r="D629" s="16" t="str">
        <f aca="false">IF(C629="","",IFERROR(INDEX(Products!$B$2:$B$501,MATCH(C629,Products!$A$2:$A$501,0)),"CODE NOT FOUND"))</f>
        <v>Handle Grip Set</v>
      </c>
      <c r="E629" s="7" t="n">
        <v>3</v>
      </c>
      <c r="F629" s="13" t="n">
        <v>280</v>
      </c>
      <c r="G629" s="13" t="n">
        <v>160</v>
      </c>
      <c r="H629" s="17" t="n">
        <f aca="false">IF(OR(E629="",F629=""),"",E629*F629)</f>
        <v>840</v>
      </c>
      <c r="I629" s="17" t="n">
        <f aca="false">IF(OR(E629="",G629=""),"",E629*G629)</f>
        <v>480</v>
      </c>
      <c r="J629" s="17" t="n">
        <f aca="false">IF(H629="","",H629-I629)</f>
        <v>360</v>
      </c>
    </row>
    <row r="630" customFormat="false" ht="15" hidden="false" customHeight="true" outlineLevel="0" collapsed="false">
      <c r="A630" s="7" t="s">
        <v>823</v>
      </c>
      <c r="B630" s="18" t="n">
        <f aca="false">IF(A630="","",IFERROR(INDEX(Sales_Memo!$B$2:$B$1001,MATCH(A630,Sales_Memo!$A$2:$A$1001,0)),""))</f>
        <v>46286</v>
      </c>
      <c r="C630" s="7" t="s">
        <v>86</v>
      </c>
      <c r="D630" s="16" t="str">
        <f aca="false">IF(C630="","",IFERROR(INDEX(Products!$B$2:$B$501,MATCH(C630,Products!$A$2:$A$501,0)),"CODE NOT FOUND"))</f>
        <v>Spark Plug CPR8EA-9</v>
      </c>
      <c r="E630" s="7" t="n">
        <v>2</v>
      </c>
      <c r="F630" s="13" t="n">
        <v>260</v>
      </c>
      <c r="G630" s="13" t="n">
        <v>175</v>
      </c>
      <c r="H630" s="17" t="n">
        <f aca="false">IF(OR(E630="",F630=""),"",E630*F630)</f>
        <v>520</v>
      </c>
      <c r="I630" s="17" t="n">
        <f aca="false">IF(OR(E630="",G630=""),"",E630*G630)</f>
        <v>350</v>
      </c>
      <c r="J630" s="17" t="n">
        <f aca="false">IF(H630="","",H630-I630)</f>
        <v>170</v>
      </c>
    </row>
    <row r="631" customFormat="false" ht="15" hidden="false" customHeight="true" outlineLevel="0" collapsed="false">
      <c r="A631" s="7" t="s">
        <v>824</v>
      </c>
      <c r="B631" s="18" t="n">
        <f aca="false">IF(A631="","",IFERROR(INDEX(Sales_Memo!$B$2:$B$1001,MATCH(A631,Sales_Memo!$A$2:$A$1001,0)),""))</f>
        <v>46287</v>
      </c>
      <c r="C631" s="7" t="s">
        <v>102</v>
      </c>
      <c r="D631" s="16" t="str">
        <f aca="false">IF(C631="","",IFERROR(INDEX(Products!$B$2:$B$501,MATCH(C631,Products!$A$2:$A$501,0)),"CODE NOT FOUND"))</f>
        <v>Headlight Bulb H4</v>
      </c>
      <c r="E631" s="7" t="n">
        <v>2</v>
      </c>
      <c r="F631" s="13" t="n">
        <v>240</v>
      </c>
      <c r="G631" s="13" t="n">
        <v>140</v>
      </c>
      <c r="H631" s="17" t="n">
        <f aca="false">IF(OR(E631="",F631=""),"",E631*F631)</f>
        <v>480</v>
      </c>
      <c r="I631" s="17" t="n">
        <f aca="false">IF(OR(E631="",G631=""),"",E631*G631)</f>
        <v>280</v>
      </c>
      <c r="J631" s="17" t="n">
        <f aca="false">IF(H631="","",H631-I631)</f>
        <v>200</v>
      </c>
    </row>
    <row r="632" customFormat="false" ht="15" hidden="false" customHeight="true" outlineLevel="0" collapsed="false">
      <c r="A632" s="7" t="s">
        <v>824</v>
      </c>
      <c r="B632" s="18" t="n">
        <f aca="false">IF(A632="","",IFERROR(INDEX(Sales_Memo!$B$2:$B$1001,MATCH(A632,Sales_Memo!$A$2:$A$1001,0)),""))</f>
        <v>46287</v>
      </c>
      <c r="C632" s="7" t="s">
        <v>82</v>
      </c>
      <c r="D632" s="16" t="str">
        <f aca="false">IF(C632="","",IFERROR(INDEX(Products!$B$2:$B$501,MATCH(C632,Products!$A$2:$A$501,0)),"CODE NOT FOUND"))</f>
        <v>Clutch Cable</v>
      </c>
      <c r="E632" s="7" t="n">
        <v>3</v>
      </c>
      <c r="F632" s="13" t="n">
        <v>190</v>
      </c>
      <c r="G632" s="13" t="n">
        <v>110</v>
      </c>
      <c r="H632" s="17" t="n">
        <f aca="false">IF(OR(E632="",F632=""),"",E632*F632)</f>
        <v>570</v>
      </c>
      <c r="I632" s="17" t="n">
        <f aca="false">IF(OR(E632="",G632=""),"",E632*G632)</f>
        <v>330</v>
      </c>
      <c r="J632" s="17" t="n">
        <f aca="false">IF(H632="","",H632-I632)</f>
        <v>240</v>
      </c>
    </row>
    <row r="633" customFormat="false" ht="15" hidden="false" customHeight="true" outlineLevel="0" collapsed="false">
      <c r="A633" s="7" t="s">
        <v>825</v>
      </c>
      <c r="B633" s="18" t="n">
        <f aca="false">IF(A633="","",IFERROR(INDEX(Sales_Memo!$B$2:$B$1001,MATCH(A633,Sales_Memo!$A$2:$A$1001,0)),""))</f>
        <v>46287</v>
      </c>
      <c r="C633" s="7" t="s">
        <v>82</v>
      </c>
      <c r="D633" s="16" t="str">
        <f aca="false">IF(C633="","",IFERROR(INDEX(Products!$B$2:$B$501,MATCH(C633,Products!$A$2:$A$501,0)),"CODE NOT FOUND"))</f>
        <v>Clutch Cable</v>
      </c>
      <c r="E633" s="7" t="n">
        <v>3</v>
      </c>
      <c r="F633" s="13" t="n">
        <v>190</v>
      </c>
      <c r="G633" s="13" t="n">
        <v>110</v>
      </c>
      <c r="H633" s="17" t="n">
        <f aca="false">IF(OR(E633="",F633=""),"",E633*F633)</f>
        <v>570</v>
      </c>
      <c r="I633" s="17" t="n">
        <f aca="false">IF(OR(E633="",G633=""),"",E633*G633)</f>
        <v>330</v>
      </c>
      <c r="J633" s="17" t="n">
        <f aca="false">IF(H633="","",H633-I633)</f>
        <v>240</v>
      </c>
    </row>
    <row r="634" customFormat="false" ht="15" hidden="false" customHeight="true" outlineLevel="0" collapsed="false">
      <c r="A634" s="7" t="s">
        <v>826</v>
      </c>
      <c r="B634" s="18" t="n">
        <f aca="false">IF(A634="","",IFERROR(INDEX(Sales_Memo!$B$2:$B$1001,MATCH(A634,Sales_Memo!$A$2:$A$1001,0)),""))</f>
        <v>46287</v>
      </c>
      <c r="C634" s="7" t="s">
        <v>90</v>
      </c>
      <c r="D634" s="16" t="str">
        <f aca="false">IF(C634="","",IFERROR(INDEX(Products!$B$2:$B$501,MATCH(C634,Products!$A$2:$A$501,0)),"CODE NOT FOUND"))</f>
        <v>Air Filter 150cc</v>
      </c>
      <c r="E634" s="7" t="n">
        <v>3</v>
      </c>
      <c r="F634" s="13" t="n">
        <v>340</v>
      </c>
      <c r="G634" s="13" t="n">
        <v>210</v>
      </c>
      <c r="H634" s="17" t="n">
        <f aca="false">IF(OR(E634="",F634=""),"",E634*F634)</f>
        <v>1020</v>
      </c>
      <c r="I634" s="17" t="n">
        <f aca="false">IF(OR(E634="",G634=""),"",E634*G634)</f>
        <v>630</v>
      </c>
      <c r="J634" s="17" t="n">
        <f aca="false">IF(H634="","",H634-I634)</f>
        <v>390</v>
      </c>
    </row>
    <row r="635" customFormat="false" ht="15" hidden="false" customHeight="true" outlineLevel="0" collapsed="false">
      <c r="A635" s="7" t="s">
        <v>827</v>
      </c>
      <c r="B635" s="18" t="n">
        <f aca="false">IF(A635="","",IFERROR(INDEX(Sales_Memo!$B$2:$B$1001,MATCH(A635,Sales_Memo!$A$2:$A$1001,0)),""))</f>
        <v>46287</v>
      </c>
      <c r="C635" s="7" t="s">
        <v>102</v>
      </c>
      <c r="D635" s="16" t="str">
        <f aca="false">IF(C635="","",IFERROR(INDEX(Products!$B$2:$B$501,MATCH(C635,Products!$A$2:$A$501,0)),"CODE NOT FOUND"))</f>
        <v>Headlight Bulb H4</v>
      </c>
      <c r="E635" s="7" t="n">
        <v>2</v>
      </c>
      <c r="F635" s="13" t="n">
        <v>240</v>
      </c>
      <c r="G635" s="13" t="n">
        <v>140</v>
      </c>
      <c r="H635" s="17" t="n">
        <f aca="false">IF(OR(E635="",F635=""),"",E635*F635)</f>
        <v>480</v>
      </c>
      <c r="I635" s="17" t="n">
        <f aca="false">IF(OR(E635="",G635=""),"",E635*G635)</f>
        <v>280</v>
      </c>
      <c r="J635" s="17" t="n">
        <f aca="false">IF(H635="","",H635-I635)</f>
        <v>200</v>
      </c>
    </row>
    <row r="636" customFormat="false" ht="15" hidden="false" customHeight="true" outlineLevel="0" collapsed="false">
      <c r="A636" s="7" t="s">
        <v>828</v>
      </c>
      <c r="B636" s="18" t="n">
        <f aca="false">IF(A636="","",IFERROR(INDEX(Sales_Memo!$B$2:$B$1001,MATCH(A636,Sales_Memo!$A$2:$A$1001,0)),""))</f>
        <v>46287</v>
      </c>
      <c r="C636" s="7" t="s">
        <v>93</v>
      </c>
      <c r="D636" s="16" t="str">
        <f aca="false">IF(C636="","",IFERROR(INDEX(Products!$B$2:$B$501,MATCH(C636,Products!$A$2:$A$501,0)),"CODE NOT FOUND"))</f>
        <v>Chain &amp; Sprocket Kit</v>
      </c>
      <c r="E636" s="7" t="n">
        <v>1</v>
      </c>
      <c r="F636" s="13" t="n">
        <v>2350</v>
      </c>
      <c r="G636" s="13" t="n">
        <v>1750</v>
      </c>
      <c r="H636" s="17" t="n">
        <f aca="false">IF(OR(E636="",F636=""),"",E636*F636)</f>
        <v>2350</v>
      </c>
      <c r="I636" s="17" t="n">
        <f aca="false">IF(OR(E636="",G636=""),"",E636*G636)</f>
        <v>1750</v>
      </c>
      <c r="J636" s="17" t="n">
        <f aca="false">IF(H636="","",H636-I636)</f>
        <v>600</v>
      </c>
    </row>
    <row r="637" customFormat="false" ht="15" hidden="false" customHeight="true" outlineLevel="0" collapsed="false">
      <c r="A637" s="7" t="s">
        <v>828</v>
      </c>
      <c r="B637" s="18" t="n">
        <f aca="false">IF(A637="","",IFERROR(INDEX(Sales_Memo!$B$2:$B$1001,MATCH(A637,Sales_Memo!$A$2:$A$1001,0)),""))</f>
        <v>46287</v>
      </c>
      <c r="C637" s="7" t="s">
        <v>96</v>
      </c>
      <c r="D637" s="16" t="str">
        <f aca="false">IF(C637="","",IFERROR(INDEX(Products!$B$2:$B$501,MATCH(C637,Products!$A$2:$A$501,0)),"CODE NOT FOUND"))</f>
        <v>Engine Oil 10W-30 (1L)</v>
      </c>
      <c r="E637" s="7" t="n">
        <v>2</v>
      </c>
      <c r="F637" s="13" t="n">
        <v>780</v>
      </c>
      <c r="G637" s="13" t="n">
        <v>620</v>
      </c>
      <c r="H637" s="17" t="n">
        <f aca="false">IF(OR(E637="",F637=""),"",E637*F637)</f>
        <v>1560</v>
      </c>
      <c r="I637" s="17" t="n">
        <f aca="false">IF(OR(E637="",G637=""),"",E637*G637)</f>
        <v>1240</v>
      </c>
      <c r="J637" s="17" t="n">
        <f aca="false">IF(H637="","",H637-I637)</f>
        <v>320</v>
      </c>
    </row>
    <row r="638" customFormat="false" ht="15" hidden="false" customHeight="true" outlineLevel="0" collapsed="false">
      <c r="A638" s="7" t="s">
        <v>828</v>
      </c>
      <c r="B638" s="18" t="n">
        <f aca="false">IF(A638="","",IFERROR(INDEX(Sales_Memo!$B$2:$B$1001,MATCH(A638,Sales_Memo!$A$2:$A$1001,0)),""))</f>
        <v>46287</v>
      </c>
      <c r="C638" s="7" t="s">
        <v>86</v>
      </c>
      <c r="D638" s="16" t="str">
        <f aca="false">IF(C638="","",IFERROR(INDEX(Products!$B$2:$B$501,MATCH(C638,Products!$A$2:$A$501,0)),"CODE NOT FOUND"))</f>
        <v>Spark Plug CPR8EA-9</v>
      </c>
      <c r="E638" s="7" t="n">
        <v>3</v>
      </c>
      <c r="F638" s="13" t="n">
        <v>260</v>
      </c>
      <c r="G638" s="13" t="n">
        <v>175</v>
      </c>
      <c r="H638" s="17" t="n">
        <f aca="false">IF(OR(E638="",F638=""),"",E638*F638)</f>
        <v>780</v>
      </c>
      <c r="I638" s="17" t="n">
        <f aca="false">IF(OR(E638="",G638=""),"",E638*G638)</f>
        <v>525</v>
      </c>
      <c r="J638" s="17" t="n">
        <f aca="false">IF(H638="","",H638-I638)</f>
        <v>255</v>
      </c>
    </row>
    <row r="639" customFormat="false" ht="15" hidden="false" customHeight="true" outlineLevel="0" collapsed="false">
      <c r="A639" s="7" t="s">
        <v>830</v>
      </c>
      <c r="B639" s="18" t="n">
        <f aca="false">IF(A639="","",IFERROR(INDEX(Sales_Memo!$B$2:$B$1001,MATCH(A639,Sales_Memo!$A$2:$A$1001,0)),""))</f>
        <v>46287</v>
      </c>
      <c r="C639" s="7" t="s">
        <v>108</v>
      </c>
      <c r="D639" s="16" t="str">
        <f aca="false">IF(C639="","",IFERROR(INDEX(Products!$B$2:$B$501,MATCH(C639,Products!$A$2:$A$501,0)),"CODE NOT FOUND"))</f>
        <v>Tyre 90/90-17 Rear</v>
      </c>
      <c r="E639" s="7" t="n">
        <v>1</v>
      </c>
      <c r="F639" s="13" t="n">
        <v>3350</v>
      </c>
      <c r="G639" s="13" t="n">
        <v>2750</v>
      </c>
      <c r="H639" s="17" t="n">
        <f aca="false">IF(OR(E639="",F639=""),"",E639*F639)</f>
        <v>3350</v>
      </c>
      <c r="I639" s="17" t="n">
        <f aca="false">IF(OR(E639="",G639=""),"",E639*G639)</f>
        <v>2750</v>
      </c>
      <c r="J639" s="17" t="n">
        <f aca="false">IF(H639="","",H639-I639)</f>
        <v>600</v>
      </c>
    </row>
    <row r="640" customFormat="false" ht="15" hidden="false" customHeight="true" outlineLevel="0" collapsed="false">
      <c r="A640" s="7" t="s">
        <v>830</v>
      </c>
      <c r="B640" s="18" t="n">
        <f aca="false">IF(A640="","",IFERROR(INDEX(Sales_Memo!$B$2:$B$1001,MATCH(A640,Sales_Memo!$A$2:$A$1001,0)),""))</f>
        <v>46287</v>
      </c>
      <c r="C640" s="7" t="s">
        <v>82</v>
      </c>
      <c r="D640" s="16" t="str">
        <f aca="false">IF(C640="","",IFERROR(INDEX(Products!$B$2:$B$501,MATCH(C640,Products!$A$2:$A$501,0)),"CODE NOT FOUND"))</f>
        <v>Clutch Cable</v>
      </c>
      <c r="E640" s="7" t="n">
        <v>1</v>
      </c>
      <c r="F640" s="13" t="n">
        <v>190</v>
      </c>
      <c r="G640" s="13" t="n">
        <v>110</v>
      </c>
      <c r="H640" s="17" t="n">
        <f aca="false">IF(OR(E640="",F640=""),"",E640*F640)</f>
        <v>190</v>
      </c>
      <c r="I640" s="17" t="n">
        <f aca="false">IF(OR(E640="",G640=""),"",E640*G640)</f>
        <v>110</v>
      </c>
      <c r="J640" s="17" t="n">
        <f aca="false">IF(H640="","",H640-I640)</f>
        <v>80</v>
      </c>
    </row>
    <row r="641" customFormat="false" ht="15" hidden="false" customHeight="true" outlineLevel="0" collapsed="false">
      <c r="A641" s="7" t="s">
        <v>832</v>
      </c>
      <c r="B641" s="18" t="n">
        <f aca="false">IF(A641="","",IFERROR(INDEX(Sales_Memo!$B$2:$B$1001,MATCH(A641,Sales_Memo!$A$2:$A$1001,0)),""))</f>
        <v>46287</v>
      </c>
      <c r="C641" s="7" t="s">
        <v>90</v>
      </c>
      <c r="D641" s="16" t="str">
        <f aca="false">IF(C641="","",IFERROR(INDEX(Products!$B$2:$B$501,MATCH(C641,Products!$A$2:$A$501,0)),"CODE NOT FOUND"))</f>
        <v>Air Filter 150cc</v>
      </c>
      <c r="E641" s="7" t="n">
        <v>1</v>
      </c>
      <c r="F641" s="13" t="n">
        <v>340</v>
      </c>
      <c r="G641" s="13" t="n">
        <v>210</v>
      </c>
      <c r="H641" s="17" t="n">
        <f aca="false">IF(OR(E641="",F641=""),"",E641*F641)</f>
        <v>340</v>
      </c>
      <c r="I641" s="17" t="n">
        <f aca="false">IF(OR(E641="",G641=""),"",E641*G641)</f>
        <v>210</v>
      </c>
      <c r="J641" s="17" t="n">
        <f aca="false">IF(H641="","",H641-I641)</f>
        <v>130</v>
      </c>
    </row>
    <row r="642" customFormat="false" ht="15" hidden="false" customHeight="true" outlineLevel="0" collapsed="false">
      <c r="A642" s="7" t="s">
        <v>832</v>
      </c>
      <c r="B642" s="18" t="n">
        <f aca="false">IF(A642="","",IFERROR(INDEX(Sales_Memo!$B$2:$B$1001,MATCH(A642,Sales_Memo!$A$2:$A$1001,0)),""))</f>
        <v>46287</v>
      </c>
      <c r="C642" s="7" t="s">
        <v>102</v>
      </c>
      <c r="D642" s="16" t="str">
        <f aca="false">IF(C642="","",IFERROR(INDEX(Products!$B$2:$B$501,MATCH(C642,Products!$A$2:$A$501,0)),"CODE NOT FOUND"))</f>
        <v>Headlight Bulb H4</v>
      </c>
      <c r="E642" s="7" t="n">
        <v>1</v>
      </c>
      <c r="F642" s="13" t="n">
        <v>240</v>
      </c>
      <c r="G642" s="13" t="n">
        <v>140</v>
      </c>
      <c r="H642" s="17" t="n">
        <f aca="false">IF(OR(E642="",F642=""),"",E642*F642)</f>
        <v>240</v>
      </c>
      <c r="I642" s="17" t="n">
        <f aca="false">IF(OR(E642="",G642=""),"",E642*G642)</f>
        <v>140</v>
      </c>
      <c r="J642" s="17" t="n">
        <f aca="false">IF(H642="","",H642-I642)</f>
        <v>100</v>
      </c>
    </row>
    <row r="643" customFormat="false" ht="15" hidden="false" customHeight="true" outlineLevel="0" collapsed="false">
      <c r="A643" s="7" t="s">
        <v>833</v>
      </c>
      <c r="B643" s="18" t="n">
        <f aca="false">IF(A643="","",IFERROR(INDEX(Sales_Memo!$B$2:$B$1001,MATCH(A643,Sales_Memo!$A$2:$A$1001,0)),""))</f>
        <v>46287</v>
      </c>
      <c r="C643" s="7" t="s">
        <v>90</v>
      </c>
      <c r="D643" s="16" t="str">
        <f aca="false">IF(C643="","",IFERROR(INDEX(Products!$B$2:$B$501,MATCH(C643,Products!$A$2:$A$501,0)),"CODE NOT FOUND"))</f>
        <v>Air Filter 150cc</v>
      </c>
      <c r="E643" s="7" t="n">
        <v>1</v>
      </c>
      <c r="F643" s="13" t="n">
        <v>340</v>
      </c>
      <c r="G643" s="13" t="n">
        <v>210</v>
      </c>
      <c r="H643" s="17" t="n">
        <f aca="false">IF(OR(E643="",F643=""),"",E643*F643)</f>
        <v>340</v>
      </c>
      <c r="I643" s="17" t="n">
        <f aca="false">IF(OR(E643="",G643=""),"",E643*G643)</f>
        <v>210</v>
      </c>
      <c r="J643" s="17" t="n">
        <f aca="false">IF(H643="","",H643-I643)</f>
        <v>130</v>
      </c>
    </row>
    <row r="644" customFormat="false" ht="15" hidden="false" customHeight="true" outlineLevel="0" collapsed="false">
      <c r="A644" s="7" t="s">
        <v>834</v>
      </c>
      <c r="B644" s="18" t="n">
        <f aca="false">IF(A644="","",IFERROR(INDEX(Sales_Memo!$B$2:$B$1001,MATCH(A644,Sales_Memo!$A$2:$A$1001,0)),""))</f>
        <v>46287</v>
      </c>
      <c r="C644" s="7" t="s">
        <v>102</v>
      </c>
      <c r="D644" s="16" t="str">
        <f aca="false">IF(C644="","",IFERROR(INDEX(Products!$B$2:$B$501,MATCH(C644,Products!$A$2:$A$501,0)),"CODE NOT FOUND"))</f>
        <v>Headlight Bulb H4</v>
      </c>
      <c r="E644" s="7" t="n">
        <v>2</v>
      </c>
      <c r="F644" s="13" t="n">
        <v>240</v>
      </c>
      <c r="G644" s="13" t="n">
        <v>140</v>
      </c>
      <c r="H644" s="17" t="n">
        <f aca="false">IF(OR(E644="",F644=""),"",E644*F644)</f>
        <v>480</v>
      </c>
      <c r="I644" s="17" t="n">
        <f aca="false">IF(OR(E644="",G644=""),"",E644*G644)</f>
        <v>280</v>
      </c>
      <c r="J644" s="17" t="n">
        <f aca="false">IF(H644="","",H644-I644)</f>
        <v>200</v>
      </c>
    </row>
    <row r="645" customFormat="false" ht="15" hidden="false" customHeight="true" outlineLevel="0" collapsed="false">
      <c r="A645" s="7" t="s">
        <v>835</v>
      </c>
      <c r="B645" s="18" t="n">
        <f aca="false">IF(A645="","",IFERROR(INDEX(Sales_Memo!$B$2:$B$1001,MATCH(A645,Sales_Memo!$A$2:$A$1001,0)),""))</f>
        <v>46287</v>
      </c>
      <c r="C645" s="7" t="s">
        <v>82</v>
      </c>
      <c r="D645" s="16" t="str">
        <f aca="false">IF(C645="","",IFERROR(INDEX(Products!$B$2:$B$501,MATCH(C645,Products!$A$2:$A$501,0)),"CODE NOT FOUND"))</f>
        <v>Clutch Cable</v>
      </c>
      <c r="E645" s="7" t="n">
        <v>3</v>
      </c>
      <c r="F645" s="13" t="n">
        <v>190</v>
      </c>
      <c r="G645" s="13" t="n">
        <v>110</v>
      </c>
      <c r="H645" s="17" t="n">
        <f aca="false">IF(OR(E645="",F645=""),"",E645*F645)</f>
        <v>570</v>
      </c>
      <c r="I645" s="17" t="n">
        <f aca="false">IF(OR(E645="",G645=""),"",E645*G645)</f>
        <v>330</v>
      </c>
      <c r="J645" s="17" t="n">
        <f aca="false">IF(H645="","",H645-I645)</f>
        <v>240</v>
      </c>
    </row>
    <row r="646" customFormat="false" ht="15" hidden="false" customHeight="true" outlineLevel="0" collapsed="false">
      <c r="A646" s="7" t="s">
        <v>836</v>
      </c>
      <c r="B646" s="18" t="n">
        <f aca="false">IF(A646="","",IFERROR(INDEX(Sales_Memo!$B$2:$B$1001,MATCH(A646,Sales_Memo!$A$2:$A$1001,0)),""))</f>
        <v>46287</v>
      </c>
      <c r="C646" s="7" t="s">
        <v>102</v>
      </c>
      <c r="D646" s="16" t="str">
        <f aca="false">IF(C646="","",IFERROR(INDEX(Products!$B$2:$B$501,MATCH(C646,Products!$A$2:$A$501,0)),"CODE NOT FOUND"))</f>
        <v>Headlight Bulb H4</v>
      </c>
      <c r="E646" s="7" t="n">
        <v>2</v>
      </c>
      <c r="F646" s="13" t="n">
        <v>240</v>
      </c>
      <c r="G646" s="13" t="n">
        <v>140</v>
      </c>
      <c r="H646" s="17" t="n">
        <f aca="false">IF(OR(E646="",F646=""),"",E646*F646)</f>
        <v>480</v>
      </c>
      <c r="I646" s="17" t="n">
        <f aca="false">IF(OR(E646="",G646=""),"",E646*G646)</f>
        <v>280</v>
      </c>
      <c r="J646" s="17" t="n">
        <f aca="false">IF(H646="","",H646-I646)</f>
        <v>200</v>
      </c>
    </row>
    <row r="647" customFormat="false" ht="15" hidden="false" customHeight="true" outlineLevel="0" collapsed="false">
      <c r="A647" s="7" t="s">
        <v>836</v>
      </c>
      <c r="B647" s="18" t="n">
        <f aca="false">IF(A647="","",IFERROR(INDEX(Sales_Memo!$B$2:$B$1001,MATCH(A647,Sales_Memo!$A$2:$A$1001,0)),""))</f>
        <v>46287</v>
      </c>
      <c r="C647" s="7" t="s">
        <v>121</v>
      </c>
      <c r="D647" s="16" t="str">
        <f aca="false">IF(C647="","",IFERROR(INDEX(Products!$B$2:$B$501,MATCH(C647,Products!$A$2:$A$501,0)),"CODE NOT FOUND"))</f>
        <v>Handle Grip Set</v>
      </c>
      <c r="E647" s="7" t="n">
        <v>3</v>
      </c>
      <c r="F647" s="13" t="n">
        <v>280</v>
      </c>
      <c r="G647" s="13" t="n">
        <v>160</v>
      </c>
      <c r="H647" s="17" t="n">
        <f aca="false">IF(OR(E647="",F647=""),"",E647*F647)</f>
        <v>840</v>
      </c>
      <c r="I647" s="17" t="n">
        <f aca="false">IF(OR(E647="",G647=""),"",E647*G647)</f>
        <v>480</v>
      </c>
      <c r="J647" s="17" t="n">
        <f aca="false">IF(H647="","",H647-I647)</f>
        <v>360</v>
      </c>
    </row>
    <row r="648" customFormat="false" ht="15" hidden="false" customHeight="true" outlineLevel="0" collapsed="false">
      <c r="A648" s="7" t="s">
        <v>838</v>
      </c>
      <c r="B648" s="18" t="n">
        <f aca="false">IF(A648="","",IFERROR(INDEX(Sales_Memo!$B$2:$B$1001,MATCH(A648,Sales_Memo!$A$2:$A$1001,0)),""))</f>
        <v>46287</v>
      </c>
      <c r="C648" s="7" t="s">
        <v>90</v>
      </c>
      <c r="D648" s="16" t="str">
        <f aca="false">IF(C648="","",IFERROR(INDEX(Products!$B$2:$B$501,MATCH(C648,Products!$A$2:$A$501,0)),"CODE NOT FOUND"))</f>
        <v>Air Filter 150cc</v>
      </c>
      <c r="E648" s="7" t="n">
        <v>2</v>
      </c>
      <c r="F648" s="13" t="n">
        <v>340</v>
      </c>
      <c r="G648" s="13" t="n">
        <v>210</v>
      </c>
      <c r="H648" s="17" t="n">
        <f aca="false">IF(OR(E648="",F648=""),"",E648*F648)</f>
        <v>680</v>
      </c>
      <c r="I648" s="17" t="n">
        <f aca="false">IF(OR(E648="",G648=""),"",E648*G648)</f>
        <v>420</v>
      </c>
      <c r="J648" s="17" t="n">
        <f aca="false">IF(H648="","",H648-I648)</f>
        <v>260</v>
      </c>
    </row>
    <row r="649" customFormat="false" ht="15" hidden="false" customHeight="true" outlineLevel="0" collapsed="false">
      <c r="A649" s="7" t="s">
        <v>839</v>
      </c>
      <c r="B649" s="18" t="n">
        <f aca="false">IF(A649="","",IFERROR(INDEX(Sales_Memo!$B$2:$B$1001,MATCH(A649,Sales_Memo!$A$2:$A$1001,0)),""))</f>
        <v>46288</v>
      </c>
      <c r="C649" s="7" t="s">
        <v>96</v>
      </c>
      <c r="D649" s="16" t="str">
        <f aca="false">IF(C649="","",IFERROR(INDEX(Products!$B$2:$B$501,MATCH(C649,Products!$A$2:$A$501,0)),"CODE NOT FOUND"))</f>
        <v>Engine Oil 10W-30 (1L)</v>
      </c>
      <c r="E649" s="7" t="n">
        <v>3</v>
      </c>
      <c r="F649" s="13" t="n">
        <v>780</v>
      </c>
      <c r="G649" s="13" t="n">
        <v>620</v>
      </c>
      <c r="H649" s="17" t="n">
        <f aca="false">IF(OR(E649="",F649=""),"",E649*F649)</f>
        <v>2340</v>
      </c>
      <c r="I649" s="17" t="n">
        <f aca="false">IF(OR(E649="",G649=""),"",E649*G649)</f>
        <v>1860</v>
      </c>
      <c r="J649" s="17" t="n">
        <f aca="false">IF(H649="","",H649-I649)</f>
        <v>480</v>
      </c>
    </row>
    <row r="650" customFormat="false" ht="15" hidden="false" customHeight="true" outlineLevel="0" collapsed="false">
      <c r="A650" s="7" t="s">
        <v>840</v>
      </c>
      <c r="B650" s="18" t="n">
        <f aca="false">IF(A650="","",IFERROR(INDEX(Sales_Memo!$B$2:$B$1001,MATCH(A650,Sales_Memo!$A$2:$A$1001,0)),""))</f>
        <v>46288</v>
      </c>
      <c r="C650" s="7" t="s">
        <v>102</v>
      </c>
      <c r="D650" s="16" t="str">
        <f aca="false">IF(C650="","",IFERROR(INDEX(Products!$B$2:$B$501,MATCH(C650,Products!$A$2:$A$501,0)),"CODE NOT FOUND"))</f>
        <v>Headlight Bulb H4</v>
      </c>
      <c r="E650" s="7" t="n">
        <v>1</v>
      </c>
      <c r="F650" s="13" t="n">
        <v>240</v>
      </c>
      <c r="G650" s="13" t="n">
        <v>140</v>
      </c>
      <c r="H650" s="17" t="n">
        <f aca="false">IF(OR(E650="",F650=""),"",E650*F650)</f>
        <v>240</v>
      </c>
      <c r="I650" s="17" t="n">
        <f aca="false">IF(OR(E650="",G650=""),"",E650*G650)</f>
        <v>140</v>
      </c>
      <c r="J650" s="17" t="n">
        <f aca="false">IF(H650="","",H650-I650)</f>
        <v>100</v>
      </c>
    </row>
    <row r="651" customFormat="false" ht="15" hidden="false" customHeight="true" outlineLevel="0" collapsed="false">
      <c r="A651" s="7" t="s">
        <v>841</v>
      </c>
      <c r="B651" s="18" t="n">
        <f aca="false">IF(A651="","",IFERROR(INDEX(Sales_Memo!$B$2:$B$1001,MATCH(A651,Sales_Memo!$A$2:$A$1001,0)),""))</f>
        <v>46288</v>
      </c>
      <c r="C651" s="7" t="s">
        <v>90</v>
      </c>
      <c r="D651" s="16" t="str">
        <f aca="false">IF(C651="","",IFERROR(INDEX(Products!$B$2:$B$501,MATCH(C651,Products!$A$2:$A$501,0)),"CODE NOT FOUND"))</f>
        <v>Air Filter 150cc</v>
      </c>
      <c r="E651" s="7" t="n">
        <v>2</v>
      </c>
      <c r="F651" s="13" t="n">
        <v>340</v>
      </c>
      <c r="G651" s="13" t="n">
        <v>210</v>
      </c>
      <c r="H651" s="17" t="n">
        <f aca="false">IF(OR(E651="",F651=""),"",E651*F651)</f>
        <v>680</v>
      </c>
      <c r="I651" s="17" t="n">
        <f aca="false">IF(OR(E651="",G651=""),"",E651*G651)</f>
        <v>420</v>
      </c>
      <c r="J651" s="17" t="n">
        <f aca="false">IF(H651="","",H651-I651)</f>
        <v>260</v>
      </c>
    </row>
    <row r="652" customFormat="false" ht="15" hidden="false" customHeight="true" outlineLevel="0" collapsed="false">
      <c r="A652" s="7" t="s">
        <v>842</v>
      </c>
      <c r="B652" s="18" t="n">
        <f aca="false">IF(A652="","",IFERROR(INDEX(Sales_Memo!$B$2:$B$1001,MATCH(A652,Sales_Memo!$A$2:$A$1001,0)),""))</f>
        <v>46288</v>
      </c>
      <c r="C652" s="7" t="s">
        <v>82</v>
      </c>
      <c r="D652" s="16" t="str">
        <f aca="false">IF(C652="","",IFERROR(INDEX(Products!$B$2:$B$501,MATCH(C652,Products!$A$2:$A$501,0)),"CODE NOT FOUND"))</f>
        <v>Clutch Cable</v>
      </c>
      <c r="E652" s="7" t="n">
        <v>1</v>
      </c>
      <c r="F652" s="13" t="n">
        <v>190</v>
      </c>
      <c r="G652" s="13" t="n">
        <v>110</v>
      </c>
      <c r="H652" s="17" t="n">
        <f aca="false">IF(OR(E652="",F652=""),"",E652*F652)</f>
        <v>190</v>
      </c>
      <c r="I652" s="17" t="n">
        <f aca="false">IF(OR(E652="",G652=""),"",E652*G652)</f>
        <v>110</v>
      </c>
      <c r="J652" s="17" t="n">
        <f aca="false">IF(H652="","",H652-I652)</f>
        <v>80</v>
      </c>
    </row>
    <row r="653" customFormat="false" ht="15" hidden="false" customHeight="true" outlineLevel="0" collapsed="false">
      <c r="A653" s="7" t="s">
        <v>843</v>
      </c>
      <c r="B653" s="18" t="n">
        <f aca="false">IF(A653="","",IFERROR(INDEX(Sales_Memo!$B$2:$B$1001,MATCH(A653,Sales_Memo!$A$2:$A$1001,0)),""))</f>
        <v>46288</v>
      </c>
      <c r="C653" s="7" t="s">
        <v>90</v>
      </c>
      <c r="D653" s="16" t="str">
        <f aca="false">IF(C653="","",IFERROR(INDEX(Products!$B$2:$B$501,MATCH(C653,Products!$A$2:$A$501,0)),"CODE NOT FOUND"))</f>
        <v>Air Filter 150cc</v>
      </c>
      <c r="E653" s="7" t="n">
        <v>3</v>
      </c>
      <c r="F653" s="13" t="n">
        <v>340</v>
      </c>
      <c r="G653" s="13" t="n">
        <v>210</v>
      </c>
      <c r="H653" s="17" t="n">
        <f aca="false">IF(OR(E653="",F653=""),"",E653*F653)</f>
        <v>1020</v>
      </c>
      <c r="I653" s="17" t="n">
        <f aca="false">IF(OR(E653="",G653=""),"",E653*G653)</f>
        <v>630</v>
      </c>
      <c r="J653" s="17" t="n">
        <f aca="false">IF(H653="","",H653-I653)</f>
        <v>390</v>
      </c>
    </row>
    <row r="654" customFormat="false" ht="15" hidden="false" customHeight="true" outlineLevel="0" collapsed="false">
      <c r="A654" s="7" t="s">
        <v>844</v>
      </c>
      <c r="B654" s="18" t="n">
        <f aca="false">IF(A654="","",IFERROR(INDEX(Sales_Memo!$B$2:$B$1001,MATCH(A654,Sales_Memo!$A$2:$A$1001,0)),""))</f>
        <v>46288</v>
      </c>
      <c r="C654" s="7" t="s">
        <v>102</v>
      </c>
      <c r="D654" s="16" t="str">
        <f aca="false">IF(C654="","",IFERROR(INDEX(Products!$B$2:$B$501,MATCH(C654,Products!$A$2:$A$501,0)),"CODE NOT FOUND"))</f>
        <v>Headlight Bulb H4</v>
      </c>
      <c r="E654" s="7" t="n">
        <v>2</v>
      </c>
      <c r="F654" s="13" t="n">
        <v>240</v>
      </c>
      <c r="G654" s="13" t="n">
        <v>140</v>
      </c>
      <c r="H654" s="17" t="n">
        <f aca="false">IF(OR(E654="",F654=""),"",E654*F654)</f>
        <v>480</v>
      </c>
      <c r="I654" s="17" t="n">
        <f aca="false">IF(OR(E654="",G654=""),"",E654*G654)</f>
        <v>280</v>
      </c>
      <c r="J654" s="17" t="n">
        <f aca="false">IF(H654="","",H654-I654)</f>
        <v>200</v>
      </c>
    </row>
    <row r="655" customFormat="false" ht="15" hidden="false" customHeight="true" outlineLevel="0" collapsed="false">
      <c r="A655" s="7" t="s">
        <v>844</v>
      </c>
      <c r="B655" s="18" t="n">
        <f aca="false">IF(A655="","",IFERROR(INDEX(Sales_Memo!$B$2:$B$1001,MATCH(A655,Sales_Memo!$A$2:$A$1001,0)),""))</f>
        <v>46288</v>
      </c>
      <c r="C655" s="7" t="s">
        <v>90</v>
      </c>
      <c r="D655" s="16" t="str">
        <f aca="false">IF(C655="","",IFERROR(INDEX(Products!$B$2:$B$501,MATCH(C655,Products!$A$2:$A$501,0)),"CODE NOT FOUND"))</f>
        <v>Air Filter 150cc</v>
      </c>
      <c r="E655" s="7" t="n">
        <v>1</v>
      </c>
      <c r="F655" s="13" t="n">
        <v>340</v>
      </c>
      <c r="G655" s="13" t="n">
        <v>210</v>
      </c>
      <c r="H655" s="17" t="n">
        <f aca="false">IF(OR(E655="",F655=""),"",E655*F655)</f>
        <v>340</v>
      </c>
      <c r="I655" s="17" t="n">
        <f aca="false">IF(OR(E655="",G655=""),"",E655*G655)</f>
        <v>210</v>
      </c>
      <c r="J655" s="17" t="n">
        <f aca="false">IF(H655="","",H655-I655)</f>
        <v>130</v>
      </c>
    </row>
    <row r="656" customFormat="false" ht="15" hidden="false" customHeight="true" outlineLevel="0" collapsed="false">
      <c r="A656" s="7" t="s">
        <v>845</v>
      </c>
      <c r="B656" s="18" t="n">
        <f aca="false">IF(A656="","",IFERROR(INDEX(Sales_Memo!$B$2:$B$1001,MATCH(A656,Sales_Memo!$A$2:$A$1001,0)),""))</f>
        <v>46288</v>
      </c>
      <c r="C656" s="7" t="s">
        <v>82</v>
      </c>
      <c r="D656" s="16" t="str">
        <f aca="false">IF(C656="","",IFERROR(INDEX(Products!$B$2:$B$501,MATCH(C656,Products!$A$2:$A$501,0)),"CODE NOT FOUND"))</f>
        <v>Clutch Cable</v>
      </c>
      <c r="E656" s="7" t="n">
        <v>1</v>
      </c>
      <c r="F656" s="13" t="n">
        <v>190</v>
      </c>
      <c r="G656" s="13" t="n">
        <v>110</v>
      </c>
      <c r="H656" s="17" t="n">
        <f aca="false">IF(OR(E656="",F656=""),"",E656*F656)</f>
        <v>190</v>
      </c>
      <c r="I656" s="17" t="n">
        <f aca="false">IF(OR(E656="",G656=""),"",E656*G656)</f>
        <v>110</v>
      </c>
      <c r="J656" s="17" t="n">
        <f aca="false">IF(H656="","",H656-I656)</f>
        <v>80</v>
      </c>
    </row>
    <row r="657" customFormat="false" ht="15" hidden="false" customHeight="true" outlineLevel="0" collapsed="false">
      <c r="A657" s="7" t="s">
        <v>846</v>
      </c>
      <c r="B657" s="18" t="n">
        <f aca="false">IF(A657="","",IFERROR(INDEX(Sales_Memo!$B$2:$B$1001,MATCH(A657,Sales_Memo!$A$2:$A$1001,0)),""))</f>
        <v>46288</v>
      </c>
      <c r="C657" s="7" t="s">
        <v>90</v>
      </c>
      <c r="D657" s="16" t="str">
        <f aca="false">IF(C657="","",IFERROR(INDEX(Products!$B$2:$B$501,MATCH(C657,Products!$A$2:$A$501,0)),"CODE NOT FOUND"))</f>
        <v>Air Filter 150cc</v>
      </c>
      <c r="E657" s="7" t="n">
        <v>3</v>
      </c>
      <c r="F657" s="13" t="n">
        <v>340</v>
      </c>
      <c r="G657" s="13" t="n">
        <v>210</v>
      </c>
      <c r="H657" s="17" t="n">
        <f aca="false">IF(OR(E657="",F657=""),"",E657*F657)</f>
        <v>1020</v>
      </c>
      <c r="I657" s="17" t="n">
        <f aca="false">IF(OR(E657="",G657=""),"",E657*G657)</f>
        <v>630</v>
      </c>
      <c r="J657" s="17" t="n">
        <f aca="false">IF(H657="","",H657-I657)</f>
        <v>390</v>
      </c>
    </row>
    <row r="658" customFormat="false" ht="15" hidden="false" customHeight="true" outlineLevel="0" collapsed="false">
      <c r="A658" s="7" t="s">
        <v>847</v>
      </c>
      <c r="B658" s="18" t="n">
        <f aca="false">IF(A658="","",IFERROR(INDEX(Sales_Memo!$B$2:$B$1001,MATCH(A658,Sales_Memo!$A$2:$A$1001,0)),""))</f>
        <v>46288</v>
      </c>
      <c r="C658" s="7" t="s">
        <v>86</v>
      </c>
      <c r="D658" s="16" t="str">
        <f aca="false">IF(C658="","",IFERROR(INDEX(Products!$B$2:$B$501,MATCH(C658,Products!$A$2:$A$501,0)),"CODE NOT FOUND"))</f>
        <v>Spark Plug CPR8EA-9</v>
      </c>
      <c r="E658" s="7" t="n">
        <v>2</v>
      </c>
      <c r="F658" s="13" t="n">
        <v>260</v>
      </c>
      <c r="G658" s="13" t="n">
        <v>175</v>
      </c>
      <c r="H658" s="17" t="n">
        <f aca="false">IF(OR(E658="",F658=""),"",E658*F658)</f>
        <v>520</v>
      </c>
      <c r="I658" s="17" t="n">
        <f aca="false">IF(OR(E658="",G658=""),"",E658*G658)</f>
        <v>350</v>
      </c>
      <c r="J658" s="17" t="n">
        <f aca="false">IF(H658="","",H658-I658)</f>
        <v>170</v>
      </c>
    </row>
    <row r="659" customFormat="false" ht="15" hidden="false" customHeight="true" outlineLevel="0" collapsed="false">
      <c r="A659" s="7" t="s">
        <v>847</v>
      </c>
      <c r="B659" s="18" t="n">
        <f aca="false">IF(A659="","",IFERROR(INDEX(Sales_Memo!$B$2:$B$1001,MATCH(A659,Sales_Memo!$A$2:$A$1001,0)),""))</f>
        <v>46288</v>
      </c>
      <c r="C659" s="7" t="s">
        <v>121</v>
      </c>
      <c r="D659" s="16" t="str">
        <f aca="false">IF(C659="","",IFERROR(INDEX(Products!$B$2:$B$501,MATCH(C659,Products!$A$2:$A$501,0)),"CODE NOT FOUND"))</f>
        <v>Handle Grip Set</v>
      </c>
      <c r="E659" s="7" t="n">
        <v>1</v>
      </c>
      <c r="F659" s="13" t="n">
        <v>280</v>
      </c>
      <c r="G659" s="13" t="n">
        <v>160</v>
      </c>
      <c r="H659" s="17" t="n">
        <f aca="false">IF(OR(E659="",F659=""),"",E659*F659)</f>
        <v>280</v>
      </c>
      <c r="I659" s="17" t="n">
        <f aca="false">IF(OR(E659="",G659=""),"",E659*G659)</f>
        <v>160</v>
      </c>
      <c r="J659" s="17" t="n">
        <f aca="false">IF(H659="","",H659-I659)</f>
        <v>120</v>
      </c>
    </row>
    <row r="660" customFormat="false" ht="15" hidden="false" customHeight="true" outlineLevel="0" collapsed="false">
      <c r="A660" s="7" t="s">
        <v>847</v>
      </c>
      <c r="B660" s="18" t="n">
        <f aca="false">IF(A660="","",IFERROR(INDEX(Sales_Memo!$B$2:$B$1001,MATCH(A660,Sales_Memo!$A$2:$A$1001,0)),""))</f>
        <v>46288</v>
      </c>
      <c r="C660" s="7" t="s">
        <v>119</v>
      </c>
      <c r="D660" s="16" t="str">
        <f aca="false">IF(C660="","",IFERROR(INDEX(Products!$B$2:$B$501,MATCH(C660,Products!$A$2:$A$501,0)),"CODE NOT FOUND"))</f>
        <v>Chain Lube Spray</v>
      </c>
      <c r="E660" s="7" t="n">
        <v>3</v>
      </c>
      <c r="F660" s="13" t="n">
        <v>270</v>
      </c>
      <c r="G660" s="13" t="n">
        <v>170</v>
      </c>
      <c r="H660" s="17" t="n">
        <f aca="false">IF(OR(E660="",F660=""),"",E660*F660)</f>
        <v>810</v>
      </c>
      <c r="I660" s="17" t="n">
        <f aca="false">IF(OR(E660="",G660=""),"",E660*G660)</f>
        <v>510</v>
      </c>
      <c r="J660" s="17" t="n">
        <f aca="false">IF(H660="","",H660-I660)</f>
        <v>300</v>
      </c>
    </row>
    <row r="661" customFormat="false" ht="15" hidden="false" customHeight="true" outlineLevel="0" collapsed="false">
      <c r="A661" s="7" t="s">
        <v>848</v>
      </c>
      <c r="B661" s="18" t="n">
        <f aca="false">IF(A661="","",IFERROR(INDEX(Sales_Memo!$B$2:$B$1001,MATCH(A661,Sales_Memo!$A$2:$A$1001,0)),""))</f>
        <v>46288</v>
      </c>
      <c r="C661" s="7" t="s">
        <v>119</v>
      </c>
      <c r="D661" s="16" t="str">
        <f aca="false">IF(C661="","",IFERROR(INDEX(Products!$B$2:$B$501,MATCH(C661,Products!$A$2:$A$501,0)),"CODE NOT FOUND"))</f>
        <v>Chain Lube Spray</v>
      </c>
      <c r="E661" s="7" t="n">
        <v>1</v>
      </c>
      <c r="F661" s="13" t="n">
        <v>270</v>
      </c>
      <c r="G661" s="13" t="n">
        <v>170</v>
      </c>
      <c r="H661" s="17" t="n">
        <f aca="false">IF(OR(E661="",F661=""),"",E661*F661)</f>
        <v>270</v>
      </c>
      <c r="I661" s="17" t="n">
        <f aca="false">IF(OR(E661="",G661=""),"",E661*G661)</f>
        <v>170</v>
      </c>
      <c r="J661" s="17" t="n">
        <f aca="false">IF(H661="","",H661-I661)</f>
        <v>100</v>
      </c>
    </row>
    <row r="662" customFormat="false" ht="15" hidden="false" customHeight="true" outlineLevel="0" collapsed="false">
      <c r="A662" s="7" t="s">
        <v>849</v>
      </c>
      <c r="B662" s="18" t="n">
        <f aca="false">IF(A662="","",IFERROR(INDEX(Sales_Memo!$B$2:$B$1001,MATCH(A662,Sales_Memo!$A$2:$A$1001,0)),""))</f>
        <v>46289</v>
      </c>
      <c r="C662" s="7" t="s">
        <v>90</v>
      </c>
      <c r="D662" s="16" t="str">
        <f aca="false">IF(C662="","",IFERROR(INDEX(Products!$B$2:$B$501,MATCH(C662,Products!$A$2:$A$501,0)),"CODE NOT FOUND"))</f>
        <v>Air Filter 150cc</v>
      </c>
      <c r="E662" s="7" t="n">
        <v>1</v>
      </c>
      <c r="F662" s="13" t="n">
        <v>340</v>
      </c>
      <c r="G662" s="13" t="n">
        <v>210</v>
      </c>
      <c r="H662" s="17" t="n">
        <f aca="false">IF(OR(E662="",F662=""),"",E662*F662)</f>
        <v>340</v>
      </c>
      <c r="I662" s="17" t="n">
        <f aca="false">IF(OR(E662="",G662=""),"",E662*G662)</f>
        <v>210</v>
      </c>
      <c r="J662" s="17" t="n">
        <f aca="false">IF(H662="","",H662-I662)</f>
        <v>130</v>
      </c>
    </row>
    <row r="663" customFormat="false" ht="15" hidden="false" customHeight="true" outlineLevel="0" collapsed="false">
      <c r="A663" s="7" t="s">
        <v>849</v>
      </c>
      <c r="B663" s="18" t="n">
        <f aca="false">IF(A663="","",IFERROR(INDEX(Sales_Memo!$B$2:$B$1001,MATCH(A663,Sales_Memo!$A$2:$A$1001,0)),""))</f>
        <v>46289</v>
      </c>
      <c r="C663" s="7" t="s">
        <v>119</v>
      </c>
      <c r="D663" s="16" t="str">
        <f aca="false">IF(C663="","",IFERROR(INDEX(Products!$B$2:$B$501,MATCH(C663,Products!$A$2:$A$501,0)),"CODE NOT FOUND"))</f>
        <v>Chain Lube Spray</v>
      </c>
      <c r="E663" s="7" t="n">
        <v>1</v>
      </c>
      <c r="F663" s="13" t="n">
        <v>270</v>
      </c>
      <c r="G663" s="13" t="n">
        <v>170</v>
      </c>
      <c r="H663" s="17" t="n">
        <f aca="false">IF(OR(E663="",F663=""),"",E663*F663)</f>
        <v>270</v>
      </c>
      <c r="I663" s="17" t="n">
        <f aca="false">IF(OR(E663="",G663=""),"",E663*G663)</f>
        <v>170</v>
      </c>
      <c r="J663" s="17" t="n">
        <f aca="false">IF(H663="","",H663-I663)</f>
        <v>100</v>
      </c>
    </row>
    <row r="664" customFormat="false" ht="15" hidden="false" customHeight="true" outlineLevel="0" collapsed="false">
      <c r="A664" s="7" t="s">
        <v>849</v>
      </c>
      <c r="B664" s="18" t="n">
        <f aca="false">IF(A664="","",IFERROR(INDEX(Sales_Memo!$B$2:$B$1001,MATCH(A664,Sales_Memo!$A$2:$A$1001,0)),""))</f>
        <v>46289</v>
      </c>
      <c r="C664" s="7" t="s">
        <v>82</v>
      </c>
      <c r="D664" s="16" t="str">
        <f aca="false">IF(C664="","",IFERROR(INDEX(Products!$B$2:$B$501,MATCH(C664,Products!$A$2:$A$501,0)),"CODE NOT FOUND"))</f>
        <v>Clutch Cable</v>
      </c>
      <c r="E664" s="7" t="n">
        <v>3</v>
      </c>
      <c r="F664" s="13" t="n">
        <v>190</v>
      </c>
      <c r="G664" s="13" t="n">
        <v>110</v>
      </c>
      <c r="H664" s="17" t="n">
        <f aca="false">IF(OR(E664="",F664=""),"",E664*F664)</f>
        <v>570</v>
      </c>
      <c r="I664" s="17" t="n">
        <f aca="false">IF(OR(E664="",G664=""),"",E664*G664)</f>
        <v>330</v>
      </c>
      <c r="J664" s="17" t="n">
        <f aca="false">IF(H664="","",H664-I664)</f>
        <v>240</v>
      </c>
    </row>
    <row r="665" customFormat="false" ht="15" hidden="false" customHeight="true" outlineLevel="0" collapsed="false">
      <c r="A665" s="7" t="s">
        <v>850</v>
      </c>
      <c r="B665" s="18" t="n">
        <f aca="false">IF(A665="","",IFERROR(INDEX(Sales_Memo!$B$2:$B$1001,MATCH(A665,Sales_Memo!$A$2:$A$1001,0)),""))</f>
        <v>46289</v>
      </c>
      <c r="C665" s="7" t="s">
        <v>114</v>
      </c>
      <c r="D665" s="16" t="str">
        <f aca="false">IF(C665="","",IFERROR(INDEX(Products!$B$2:$B$501,MATCH(C665,Products!$A$2:$A$501,0)),"CODE NOT FOUND"))</f>
        <v>Side Mirror (Pair)</v>
      </c>
      <c r="E665" s="7" t="n">
        <v>1</v>
      </c>
      <c r="F665" s="13" t="n">
        <v>620</v>
      </c>
      <c r="G665" s="13" t="n">
        <v>380</v>
      </c>
      <c r="H665" s="17" t="n">
        <f aca="false">IF(OR(E665="",F665=""),"",E665*F665)</f>
        <v>620</v>
      </c>
      <c r="I665" s="17" t="n">
        <f aca="false">IF(OR(E665="",G665=""),"",E665*G665)</f>
        <v>380</v>
      </c>
      <c r="J665" s="17" t="n">
        <f aca="false">IF(H665="","",H665-I665)</f>
        <v>240</v>
      </c>
    </row>
    <row r="666" customFormat="false" ht="15" hidden="false" customHeight="true" outlineLevel="0" collapsed="false">
      <c r="A666" s="7" t="s">
        <v>850</v>
      </c>
      <c r="B666" s="18" t="n">
        <f aca="false">IF(A666="","",IFERROR(INDEX(Sales_Memo!$B$2:$B$1001,MATCH(A666,Sales_Memo!$A$2:$A$1001,0)),""))</f>
        <v>46289</v>
      </c>
      <c r="C666" s="7" t="s">
        <v>86</v>
      </c>
      <c r="D666" s="16" t="str">
        <f aca="false">IF(C666="","",IFERROR(INDEX(Products!$B$2:$B$501,MATCH(C666,Products!$A$2:$A$501,0)),"CODE NOT FOUND"))</f>
        <v>Spark Plug CPR8EA-9</v>
      </c>
      <c r="E666" s="7" t="n">
        <v>2</v>
      </c>
      <c r="F666" s="13" t="n">
        <v>260</v>
      </c>
      <c r="G666" s="13" t="n">
        <v>175</v>
      </c>
      <c r="H666" s="17" t="n">
        <f aca="false">IF(OR(E666="",F666=""),"",E666*F666)</f>
        <v>520</v>
      </c>
      <c r="I666" s="17" t="n">
        <f aca="false">IF(OR(E666="",G666=""),"",E666*G666)</f>
        <v>350</v>
      </c>
      <c r="J666" s="17" t="n">
        <f aca="false">IF(H666="","",H666-I666)</f>
        <v>170</v>
      </c>
    </row>
    <row r="667" customFormat="false" ht="15" hidden="false" customHeight="true" outlineLevel="0" collapsed="false">
      <c r="A667" s="7" t="s">
        <v>851</v>
      </c>
      <c r="B667" s="18" t="n">
        <f aca="false">IF(A667="","",IFERROR(INDEX(Sales_Memo!$B$2:$B$1001,MATCH(A667,Sales_Memo!$A$2:$A$1001,0)),""))</f>
        <v>46289</v>
      </c>
      <c r="C667" s="7" t="s">
        <v>82</v>
      </c>
      <c r="D667" s="16" t="str">
        <f aca="false">IF(C667="","",IFERROR(INDEX(Products!$B$2:$B$501,MATCH(C667,Products!$A$2:$A$501,0)),"CODE NOT FOUND"))</f>
        <v>Clutch Cable</v>
      </c>
      <c r="E667" s="7" t="n">
        <v>1</v>
      </c>
      <c r="F667" s="13" t="n">
        <v>190</v>
      </c>
      <c r="G667" s="13" t="n">
        <v>110</v>
      </c>
      <c r="H667" s="17" t="n">
        <f aca="false">IF(OR(E667="",F667=""),"",E667*F667)</f>
        <v>190</v>
      </c>
      <c r="I667" s="17" t="n">
        <f aca="false">IF(OR(E667="",G667=""),"",E667*G667)</f>
        <v>110</v>
      </c>
      <c r="J667" s="17" t="n">
        <f aca="false">IF(H667="","",H667-I667)</f>
        <v>80</v>
      </c>
    </row>
    <row r="668" customFormat="false" ht="15" hidden="false" customHeight="true" outlineLevel="0" collapsed="false">
      <c r="A668" s="7" t="s">
        <v>852</v>
      </c>
      <c r="B668" s="18" t="n">
        <f aca="false">IF(A668="","",IFERROR(INDEX(Sales_Memo!$B$2:$B$1001,MATCH(A668,Sales_Memo!$A$2:$A$1001,0)),""))</f>
        <v>46289</v>
      </c>
      <c r="C668" s="7" t="s">
        <v>96</v>
      </c>
      <c r="D668" s="16" t="str">
        <f aca="false">IF(C668="","",IFERROR(INDEX(Products!$B$2:$B$501,MATCH(C668,Products!$A$2:$A$501,0)),"CODE NOT FOUND"))</f>
        <v>Engine Oil 10W-30 (1L)</v>
      </c>
      <c r="E668" s="7" t="n">
        <v>1</v>
      </c>
      <c r="F668" s="13" t="n">
        <v>780</v>
      </c>
      <c r="G668" s="13" t="n">
        <v>620</v>
      </c>
      <c r="H668" s="17" t="n">
        <f aca="false">IF(OR(E668="",F668=""),"",E668*F668)</f>
        <v>780</v>
      </c>
      <c r="I668" s="17" t="n">
        <f aca="false">IF(OR(E668="",G668=""),"",E668*G668)</f>
        <v>620</v>
      </c>
      <c r="J668" s="17" t="n">
        <f aca="false">IF(H668="","",H668-I668)</f>
        <v>160</v>
      </c>
    </row>
    <row r="669" customFormat="false" ht="15" hidden="false" customHeight="true" outlineLevel="0" collapsed="false">
      <c r="A669" s="7" t="s">
        <v>852</v>
      </c>
      <c r="B669" s="18" t="n">
        <f aca="false">IF(A669="","",IFERROR(INDEX(Sales_Memo!$B$2:$B$1001,MATCH(A669,Sales_Memo!$A$2:$A$1001,0)),""))</f>
        <v>46289</v>
      </c>
      <c r="C669" s="7" t="s">
        <v>90</v>
      </c>
      <c r="D669" s="16" t="str">
        <f aca="false">IF(C669="","",IFERROR(INDEX(Products!$B$2:$B$501,MATCH(C669,Products!$A$2:$A$501,0)),"CODE NOT FOUND"))</f>
        <v>Air Filter 150cc</v>
      </c>
      <c r="E669" s="7" t="n">
        <v>1</v>
      </c>
      <c r="F669" s="13" t="n">
        <v>340</v>
      </c>
      <c r="G669" s="13" t="n">
        <v>210</v>
      </c>
      <c r="H669" s="17" t="n">
        <f aca="false">IF(OR(E669="",F669=""),"",E669*F669)</f>
        <v>340</v>
      </c>
      <c r="I669" s="17" t="n">
        <f aca="false">IF(OR(E669="",G669=""),"",E669*G669)</f>
        <v>210</v>
      </c>
      <c r="J669" s="17" t="n">
        <f aca="false">IF(H669="","",H669-I669)</f>
        <v>130</v>
      </c>
    </row>
    <row r="670" customFormat="false" ht="15" hidden="false" customHeight="true" outlineLevel="0" collapsed="false">
      <c r="A670" s="7" t="s">
        <v>852</v>
      </c>
      <c r="B670" s="18" t="n">
        <f aca="false">IF(A670="","",IFERROR(INDEX(Sales_Memo!$B$2:$B$1001,MATCH(A670,Sales_Memo!$A$2:$A$1001,0)),""))</f>
        <v>46289</v>
      </c>
      <c r="C670" s="7" t="s">
        <v>82</v>
      </c>
      <c r="D670" s="16" t="str">
        <f aca="false">IF(C670="","",IFERROR(INDEX(Products!$B$2:$B$501,MATCH(C670,Products!$A$2:$A$501,0)),"CODE NOT FOUND"))</f>
        <v>Clutch Cable</v>
      </c>
      <c r="E670" s="7" t="n">
        <v>3</v>
      </c>
      <c r="F670" s="13" t="n">
        <v>190</v>
      </c>
      <c r="G670" s="13" t="n">
        <v>110</v>
      </c>
      <c r="H670" s="17" t="n">
        <f aca="false">IF(OR(E670="",F670=""),"",E670*F670)</f>
        <v>570</v>
      </c>
      <c r="I670" s="17" t="n">
        <f aca="false">IF(OR(E670="",G670=""),"",E670*G670)</f>
        <v>330</v>
      </c>
      <c r="J670" s="17" t="n">
        <f aca="false">IF(H670="","",H670-I670)</f>
        <v>240</v>
      </c>
    </row>
    <row r="671" customFormat="false" ht="15" hidden="false" customHeight="true" outlineLevel="0" collapsed="false">
      <c r="A671" s="7" t="s">
        <v>854</v>
      </c>
      <c r="B671" s="18" t="n">
        <f aca="false">IF(A671="","",IFERROR(INDEX(Sales_Memo!$B$2:$B$1001,MATCH(A671,Sales_Memo!$A$2:$A$1001,0)),""))</f>
        <v>46289</v>
      </c>
      <c r="C671" s="7" t="s">
        <v>99</v>
      </c>
      <c r="D671" s="16" t="str">
        <f aca="false">IF(C671="","",IFERROR(INDEX(Products!$B$2:$B$501,MATCH(C671,Products!$A$2:$A$501,0)),"CODE NOT FOUND"))</f>
        <v>Engine Oil 20W-50 (1L)</v>
      </c>
      <c r="E671" s="7" t="n">
        <v>3</v>
      </c>
      <c r="F671" s="13" t="n">
        <v>990</v>
      </c>
      <c r="G671" s="13" t="n">
        <v>780</v>
      </c>
      <c r="H671" s="17" t="n">
        <f aca="false">IF(OR(E671="",F671=""),"",E671*F671)</f>
        <v>2970</v>
      </c>
      <c r="I671" s="17" t="n">
        <f aca="false">IF(OR(E671="",G671=""),"",E671*G671)</f>
        <v>2340</v>
      </c>
      <c r="J671" s="17" t="n">
        <f aca="false">IF(H671="","",H671-I671)</f>
        <v>630</v>
      </c>
    </row>
    <row r="672" customFormat="false" ht="15" hidden="false" customHeight="true" outlineLevel="0" collapsed="false">
      <c r="A672" s="7" t="s">
        <v>854</v>
      </c>
      <c r="B672" s="18" t="n">
        <f aca="false">IF(A672="","",IFERROR(INDEX(Sales_Memo!$B$2:$B$1001,MATCH(A672,Sales_Memo!$A$2:$A$1001,0)),""))</f>
        <v>46289</v>
      </c>
      <c r="C672" s="7" t="s">
        <v>119</v>
      </c>
      <c r="D672" s="16" t="str">
        <f aca="false">IF(C672="","",IFERROR(INDEX(Products!$B$2:$B$501,MATCH(C672,Products!$A$2:$A$501,0)),"CODE NOT FOUND"))</f>
        <v>Chain Lube Spray</v>
      </c>
      <c r="E672" s="7" t="n">
        <v>2</v>
      </c>
      <c r="F672" s="13" t="n">
        <v>270</v>
      </c>
      <c r="G672" s="13" t="n">
        <v>170</v>
      </c>
      <c r="H672" s="17" t="n">
        <f aca="false">IF(OR(E672="",F672=""),"",E672*F672)</f>
        <v>540</v>
      </c>
      <c r="I672" s="17" t="n">
        <f aca="false">IF(OR(E672="",G672=""),"",E672*G672)</f>
        <v>340</v>
      </c>
      <c r="J672" s="17" t="n">
        <f aca="false">IF(H672="","",H672-I672)</f>
        <v>200</v>
      </c>
    </row>
    <row r="673" customFormat="false" ht="15" hidden="false" customHeight="true" outlineLevel="0" collapsed="false">
      <c r="A673" s="7" t="s">
        <v>856</v>
      </c>
      <c r="B673" s="18" t="n">
        <f aca="false">IF(A673="","",IFERROR(INDEX(Sales_Memo!$B$2:$B$1001,MATCH(A673,Sales_Memo!$A$2:$A$1001,0)),""))</f>
        <v>46289</v>
      </c>
      <c r="C673" s="7" t="s">
        <v>82</v>
      </c>
      <c r="D673" s="16" t="str">
        <f aca="false">IF(C673="","",IFERROR(INDEX(Products!$B$2:$B$501,MATCH(C673,Products!$A$2:$A$501,0)),"CODE NOT FOUND"))</f>
        <v>Clutch Cable</v>
      </c>
      <c r="E673" s="7" t="n">
        <v>2</v>
      </c>
      <c r="F673" s="13" t="n">
        <v>190</v>
      </c>
      <c r="G673" s="13" t="n">
        <v>110</v>
      </c>
      <c r="H673" s="17" t="n">
        <f aca="false">IF(OR(E673="",F673=""),"",E673*F673)</f>
        <v>380</v>
      </c>
      <c r="I673" s="17" t="n">
        <f aca="false">IF(OR(E673="",G673=""),"",E673*G673)</f>
        <v>220</v>
      </c>
      <c r="J673" s="17" t="n">
        <f aca="false">IF(H673="","",H673-I673)</f>
        <v>160</v>
      </c>
    </row>
    <row r="674" customFormat="false" ht="15" hidden="false" customHeight="true" outlineLevel="0" collapsed="false">
      <c r="A674" s="7" t="s">
        <v>857</v>
      </c>
      <c r="B674" s="18" t="n">
        <f aca="false">IF(A674="","",IFERROR(INDEX(Sales_Memo!$B$2:$B$1001,MATCH(A674,Sales_Memo!$A$2:$A$1001,0)),""))</f>
        <v>46289</v>
      </c>
      <c r="C674" s="7" t="s">
        <v>105</v>
      </c>
      <c r="D674" s="16" t="str">
        <f aca="false">IF(C674="","",IFERROR(INDEX(Products!$B$2:$B$501,MATCH(C674,Products!$A$2:$A$501,0)),"CODE NOT FOUND"))</f>
        <v>Battery 12V 5Ah</v>
      </c>
      <c r="E674" s="7" t="n">
        <v>1</v>
      </c>
      <c r="F674" s="13" t="n">
        <v>2950</v>
      </c>
      <c r="G674" s="13" t="n">
        <v>2350</v>
      </c>
      <c r="H674" s="17" t="n">
        <f aca="false">IF(OR(E674="",F674=""),"",E674*F674)</f>
        <v>2950</v>
      </c>
      <c r="I674" s="17" t="n">
        <f aca="false">IF(OR(E674="",G674=""),"",E674*G674)</f>
        <v>2350</v>
      </c>
      <c r="J674" s="17" t="n">
        <f aca="false">IF(H674="","",H674-I674)</f>
        <v>600</v>
      </c>
    </row>
    <row r="675" customFormat="false" ht="15" hidden="false" customHeight="true" outlineLevel="0" collapsed="false">
      <c r="A675" s="7" t="s">
        <v>857</v>
      </c>
      <c r="B675" s="18" t="n">
        <f aca="false">IF(A675="","",IFERROR(INDEX(Sales_Memo!$B$2:$B$1001,MATCH(A675,Sales_Memo!$A$2:$A$1001,0)),""))</f>
        <v>46289</v>
      </c>
      <c r="C675" s="7" t="s">
        <v>119</v>
      </c>
      <c r="D675" s="16" t="str">
        <f aca="false">IF(C675="","",IFERROR(INDEX(Products!$B$2:$B$501,MATCH(C675,Products!$A$2:$A$501,0)),"CODE NOT FOUND"))</f>
        <v>Chain Lube Spray</v>
      </c>
      <c r="E675" s="7" t="n">
        <v>2</v>
      </c>
      <c r="F675" s="13" t="n">
        <v>270</v>
      </c>
      <c r="G675" s="13" t="n">
        <v>170</v>
      </c>
      <c r="H675" s="17" t="n">
        <f aca="false">IF(OR(E675="",F675=""),"",E675*F675)</f>
        <v>540</v>
      </c>
      <c r="I675" s="17" t="n">
        <f aca="false">IF(OR(E675="",G675=""),"",E675*G675)</f>
        <v>340</v>
      </c>
      <c r="J675" s="17" t="n">
        <f aca="false">IF(H675="","",H675-I675)</f>
        <v>200</v>
      </c>
    </row>
    <row r="676" customFormat="false" ht="15" hidden="false" customHeight="true" outlineLevel="0" collapsed="false">
      <c r="A676" s="7" t="s">
        <v>859</v>
      </c>
      <c r="B676" s="18" t="n">
        <f aca="false">IF(A676="","",IFERROR(INDEX(Sales_Memo!$B$2:$B$1001,MATCH(A676,Sales_Memo!$A$2:$A$1001,0)),""))</f>
        <v>46289</v>
      </c>
      <c r="C676" s="7" t="s">
        <v>121</v>
      </c>
      <c r="D676" s="16" t="str">
        <f aca="false">IF(C676="","",IFERROR(INDEX(Products!$B$2:$B$501,MATCH(C676,Products!$A$2:$A$501,0)),"CODE NOT FOUND"))</f>
        <v>Handle Grip Set</v>
      </c>
      <c r="E676" s="7" t="n">
        <v>2</v>
      </c>
      <c r="F676" s="13" t="n">
        <v>280</v>
      </c>
      <c r="G676" s="13" t="n">
        <v>160</v>
      </c>
      <c r="H676" s="17" t="n">
        <f aca="false">IF(OR(E676="",F676=""),"",E676*F676)</f>
        <v>560</v>
      </c>
      <c r="I676" s="17" t="n">
        <f aca="false">IF(OR(E676="",G676=""),"",E676*G676)</f>
        <v>320</v>
      </c>
      <c r="J676" s="17" t="n">
        <f aca="false">IF(H676="","",H676-I676)</f>
        <v>240</v>
      </c>
    </row>
    <row r="677" customFormat="false" ht="15" hidden="false" customHeight="true" outlineLevel="0" collapsed="false">
      <c r="A677" s="7" t="s">
        <v>860</v>
      </c>
      <c r="B677" s="18" t="n">
        <f aca="false">IF(A677="","",IFERROR(INDEX(Sales_Memo!$B$2:$B$1001,MATCH(A677,Sales_Memo!$A$2:$A$1001,0)),""))</f>
        <v>46289</v>
      </c>
      <c r="C677" s="7" t="s">
        <v>99</v>
      </c>
      <c r="D677" s="16" t="str">
        <f aca="false">IF(C677="","",IFERROR(INDEX(Products!$B$2:$B$501,MATCH(C677,Products!$A$2:$A$501,0)),"CODE NOT FOUND"))</f>
        <v>Engine Oil 20W-50 (1L)</v>
      </c>
      <c r="E677" s="7" t="n">
        <v>1</v>
      </c>
      <c r="F677" s="13" t="n">
        <v>990</v>
      </c>
      <c r="G677" s="13" t="n">
        <v>780</v>
      </c>
      <c r="H677" s="17" t="n">
        <f aca="false">IF(OR(E677="",F677=""),"",E677*F677)</f>
        <v>990</v>
      </c>
      <c r="I677" s="17" t="n">
        <f aca="false">IF(OR(E677="",G677=""),"",E677*G677)</f>
        <v>780</v>
      </c>
      <c r="J677" s="17" t="n">
        <f aca="false">IF(H677="","",H677-I677)</f>
        <v>210</v>
      </c>
    </row>
    <row r="678" customFormat="false" ht="15" hidden="false" customHeight="true" outlineLevel="0" collapsed="false">
      <c r="A678" s="7" t="s">
        <v>860</v>
      </c>
      <c r="B678" s="18" t="n">
        <f aca="false">IF(A678="","",IFERROR(INDEX(Sales_Memo!$B$2:$B$1001,MATCH(A678,Sales_Memo!$A$2:$A$1001,0)),""))</f>
        <v>46289</v>
      </c>
      <c r="C678" s="7" t="s">
        <v>119</v>
      </c>
      <c r="D678" s="16" t="str">
        <f aca="false">IF(C678="","",IFERROR(INDEX(Products!$B$2:$B$501,MATCH(C678,Products!$A$2:$A$501,0)),"CODE NOT FOUND"))</f>
        <v>Chain Lube Spray</v>
      </c>
      <c r="E678" s="7" t="n">
        <v>2</v>
      </c>
      <c r="F678" s="13" t="n">
        <v>270</v>
      </c>
      <c r="G678" s="13" t="n">
        <v>170</v>
      </c>
      <c r="H678" s="17" t="n">
        <f aca="false">IF(OR(E678="",F678=""),"",E678*F678)</f>
        <v>540</v>
      </c>
      <c r="I678" s="17" t="n">
        <f aca="false">IF(OR(E678="",G678=""),"",E678*G678)</f>
        <v>340</v>
      </c>
      <c r="J678" s="17" t="n">
        <f aca="false">IF(H678="","",H678-I678)</f>
        <v>200</v>
      </c>
    </row>
    <row r="679" customFormat="false" ht="15" hidden="false" customHeight="true" outlineLevel="0" collapsed="false">
      <c r="A679" s="7" t="s">
        <v>861</v>
      </c>
      <c r="B679" s="18" t="n">
        <f aca="false">IF(A679="","",IFERROR(INDEX(Sales_Memo!$B$2:$B$1001,MATCH(A679,Sales_Memo!$A$2:$A$1001,0)),""))</f>
        <v>46291</v>
      </c>
      <c r="C679" s="7" t="s">
        <v>119</v>
      </c>
      <c r="D679" s="16" t="str">
        <f aca="false">IF(C679="","",IFERROR(INDEX(Products!$B$2:$B$501,MATCH(C679,Products!$A$2:$A$501,0)),"CODE NOT FOUND"))</f>
        <v>Chain Lube Spray</v>
      </c>
      <c r="E679" s="7" t="n">
        <v>2</v>
      </c>
      <c r="F679" s="13" t="n">
        <v>270</v>
      </c>
      <c r="G679" s="13" t="n">
        <v>170</v>
      </c>
      <c r="H679" s="17" t="n">
        <f aca="false">IF(OR(E679="",F679=""),"",E679*F679)</f>
        <v>540</v>
      </c>
      <c r="I679" s="17" t="n">
        <f aca="false">IF(OR(E679="",G679=""),"",E679*G679)</f>
        <v>340</v>
      </c>
      <c r="J679" s="17" t="n">
        <f aca="false">IF(H679="","",H679-I679)</f>
        <v>200</v>
      </c>
    </row>
    <row r="680" customFormat="false" ht="15" hidden="false" customHeight="true" outlineLevel="0" collapsed="false">
      <c r="A680" s="7" t="s">
        <v>862</v>
      </c>
      <c r="B680" s="18" t="n">
        <f aca="false">IF(A680="","",IFERROR(INDEX(Sales_Memo!$B$2:$B$1001,MATCH(A680,Sales_Memo!$A$2:$A$1001,0)),""))</f>
        <v>46291</v>
      </c>
      <c r="C680" s="7" t="s">
        <v>102</v>
      </c>
      <c r="D680" s="16" t="str">
        <f aca="false">IF(C680="","",IFERROR(INDEX(Products!$B$2:$B$501,MATCH(C680,Products!$A$2:$A$501,0)),"CODE NOT FOUND"))</f>
        <v>Headlight Bulb H4</v>
      </c>
      <c r="E680" s="7" t="n">
        <v>2</v>
      </c>
      <c r="F680" s="13" t="n">
        <v>240</v>
      </c>
      <c r="G680" s="13" t="n">
        <v>140</v>
      </c>
      <c r="H680" s="17" t="n">
        <f aca="false">IF(OR(E680="",F680=""),"",E680*F680)</f>
        <v>480</v>
      </c>
      <c r="I680" s="17" t="n">
        <f aca="false">IF(OR(E680="",G680=""),"",E680*G680)</f>
        <v>280</v>
      </c>
      <c r="J680" s="17" t="n">
        <f aca="false">IF(H680="","",H680-I680)</f>
        <v>200</v>
      </c>
    </row>
    <row r="681" customFormat="false" ht="15" hidden="false" customHeight="true" outlineLevel="0" collapsed="false">
      <c r="A681" s="7" t="s">
        <v>863</v>
      </c>
      <c r="B681" s="18" t="n">
        <f aca="false">IF(A681="","",IFERROR(INDEX(Sales_Memo!$B$2:$B$1001,MATCH(A681,Sales_Memo!$A$2:$A$1001,0)),""))</f>
        <v>46291</v>
      </c>
      <c r="C681" s="7" t="s">
        <v>119</v>
      </c>
      <c r="D681" s="16" t="str">
        <f aca="false">IF(C681="","",IFERROR(INDEX(Products!$B$2:$B$501,MATCH(C681,Products!$A$2:$A$501,0)),"CODE NOT FOUND"))</f>
        <v>Chain Lube Spray</v>
      </c>
      <c r="E681" s="7" t="n">
        <v>3</v>
      </c>
      <c r="F681" s="13" t="n">
        <v>270</v>
      </c>
      <c r="G681" s="13" t="n">
        <v>170</v>
      </c>
      <c r="H681" s="17" t="n">
        <f aca="false">IF(OR(E681="",F681=""),"",E681*F681)</f>
        <v>810</v>
      </c>
      <c r="I681" s="17" t="n">
        <f aca="false">IF(OR(E681="",G681=""),"",E681*G681)</f>
        <v>510</v>
      </c>
      <c r="J681" s="17" t="n">
        <f aca="false">IF(H681="","",H681-I681)</f>
        <v>300</v>
      </c>
    </row>
    <row r="682" customFormat="false" ht="15" hidden="false" customHeight="true" outlineLevel="0" collapsed="false">
      <c r="A682" s="7" t="s">
        <v>864</v>
      </c>
      <c r="B682" s="18" t="n">
        <f aca="false">IF(A682="","",IFERROR(INDEX(Sales_Memo!$B$2:$B$1001,MATCH(A682,Sales_Memo!$A$2:$A$1001,0)),""))</f>
        <v>46291</v>
      </c>
      <c r="C682" s="7" t="s">
        <v>86</v>
      </c>
      <c r="D682" s="16" t="str">
        <f aca="false">IF(C682="","",IFERROR(INDEX(Products!$B$2:$B$501,MATCH(C682,Products!$A$2:$A$501,0)),"CODE NOT FOUND"))</f>
        <v>Spark Plug CPR8EA-9</v>
      </c>
      <c r="E682" s="7" t="n">
        <v>1</v>
      </c>
      <c r="F682" s="13" t="n">
        <v>260</v>
      </c>
      <c r="G682" s="13" t="n">
        <v>175</v>
      </c>
      <c r="H682" s="17" t="n">
        <f aca="false">IF(OR(E682="",F682=""),"",E682*F682)</f>
        <v>260</v>
      </c>
      <c r="I682" s="17" t="n">
        <f aca="false">IF(OR(E682="",G682=""),"",E682*G682)</f>
        <v>175</v>
      </c>
      <c r="J682" s="17" t="n">
        <f aca="false">IF(H682="","",H682-I682)</f>
        <v>85</v>
      </c>
    </row>
    <row r="683" customFormat="false" ht="15" hidden="false" customHeight="true" outlineLevel="0" collapsed="false">
      <c r="A683" s="7" t="s">
        <v>864</v>
      </c>
      <c r="B683" s="18" t="n">
        <f aca="false">IF(A683="","",IFERROR(INDEX(Sales_Memo!$B$2:$B$1001,MATCH(A683,Sales_Memo!$A$2:$A$1001,0)),""))</f>
        <v>46291</v>
      </c>
      <c r="C683" s="7" t="s">
        <v>99</v>
      </c>
      <c r="D683" s="16" t="str">
        <f aca="false">IF(C683="","",IFERROR(INDEX(Products!$B$2:$B$501,MATCH(C683,Products!$A$2:$A$501,0)),"CODE NOT FOUND"))</f>
        <v>Engine Oil 20W-50 (1L)</v>
      </c>
      <c r="E683" s="7" t="n">
        <v>2</v>
      </c>
      <c r="F683" s="13" t="n">
        <v>990</v>
      </c>
      <c r="G683" s="13" t="n">
        <v>780</v>
      </c>
      <c r="H683" s="17" t="n">
        <f aca="false">IF(OR(E683="",F683=""),"",E683*F683)</f>
        <v>1980</v>
      </c>
      <c r="I683" s="17" t="n">
        <f aca="false">IF(OR(E683="",G683=""),"",E683*G683)</f>
        <v>1560</v>
      </c>
      <c r="J683" s="17" t="n">
        <f aca="false">IF(H683="","",H683-I683)</f>
        <v>420</v>
      </c>
    </row>
    <row r="684" customFormat="false" ht="15" hidden="false" customHeight="true" outlineLevel="0" collapsed="false">
      <c r="A684" s="7" t="s">
        <v>865</v>
      </c>
      <c r="B684" s="18" t="n">
        <f aca="false">IF(A684="","",IFERROR(INDEX(Sales_Memo!$B$2:$B$1001,MATCH(A684,Sales_Memo!$A$2:$A$1001,0)),""))</f>
        <v>46291</v>
      </c>
      <c r="C684" s="7" t="s">
        <v>102</v>
      </c>
      <c r="D684" s="16" t="str">
        <f aca="false">IF(C684="","",IFERROR(INDEX(Products!$B$2:$B$501,MATCH(C684,Products!$A$2:$A$501,0)),"CODE NOT FOUND"))</f>
        <v>Headlight Bulb H4</v>
      </c>
      <c r="E684" s="7" t="n">
        <v>1</v>
      </c>
      <c r="F684" s="13" t="n">
        <v>240</v>
      </c>
      <c r="G684" s="13" t="n">
        <v>140</v>
      </c>
      <c r="H684" s="17" t="n">
        <f aca="false">IF(OR(E684="",F684=""),"",E684*F684)</f>
        <v>240</v>
      </c>
      <c r="I684" s="17" t="n">
        <f aca="false">IF(OR(E684="",G684=""),"",E684*G684)</f>
        <v>140</v>
      </c>
      <c r="J684" s="17" t="n">
        <f aca="false">IF(H684="","",H684-I684)</f>
        <v>100</v>
      </c>
    </row>
    <row r="685" customFormat="false" ht="15" hidden="false" customHeight="true" outlineLevel="0" collapsed="false">
      <c r="A685" s="7" t="s">
        <v>865</v>
      </c>
      <c r="B685" s="18" t="n">
        <f aca="false">IF(A685="","",IFERROR(INDEX(Sales_Memo!$B$2:$B$1001,MATCH(A685,Sales_Memo!$A$2:$A$1001,0)),""))</f>
        <v>46291</v>
      </c>
      <c r="C685" s="7" t="s">
        <v>86</v>
      </c>
      <c r="D685" s="16" t="str">
        <f aca="false">IF(C685="","",IFERROR(INDEX(Products!$B$2:$B$501,MATCH(C685,Products!$A$2:$A$501,0)),"CODE NOT FOUND"))</f>
        <v>Spark Plug CPR8EA-9</v>
      </c>
      <c r="E685" s="7" t="n">
        <v>1</v>
      </c>
      <c r="F685" s="13" t="n">
        <v>260</v>
      </c>
      <c r="G685" s="13" t="n">
        <v>175</v>
      </c>
      <c r="H685" s="17" t="n">
        <f aca="false">IF(OR(E685="",F685=""),"",E685*F685)</f>
        <v>260</v>
      </c>
      <c r="I685" s="17" t="n">
        <f aca="false">IF(OR(E685="",G685=""),"",E685*G685)</f>
        <v>175</v>
      </c>
      <c r="J685" s="17" t="n">
        <f aca="false">IF(H685="","",H685-I685)</f>
        <v>85</v>
      </c>
    </row>
    <row r="686" customFormat="false" ht="15" hidden="false" customHeight="true" outlineLevel="0" collapsed="false">
      <c r="A686" s="7" t="s">
        <v>865</v>
      </c>
      <c r="B686" s="18" t="n">
        <f aca="false">IF(A686="","",IFERROR(INDEX(Sales_Memo!$B$2:$B$1001,MATCH(A686,Sales_Memo!$A$2:$A$1001,0)),""))</f>
        <v>46291</v>
      </c>
      <c r="C686" s="7" t="s">
        <v>82</v>
      </c>
      <c r="D686" s="16" t="str">
        <f aca="false">IF(C686="","",IFERROR(INDEX(Products!$B$2:$B$501,MATCH(C686,Products!$A$2:$A$501,0)),"CODE NOT FOUND"))</f>
        <v>Clutch Cable</v>
      </c>
      <c r="E686" s="7" t="n">
        <v>1</v>
      </c>
      <c r="F686" s="13" t="n">
        <v>190</v>
      </c>
      <c r="G686" s="13" t="n">
        <v>110</v>
      </c>
      <c r="H686" s="17" t="n">
        <f aca="false">IF(OR(E686="",F686=""),"",E686*F686)</f>
        <v>190</v>
      </c>
      <c r="I686" s="17" t="n">
        <f aca="false">IF(OR(E686="",G686=""),"",E686*G686)</f>
        <v>110</v>
      </c>
      <c r="J686" s="17" t="n">
        <f aca="false">IF(H686="","",H686-I686)</f>
        <v>80</v>
      </c>
    </row>
    <row r="687" customFormat="false" ht="15" hidden="false" customHeight="true" outlineLevel="0" collapsed="false">
      <c r="A687" s="7" t="s">
        <v>866</v>
      </c>
      <c r="B687" s="18" t="n">
        <f aca="false">IF(A687="","",IFERROR(INDEX(Sales_Memo!$B$2:$B$1001,MATCH(A687,Sales_Memo!$A$2:$A$1001,0)),""))</f>
        <v>46291</v>
      </c>
      <c r="C687" s="7" t="s">
        <v>121</v>
      </c>
      <c r="D687" s="16" t="str">
        <f aca="false">IF(C687="","",IFERROR(INDEX(Products!$B$2:$B$501,MATCH(C687,Products!$A$2:$A$501,0)),"CODE NOT FOUND"))</f>
        <v>Handle Grip Set</v>
      </c>
      <c r="E687" s="7" t="n">
        <v>3</v>
      </c>
      <c r="F687" s="13" t="n">
        <v>280</v>
      </c>
      <c r="G687" s="13" t="n">
        <v>160</v>
      </c>
      <c r="H687" s="17" t="n">
        <f aca="false">IF(OR(E687="",F687=""),"",E687*F687)</f>
        <v>840</v>
      </c>
      <c r="I687" s="17" t="n">
        <f aca="false">IF(OR(E687="",G687=""),"",E687*G687)</f>
        <v>480</v>
      </c>
      <c r="J687" s="17" t="n">
        <f aca="false">IF(H687="","",H687-I687)</f>
        <v>360</v>
      </c>
    </row>
    <row r="688" customFormat="false" ht="15" hidden="false" customHeight="true" outlineLevel="0" collapsed="false">
      <c r="A688" s="7" t="s">
        <v>867</v>
      </c>
      <c r="B688" s="18" t="n">
        <f aca="false">IF(A688="","",IFERROR(INDEX(Sales_Memo!$B$2:$B$1001,MATCH(A688,Sales_Memo!$A$2:$A$1001,0)),""))</f>
        <v>46291</v>
      </c>
      <c r="C688" s="7" t="s">
        <v>119</v>
      </c>
      <c r="D688" s="16" t="str">
        <f aca="false">IF(C688="","",IFERROR(INDEX(Products!$B$2:$B$501,MATCH(C688,Products!$A$2:$A$501,0)),"CODE NOT FOUND"))</f>
        <v>Chain Lube Spray</v>
      </c>
      <c r="E688" s="7" t="n">
        <v>1</v>
      </c>
      <c r="F688" s="13" t="n">
        <v>270</v>
      </c>
      <c r="G688" s="13" t="n">
        <v>170</v>
      </c>
      <c r="H688" s="17" t="n">
        <f aca="false">IF(OR(E688="",F688=""),"",E688*F688)</f>
        <v>270</v>
      </c>
      <c r="I688" s="17" t="n">
        <f aca="false">IF(OR(E688="",G688=""),"",E688*G688)</f>
        <v>170</v>
      </c>
      <c r="J688" s="17" t="n">
        <f aca="false">IF(H688="","",H688-I688)</f>
        <v>100</v>
      </c>
    </row>
    <row r="689" customFormat="false" ht="15" hidden="false" customHeight="true" outlineLevel="0" collapsed="false">
      <c r="A689" s="7" t="s">
        <v>868</v>
      </c>
      <c r="B689" s="18" t="n">
        <f aca="false">IF(A689="","",IFERROR(INDEX(Sales_Memo!$B$2:$B$1001,MATCH(A689,Sales_Memo!$A$2:$A$1001,0)),""))</f>
        <v>46291</v>
      </c>
      <c r="C689" s="7" t="s">
        <v>114</v>
      </c>
      <c r="D689" s="16" t="str">
        <f aca="false">IF(C689="","",IFERROR(INDEX(Products!$B$2:$B$501,MATCH(C689,Products!$A$2:$A$501,0)),"CODE NOT FOUND"))</f>
        <v>Side Mirror (Pair)</v>
      </c>
      <c r="E689" s="7" t="n">
        <v>3</v>
      </c>
      <c r="F689" s="13" t="n">
        <v>620</v>
      </c>
      <c r="G689" s="13" t="n">
        <v>380</v>
      </c>
      <c r="H689" s="17" t="n">
        <f aca="false">IF(OR(E689="",F689=""),"",E689*F689)</f>
        <v>1860</v>
      </c>
      <c r="I689" s="17" t="n">
        <f aca="false">IF(OR(E689="",G689=""),"",E689*G689)</f>
        <v>1140</v>
      </c>
      <c r="J689" s="17" t="n">
        <f aca="false">IF(H689="","",H689-I689)</f>
        <v>720</v>
      </c>
    </row>
    <row r="690" customFormat="false" ht="15" hidden="false" customHeight="true" outlineLevel="0" collapsed="false">
      <c r="A690" s="7" t="s">
        <v>868</v>
      </c>
      <c r="B690" s="18" t="n">
        <f aca="false">IF(A690="","",IFERROR(INDEX(Sales_Memo!$B$2:$B$1001,MATCH(A690,Sales_Memo!$A$2:$A$1001,0)),""))</f>
        <v>46291</v>
      </c>
      <c r="C690" s="7" t="s">
        <v>102</v>
      </c>
      <c r="D690" s="16" t="str">
        <f aca="false">IF(C690="","",IFERROR(INDEX(Products!$B$2:$B$501,MATCH(C690,Products!$A$2:$A$501,0)),"CODE NOT FOUND"))</f>
        <v>Headlight Bulb H4</v>
      </c>
      <c r="E690" s="7" t="n">
        <v>2</v>
      </c>
      <c r="F690" s="13" t="n">
        <v>240</v>
      </c>
      <c r="G690" s="13" t="n">
        <v>140</v>
      </c>
      <c r="H690" s="17" t="n">
        <f aca="false">IF(OR(E690="",F690=""),"",E690*F690)</f>
        <v>480</v>
      </c>
      <c r="I690" s="17" t="n">
        <f aca="false">IF(OR(E690="",G690=""),"",E690*G690)</f>
        <v>280</v>
      </c>
      <c r="J690" s="17" t="n">
        <f aca="false">IF(H690="","",H690-I690)</f>
        <v>200</v>
      </c>
    </row>
    <row r="691" customFormat="false" ht="15" hidden="false" customHeight="true" outlineLevel="0" collapsed="false">
      <c r="A691" s="7" t="s">
        <v>868</v>
      </c>
      <c r="B691" s="18" t="n">
        <f aca="false">IF(A691="","",IFERROR(INDEX(Sales_Memo!$B$2:$B$1001,MATCH(A691,Sales_Memo!$A$2:$A$1001,0)),""))</f>
        <v>46291</v>
      </c>
      <c r="C691" s="7" t="s">
        <v>82</v>
      </c>
      <c r="D691" s="16" t="str">
        <f aca="false">IF(C691="","",IFERROR(INDEX(Products!$B$2:$B$501,MATCH(C691,Products!$A$2:$A$501,0)),"CODE NOT FOUND"))</f>
        <v>Clutch Cable</v>
      </c>
      <c r="E691" s="7" t="n">
        <v>1</v>
      </c>
      <c r="F691" s="13" t="n">
        <v>190</v>
      </c>
      <c r="G691" s="13" t="n">
        <v>110</v>
      </c>
      <c r="H691" s="17" t="n">
        <f aca="false">IF(OR(E691="",F691=""),"",E691*F691)</f>
        <v>190</v>
      </c>
      <c r="I691" s="17" t="n">
        <f aca="false">IF(OR(E691="",G691=""),"",E691*G691)</f>
        <v>110</v>
      </c>
      <c r="J691" s="17" t="n">
        <f aca="false">IF(H691="","",H691-I691)</f>
        <v>80</v>
      </c>
    </row>
    <row r="692" customFormat="false" ht="15" hidden="false" customHeight="true" outlineLevel="0" collapsed="false">
      <c r="A692" s="7" t="s">
        <v>870</v>
      </c>
      <c r="B692" s="18" t="n">
        <f aca="false">IF(A692="","",IFERROR(INDEX(Sales_Memo!$B$2:$B$1001,MATCH(A692,Sales_Memo!$A$2:$A$1001,0)),""))</f>
        <v>46291</v>
      </c>
      <c r="C692" s="7" t="s">
        <v>82</v>
      </c>
      <c r="D692" s="16" t="str">
        <f aca="false">IF(C692="","",IFERROR(INDEX(Products!$B$2:$B$501,MATCH(C692,Products!$A$2:$A$501,0)),"CODE NOT FOUND"))</f>
        <v>Clutch Cable</v>
      </c>
      <c r="E692" s="7" t="n">
        <v>1</v>
      </c>
      <c r="F692" s="13" t="n">
        <v>190</v>
      </c>
      <c r="G692" s="13" t="n">
        <v>110</v>
      </c>
      <c r="H692" s="17" t="n">
        <f aca="false">IF(OR(E692="",F692=""),"",E692*F692)</f>
        <v>190</v>
      </c>
      <c r="I692" s="17" t="n">
        <f aca="false">IF(OR(E692="",G692=""),"",E692*G692)</f>
        <v>110</v>
      </c>
      <c r="J692" s="17" t="n">
        <f aca="false">IF(H692="","",H692-I692)</f>
        <v>80</v>
      </c>
    </row>
    <row r="693" customFormat="false" ht="15" hidden="false" customHeight="true" outlineLevel="0" collapsed="false">
      <c r="A693" s="7" t="s">
        <v>871</v>
      </c>
      <c r="B693" s="18" t="n">
        <f aca="false">IF(A693="","",IFERROR(INDEX(Sales_Memo!$B$2:$B$1001,MATCH(A693,Sales_Memo!$A$2:$A$1001,0)),""))</f>
        <v>46291</v>
      </c>
      <c r="C693" s="7" t="s">
        <v>86</v>
      </c>
      <c r="D693" s="16" t="str">
        <f aca="false">IF(C693="","",IFERROR(INDEX(Products!$B$2:$B$501,MATCH(C693,Products!$A$2:$A$501,0)),"CODE NOT FOUND"))</f>
        <v>Spark Plug CPR8EA-9</v>
      </c>
      <c r="E693" s="7" t="n">
        <v>2</v>
      </c>
      <c r="F693" s="13" t="n">
        <v>260</v>
      </c>
      <c r="G693" s="13" t="n">
        <v>175</v>
      </c>
      <c r="H693" s="17" t="n">
        <f aca="false">IF(OR(E693="",F693=""),"",E693*F693)</f>
        <v>520</v>
      </c>
      <c r="I693" s="17" t="n">
        <f aca="false">IF(OR(E693="",G693=""),"",E693*G693)</f>
        <v>350</v>
      </c>
      <c r="J693" s="17" t="n">
        <f aca="false">IF(H693="","",H693-I693)</f>
        <v>170</v>
      </c>
    </row>
    <row r="694" customFormat="false" ht="15" hidden="false" customHeight="true" outlineLevel="0" collapsed="false">
      <c r="A694" s="7" t="s">
        <v>871</v>
      </c>
      <c r="B694" s="18" t="n">
        <f aca="false">IF(A694="","",IFERROR(INDEX(Sales_Memo!$B$2:$B$1001,MATCH(A694,Sales_Memo!$A$2:$A$1001,0)),""))</f>
        <v>46291</v>
      </c>
      <c r="C694" s="7" t="s">
        <v>119</v>
      </c>
      <c r="D694" s="16" t="str">
        <f aca="false">IF(C694="","",IFERROR(INDEX(Products!$B$2:$B$501,MATCH(C694,Products!$A$2:$A$501,0)),"CODE NOT FOUND"))</f>
        <v>Chain Lube Spray</v>
      </c>
      <c r="E694" s="7" t="n">
        <v>1</v>
      </c>
      <c r="F694" s="13" t="n">
        <v>270</v>
      </c>
      <c r="G694" s="13" t="n">
        <v>170</v>
      </c>
      <c r="H694" s="17" t="n">
        <f aca="false">IF(OR(E694="",F694=""),"",E694*F694)</f>
        <v>270</v>
      </c>
      <c r="I694" s="17" t="n">
        <f aca="false">IF(OR(E694="",G694=""),"",E694*G694)</f>
        <v>170</v>
      </c>
      <c r="J694" s="17" t="n">
        <f aca="false">IF(H694="","",H694-I694)</f>
        <v>100</v>
      </c>
    </row>
    <row r="695" customFormat="false" ht="15" hidden="false" customHeight="true" outlineLevel="0" collapsed="false">
      <c r="A695" s="7" t="s">
        <v>872</v>
      </c>
      <c r="B695" s="18" t="n">
        <f aca="false">IF(A695="","",IFERROR(INDEX(Sales_Memo!$B$2:$B$1001,MATCH(A695,Sales_Memo!$A$2:$A$1001,0)),""))</f>
        <v>46291</v>
      </c>
      <c r="C695" s="7" t="s">
        <v>86</v>
      </c>
      <c r="D695" s="16" t="str">
        <f aca="false">IF(C695="","",IFERROR(INDEX(Products!$B$2:$B$501,MATCH(C695,Products!$A$2:$A$501,0)),"CODE NOT FOUND"))</f>
        <v>Spark Plug CPR8EA-9</v>
      </c>
      <c r="E695" s="7" t="n">
        <v>3</v>
      </c>
      <c r="F695" s="13" t="n">
        <v>260</v>
      </c>
      <c r="G695" s="13" t="n">
        <v>175</v>
      </c>
      <c r="H695" s="17" t="n">
        <f aca="false">IF(OR(E695="",F695=""),"",E695*F695)</f>
        <v>780</v>
      </c>
      <c r="I695" s="17" t="n">
        <f aca="false">IF(OR(E695="",G695=""),"",E695*G695)</f>
        <v>525</v>
      </c>
      <c r="J695" s="17" t="n">
        <f aca="false">IF(H695="","",H695-I695)</f>
        <v>255</v>
      </c>
    </row>
    <row r="696" customFormat="false" ht="15" hidden="false" customHeight="true" outlineLevel="0" collapsed="false">
      <c r="A696" s="7" t="s">
        <v>873</v>
      </c>
      <c r="B696" s="18" t="n">
        <f aca="false">IF(A696="","",IFERROR(INDEX(Sales_Memo!$B$2:$B$1001,MATCH(A696,Sales_Memo!$A$2:$A$1001,0)),""))</f>
        <v>46291</v>
      </c>
      <c r="C696" s="7" t="s">
        <v>82</v>
      </c>
      <c r="D696" s="16" t="str">
        <f aca="false">IF(C696="","",IFERROR(INDEX(Products!$B$2:$B$501,MATCH(C696,Products!$A$2:$A$501,0)),"CODE NOT FOUND"))</f>
        <v>Clutch Cable</v>
      </c>
      <c r="E696" s="7" t="n">
        <v>2</v>
      </c>
      <c r="F696" s="13" t="n">
        <v>190</v>
      </c>
      <c r="G696" s="13" t="n">
        <v>110</v>
      </c>
      <c r="H696" s="17" t="n">
        <f aca="false">IF(OR(E696="",F696=""),"",E696*F696)</f>
        <v>380</v>
      </c>
      <c r="I696" s="17" t="n">
        <f aca="false">IF(OR(E696="",G696=""),"",E696*G696)</f>
        <v>220</v>
      </c>
      <c r="J696" s="17" t="n">
        <f aca="false">IF(H696="","",H696-I696)</f>
        <v>160</v>
      </c>
    </row>
    <row r="697" customFormat="false" ht="15" hidden="false" customHeight="true" outlineLevel="0" collapsed="false">
      <c r="A697" s="7" t="s">
        <v>873</v>
      </c>
      <c r="B697" s="18" t="n">
        <f aca="false">IF(A697="","",IFERROR(INDEX(Sales_Memo!$B$2:$B$1001,MATCH(A697,Sales_Memo!$A$2:$A$1001,0)),""))</f>
        <v>46291</v>
      </c>
      <c r="C697" s="7" t="s">
        <v>77</v>
      </c>
      <c r="D697" s="16" t="str">
        <f aca="false">IF(C697="","",IFERROR(INDEX(Products!$B$2:$B$501,MATCH(C697,Products!$A$2:$A$501,0)),"CODE NOT FOUND"))</f>
        <v>Brake Pad Set - Front</v>
      </c>
      <c r="E697" s="7" t="n">
        <v>1</v>
      </c>
      <c r="F697" s="13" t="n">
        <v>480</v>
      </c>
      <c r="G697" s="13" t="n">
        <v>320</v>
      </c>
      <c r="H697" s="17" t="n">
        <f aca="false">IF(OR(E697="",F697=""),"",E697*F697)</f>
        <v>480</v>
      </c>
      <c r="I697" s="17" t="n">
        <f aca="false">IF(OR(E697="",G697=""),"",E697*G697)</f>
        <v>320</v>
      </c>
      <c r="J697" s="17" t="n">
        <f aca="false">IF(H697="","",H697-I697)</f>
        <v>160</v>
      </c>
    </row>
    <row r="698" customFormat="false" ht="15" hidden="false" customHeight="true" outlineLevel="0" collapsed="false">
      <c r="A698" s="7" t="s">
        <v>874</v>
      </c>
      <c r="B698" s="18" t="n">
        <f aca="false">IF(A698="","",IFERROR(INDEX(Sales_Memo!$B$2:$B$1001,MATCH(A698,Sales_Memo!$A$2:$A$1001,0)),""))</f>
        <v>46292</v>
      </c>
      <c r="C698" s="7" t="s">
        <v>102</v>
      </c>
      <c r="D698" s="16" t="str">
        <f aca="false">IF(C698="","",IFERROR(INDEX(Products!$B$2:$B$501,MATCH(C698,Products!$A$2:$A$501,0)),"CODE NOT FOUND"))</f>
        <v>Headlight Bulb H4</v>
      </c>
      <c r="E698" s="7" t="n">
        <v>1</v>
      </c>
      <c r="F698" s="13" t="n">
        <v>240</v>
      </c>
      <c r="G698" s="13" t="n">
        <v>140</v>
      </c>
      <c r="H698" s="17" t="n">
        <f aca="false">IF(OR(E698="",F698=""),"",E698*F698)</f>
        <v>240</v>
      </c>
      <c r="I698" s="17" t="n">
        <f aca="false">IF(OR(E698="",G698=""),"",E698*G698)</f>
        <v>140</v>
      </c>
      <c r="J698" s="17" t="n">
        <f aca="false">IF(H698="","",H698-I698)</f>
        <v>100</v>
      </c>
    </row>
    <row r="699" customFormat="false" ht="15" hidden="false" customHeight="true" outlineLevel="0" collapsed="false">
      <c r="A699" s="7" t="s">
        <v>874</v>
      </c>
      <c r="B699" s="18" t="n">
        <f aca="false">IF(A699="","",IFERROR(INDEX(Sales_Memo!$B$2:$B$1001,MATCH(A699,Sales_Memo!$A$2:$A$1001,0)),""))</f>
        <v>46292</v>
      </c>
      <c r="C699" s="7" t="s">
        <v>121</v>
      </c>
      <c r="D699" s="16" t="str">
        <f aca="false">IF(C699="","",IFERROR(INDEX(Products!$B$2:$B$501,MATCH(C699,Products!$A$2:$A$501,0)),"CODE NOT FOUND"))</f>
        <v>Handle Grip Set</v>
      </c>
      <c r="E699" s="7" t="n">
        <v>1</v>
      </c>
      <c r="F699" s="13" t="n">
        <v>280</v>
      </c>
      <c r="G699" s="13" t="n">
        <v>160</v>
      </c>
      <c r="H699" s="17" t="n">
        <f aca="false">IF(OR(E699="",F699=""),"",E699*F699)</f>
        <v>280</v>
      </c>
      <c r="I699" s="17" t="n">
        <f aca="false">IF(OR(E699="",G699=""),"",E699*G699)</f>
        <v>160</v>
      </c>
      <c r="J699" s="17" t="n">
        <f aca="false">IF(H699="","",H699-I699)</f>
        <v>120</v>
      </c>
    </row>
    <row r="700" customFormat="false" ht="15" hidden="false" customHeight="true" outlineLevel="0" collapsed="false">
      <c r="A700" s="7" t="s">
        <v>875</v>
      </c>
      <c r="B700" s="18" t="n">
        <f aca="false">IF(A700="","",IFERROR(INDEX(Sales_Memo!$B$2:$B$1001,MATCH(A700,Sales_Memo!$A$2:$A$1001,0)),""))</f>
        <v>46292</v>
      </c>
      <c r="C700" s="7" t="s">
        <v>121</v>
      </c>
      <c r="D700" s="16" t="str">
        <f aca="false">IF(C700="","",IFERROR(INDEX(Products!$B$2:$B$501,MATCH(C700,Products!$A$2:$A$501,0)),"CODE NOT FOUND"))</f>
        <v>Handle Grip Set</v>
      </c>
      <c r="E700" s="7" t="n">
        <v>1</v>
      </c>
      <c r="F700" s="13" t="n">
        <v>280</v>
      </c>
      <c r="G700" s="13" t="n">
        <v>160</v>
      </c>
      <c r="H700" s="17" t="n">
        <f aca="false">IF(OR(E700="",F700=""),"",E700*F700)</f>
        <v>280</v>
      </c>
      <c r="I700" s="17" t="n">
        <f aca="false">IF(OR(E700="",G700=""),"",E700*G700)</f>
        <v>160</v>
      </c>
      <c r="J700" s="17" t="n">
        <f aca="false">IF(H700="","",H700-I700)</f>
        <v>120</v>
      </c>
    </row>
    <row r="701" customFormat="false" ht="15" hidden="false" customHeight="true" outlineLevel="0" collapsed="false">
      <c r="A701" s="7" t="s">
        <v>875</v>
      </c>
      <c r="B701" s="18" t="n">
        <f aca="false">IF(A701="","",IFERROR(INDEX(Sales_Memo!$B$2:$B$1001,MATCH(A701,Sales_Memo!$A$2:$A$1001,0)),""))</f>
        <v>46292</v>
      </c>
      <c r="C701" s="7" t="s">
        <v>114</v>
      </c>
      <c r="D701" s="16" t="str">
        <f aca="false">IF(C701="","",IFERROR(INDEX(Products!$B$2:$B$501,MATCH(C701,Products!$A$2:$A$501,0)),"CODE NOT FOUND"))</f>
        <v>Side Mirror (Pair)</v>
      </c>
      <c r="E701" s="7" t="n">
        <v>2</v>
      </c>
      <c r="F701" s="13" t="n">
        <v>620</v>
      </c>
      <c r="G701" s="13" t="n">
        <v>380</v>
      </c>
      <c r="H701" s="17" t="n">
        <f aca="false">IF(OR(E701="",F701=""),"",E701*F701)</f>
        <v>1240</v>
      </c>
      <c r="I701" s="17" t="n">
        <f aca="false">IF(OR(E701="",G701=""),"",E701*G701)</f>
        <v>760</v>
      </c>
      <c r="J701" s="17" t="n">
        <f aca="false">IF(H701="","",H701-I701)</f>
        <v>480</v>
      </c>
    </row>
    <row r="702" customFormat="false" ht="15" hidden="false" customHeight="true" outlineLevel="0" collapsed="false">
      <c r="A702" s="7" t="s">
        <v>875</v>
      </c>
      <c r="B702" s="18" t="n">
        <f aca="false">IF(A702="","",IFERROR(INDEX(Sales_Memo!$B$2:$B$1001,MATCH(A702,Sales_Memo!$A$2:$A$1001,0)),""))</f>
        <v>46292</v>
      </c>
      <c r="C702" s="7" t="s">
        <v>82</v>
      </c>
      <c r="D702" s="16" t="str">
        <f aca="false">IF(C702="","",IFERROR(INDEX(Products!$B$2:$B$501,MATCH(C702,Products!$A$2:$A$501,0)),"CODE NOT FOUND"))</f>
        <v>Clutch Cable</v>
      </c>
      <c r="E702" s="7" t="n">
        <v>1</v>
      </c>
      <c r="F702" s="13" t="n">
        <v>190</v>
      </c>
      <c r="G702" s="13" t="n">
        <v>110</v>
      </c>
      <c r="H702" s="17" t="n">
        <f aca="false">IF(OR(E702="",F702=""),"",E702*F702)</f>
        <v>190</v>
      </c>
      <c r="I702" s="17" t="n">
        <f aca="false">IF(OR(E702="",G702=""),"",E702*G702)</f>
        <v>110</v>
      </c>
      <c r="J702" s="17" t="n">
        <f aca="false">IF(H702="","",H702-I702)</f>
        <v>80</v>
      </c>
    </row>
    <row r="703" customFormat="false" ht="15" hidden="false" customHeight="true" outlineLevel="0" collapsed="false">
      <c r="A703" s="7" t="s">
        <v>877</v>
      </c>
      <c r="B703" s="18" t="n">
        <f aca="false">IF(A703="","",IFERROR(INDEX(Sales_Memo!$B$2:$B$1001,MATCH(A703,Sales_Memo!$A$2:$A$1001,0)),""))</f>
        <v>46292</v>
      </c>
      <c r="C703" s="7" t="s">
        <v>96</v>
      </c>
      <c r="D703" s="16" t="str">
        <f aca="false">IF(C703="","",IFERROR(INDEX(Products!$B$2:$B$501,MATCH(C703,Products!$A$2:$A$501,0)),"CODE NOT FOUND"))</f>
        <v>Engine Oil 10W-30 (1L)</v>
      </c>
      <c r="E703" s="7" t="n">
        <v>1</v>
      </c>
      <c r="F703" s="13" t="n">
        <v>780</v>
      </c>
      <c r="G703" s="13" t="n">
        <v>620</v>
      </c>
      <c r="H703" s="17" t="n">
        <f aca="false">IF(OR(E703="",F703=""),"",E703*F703)</f>
        <v>780</v>
      </c>
      <c r="I703" s="17" t="n">
        <f aca="false">IF(OR(E703="",G703=""),"",E703*G703)</f>
        <v>620</v>
      </c>
      <c r="J703" s="17" t="n">
        <f aca="false">IF(H703="","",H703-I703)</f>
        <v>160</v>
      </c>
    </row>
    <row r="704" customFormat="false" ht="15" hidden="false" customHeight="true" outlineLevel="0" collapsed="false">
      <c r="A704" s="7" t="s">
        <v>878</v>
      </c>
      <c r="B704" s="18" t="n">
        <f aca="false">IF(A704="","",IFERROR(INDEX(Sales_Memo!$B$2:$B$1001,MATCH(A704,Sales_Memo!$A$2:$A$1001,0)),""))</f>
        <v>46292</v>
      </c>
      <c r="C704" s="7" t="s">
        <v>119</v>
      </c>
      <c r="D704" s="16" t="str">
        <f aca="false">IF(C704="","",IFERROR(INDEX(Products!$B$2:$B$501,MATCH(C704,Products!$A$2:$A$501,0)),"CODE NOT FOUND"))</f>
        <v>Chain Lube Spray</v>
      </c>
      <c r="E704" s="7" t="n">
        <v>2</v>
      </c>
      <c r="F704" s="13" t="n">
        <v>270</v>
      </c>
      <c r="G704" s="13" t="n">
        <v>170</v>
      </c>
      <c r="H704" s="17" t="n">
        <f aca="false">IF(OR(E704="",F704=""),"",E704*F704)</f>
        <v>540</v>
      </c>
      <c r="I704" s="17" t="n">
        <f aca="false">IF(OR(E704="",G704=""),"",E704*G704)</f>
        <v>340</v>
      </c>
      <c r="J704" s="17" t="n">
        <f aca="false">IF(H704="","",H704-I704)</f>
        <v>200</v>
      </c>
    </row>
    <row r="705" customFormat="false" ht="15" hidden="false" customHeight="true" outlineLevel="0" collapsed="false">
      <c r="A705" s="7" t="s">
        <v>878</v>
      </c>
      <c r="B705" s="18" t="n">
        <f aca="false">IF(A705="","",IFERROR(INDEX(Sales_Memo!$B$2:$B$1001,MATCH(A705,Sales_Memo!$A$2:$A$1001,0)),""))</f>
        <v>46292</v>
      </c>
      <c r="C705" s="7" t="s">
        <v>121</v>
      </c>
      <c r="D705" s="16" t="str">
        <f aca="false">IF(C705="","",IFERROR(INDEX(Products!$B$2:$B$501,MATCH(C705,Products!$A$2:$A$501,0)),"CODE NOT FOUND"))</f>
        <v>Handle Grip Set</v>
      </c>
      <c r="E705" s="7" t="n">
        <v>1</v>
      </c>
      <c r="F705" s="13" t="n">
        <v>280</v>
      </c>
      <c r="G705" s="13" t="n">
        <v>160</v>
      </c>
      <c r="H705" s="17" t="n">
        <f aca="false">IF(OR(E705="",F705=""),"",E705*F705)</f>
        <v>280</v>
      </c>
      <c r="I705" s="17" t="n">
        <f aca="false">IF(OR(E705="",G705=""),"",E705*G705)</f>
        <v>160</v>
      </c>
      <c r="J705" s="17" t="n">
        <f aca="false">IF(H705="","",H705-I705)</f>
        <v>120</v>
      </c>
    </row>
    <row r="706" customFormat="false" ht="15" hidden="false" customHeight="true" outlineLevel="0" collapsed="false">
      <c r="A706" s="7" t="s">
        <v>879</v>
      </c>
      <c r="B706" s="18" t="n">
        <f aca="false">IF(A706="","",IFERROR(INDEX(Sales_Memo!$B$2:$B$1001,MATCH(A706,Sales_Memo!$A$2:$A$1001,0)),""))</f>
        <v>46292</v>
      </c>
      <c r="C706" s="7" t="s">
        <v>121</v>
      </c>
      <c r="D706" s="16" t="str">
        <f aca="false">IF(C706="","",IFERROR(INDEX(Products!$B$2:$B$501,MATCH(C706,Products!$A$2:$A$501,0)),"CODE NOT FOUND"))</f>
        <v>Handle Grip Set</v>
      </c>
      <c r="E706" s="7" t="n">
        <v>2</v>
      </c>
      <c r="F706" s="13" t="n">
        <v>280</v>
      </c>
      <c r="G706" s="13" t="n">
        <v>160</v>
      </c>
      <c r="H706" s="17" t="n">
        <f aca="false">IF(OR(E706="",F706=""),"",E706*F706)</f>
        <v>560</v>
      </c>
      <c r="I706" s="17" t="n">
        <f aca="false">IF(OR(E706="",G706=""),"",E706*G706)</f>
        <v>320</v>
      </c>
      <c r="J706" s="17" t="n">
        <f aca="false">IF(H706="","",H706-I706)</f>
        <v>240</v>
      </c>
    </row>
    <row r="707" customFormat="false" ht="15" hidden="false" customHeight="true" outlineLevel="0" collapsed="false">
      <c r="A707" s="7" t="s">
        <v>879</v>
      </c>
      <c r="B707" s="18" t="n">
        <f aca="false">IF(A707="","",IFERROR(INDEX(Sales_Memo!$B$2:$B$1001,MATCH(A707,Sales_Memo!$A$2:$A$1001,0)),""))</f>
        <v>46292</v>
      </c>
      <c r="C707" s="7" t="s">
        <v>111</v>
      </c>
      <c r="D707" s="16" t="str">
        <f aca="false">IF(C707="","",IFERROR(INDEX(Products!$B$2:$B$501,MATCH(C707,Products!$A$2:$A$501,0)),"CODE NOT FOUND"))</f>
        <v>Tyre 80/100-18 Front</v>
      </c>
      <c r="E707" s="7" t="n">
        <v>1</v>
      </c>
      <c r="F707" s="13" t="n">
        <v>2850</v>
      </c>
      <c r="G707" s="13" t="n">
        <v>2300</v>
      </c>
      <c r="H707" s="17" t="n">
        <f aca="false">IF(OR(E707="",F707=""),"",E707*F707)</f>
        <v>2850</v>
      </c>
      <c r="I707" s="17" t="n">
        <f aca="false">IF(OR(E707="",G707=""),"",E707*G707)</f>
        <v>2300</v>
      </c>
      <c r="J707" s="17" t="n">
        <f aca="false">IF(H707="","",H707-I707)</f>
        <v>550</v>
      </c>
    </row>
    <row r="708" customFormat="false" ht="15" hidden="false" customHeight="true" outlineLevel="0" collapsed="false">
      <c r="A708" s="7" t="s">
        <v>880</v>
      </c>
      <c r="B708" s="18" t="n">
        <f aca="false">IF(A708="","",IFERROR(INDEX(Sales_Memo!$B$2:$B$1001,MATCH(A708,Sales_Memo!$A$2:$A$1001,0)),""))</f>
        <v>46292</v>
      </c>
      <c r="C708" s="7" t="s">
        <v>102</v>
      </c>
      <c r="D708" s="16" t="str">
        <f aca="false">IF(C708="","",IFERROR(INDEX(Products!$B$2:$B$501,MATCH(C708,Products!$A$2:$A$501,0)),"CODE NOT FOUND"))</f>
        <v>Headlight Bulb H4</v>
      </c>
      <c r="E708" s="7" t="n">
        <v>2</v>
      </c>
      <c r="F708" s="13" t="n">
        <v>240</v>
      </c>
      <c r="G708" s="13" t="n">
        <v>140</v>
      </c>
      <c r="H708" s="17" t="n">
        <f aca="false">IF(OR(E708="",F708=""),"",E708*F708)</f>
        <v>480</v>
      </c>
      <c r="I708" s="17" t="n">
        <f aca="false">IF(OR(E708="",G708=""),"",E708*G708)</f>
        <v>280</v>
      </c>
      <c r="J708" s="17" t="n">
        <f aca="false">IF(H708="","",H708-I708)</f>
        <v>200</v>
      </c>
    </row>
    <row r="709" customFormat="false" ht="15" hidden="false" customHeight="true" outlineLevel="0" collapsed="false">
      <c r="A709" s="7" t="s">
        <v>881</v>
      </c>
      <c r="B709" s="18" t="n">
        <f aca="false">IF(A709="","",IFERROR(INDEX(Sales_Memo!$B$2:$B$1001,MATCH(A709,Sales_Memo!$A$2:$A$1001,0)),""))</f>
        <v>46292</v>
      </c>
      <c r="C709" s="7" t="s">
        <v>119</v>
      </c>
      <c r="D709" s="16" t="str">
        <f aca="false">IF(C709="","",IFERROR(INDEX(Products!$B$2:$B$501,MATCH(C709,Products!$A$2:$A$501,0)),"CODE NOT FOUND"))</f>
        <v>Chain Lube Spray</v>
      </c>
      <c r="E709" s="7" t="n">
        <v>1</v>
      </c>
      <c r="F709" s="13" t="n">
        <v>270</v>
      </c>
      <c r="G709" s="13" t="n">
        <v>170</v>
      </c>
      <c r="H709" s="17" t="n">
        <f aca="false">IF(OR(E709="",F709=""),"",E709*F709)</f>
        <v>270</v>
      </c>
      <c r="I709" s="17" t="n">
        <f aca="false">IF(OR(E709="",G709=""),"",E709*G709)</f>
        <v>170</v>
      </c>
      <c r="J709" s="17" t="n">
        <f aca="false">IF(H709="","",H709-I709)</f>
        <v>100</v>
      </c>
    </row>
    <row r="710" customFormat="false" ht="15" hidden="false" customHeight="true" outlineLevel="0" collapsed="false">
      <c r="A710" s="7" t="s">
        <v>883</v>
      </c>
      <c r="B710" s="18" t="n">
        <f aca="false">IF(A710="","",IFERROR(INDEX(Sales_Memo!$B$2:$B$1001,MATCH(A710,Sales_Memo!$A$2:$A$1001,0)),""))</f>
        <v>46292</v>
      </c>
      <c r="C710" s="7" t="s">
        <v>82</v>
      </c>
      <c r="D710" s="16" t="str">
        <f aca="false">IF(C710="","",IFERROR(INDEX(Products!$B$2:$B$501,MATCH(C710,Products!$A$2:$A$501,0)),"CODE NOT FOUND"))</f>
        <v>Clutch Cable</v>
      </c>
      <c r="E710" s="7" t="n">
        <v>2</v>
      </c>
      <c r="F710" s="13" t="n">
        <v>190</v>
      </c>
      <c r="G710" s="13" t="n">
        <v>110</v>
      </c>
      <c r="H710" s="17" t="n">
        <f aca="false">IF(OR(E710="",F710=""),"",E710*F710)</f>
        <v>380</v>
      </c>
      <c r="I710" s="17" t="n">
        <f aca="false">IF(OR(E710="",G710=""),"",E710*G710)</f>
        <v>220</v>
      </c>
      <c r="J710" s="17" t="n">
        <f aca="false">IF(H710="","",H710-I710)</f>
        <v>160</v>
      </c>
    </row>
    <row r="711" customFormat="false" ht="15" hidden="false" customHeight="true" outlineLevel="0" collapsed="false">
      <c r="A711" s="7" t="s">
        <v>884</v>
      </c>
      <c r="B711" s="18" t="n">
        <f aca="false">IF(A711="","",IFERROR(INDEX(Sales_Memo!$B$2:$B$1001,MATCH(A711,Sales_Memo!$A$2:$A$1001,0)),""))</f>
        <v>46292</v>
      </c>
      <c r="C711" s="7" t="s">
        <v>119</v>
      </c>
      <c r="D711" s="16" t="str">
        <f aca="false">IF(C711="","",IFERROR(INDEX(Products!$B$2:$B$501,MATCH(C711,Products!$A$2:$A$501,0)),"CODE NOT FOUND"))</f>
        <v>Chain Lube Spray</v>
      </c>
      <c r="E711" s="7" t="n">
        <v>1</v>
      </c>
      <c r="F711" s="13" t="n">
        <v>270</v>
      </c>
      <c r="G711" s="13" t="n">
        <v>170</v>
      </c>
      <c r="H711" s="17" t="n">
        <f aca="false">IF(OR(E711="",F711=""),"",E711*F711)</f>
        <v>270</v>
      </c>
      <c r="I711" s="17" t="n">
        <f aca="false">IF(OR(E711="",G711=""),"",E711*G711)</f>
        <v>170</v>
      </c>
      <c r="J711" s="17" t="n">
        <f aca="false">IF(H711="","",H711-I711)</f>
        <v>100</v>
      </c>
    </row>
    <row r="712" customFormat="false" ht="15" hidden="false" customHeight="true" outlineLevel="0" collapsed="false">
      <c r="A712" s="7" t="s">
        <v>884</v>
      </c>
      <c r="B712" s="18" t="n">
        <f aca="false">IF(A712="","",IFERROR(INDEX(Sales_Memo!$B$2:$B$1001,MATCH(A712,Sales_Memo!$A$2:$A$1001,0)),""))</f>
        <v>46292</v>
      </c>
      <c r="C712" s="7" t="s">
        <v>82</v>
      </c>
      <c r="D712" s="16" t="str">
        <f aca="false">IF(C712="","",IFERROR(INDEX(Products!$B$2:$B$501,MATCH(C712,Products!$A$2:$A$501,0)),"CODE NOT FOUND"))</f>
        <v>Clutch Cable</v>
      </c>
      <c r="E712" s="7" t="n">
        <v>2</v>
      </c>
      <c r="F712" s="13" t="n">
        <v>190</v>
      </c>
      <c r="G712" s="13" t="n">
        <v>110</v>
      </c>
      <c r="H712" s="17" t="n">
        <f aca="false">IF(OR(E712="",F712=""),"",E712*F712)</f>
        <v>380</v>
      </c>
      <c r="I712" s="17" t="n">
        <f aca="false">IF(OR(E712="",G712=""),"",E712*G712)</f>
        <v>220</v>
      </c>
      <c r="J712" s="17" t="n">
        <f aca="false">IF(H712="","",H712-I712)</f>
        <v>160</v>
      </c>
    </row>
    <row r="713" customFormat="false" ht="15" hidden="false" customHeight="true" outlineLevel="0" collapsed="false">
      <c r="A713" s="7" t="s">
        <v>884</v>
      </c>
      <c r="B713" s="18" t="n">
        <f aca="false">IF(A713="","",IFERROR(INDEX(Sales_Memo!$B$2:$B$1001,MATCH(A713,Sales_Memo!$A$2:$A$1001,0)),""))</f>
        <v>46292</v>
      </c>
      <c r="C713" s="7" t="s">
        <v>86</v>
      </c>
      <c r="D713" s="16" t="str">
        <f aca="false">IF(C713="","",IFERROR(INDEX(Products!$B$2:$B$501,MATCH(C713,Products!$A$2:$A$501,0)),"CODE NOT FOUND"))</f>
        <v>Spark Plug CPR8EA-9</v>
      </c>
      <c r="E713" s="7" t="n">
        <v>1</v>
      </c>
      <c r="F713" s="13" t="n">
        <v>260</v>
      </c>
      <c r="G713" s="13" t="n">
        <v>175</v>
      </c>
      <c r="H713" s="17" t="n">
        <f aca="false">IF(OR(E713="",F713=""),"",E713*F713)</f>
        <v>260</v>
      </c>
      <c r="I713" s="17" t="n">
        <f aca="false">IF(OR(E713="",G713=""),"",E713*G713)</f>
        <v>175</v>
      </c>
      <c r="J713" s="17" t="n">
        <f aca="false">IF(H713="","",H713-I713)</f>
        <v>85</v>
      </c>
    </row>
    <row r="714" customFormat="false" ht="15" hidden="false" customHeight="true" outlineLevel="0" collapsed="false">
      <c r="A714" s="7" t="s">
        <v>885</v>
      </c>
      <c r="B714" s="18" t="n">
        <f aca="false">IF(A714="","",IFERROR(INDEX(Sales_Memo!$B$2:$B$1001,MATCH(A714,Sales_Memo!$A$2:$A$1001,0)),""))</f>
        <v>46292</v>
      </c>
      <c r="C714" s="7" t="s">
        <v>121</v>
      </c>
      <c r="D714" s="16" t="str">
        <f aca="false">IF(C714="","",IFERROR(INDEX(Products!$B$2:$B$501,MATCH(C714,Products!$A$2:$A$501,0)),"CODE NOT FOUND"))</f>
        <v>Handle Grip Set</v>
      </c>
      <c r="E714" s="7" t="n">
        <v>3</v>
      </c>
      <c r="F714" s="13" t="n">
        <v>280</v>
      </c>
      <c r="G714" s="13" t="n">
        <v>160</v>
      </c>
      <c r="H714" s="17" t="n">
        <f aca="false">IF(OR(E714="",F714=""),"",E714*F714)</f>
        <v>840</v>
      </c>
      <c r="I714" s="17" t="n">
        <f aca="false">IF(OR(E714="",G714=""),"",E714*G714)</f>
        <v>480</v>
      </c>
      <c r="J714" s="17" t="n">
        <f aca="false">IF(H714="","",H714-I714)</f>
        <v>360</v>
      </c>
    </row>
    <row r="715" customFormat="false" ht="15" hidden="false" customHeight="true" outlineLevel="0" collapsed="false">
      <c r="A715" s="7" t="s">
        <v>886</v>
      </c>
      <c r="B715" s="18" t="n">
        <f aca="false">IF(A715="","",IFERROR(INDEX(Sales_Memo!$B$2:$B$1001,MATCH(A715,Sales_Memo!$A$2:$A$1001,0)),""))</f>
        <v>46292</v>
      </c>
      <c r="C715" s="7" t="s">
        <v>93</v>
      </c>
      <c r="D715" s="16" t="str">
        <f aca="false">IF(C715="","",IFERROR(INDEX(Products!$B$2:$B$501,MATCH(C715,Products!$A$2:$A$501,0)),"CODE NOT FOUND"))</f>
        <v>Chain &amp; Sprocket Kit</v>
      </c>
      <c r="E715" s="7" t="n">
        <v>1</v>
      </c>
      <c r="F715" s="13" t="n">
        <v>2350</v>
      </c>
      <c r="G715" s="13" t="n">
        <v>1750</v>
      </c>
      <c r="H715" s="17" t="n">
        <f aca="false">IF(OR(E715="",F715=""),"",E715*F715)</f>
        <v>2350</v>
      </c>
      <c r="I715" s="17" t="n">
        <f aca="false">IF(OR(E715="",G715=""),"",E715*G715)</f>
        <v>1750</v>
      </c>
      <c r="J715" s="17" t="n">
        <f aca="false">IF(H715="","",H715-I715)</f>
        <v>600</v>
      </c>
    </row>
    <row r="716" customFormat="false" ht="15" hidden="false" customHeight="true" outlineLevel="0" collapsed="false">
      <c r="A716" s="7" t="s">
        <v>887</v>
      </c>
      <c r="B716" s="18" t="n">
        <f aca="false">IF(A716="","",IFERROR(INDEX(Sales_Memo!$B$2:$B$1001,MATCH(A716,Sales_Memo!$A$2:$A$1001,0)),""))</f>
        <v>46293</v>
      </c>
      <c r="C716" s="7" t="s">
        <v>121</v>
      </c>
      <c r="D716" s="16" t="str">
        <f aca="false">IF(C716="","",IFERROR(INDEX(Products!$B$2:$B$501,MATCH(C716,Products!$A$2:$A$501,0)),"CODE NOT FOUND"))</f>
        <v>Handle Grip Set</v>
      </c>
      <c r="E716" s="7" t="n">
        <v>3</v>
      </c>
      <c r="F716" s="13" t="n">
        <v>280</v>
      </c>
      <c r="G716" s="13" t="n">
        <v>160</v>
      </c>
      <c r="H716" s="17" t="n">
        <f aca="false">IF(OR(E716="",F716=""),"",E716*F716)</f>
        <v>840</v>
      </c>
      <c r="I716" s="17" t="n">
        <f aca="false">IF(OR(E716="",G716=""),"",E716*G716)</f>
        <v>480</v>
      </c>
      <c r="J716" s="17" t="n">
        <f aca="false">IF(H716="","",H716-I716)</f>
        <v>360</v>
      </c>
    </row>
    <row r="717" customFormat="false" ht="15" hidden="false" customHeight="true" outlineLevel="0" collapsed="false">
      <c r="A717" s="7" t="s">
        <v>888</v>
      </c>
      <c r="B717" s="18" t="n">
        <f aca="false">IF(A717="","",IFERROR(INDEX(Sales_Memo!$B$2:$B$1001,MATCH(A717,Sales_Memo!$A$2:$A$1001,0)),""))</f>
        <v>46293</v>
      </c>
      <c r="C717" s="7" t="s">
        <v>90</v>
      </c>
      <c r="D717" s="16" t="str">
        <f aca="false">IF(C717="","",IFERROR(INDEX(Products!$B$2:$B$501,MATCH(C717,Products!$A$2:$A$501,0)),"CODE NOT FOUND"))</f>
        <v>Air Filter 150cc</v>
      </c>
      <c r="E717" s="7" t="n">
        <v>1</v>
      </c>
      <c r="F717" s="13" t="n">
        <v>340</v>
      </c>
      <c r="G717" s="13" t="n">
        <v>210</v>
      </c>
      <c r="H717" s="17" t="n">
        <f aca="false">IF(OR(E717="",F717=""),"",E717*F717)</f>
        <v>340</v>
      </c>
      <c r="I717" s="17" t="n">
        <f aca="false">IF(OR(E717="",G717=""),"",E717*G717)</f>
        <v>210</v>
      </c>
      <c r="J717" s="17" t="n">
        <f aca="false">IF(H717="","",H717-I717)</f>
        <v>130</v>
      </c>
    </row>
    <row r="718" customFormat="false" ht="15" hidden="false" customHeight="true" outlineLevel="0" collapsed="false">
      <c r="A718" s="7" t="s">
        <v>888</v>
      </c>
      <c r="B718" s="18" t="n">
        <f aca="false">IF(A718="","",IFERROR(INDEX(Sales_Memo!$B$2:$B$1001,MATCH(A718,Sales_Memo!$A$2:$A$1001,0)),""))</f>
        <v>46293</v>
      </c>
      <c r="C718" s="7" t="s">
        <v>102</v>
      </c>
      <c r="D718" s="16" t="str">
        <f aca="false">IF(C718="","",IFERROR(INDEX(Products!$B$2:$B$501,MATCH(C718,Products!$A$2:$A$501,0)),"CODE NOT FOUND"))</f>
        <v>Headlight Bulb H4</v>
      </c>
      <c r="E718" s="7" t="n">
        <v>2</v>
      </c>
      <c r="F718" s="13" t="n">
        <v>240</v>
      </c>
      <c r="G718" s="13" t="n">
        <v>140</v>
      </c>
      <c r="H718" s="17" t="n">
        <f aca="false">IF(OR(E718="",F718=""),"",E718*F718)</f>
        <v>480</v>
      </c>
      <c r="I718" s="17" t="n">
        <f aca="false">IF(OR(E718="",G718=""),"",E718*G718)</f>
        <v>280</v>
      </c>
      <c r="J718" s="17" t="n">
        <f aca="false">IF(H718="","",H718-I718)</f>
        <v>200</v>
      </c>
    </row>
    <row r="719" customFormat="false" ht="15" hidden="false" customHeight="true" outlineLevel="0" collapsed="false">
      <c r="A719" s="7" t="s">
        <v>889</v>
      </c>
      <c r="B719" s="18" t="n">
        <f aca="false">IF(A719="","",IFERROR(INDEX(Sales_Memo!$B$2:$B$1001,MATCH(A719,Sales_Memo!$A$2:$A$1001,0)),""))</f>
        <v>46293</v>
      </c>
      <c r="C719" s="7" t="s">
        <v>90</v>
      </c>
      <c r="D719" s="16" t="str">
        <f aca="false">IF(C719="","",IFERROR(INDEX(Products!$B$2:$B$501,MATCH(C719,Products!$A$2:$A$501,0)),"CODE NOT FOUND"))</f>
        <v>Air Filter 150cc</v>
      </c>
      <c r="E719" s="7" t="n">
        <v>2</v>
      </c>
      <c r="F719" s="13" t="n">
        <v>340</v>
      </c>
      <c r="G719" s="13" t="n">
        <v>210</v>
      </c>
      <c r="H719" s="17" t="n">
        <f aca="false">IF(OR(E719="",F719=""),"",E719*F719)</f>
        <v>680</v>
      </c>
      <c r="I719" s="17" t="n">
        <f aca="false">IF(OR(E719="",G719=""),"",E719*G719)</f>
        <v>420</v>
      </c>
      <c r="J719" s="17" t="n">
        <f aca="false">IF(H719="","",H719-I719)</f>
        <v>260</v>
      </c>
    </row>
    <row r="720" customFormat="false" ht="15" hidden="false" customHeight="true" outlineLevel="0" collapsed="false">
      <c r="A720" s="7" t="s">
        <v>890</v>
      </c>
      <c r="B720" s="18" t="n">
        <f aca="false">IF(A720="","",IFERROR(INDEX(Sales_Memo!$B$2:$B$1001,MATCH(A720,Sales_Memo!$A$2:$A$1001,0)),""))</f>
        <v>46293</v>
      </c>
      <c r="C720" s="7" t="s">
        <v>86</v>
      </c>
      <c r="D720" s="16" t="str">
        <f aca="false">IF(C720="","",IFERROR(INDEX(Products!$B$2:$B$501,MATCH(C720,Products!$A$2:$A$501,0)),"CODE NOT FOUND"))</f>
        <v>Spark Plug CPR8EA-9</v>
      </c>
      <c r="E720" s="7" t="n">
        <v>3</v>
      </c>
      <c r="F720" s="13" t="n">
        <v>260</v>
      </c>
      <c r="G720" s="13" t="n">
        <v>175</v>
      </c>
      <c r="H720" s="17" t="n">
        <f aca="false">IF(OR(E720="",F720=""),"",E720*F720)</f>
        <v>780</v>
      </c>
      <c r="I720" s="17" t="n">
        <f aca="false">IF(OR(E720="",G720=""),"",E720*G720)</f>
        <v>525</v>
      </c>
      <c r="J720" s="17" t="n">
        <f aca="false">IF(H720="","",H720-I720)</f>
        <v>255</v>
      </c>
    </row>
    <row r="721" customFormat="false" ht="15" hidden="false" customHeight="true" outlineLevel="0" collapsed="false">
      <c r="A721" s="7" t="s">
        <v>890</v>
      </c>
      <c r="B721" s="18" t="n">
        <f aca="false">IF(A721="","",IFERROR(INDEX(Sales_Memo!$B$2:$B$1001,MATCH(A721,Sales_Memo!$A$2:$A$1001,0)),""))</f>
        <v>46293</v>
      </c>
      <c r="C721" s="7" t="s">
        <v>99</v>
      </c>
      <c r="D721" s="16" t="str">
        <f aca="false">IF(C721="","",IFERROR(INDEX(Products!$B$2:$B$501,MATCH(C721,Products!$A$2:$A$501,0)),"CODE NOT FOUND"))</f>
        <v>Engine Oil 20W-50 (1L)</v>
      </c>
      <c r="E721" s="7" t="n">
        <v>2</v>
      </c>
      <c r="F721" s="13" t="n">
        <v>990</v>
      </c>
      <c r="G721" s="13" t="n">
        <v>780</v>
      </c>
      <c r="H721" s="17" t="n">
        <f aca="false">IF(OR(E721="",F721=""),"",E721*F721)</f>
        <v>1980</v>
      </c>
      <c r="I721" s="17" t="n">
        <f aca="false">IF(OR(E721="",G721=""),"",E721*G721)</f>
        <v>1560</v>
      </c>
      <c r="J721" s="17" t="n">
        <f aca="false">IF(H721="","",H721-I721)</f>
        <v>420</v>
      </c>
    </row>
    <row r="722" customFormat="false" ht="15" hidden="false" customHeight="true" outlineLevel="0" collapsed="false">
      <c r="A722" s="7" t="s">
        <v>892</v>
      </c>
      <c r="B722" s="18" t="n">
        <f aca="false">IF(A722="","",IFERROR(INDEX(Sales_Memo!$B$2:$B$1001,MATCH(A722,Sales_Memo!$A$2:$A$1001,0)),""))</f>
        <v>46293</v>
      </c>
      <c r="C722" s="7" t="s">
        <v>119</v>
      </c>
      <c r="D722" s="16" t="str">
        <f aca="false">IF(C722="","",IFERROR(INDEX(Products!$B$2:$B$501,MATCH(C722,Products!$A$2:$A$501,0)),"CODE NOT FOUND"))</f>
        <v>Chain Lube Spray</v>
      </c>
      <c r="E722" s="7" t="n">
        <v>1</v>
      </c>
      <c r="F722" s="13" t="n">
        <v>270</v>
      </c>
      <c r="G722" s="13" t="n">
        <v>170</v>
      </c>
      <c r="H722" s="17" t="n">
        <f aca="false">IF(OR(E722="",F722=""),"",E722*F722)</f>
        <v>270</v>
      </c>
      <c r="I722" s="17" t="n">
        <f aca="false">IF(OR(E722="",G722=""),"",E722*G722)</f>
        <v>170</v>
      </c>
      <c r="J722" s="17" t="n">
        <f aca="false">IF(H722="","",H722-I722)</f>
        <v>100</v>
      </c>
    </row>
    <row r="723" customFormat="false" ht="15" hidden="false" customHeight="true" outlineLevel="0" collapsed="false">
      <c r="A723" s="7" t="s">
        <v>892</v>
      </c>
      <c r="B723" s="18" t="n">
        <f aca="false">IF(A723="","",IFERROR(INDEX(Sales_Memo!$B$2:$B$1001,MATCH(A723,Sales_Memo!$A$2:$A$1001,0)),""))</f>
        <v>46293</v>
      </c>
      <c r="C723" s="7" t="s">
        <v>86</v>
      </c>
      <c r="D723" s="16" t="str">
        <f aca="false">IF(C723="","",IFERROR(INDEX(Products!$B$2:$B$501,MATCH(C723,Products!$A$2:$A$501,0)),"CODE NOT FOUND"))</f>
        <v>Spark Plug CPR8EA-9</v>
      </c>
      <c r="E723" s="7" t="n">
        <v>1</v>
      </c>
      <c r="F723" s="13" t="n">
        <v>260</v>
      </c>
      <c r="G723" s="13" t="n">
        <v>175</v>
      </c>
      <c r="H723" s="17" t="n">
        <f aca="false">IF(OR(E723="",F723=""),"",E723*F723)</f>
        <v>260</v>
      </c>
      <c r="I723" s="17" t="n">
        <f aca="false">IF(OR(E723="",G723=""),"",E723*G723)</f>
        <v>175</v>
      </c>
      <c r="J723" s="17" t="n">
        <f aca="false">IF(H723="","",H723-I723)</f>
        <v>85</v>
      </c>
    </row>
    <row r="724" customFormat="false" ht="15" hidden="false" customHeight="true" outlineLevel="0" collapsed="false">
      <c r="A724" s="7" t="s">
        <v>893</v>
      </c>
      <c r="B724" s="18" t="n">
        <f aca="false">IF(A724="","",IFERROR(INDEX(Sales_Memo!$B$2:$B$1001,MATCH(A724,Sales_Memo!$A$2:$A$1001,0)),""))</f>
        <v>46293</v>
      </c>
      <c r="C724" s="7" t="s">
        <v>77</v>
      </c>
      <c r="D724" s="16" t="str">
        <f aca="false">IF(C724="","",IFERROR(INDEX(Products!$B$2:$B$501,MATCH(C724,Products!$A$2:$A$501,0)),"CODE NOT FOUND"))</f>
        <v>Brake Pad Set - Front</v>
      </c>
      <c r="E724" s="7" t="n">
        <v>2</v>
      </c>
      <c r="F724" s="13" t="n">
        <v>480</v>
      </c>
      <c r="G724" s="13" t="n">
        <v>320</v>
      </c>
      <c r="H724" s="17" t="n">
        <f aca="false">IF(OR(E724="",F724=""),"",E724*F724)</f>
        <v>960</v>
      </c>
      <c r="I724" s="17" t="n">
        <f aca="false">IF(OR(E724="",G724=""),"",E724*G724)</f>
        <v>640</v>
      </c>
      <c r="J724" s="17" t="n">
        <f aca="false">IF(H724="","",H724-I724)</f>
        <v>320</v>
      </c>
    </row>
    <row r="725" customFormat="false" ht="15" hidden="false" customHeight="true" outlineLevel="0" collapsed="false">
      <c r="A725" s="7" t="s">
        <v>894</v>
      </c>
      <c r="B725" s="18" t="n">
        <f aca="false">IF(A725="","",IFERROR(INDEX(Sales_Memo!$B$2:$B$1001,MATCH(A725,Sales_Memo!$A$2:$A$1001,0)),""))</f>
        <v>46293</v>
      </c>
      <c r="C725" s="7" t="s">
        <v>90</v>
      </c>
      <c r="D725" s="16" t="str">
        <f aca="false">IF(C725="","",IFERROR(INDEX(Products!$B$2:$B$501,MATCH(C725,Products!$A$2:$A$501,0)),"CODE NOT FOUND"))</f>
        <v>Air Filter 150cc</v>
      </c>
      <c r="E725" s="7" t="n">
        <v>3</v>
      </c>
      <c r="F725" s="13" t="n">
        <v>340</v>
      </c>
      <c r="G725" s="13" t="n">
        <v>210</v>
      </c>
      <c r="H725" s="17" t="n">
        <f aca="false">IF(OR(E725="",F725=""),"",E725*F725)</f>
        <v>1020</v>
      </c>
      <c r="I725" s="17" t="n">
        <f aca="false">IF(OR(E725="",G725=""),"",E725*G725)</f>
        <v>630</v>
      </c>
      <c r="J725" s="17" t="n">
        <f aca="false">IF(H725="","",H725-I725)</f>
        <v>390</v>
      </c>
    </row>
    <row r="726" customFormat="false" ht="15" hidden="false" customHeight="true" outlineLevel="0" collapsed="false">
      <c r="A726" s="7" t="s">
        <v>895</v>
      </c>
      <c r="B726" s="18" t="n">
        <f aca="false">IF(A726="","",IFERROR(INDEX(Sales_Memo!$B$2:$B$1001,MATCH(A726,Sales_Memo!$A$2:$A$1001,0)),""))</f>
        <v>46293</v>
      </c>
      <c r="C726" s="7" t="s">
        <v>96</v>
      </c>
      <c r="D726" s="16" t="str">
        <f aca="false">IF(C726="","",IFERROR(INDEX(Products!$B$2:$B$501,MATCH(C726,Products!$A$2:$A$501,0)),"CODE NOT FOUND"))</f>
        <v>Engine Oil 10W-30 (1L)</v>
      </c>
      <c r="E726" s="7" t="n">
        <v>2</v>
      </c>
      <c r="F726" s="13" t="n">
        <v>780</v>
      </c>
      <c r="G726" s="13" t="n">
        <v>620</v>
      </c>
      <c r="H726" s="17" t="n">
        <f aca="false">IF(OR(E726="",F726=""),"",E726*F726)</f>
        <v>1560</v>
      </c>
      <c r="I726" s="17" t="n">
        <f aca="false">IF(OR(E726="",G726=""),"",E726*G726)</f>
        <v>1240</v>
      </c>
      <c r="J726" s="17" t="n">
        <f aca="false">IF(H726="","",H726-I726)</f>
        <v>320</v>
      </c>
    </row>
    <row r="727" customFormat="false" ht="15" hidden="false" customHeight="true" outlineLevel="0" collapsed="false">
      <c r="A727" s="7" t="s">
        <v>895</v>
      </c>
      <c r="B727" s="18" t="n">
        <f aca="false">IF(A727="","",IFERROR(INDEX(Sales_Memo!$B$2:$B$1001,MATCH(A727,Sales_Memo!$A$2:$A$1001,0)),""))</f>
        <v>46293</v>
      </c>
      <c r="C727" s="7" t="s">
        <v>90</v>
      </c>
      <c r="D727" s="16" t="str">
        <f aca="false">IF(C727="","",IFERROR(INDEX(Products!$B$2:$B$501,MATCH(C727,Products!$A$2:$A$501,0)),"CODE NOT FOUND"))</f>
        <v>Air Filter 150cc</v>
      </c>
      <c r="E727" s="7" t="n">
        <v>2</v>
      </c>
      <c r="F727" s="13" t="n">
        <v>340</v>
      </c>
      <c r="G727" s="13" t="n">
        <v>210</v>
      </c>
      <c r="H727" s="17" t="n">
        <f aca="false">IF(OR(E727="",F727=""),"",E727*F727)</f>
        <v>680</v>
      </c>
      <c r="I727" s="17" t="n">
        <f aca="false">IF(OR(E727="",G727=""),"",E727*G727)</f>
        <v>420</v>
      </c>
      <c r="J727" s="17" t="n">
        <f aca="false">IF(H727="","",H727-I727)</f>
        <v>260</v>
      </c>
    </row>
    <row r="728" customFormat="false" ht="15" hidden="false" customHeight="true" outlineLevel="0" collapsed="false">
      <c r="A728" s="7" t="s">
        <v>897</v>
      </c>
      <c r="B728" s="18" t="n">
        <f aca="false">IF(A728="","",IFERROR(INDEX(Sales_Memo!$B$2:$B$1001,MATCH(A728,Sales_Memo!$A$2:$A$1001,0)),""))</f>
        <v>46293</v>
      </c>
      <c r="C728" s="7" t="s">
        <v>86</v>
      </c>
      <c r="D728" s="16" t="str">
        <f aca="false">IF(C728="","",IFERROR(INDEX(Products!$B$2:$B$501,MATCH(C728,Products!$A$2:$A$501,0)),"CODE NOT FOUND"))</f>
        <v>Spark Plug CPR8EA-9</v>
      </c>
      <c r="E728" s="7" t="n">
        <v>3</v>
      </c>
      <c r="F728" s="13" t="n">
        <v>260</v>
      </c>
      <c r="G728" s="13" t="n">
        <v>175</v>
      </c>
      <c r="H728" s="17" t="n">
        <f aca="false">IF(OR(E728="",F728=""),"",E728*F728)</f>
        <v>780</v>
      </c>
      <c r="I728" s="17" t="n">
        <f aca="false">IF(OR(E728="",G728=""),"",E728*G728)</f>
        <v>525</v>
      </c>
      <c r="J728" s="17" t="n">
        <f aca="false">IF(H728="","",H728-I728)</f>
        <v>255</v>
      </c>
    </row>
    <row r="729" customFormat="false" ht="15" hidden="false" customHeight="true" outlineLevel="0" collapsed="false">
      <c r="A729" s="7" t="s">
        <v>897</v>
      </c>
      <c r="B729" s="18" t="n">
        <f aca="false">IF(A729="","",IFERROR(INDEX(Sales_Memo!$B$2:$B$1001,MATCH(A729,Sales_Memo!$A$2:$A$1001,0)),""))</f>
        <v>46293</v>
      </c>
      <c r="C729" s="7" t="s">
        <v>121</v>
      </c>
      <c r="D729" s="16" t="str">
        <f aca="false">IF(C729="","",IFERROR(INDEX(Products!$B$2:$B$501,MATCH(C729,Products!$A$2:$A$501,0)),"CODE NOT FOUND"))</f>
        <v>Handle Grip Set</v>
      </c>
      <c r="E729" s="7" t="n">
        <v>3</v>
      </c>
      <c r="F729" s="13" t="n">
        <v>280</v>
      </c>
      <c r="G729" s="13" t="n">
        <v>160</v>
      </c>
      <c r="H729" s="17" t="n">
        <f aca="false">IF(OR(E729="",F729=""),"",E729*F729)</f>
        <v>840</v>
      </c>
      <c r="I729" s="17" t="n">
        <f aca="false">IF(OR(E729="",G729=""),"",E729*G729)</f>
        <v>480</v>
      </c>
      <c r="J729" s="17" t="n">
        <f aca="false">IF(H729="","",H729-I729)</f>
        <v>360</v>
      </c>
    </row>
    <row r="730" customFormat="false" ht="15" hidden="false" customHeight="true" outlineLevel="0" collapsed="false">
      <c r="A730" s="7" t="s">
        <v>897</v>
      </c>
      <c r="B730" s="18" t="n">
        <f aca="false">IF(A730="","",IFERROR(INDEX(Sales_Memo!$B$2:$B$1001,MATCH(A730,Sales_Memo!$A$2:$A$1001,0)),""))</f>
        <v>46293</v>
      </c>
      <c r="C730" s="7" t="s">
        <v>119</v>
      </c>
      <c r="D730" s="16" t="str">
        <f aca="false">IF(C730="","",IFERROR(INDEX(Products!$B$2:$B$501,MATCH(C730,Products!$A$2:$A$501,0)),"CODE NOT FOUND"))</f>
        <v>Chain Lube Spray</v>
      </c>
      <c r="E730" s="7" t="n">
        <v>1</v>
      </c>
      <c r="F730" s="13" t="n">
        <v>270</v>
      </c>
      <c r="G730" s="13" t="n">
        <v>170</v>
      </c>
      <c r="H730" s="17" t="n">
        <f aca="false">IF(OR(E730="",F730=""),"",E730*F730)</f>
        <v>270</v>
      </c>
      <c r="I730" s="17" t="n">
        <f aca="false">IF(OR(E730="",G730=""),"",E730*G730)</f>
        <v>170</v>
      </c>
      <c r="J730" s="17" t="n">
        <f aca="false">IF(H730="","",H730-I730)</f>
        <v>100</v>
      </c>
    </row>
    <row r="731" customFormat="false" ht="15" hidden="false" customHeight="true" outlineLevel="0" collapsed="false">
      <c r="A731" s="7" t="s">
        <v>898</v>
      </c>
      <c r="B731" s="18" t="n">
        <f aca="false">IF(A731="","",IFERROR(INDEX(Sales_Memo!$B$2:$B$1001,MATCH(A731,Sales_Memo!$A$2:$A$1001,0)),""))</f>
        <v>46294</v>
      </c>
      <c r="C731" s="7" t="s">
        <v>102</v>
      </c>
      <c r="D731" s="16" t="str">
        <f aca="false">IF(C731="","",IFERROR(INDEX(Products!$B$2:$B$501,MATCH(C731,Products!$A$2:$A$501,0)),"CODE NOT FOUND"))</f>
        <v>Headlight Bulb H4</v>
      </c>
      <c r="E731" s="7" t="n">
        <v>1</v>
      </c>
      <c r="F731" s="13" t="n">
        <v>240</v>
      </c>
      <c r="G731" s="13" t="n">
        <v>140</v>
      </c>
      <c r="H731" s="17" t="n">
        <f aca="false">IF(OR(E731="",F731=""),"",E731*F731)</f>
        <v>240</v>
      </c>
      <c r="I731" s="17" t="n">
        <f aca="false">IF(OR(E731="",G731=""),"",E731*G731)</f>
        <v>140</v>
      </c>
      <c r="J731" s="17" t="n">
        <f aca="false">IF(H731="","",H731-I731)</f>
        <v>100</v>
      </c>
    </row>
    <row r="732" customFormat="false" ht="15" hidden="false" customHeight="true" outlineLevel="0" collapsed="false">
      <c r="A732" s="7" t="s">
        <v>899</v>
      </c>
      <c r="B732" s="18" t="n">
        <f aca="false">IF(A732="","",IFERROR(INDEX(Sales_Memo!$B$2:$B$1001,MATCH(A732,Sales_Memo!$A$2:$A$1001,0)),""))</f>
        <v>46294</v>
      </c>
      <c r="C732" s="7" t="s">
        <v>82</v>
      </c>
      <c r="D732" s="16" t="str">
        <f aca="false">IF(C732="","",IFERROR(INDEX(Products!$B$2:$B$501,MATCH(C732,Products!$A$2:$A$501,0)),"CODE NOT FOUND"))</f>
        <v>Clutch Cable</v>
      </c>
      <c r="E732" s="7" t="n">
        <v>2</v>
      </c>
      <c r="F732" s="13" t="n">
        <v>190</v>
      </c>
      <c r="G732" s="13" t="n">
        <v>110</v>
      </c>
      <c r="H732" s="17" t="n">
        <f aca="false">IF(OR(E732="",F732=""),"",E732*F732)</f>
        <v>380</v>
      </c>
      <c r="I732" s="17" t="n">
        <f aca="false">IF(OR(E732="",G732=""),"",E732*G732)</f>
        <v>220</v>
      </c>
      <c r="J732" s="17" t="n">
        <f aca="false">IF(H732="","",H732-I732)</f>
        <v>160</v>
      </c>
    </row>
    <row r="733" customFormat="false" ht="15" hidden="false" customHeight="true" outlineLevel="0" collapsed="false">
      <c r="A733" s="7" t="s">
        <v>900</v>
      </c>
      <c r="B733" s="18" t="n">
        <f aca="false">IF(A733="","",IFERROR(INDEX(Sales_Memo!$B$2:$B$1001,MATCH(A733,Sales_Memo!$A$2:$A$1001,0)),""))</f>
        <v>46294</v>
      </c>
      <c r="C733" s="7" t="s">
        <v>86</v>
      </c>
      <c r="D733" s="16" t="str">
        <f aca="false">IF(C733="","",IFERROR(INDEX(Products!$B$2:$B$501,MATCH(C733,Products!$A$2:$A$501,0)),"CODE NOT FOUND"))</f>
        <v>Spark Plug CPR8EA-9</v>
      </c>
      <c r="E733" s="7" t="n">
        <v>2</v>
      </c>
      <c r="F733" s="13" t="n">
        <v>260</v>
      </c>
      <c r="G733" s="13" t="n">
        <v>175</v>
      </c>
      <c r="H733" s="17" t="n">
        <f aca="false">IF(OR(E733="",F733=""),"",E733*F733)</f>
        <v>520</v>
      </c>
      <c r="I733" s="17" t="n">
        <f aca="false">IF(OR(E733="",G733=""),"",E733*G733)</f>
        <v>350</v>
      </c>
      <c r="J733" s="17" t="n">
        <f aca="false">IF(H733="","",H733-I733)</f>
        <v>170</v>
      </c>
    </row>
    <row r="734" customFormat="false" ht="15" hidden="false" customHeight="true" outlineLevel="0" collapsed="false">
      <c r="A734" s="7" t="s">
        <v>901</v>
      </c>
      <c r="B734" s="18" t="n">
        <f aca="false">IF(A734="","",IFERROR(INDEX(Sales_Memo!$B$2:$B$1001,MATCH(A734,Sales_Memo!$A$2:$A$1001,0)),""))</f>
        <v>46294</v>
      </c>
      <c r="C734" s="7" t="s">
        <v>114</v>
      </c>
      <c r="D734" s="16" t="str">
        <f aca="false">IF(C734="","",IFERROR(INDEX(Products!$B$2:$B$501,MATCH(C734,Products!$A$2:$A$501,0)),"CODE NOT FOUND"))</f>
        <v>Side Mirror (Pair)</v>
      </c>
      <c r="E734" s="7" t="n">
        <v>1</v>
      </c>
      <c r="F734" s="13" t="n">
        <v>620</v>
      </c>
      <c r="G734" s="13" t="n">
        <v>380</v>
      </c>
      <c r="H734" s="17" t="n">
        <f aca="false">IF(OR(E734="",F734=""),"",E734*F734)</f>
        <v>620</v>
      </c>
      <c r="I734" s="17" t="n">
        <f aca="false">IF(OR(E734="",G734=""),"",E734*G734)</f>
        <v>380</v>
      </c>
      <c r="J734" s="17" t="n">
        <f aca="false">IF(H734="","",H734-I734)</f>
        <v>240</v>
      </c>
    </row>
    <row r="735" customFormat="false" ht="15" hidden="false" customHeight="true" outlineLevel="0" collapsed="false">
      <c r="A735" s="7" t="s">
        <v>901</v>
      </c>
      <c r="B735" s="18" t="n">
        <f aca="false">IF(A735="","",IFERROR(INDEX(Sales_Memo!$B$2:$B$1001,MATCH(A735,Sales_Memo!$A$2:$A$1001,0)),""))</f>
        <v>46294</v>
      </c>
      <c r="C735" s="7" t="s">
        <v>102</v>
      </c>
      <c r="D735" s="16" t="str">
        <f aca="false">IF(C735="","",IFERROR(INDEX(Products!$B$2:$B$501,MATCH(C735,Products!$A$2:$A$501,0)),"CODE NOT FOUND"))</f>
        <v>Headlight Bulb H4</v>
      </c>
      <c r="E735" s="7" t="n">
        <v>3</v>
      </c>
      <c r="F735" s="13" t="n">
        <v>240</v>
      </c>
      <c r="G735" s="13" t="n">
        <v>140</v>
      </c>
      <c r="H735" s="17" t="n">
        <f aca="false">IF(OR(E735="",F735=""),"",E735*F735)</f>
        <v>720</v>
      </c>
      <c r="I735" s="17" t="n">
        <f aca="false">IF(OR(E735="",G735=""),"",E735*G735)</f>
        <v>420</v>
      </c>
      <c r="J735" s="17" t="n">
        <f aca="false">IF(H735="","",H735-I735)</f>
        <v>300</v>
      </c>
    </row>
    <row r="736" customFormat="false" ht="15" hidden="false" customHeight="true" outlineLevel="0" collapsed="false">
      <c r="A736" s="7" t="s">
        <v>902</v>
      </c>
      <c r="B736" s="18" t="n">
        <f aca="false">IF(A736="","",IFERROR(INDEX(Sales_Memo!$B$2:$B$1001,MATCH(A736,Sales_Memo!$A$2:$A$1001,0)),""))</f>
        <v>46294</v>
      </c>
      <c r="C736" s="7" t="s">
        <v>82</v>
      </c>
      <c r="D736" s="16" t="str">
        <f aca="false">IF(C736="","",IFERROR(INDEX(Products!$B$2:$B$501,MATCH(C736,Products!$A$2:$A$501,0)),"CODE NOT FOUND"))</f>
        <v>Clutch Cable</v>
      </c>
      <c r="E736" s="7" t="n">
        <v>2</v>
      </c>
      <c r="F736" s="13" t="n">
        <v>190</v>
      </c>
      <c r="G736" s="13" t="n">
        <v>110</v>
      </c>
      <c r="H736" s="17" t="n">
        <f aca="false">IF(OR(E736="",F736=""),"",E736*F736)</f>
        <v>380</v>
      </c>
      <c r="I736" s="17" t="n">
        <f aca="false">IF(OR(E736="",G736=""),"",E736*G736)</f>
        <v>220</v>
      </c>
      <c r="J736" s="17" t="n">
        <f aca="false">IF(H736="","",H736-I736)</f>
        <v>160</v>
      </c>
    </row>
    <row r="737" customFormat="false" ht="15" hidden="false" customHeight="true" outlineLevel="0" collapsed="false">
      <c r="A737" s="7" t="s">
        <v>903</v>
      </c>
      <c r="B737" s="18" t="n">
        <f aca="false">IF(A737="","",IFERROR(INDEX(Sales_Memo!$B$2:$B$1001,MATCH(A737,Sales_Memo!$A$2:$A$1001,0)),""))</f>
        <v>46294</v>
      </c>
      <c r="C737" s="7" t="s">
        <v>102</v>
      </c>
      <c r="D737" s="16" t="str">
        <f aca="false">IF(C737="","",IFERROR(INDEX(Products!$B$2:$B$501,MATCH(C737,Products!$A$2:$A$501,0)),"CODE NOT FOUND"))</f>
        <v>Headlight Bulb H4</v>
      </c>
      <c r="E737" s="7" t="n">
        <v>1</v>
      </c>
      <c r="F737" s="13" t="n">
        <v>240</v>
      </c>
      <c r="G737" s="13" t="n">
        <v>140</v>
      </c>
      <c r="H737" s="17" t="n">
        <f aca="false">IF(OR(E737="",F737=""),"",E737*F737)</f>
        <v>240</v>
      </c>
      <c r="I737" s="17" t="n">
        <f aca="false">IF(OR(E737="",G737=""),"",E737*G737)</f>
        <v>140</v>
      </c>
      <c r="J737" s="17" t="n">
        <f aca="false">IF(H737="","",H737-I737)</f>
        <v>100</v>
      </c>
    </row>
    <row r="738" customFormat="false" ht="15" hidden="false" customHeight="true" outlineLevel="0" collapsed="false">
      <c r="A738" s="7" t="s">
        <v>903</v>
      </c>
      <c r="B738" s="18" t="n">
        <f aca="false">IF(A738="","",IFERROR(INDEX(Sales_Memo!$B$2:$B$1001,MATCH(A738,Sales_Memo!$A$2:$A$1001,0)),""))</f>
        <v>46294</v>
      </c>
      <c r="C738" s="7" t="s">
        <v>82</v>
      </c>
      <c r="D738" s="16" t="str">
        <f aca="false">IF(C738="","",IFERROR(INDEX(Products!$B$2:$B$501,MATCH(C738,Products!$A$2:$A$501,0)),"CODE NOT FOUND"))</f>
        <v>Clutch Cable</v>
      </c>
      <c r="E738" s="7" t="n">
        <v>2</v>
      </c>
      <c r="F738" s="13" t="n">
        <v>190</v>
      </c>
      <c r="G738" s="13" t="n">
        <v>110</v>
      </c>
      <c r="H738" s="17" t="n">
        <f aca="false">IF(OR(E738="",F738=""),"",E738*F738)</f>
        <v>380</v>
      </c>
      <c r="I738" s="17" t="n">
        <f aca="false">IF(OR(E738="",G738=""),"",E738*G738)</f>
        <v>220</v>
      </c>
      <c r="J738" s="17" t="n">
        <f aca="false">IF(H738="","",H738-I738)</f>
        <v>160</v>
      </c>
    </row>
    <row r="739" customFormat="false" ht="15" hidden="false" customHeight="true" outlineLevel="0" collapsed="false">
      <c r="A739" s="7" t="s">
        <v>904</v>
      </c>
      <c r="B739" s="18" t="n">
        <f aca="false">IF(A739="","",IFERROR(INDEX(Sales_Memo!$B$2:$B$1001,MATCH(A739,Sales_Memo!$A$2:$A$1001,0)),""))</f>
        <v>46294</v>
      </c>
      <c r="C739" s="7" t="s">
        <v>86</v>
      </c>
      <c r="D739" s="16" t="str">
        <f aca="false">IF(C739="","",IFERROR(INDEX(Products!$B$2:$B$501,MATCH(C739,Products!$A$2:$A$501,0)),"CODE NOT FOUND"))</f>
        <v>Spark Plug CPR8EA-9</v>
      </c>
      <c r="E739" s="7" t="n">
        <v>1</v>
      </c>
      <c r="F739" s="13" t="n">
        <v>260</v>
      </c>
      <c r="G739" s="13" t="n">
        <v>175</v>
      </c>
      <c r="H739" s="17" t="n">
        <f aca="false">IF(OR(E739="",F739=""),"",E739*F739)</f>
        <v>260</v>
      </c>
      <c r="I739" s="17" t="n">
        <f aca="false">IF(OR(E739="",G739=""),"",E739*G739)</f>
        <v>175</v>
      </c>
      <c r="J739" s="17" t="n">
        <f aca="false">IF(H739="","",H739-I739)</f>
        <v>85</v>
      </c>
    </row>
    <row r="740" customFormat="false" ht="15" hidden="false" customHeight="true" outlineLevel="0" collapsed="false">
      <c r="A740" s="7" t="s">
        <v>904</v>
      </c>
      <c r="B740" s="18" t="n">
        <f aca="false">IF(A740="","",IFERROR(INDEX(Sales_Memo!$B$2:$B$1001,MATCH(A740,Sales_Memo!$A$2:$A$1001,0)),""))</f>
        <v>46294</v>
      </c>
      <c r="C740" s="7" t="s">
        <v>121</v>
      </c>
      <c r="D740" s="16" t="str">
        <f aca="false">IF(C740="","",IFERROR(INDEX(Products!$B$2:$B$501,MATCH(C740,Products!$A$2:$A$501,0)),"CODE NOT FOUND"))</f>
        <v>Handle Grip Set</v>
      </c>
      <c r="E740" s="7" t="n">
        <v>3</v>
      </c>
      <c r="F740" s="13" t="n">
        <v>280</v>
      </c>
      <c r="G740" s="13" t="n">
        <v>160</v>
      </c>
      <c r="H740" s="17" t="n">
        <f aca="false">IF(OR(E740="",F740=""),"",E740*F740)</f>
        <v>840</v>
      </c>
      <c r="I740" s="17" t="n">
        <f aca="false">IF(OR(E740="",G740=""),"",E740*G740)</f>
        <v>480</v>
      </c>
      <c r="J740" s="17" t="n">
        <f aca="false">IF(H740="","",H740-I740)</f>
        <v>360</v>
      </c>
    </row>
    <row r="741" customFormat="false" ht="15" hidden="false" customHeight="true" outlineLevel="0" collapsed="false">
      <c r="A741" s="7" t="s">
        <v>905</v>
      </c>
      <c r="B741" s="18" t="n">
        <f aca="false">IF(A741="","",IFERROR(INDEX(Sales_Memo!$B$2:$B$1001,MATCH(A741,Sales_Memo!$A$2:$A$1001,0)),""))</f>
        <v>46294</v>
      </c>
      <c r="C741" s="7" t="s">
        <v>102</v>
      </c>
      <c r="D741" s="16" t="str">
        <f aca="false">IF(C741="","",IFERROR(INDEX(Products!$B$2:$B$501,MATCH(C741,Products!$A$2:$A$501,0)),"CODE NOT FOUND"))</f>
        <v>Headlight Bulb H4</v>
      </c>
      <c r="E741" s="7" t="n">
        <v>2</v>
      </c>
      <c r="F741" s="13" t="n">
        <v>240</v>
      </c>
      <c r="G741" s="13" t="n">
        <v>140</v>
      </c>
      <c r="H741" s="17" t="n">
        <f aca="false">IF(OR(E741="",F741=""),"",E741*F741)</f>
        <v>480</v>
      </c>
      <c r="I741" s="17" t="n">
        <f aca="false">IF(OR(E741="",G741=""),"",E741*G741)</f>
        <v>280</v>
      </c>
      <c r="J741" s="17" t="n">
        <f aca="false">IF(H741="","",H741-I741)</f>
        <v>200</v>
      </c>
    </row>
    <row r="742" customFormat="false" ht="15" hidden="false" customHeight="true" outlineLevel="0" collapsed="false">
      <c r="A742" s="7" t="s">
        <v>906</v>
      </c>
      <c r="B742" s="18" t="n">
        <f aca="false">IF(A742="","",IFERROR(INDEX(Sales_Memo!$B$2:$B$1001,MATCH(A742,Sales_Memo!$A$2:$A$1001,0)),""))</f>
        <v>46294</v>
      </c>
      <c r="C742" s="7" t="s">
        <v>121</v>
      </c>
      <c r="D742" s="16" t="str">
        <f aca="false">IF(C742="","",IFERROR(INDEX(Products!$B$2:$B$501,MATCH(C742,Products!$A$2:$A$501,0)),"CODE NOT FOUND"))</f>
        <v>Handle Grip Set</v>
      </c>
      <c r="E742" s="7" t="n">
        <v>1</v>
      </c>
      <c r="F742" s="13" t="n">
        <v>280</v>
      </c>
      <c r="G742" s="13" t="n">
        <v>160</v>
      </c>
      <c r="H742" s="17" t="n">
        <f aca="false">IF(OR(E742="",F742=""),"",E742*F742)</f>
        <v>280</v>
      </c>
      <c r="I742" s="17" t="n">
        <f aca="false">IF(OR(E742="",G742=""),"",E742*G742)</f>
        <v>160</v>
      </c>
      <c r="J742" s="17" t="n">
        <f aca="false">IF(H742="","",H742-I742)</f>
        <v>120</v>
      </c>
    </row>
    <row r="743" customFormat="false" ht="15" hidden="false" customHeight="true" outlineLevel="0" collapsed="false">
      <c r="A743" s="7" t="s">
        <v>907</v>
      </c>
      <c r="B743" s="18" t="n">
        <f aca="false">IF(A743="","",IFERROR(INDEX(Sales_Memo!$B$2:$B$1001,MATCH(A743,Sales_Memo!$A$2:$A$1001,0)),""))</f>
        <v>46294</v>
      </c>
      <c r="C743" s="7" t="s">
        <v>102</v>
      </c>
      <c r="D743" s="16" t="str">
        <f aca="false">IF(C743="","",IFERROR(INDEX(Products!$B$2:$B$501,MATCH(C743,Products!$A$2:$A$501,0)),"CODE NOT FOUND"))</f>
        <v>Headlight Bulb H4</v>
      </c>
      <c r="E743" s="7" t="n">
        <v>2</v>
      </c>
      <c r="F743" s="13" t="n">
        <v>240</v>
      </c>
      <c r="G743" s="13" t="n">
        <v>140</v>
      </c>
      <c r="H743" s="17" t="n">
        <f aca="false">IF(OR(E743="",F743=""),"",E743*F743)</f>
        <v>480</v>
      </c>
      <c r="I743" s="17" t="n">
        <f aca="false">IF(OR(E743="",G743=""),"",E743*G743)</f>
        <v>280</v>
      </c>
      <c r="J743" s="17" t="n">
        <f aca="false">IF(H743="","",H743-I743)</f>
        <v>200</v>
      </c>
    </row>
    <row r="744" customFormat="false" ht="15" hidden="false" customHeight="true" outlineLevel="0" collapsed="false">
      <c r="A744" s="7" t="s">
        <v>908</v>
      </c>
      <c r="B744" s="18" t="n">
        <f aca="false">IF(A744="","",IFERROR(INDEX(Sales_Memo!$B$2:$B$1001,MATCH(A744,Sales_Memo!$A$2:$A$1001,0)),""))</f>
        <v>46294</v>
      </c>
      <c r="C744" s="7" t="s">
        <v>121</v>
      </c>
      <c r="D744" s="16" t="str">
        <f aca="false">IF(C744="","",IFERROR(INDEX(Products!$B$2:$B$501,MATCH(C744,Products!$A$2:$A$501,0)),"CODE NOT FOUND"))</f>
        <v>Handle Grip Set</v>
      </c>
      <c r="E744" s="7" t="n">
        <v>3</v>
      </c>
      <c r="F744" s="13" t="n">
        <v>280</v>
      </c>
      <c r="G744" s="13" t="n">
        <v>160</v>
      </c>
      <c r="H744" s="17" t="n">
        <f aca="false">IF(OR(E744="",F744=""),"",E744*F744)</f>
        <v>840</v>
      </c>
      <c r="I744" s="17" t="n">
        <f aca="false">IF(OR(E744="",G744=""),"",E744*G744)</f>
        <v>480</v>
      </c>
      <c r="J744" s="17" t="n">
        <f aca="false">IF(H744="","",H744-I744)</f>
        <v>360</v>
      </c>
    </row>
    <row r="745" customFormat="false" ht="15" hidden="false" customHeight="true" outlineLevel="0" collapsed="false">
      <c r="A745" s="7" t="s">
        <v>909</v>
      </c>
      <c r="B745" s="18" t="n">
        <f aca="false">IF(A745="","",IFERROR(INDEX(Sales_Memo!$B$2:$B$1001,MATCH(A745,Sales_Memo!$A$2:$A$1001,0)),""))</f>
        <v>46295</v>
      </c>
      <c r="C745" s="7" t="s">
        <v>121</v>
      </c>
      <c r="D745" s="16" t="str">
        <f aca="false">IF(C745="","",IFERROR(INDEX(Products!$B$2:$B$501,MATCH(C745,Products!$A$2:$A$501,0)),"CODE NOT FOUND"))</f>
        <v>Handle Grip Set</v>
      </c>
      <c r="E745" s="7" t="n">
        <v>1</v>
      </c>
      <c r="F745" s="13" t="n">
        <v>280</v>
      </c>
      <c r="G745" s="13" t="n">
        <v>160</v>
      </c>
      <c r="H745" s="17" t="n">
        <f aca="false">IF(OR(E745="",F745=""),"",E745*F745)</f>
        <v>280</v>
      </c>
      <c r="I745" s="17" t="n">
        <f aca="false">IF(OR(E745="",G745=""),"",E745*G745)</f>
        <v>160</v>
      </c>
      <c r="J745" s="17" t="n">
        <f aca="false">IF(H745="","",H745-I745)</f>
        <v>120</v>
      </c>
    </row>
    <row r="746" customFormat="false" ht="15" hidden="false" customHeight="true" outlineLevel="0" collapsed="false">
      <c r="A746" s="7" t="s">
        <v>910</v>
      </c>
      <c r="B746" s="18" t="n">
        <f aca="false">IF(A746="","",IFERROR(INDEX(Sales_Memo!$B$2:$B$1001,MATCH(A746,Sales_Memo!$A$2:$A$1001,0)),""))</f>
        <v>46295</v>
      </c>
      <c r="C746" s="7" t="s">
        <v>119</v>
      </c>
      <c r="D746" s="16" t="str">
        <f aca="false">IF(C746="","",IFERROR(INDEX(Products!$B$2:$B$501,MATCH(C746,Products!$A$2:$A$501,0)),"CODE NOT FOUND"))</f>
        <v>Chain Lube Spray</v>
      </c>
      <c r="E746" s="7" t="n">
        <v>2</v>
      </c>
      <c r="F746" s="13" t="n">
        <v>270</v>
      </c>
      <c r="G746" s="13" t="n">
        <v>170</v>
      </c>
      <c r="H746" s="17" t="n">
        <f aca="false">IF(OR(E746="",F746=""),"",E746*F746)</f>
        <v>540</v>
      </c>
      <c r="I746" s="17" t="n">
        <f aca="false">IF(OR(E746="",G746=""),"",E746*G746)</f>
        <v>340</v>
      </c>
      <c r="J746" s="17" t="n">
        <f aca="false">IF(H746="","",H746-I746)</f>
        <v>200</v>
      </c>
    </row>
    <row r="747" customFormat="false" ht="15" hidden="false" customHeight="true" outlineLevel="0" collapsed="false">
      <c r="A747" s="7" t="s">
        <v>911</v>
      </c>
      <c r="B747" s="18" t="n">
        <f aca="false">IF(A747="","",IFERROR(INDEX(Sales_Memo!$B$2:$B$1001,MATCH(A747,Sales_Memo!$A$2:$A$1001,0)),""))</f>
        <v>46295</v>
      </c>
      <c r="C747" s="7" t="s">
        <v>99</v>
      </c>
      <c r="D747" s="16" t="str">
        <f aca="false">IF(C747="","",IFERROR(INDEX(Products!$B$2:$B$501,MATCH(C747,Products!$A$2:$A$501,0)),"CODE NOT FOUND"))</f>
        <v>Engine Oil 20W-50 (1L)</v>
      </c>
      <c r="E747" s="7" t="n">
        <v>2</v>
      </c>
      <c r="F747" s="13" t="n">
        <v>990</v>
      </c>
      <c r="G747" s="13" t="n">
        <v>780</v>
      </c>
      <c r="H747" s="17" t="n">
        <f aca="false">IF(OR(E747="",F747=""),"",E747*F747)</f>
        <v>1980</v>
      </c>
      <c r="I747" s="17" t="n">
        <f aca="false">IF(OR(E747="",G747=""),"",E747*G747)</f>
        <v>1560</v>
      </c>
      <c r="J747" s="17" t="n">
        <f aca="false">IF(H747="","",H747-I747)</f>
        <v>420</v>
      </c>
    </row>
    <row r="748" customFormat="false" ht="15" hidden="false" customHeight="true" outlineLevel="0" collapsed="false">
      <c r="A748" s="7" t="s">
        <v>912</v>
      </c>
      <c r="B748" s="18" t="n">
        <f aca="false">IF(A748="","",IFERROR(INDEX(Sales_Memo!$B$2:$B$1001,MATCH(A748,Sales_Memo!$A$2:$A$1001,0)),""))</f>
        <v>46295</v>
      </c>
      <c r="C748" s="7" t="s">
        <v>111</v>
      </c>
      <c r="D748" s="16" t="str">
        <f aca="false">IF(C748="","",IFERROR(INDEX(Products!$B$2:$B$501,MATCH(C748,Products!$A$2:$A$501,0)),"CODE NOT FOUND"))</f>
        <v>Tyre 80/100-18 Front</v>
      </c>
      <c r="E748" s="7" t="n">
        <v>1</v>
      </c>
      <c r="F748" s="13" t="n">
        <v>2850</v>
      </c>
      <c r="G748" s="13" t="n">
        <v>2300</v>
      </c>
      <c r="H748" s="17" t="n">
        <f aca="false">IF(OR(E748="",F748=""),"",E748*F748)</f>
        <v>2850</v>
      </c>
      <c r="I748" s="17" t="n">
        <f aca="false">IF(OR(E748="",G748=""),"",E748*G748)</f>
        <v>2300</v>
      </c>
      <c r="J748" s="17" t="n">
        <f aca="false">IF(H748="","",H748-I748)</f>
        <v>550</v>
      </c>
    </row>
    <row r="749" customFormat="false" ht="15" hidden="false" customHeight="true" outlineLevel="0" collapsed="false">
      <c r="A749" s="7" t="s">
        <v>913</v>
      </c>
      <c r="B749" s="18" t="n">
        <f aca="false">IF(A749="","",IFERROR(INDEX(Sales_Memo!$B$2:$B$1001,MATCH(A749,Sales_Memo!$A$2:$A$1001,0)),""))</f>
        <v>46295</v>
      </c>
      <c r="C749" s="7" t="s">
        <v>114</v>
      </c>
      <c r="D749" s="16" t="str">
        <f aca="false">IF(C749="","",IFERROR(INDEX(Products!$B$2:$B$501,MATCH(C749,Products!$A$2:$A$501,0)),"CODE NOT FOUND"))</f>
        <v>Side Mirror (Pair)</v>
      </c>
      <c r="E749" s="7" t="n">
        <v>2</v>
      </c>
      <c r="F749" s="13" t="n">
        <v>620</v>
      </c>
      <c r="G749" s="13" t="n">
        <v>380</v>
      </c>
      <c r="H749" s="17" t="n">
        <f aca="false">IF(OR(E749="",F749=""),"",E749*F749)</f>
        <v>1240</v>
      </c>
      <c r="I749" s="17" t="n">
        <f aca="false">IF(OR(E749="",G749=""),"",E749*G749)</f>
        <v>760</v>
      </c>
      <c r="J749" s="17" t="n">
        <f aca="false">IF(H749="","",H749-I749)</f>
        <v>480</v>
      </c>
    </row>
    <row r="750" customFormat="false" ht="15" hidden="false" customHeight="true" outlineLevel="0" collapsed="false">
      <c r="A750" s="7" t="s">
        <v>913</v>
      </c>
      <c r="B750" s="18" t="n">
        <f aca="false">IF(A750="","",IFERROR(INDEX(Sales_Memo!$B$2:$B$1001,MATCH(A750,Sales_Memo!$A$2:$A$1001,0)),""))</f>
        <v>46295</v>
      </c>
      <c r="C750" s="7" t="s">
        <v>93</v>
      </c>
      <c r="D750" s="16" t="str">
        <f aca="false">IF(C750="","",IFERROR(INDEX(Products!$B$2:$B$501,MATCH(C750,Products!$A$2:$A$501,0)),"CODE NOT FOUND"))</f>
        <v>Chain &amp; Sprocket Kit</v>
      </c>
      <c r="E750" s="7" t="n">
        <v>1</v>
      </c>
      <c r="F750" s="13" t="n">
        <v>2350</v>
      </c>
      <c r="G750" s="13" t="n">
        <v>1750</v>
      </c>
      <c r="H750" s="17" t="n">
        <f aca="false">IF(OR(E750="",F750=""),"",E750*F750)</f>
        <v>2350</v>
      </c>
      <c r="I750" s="17" t="n">
        <f aca="false">IF(OR(E750="",G750=""),"",E750*G750)</f>
        <v>1750</v>
      </c>
      <c r="J750" s="17" t="n">
        <f aca="false">IF(H750="","",H750-I750)</f>
        <v>600</v>
      </c>
    </row>
    <row r="751" customFormat="false" ht="15" hidden="false" customHeight="true" outlineLevel="0" collapsed="false">
      <c r="A751" s="7" t="s">
        <v>915</v>
      </c>
      <c r="B751" s="18" t="n">
        <f aca="false">IF(A751="","",IFERROR(INDEX(Sales_Memo!$B$2:$B$1001,MATCH(A751,Sales_Memo!$A$2:$A$1001,0)),""))</f>
        <v>46295</v>
      </c>
      <c r="C751" s="7" t="s">
        <v>82</v>
      </c>
      <c r="D751" s="16" t="str">
        <f aca="false">IF(C751="","",IFERROR(INDEX(Products!$B$2:$B$501,MATCH(C751,Products!$A$2:$A$501,0)),"CODE NOT FOUND"))</f>
        <v>Clutch Cable</v>
      </c>
      <c r="E751" s="7" t="n">
        <v>1</v>
      </c>
      <c r="F751" s="13" t="n">
        <v>190</v>
      </c>
      <c r="G751" s="13" t="n">
        <v>110</v>
      </c>
      <c r="H751" s="17" t="n">
        <f aca="false">IF(OR(E751="",F751=""),"",E751*F751)</f>
        <v>190</v>
      </c>
      <c r="I751" s="17" t="n">
        <f aca="false">IF(OR(E751="",G751=""),"",E751*G751)</f>
        <v>110</v>
      </c>
      <c r="J751" s="17" t="n">
        <f aca="false">IF(H751="","",H751-I751)</f>
        <v>80</v>
      </c>
    </row>
    <row r="752" customFormat="false" ht="15" hidden="false" customHeight="true" outlineLevel="0" collapsed="false">
      <c r="A752" s="7" t="s">
        <v>915</v>
      </c>
      <c r="B752" s="18" t="n">
        <f aca="false">IF(A752="","",IFERROR(INDEX(Sales_Memo!$B$2:$B$1001,MATCH(A752,Sales_Memo!$A$2:$A$1001,0)),""))</f>
        <v>46295</v>
      </c>
      <c r="C752" s="7" t="s">
        <v>121</v>
      </c>
      <c r="D752" s="16" t="str">
        <f aca="false">IF(C752="","",IFERROR(INDEX(Products!$B$2:$B$501,MATCH(C752,Products!$A$2:$A$501,0)),"CODE NOT FOUND"))</f>
        <v>Handle Grip Set</v>
      </c>
      <c r="E752" s="7" t="n">
        <v>1</v>
      </c>
      <c r="F752" s="13" t="n">
        <v>280</v>
      </c>
      <c r="G752" s="13" t="n">
        <v>160</v>
      </c>
      <c r="H752" s="17" t="n">
        <f aca="false">IF(OR(E752="",F752=""),"",E752*F752)</f>
        <v>280</v>
      </c>
      <c r="I752" s="17" t="n">
        <f aca="false">IF(OR(E752="",G752=""),"",E752*G752)</f>
        <v>160</v>
      </c>
      <c r="J752" s="17" t="n">
        <f aca="false">IF(H752="","",H752-I752)</f>
        <v>120</v>
      </c>
    </row>
    <row r="753" customFormat="false" ht="15" hidden="false" customHeight="true" outlineLevel="0" collapsed="false">
      <c r="A753" s="7" t="s">
        <v>915</v>
      </c>
      <c r="B753" s="18" t="n">
        <f aca="false">IF(A753="","",IFERROR(INDEX(Sales_Memo!$B$2:$B$1001,MATCH(A753,Sales_Memo!$A$2:$A$1001,0)),""))</f>
        <v>46295</v>
      </c>
      <c r="C753" s="7" t="s">
        <v>119</v>
      </c>
      <c r="D753" s="16" t="str">
        <f aca="false">IF(C753="","",IFERROR(INDEX(Products!$B$2:$B$501,MATCH(C753,Products!$A$2:$A$501,0)),"CODE NOT FOUND"))</f>
        <v>Chain Lube Spray</v>
      </c>
      <c r="E753" s="7" t="n">
        <v>1</v>
      </c>
      <c r="F753" s="13" t="n">
        <v>270</v>
      </c>
      <c r="G753" s="13" t="n">
        <v>170</v>
      </c>
      <c r="H753" s="17" t="n">
        <f aca="false">IF(OR(E753="",F753=""),"",E753*F753)</f>
        <v>270</v>
      </c>
      <c r="I753" s="17" t="n">
        <f aca="false">IF(OR(E753="",G753=""),"",E753*G753)</f>
        <v>170</v>
      </c>
      <c r="J753" s="17" t="n">
        <f aca="false">IF(H753="","",H753-I753)</f>
        <v>100</v>
      </c>
    </row>
    <row r="754" customFormat="false" ht="15" hidden="false" customHeight="true" outlineLevel="0" collapsed="false">
      <c r="A754" s="7" t="s">
        <v>916</v>
      </c>
      <c r="B754" s="18" t="n">
        <f aca="false">IF(A754="","",IFERROR(INDEX(Sales_Memo!$B$2:$B$1001,MATCH(A754,Sales_Memo!$A$2:$A$1001,0)),""))</f>
        <v>46295</v>
      </c>
      <c r="C754" s="7" t="s">
        <v>119</v>
      </c>
      <c r="D754" s="16" t="str">
        <f aca="false">IF(C754="","",IFERROR(INDEX(Products!$B$2:$B$501,MATCH(C754,Products!$A$2:$A$501,0)),"CODE NOT FOUND"))</f>
        <v>Chain Lube Spray</v>
      </c>
      <c r="E754" s="7" t="n">
        <v>3</v>
      </c>
      <c r="F754" s="13" t="n">
        <v>270</v>
      </c>
      <c r="G754" s="13" t="n">
        <v>170</v>
      </c>
      <c r="H754" s="17" t="n">
        <f aca="false">IF(OR(E754="",F754=""),"",E754*F754)</f>
        <v>810</v>
      </c>
      <c r="I754" s="17" t="n">
        <f aca="false">IF(OR(E754="",G754=""),"",E754*G754)</f>
        <v>510</v>
      </c>
      <c r="J754" s="17" t="n">
        <f aca="false">IF(H754="","",H754-I754)</f>
        <v>300</v>
      </c>
    </row>
    <row r="755" customFormat="false" ht="15" hidden="false" customHeight="true" outlineLevel="0" collapsed="false">
      <c r="A755" s="7" t="s">
        <v>916</v>
      </c>
      <c r="B755" s="18" t="n">
        <f aca="false">IF(A755="","",IFERROR(INDEX(Sales_Memo!$B$2:$B$1001,MATCH(A755,Sales_Memo!$A$2:$A$1001,0)),""))</f>
        <v>46295</v>
      </c>
      <c r="C755" s="7" t="s">
        <v>82</v>
      </c>
      <c r="D755" s="16" t="str">
        <f aca="false">IF(C755="","",IFERROR(INDEX(Products!$B$2:$B$501,MATCH(C755,Products!$A$2:$A$501,0)),"CODE NOT FOUND"))</f>
        <v>Clutch Cable</v>
      </c>
      <c r="E755" s="7" t="n">
        <v>2</v>
      </c>
      <c r="F755" s="13" t="n">
        <v>190</v>
      </c>
      <c r="G755" s="13" t="n">
        <v>110</v>
      </c>
      <c r="H755" s="17" t="n">
        <f aca="false">IF(OR(E755="",F755=""),"",E755*F755)</f>
        <v>380</v>
      </c>
      <c r="I755" s="17" t="n">
        <f aca="false">IF(OR(E755="",G755=""),"",E755*G755)</f>
        <v>220</v>
      </c>
      <c r="J755" s="17" t="n">
        <f aca="false">IF(H755="","",H755-I755)</f>
        <v>160</v>
      </c>
    </row>
    <row r="756" customFormat="false" ht="15" hidden="false" customHeight="true" outlineLevel="0" collapsed="false">
      <c r="A756" s="7" t="s">
        <v>916</v>
      </c>
      <c r="B756" s="18" t="n">
        <f aca="false">IF(A756="","",IFERROR(INDEX(Sales_Memo!$B$2:$B$1001,MATCH(A756,Sales_Memo!$A$2:$A$1001,0)),""))</f>
        <v>46295</v>
      </c>
      <c r="C756" s="7" t="s">
        <v>102</v>
      </c>
      <c r="D756" s="16" t="str">
        <f aca="false">IF(C756="","",IFERROR(INDEX(Products!$B$2:$B$501,MATCH(C756,Products!$A$2:$A$501,0)),"CODE NOT FOUND"))</f>
        <v>Headlight Bulb H4</v>
      </c>
      <c r="E756" s="7" t="n">
        <v>2</v>
      </c>
      <c r="F756" s="13" t="n">
        <v>240</v>
      </c>
      <c r="G756" s="13" t="n">
        <v>140</v>
      </c>
      <c r="H756" s="17" t="n">
        <f aca="false">IF(OR(E756="",F756=""),"",E756*F756)</f>
        <v>480</v>
      </c>
      <c r="I756" s="17" t="n">
        <f aca="false">IF(OR(E756="",G756=""),"",E756*G756)</f>
        <v>280</v>
      </c>
      <c r="J756" s="17" t="n">
        <f aca="false">IF(H756="","",H756-I756)</f>
        <v>200</v>
      </c>
    </row>
    <row r="757" customFormat="false" ht="15" hidden="false" customHeight="true" outlineLevel="0" collapsed="false">
      <c r="A757" s="7" t="s">
        <v>918</v>
      </c>
      <c r="B757" s="18" t="n">
        <f aca="false">IF(A757="","",IFERROR(INDEX(Sales_Memo!$B$2:$B$1001,MATCH(A757,Sales_Memo!$A$2:$A$1001,0)),""))</f>
        <v>46295</v>
      </c>
      <c r="C757" s="7" t="s">
        <v>102</v>
      </c>
      <c r="D757" s="16" t="str">
        <f aca="false">IF(C757="","",IFERROR(INDEX(Products!$B$2:$B$501,MATCH(C757,Products!$A$2:$A$501,0)),"CODE NOT FOUND"))</f>
        <v>Headlight Bulb H4</v>
      </c>
      <c r="E757" s="7" t="n">
        <v>1</v>
      </c>
      <c r="F757" s="13" t="n">
        <v>240</v>
      </c>
      <c r="G757" s="13" t="n">
        <v>140</v>
      </c>
      <c r="H757" s="17" t="n">
        <f aca="false">IF(OR(E757="",F757=""),"",E757*F757)</f>
        <v>240</v>
      </c>
      <c r="I757" s="17" t="n">
        <f aca="false">IF(OR(E757="",G757=""),"",E757*G757)</f>
        <v>140</v>
      </c>
      <c r="J757" s="17" t="n">
        <f aca="false">IF(H757="","",H757-I757)</f>
        <v>100</v>
      </c>
    </row>
    <row r="758" customFormat="false" ht="15" hidden="false" customHeight="true" outlineLevel="0" collapsed="false">
      <c r="A758" s="7" t="s">
        <v>919</v>
      </c>
      <c r="B758" s="18" t="n">
        <f aca="false">IF(A758="","",IFERROR(INDEX(Sales_Memo!$B$2:$B$1001,MATCH(A758,Sales_Memo!$A$2:$A$1001,0)),""))</f>
        <v>46296</v>
      </c>
      <c r="C758" s="7" t="s">
        <v>102</v>
      </c>
      <c r="D758" s="16" t="str">
        <f aca="false">IF(C758="","",IFERROR(INDEX(Products!$B$2:$B$501,MATCH(C758,Products!$A$2:$A$501,0)),"CODE NOT FOUND"))</f>
        <v>Headlight Bulb H4</v>
      </c>
      <c r="E758" s="7" t="n">
        <v>3</v>
      </c>
      <c r="F758" s="13" t="n">
        <v>240</v>
      </c>
      <c r="G758" s="13" t="n">
        <v>140</v>
      </c>
      <c r="H758" s="17" t="n">
        <f aca="false">IF(OR(E758="",F758=""),"",E758*F758)</f>
        <v>720</v>
      </c>
      <c r="I758" s="17" t="n">
        <f aca="false">IF(OR(E758="",G758=""),"",E758*G758)</f>
        <v>420</v>
      </c>
      <c r="J758" s="17" t="n">
        <f aca="false">IF(H758="","",H758-I758)</f>
        <v>300</v>
      </c>
    </row>
    <row r="759" customFormat="false" ht="15" hidden="false" customHeight="true" outlineLevel="0" collapsed="false">
      <c r="A759" s="7" t="s">
        <v>920</v>
      </c>
      <c r="B759" s="18" t="n">
        <f aca="false">IF(A759="","",IFERROR(INDEX(Sales_Memo!$B$2:$B$1001,MATCH(A759,Sales_Memo!$A$2:$A$1001,0)),""))</f>
        <v>46296</v>
      </c>
      <c r="C759" s="7" t="s">
        <v>77</v>
      </c>
      <c r="D759" s="16" t="str">
        <f aca="false">IF(C759="","",IFERROR(INDEX(Products!$B$2:$B$501,MATCH(C759,Products!$A$2:$A$501,0)),"CODE NOT FOUND"))</f>
        <v>Brake Pad Set - Front</v>
      </c>
      <c r="E759" s="7" t="n">
        <v>2</v>
      </c>
      <c r="F759" s="13" t="n">
        <v>480</v>
      </c>
      <c r="G759" s="13" t="n">
        <v>320</v>
      </c>
      <c r="H759" s="17" t="n">
        <f aca="false">IF(OR(E759="",F759=""),"",E759*F759)</f>
        <v>960</v>
      </c>
      <c r="I759" s="17" t="n">
        <f aca="false">IF(OR(E759="",G759=""),"",E759*G759)</f>
        <v>640</v>
      </c>
      <c r="J759" s="17" t="n">
        <f aca="false">IF(H759="","",H759-I759)</f>
        <v>320</v>
      </c>
    </row>
    <row r="760" customFormat="false" ht="15" hidden="false" customHeight="true" outlineLevel="0" collapsed="false">
      <c r="A760" s="7" t="s">
        <v>921</v>
      </c>
      <c r="B760" s="18" t="n">
        <f aca="false">IF(A760="","",IFERROR(INDEX(Sales_Memo!$B$2:$B$1001,MATCH(A760,Sales_Memo!$A$2:$A$1001,0)),""))</f>
        <v>46296</v>
      </c>
      <c r="C760" s="7" t="s">
        <v>119</v>
      </c>
      <c r="D760" s="16" t="str">
        <f aca="false">IF(C760="","",IFERROR(INDEX(Products!$B$2:$B$501,MATCH(C760,Products!$A$2:$A$501,0)),"CODE NOT FOUND"))</f>
        <v>Chain Lube Spray</v>
      </c>
      <c r="E760" s="7" t="n">
        <v>1</v>
      </c>
      <c r="F760" s="13" t="n">
        <v>270</v>
      </c>
      <c r="G760" s="13" t="n">
        <v>170</v>
      </c>
      <c r="H760" s="17" t="n">
        <f aca="false">IF(OR(E760="",F760=""),"",E760*F760)</f>
        <v>270</v>
      </c>
      <c r="I760" s="17" t="n">
        <f aca="false">IF(OR(E760="",G760=""),"",E760*G760)</f>
        <v>170</v>
      </c>
      <c r="J760" s="17" t="n">
        <f aca="false">IF(H760="","",H760-I760)</f>
        <v>100</v>
      </c>
    </row>
    <row r="761" customFormat="false" ht="15" hidden="false" customHeight="true" outlineLevel="0" collapsed="false">
      <c r="A761" s="7" t="s">
        <v>922</v>
      </c>
      <c r="B761" s="18" t="n">
        <f aca="false">IF(A761="","",IFERROR(INDEX(Sales_Memo!$B$2:$B$1001,MATCH(A761,Sales_Memo!$A$2:$A$1001,0)),""))</f>
        <v>46296</v>
      </c>
      <c r="C761" s="7" t="s">
        <v>86</v>
      </c>
      <c r="D761" s="16" t="str">
        <f aca="false">IF(C761="","",IFERROR(INDEX(Products!$B$2:$B$501,MATCH(C761,Products!$A$2:$A$501,0)),"CODE NOT FOUND"))</f>
        <v>Spark Plug CPR8EA-9</v>
      </c>
      <c r="E761" s="7" t="n">
        <v>1</v>
      </c>
      <c r="F761" s="13" t="n">
        <v>260</v>
      </c>
      <c r="G761" s="13" t="n">
        <v>175</v>
      </c>
      <c r="H761" s="17" t="n">
        <f aca="false">IF(OR(E761="",F761=""),"",E761*F761)</f>
        <v>260</v>
      </c>
      <c r="I761" s="17" t="n">
        <f aca="false">IF(OR(E761="",G761=""),"",E761*G761)</f>
        <v>175</v>
      </c>
      <c r="J761" s="17" t="n">
        <f aca="false">IF(H761="","",H761-I761)</f>
        <v>85</v>
      </c>
    </row>
    <row r="762" customFormat="false" ht="15" hidden="false" customHeight="true" outlineLevel="0" collapsed="false">
      <c r="A762" s="7" t="s">
        <v>922</v>
      </c>
      <c r="B762" s="18" t="n">
        <f aca="false">IF(A762="","",IFERROR(INDEX(Sales_Memo!$B$2:$B$1001,MATCH(A762,Sales_Memo!$A$2:$A$1001,0)),""))</f>
        <v>46296</v>
      </c>
      <c r="C762" s="7" t="s">
        <v>108</v>
      </c>
      <c r="D762" s="16" t="str">
        <f aca="false">IF(C762="","",IFERROR(INDEX(Products!$B$2:$B$501,MATCH(C762,Products!$A$2:$A$501,0)),"CODE NOT FOUND"))</f>
        <v>Tyre 90/90-17 Rear</v>
      </c>
      <c r="E762" s="7" t="n">
        <v>1</v>
      </c>
      <c r="F762" s="13" t="n">
        <v>3350</v>
      </c>
      <c r="G762" s="13" t="n">
        <v>2750</v>
      </c>
      <c r="H762" s="17" t="n">
        <f aca="false">IF(OR(E762="",F762=""),"",E762*F762)</f>
        <v>3350</v>
      </c>
      <c r="I762" s="17" t="n">
        <f aca="false">IF(OR(E762="",G762=""),"",E762*G762)</f>
        <v>2750</v>
      </c>
      <c r="J762" s="17" t="n">
        <f aca="false">IF(H762="","",H762-I762)</f>
        <v>600</v>
      </c>
    </row>
    <row r="763" customFormat="false" ht="15" hidden="false" customHeight="true" outlineLevel="0" collapsed="false">
      <c r="A763" s="7" t="s">
        <v>924</v>
      </c>
      <c r="B763" s="18" t="n">
        <f aca="false">IF(A763="","",IFERROR(INDEX(Sales_Memo!$B$2:$B$1001,MATCH(A763,Sales_Memo!$A$2:$A$1001,0)),""))</f>
        <v>46296</v>
      </c>
      <c r="C763" s="7" t="s">
        <v>82</v>
      </c>
      <c r="D763" s="16" t="str">
        <f aca="false">IF(C763="","",IFERROR(INDEX(Products!$B$2:$B$501,MATCH(C763,Products!$A$2:$A$501,0)),"CODE NOT FOUND"))</f>
        <v>Clutch Cable</v>
      </c>
      <c r="E763" s="7" t="n">
        <v>3</v>
      </c>
      <c r="F763" s="13" t="n">
        <v>190</v>
      </c>
      <c r="G763" s="13" t="n">
        <v>110</v>
      </c>
      <c r="H763" s="17" t="n">
        <f aca="false">IF(OR(E763="",F763=""),"",E763*F763)</f>
        <v>570</v>
      </c>
      <c r="I763" s="17" t="n">
        <f aca="false">IF(OR(E763="",G763=""),"",E763*G763)</f>
        <v>330</v>
      </c>
      <c r="J763" s="17" t="n">
        <f aca="false">IF(H763="","",H763-I763)</f>
        <v>240</v>
      </c>
    </row>
    <row r="764" customFormat="false" ht="15" hidden="false" customHeight="true" outlineLevel="0" collapsed="false">
      <c r="A764" s="7" t="s">
        <v>925</v>
      </c>
      <c r="B764" s="18" t="n">
        <f aca="false">IF(A764="","",IFERROR(INDEX(Sales_Memo!$B$2:$B$1001,MATCH(A764,Sales_Memo!$A$2:$A$1001,0)),""))</f>
        <v>46296</v>
      </c>
      <c r="C764" s="7" t="s">
        <v>82</v>
      </c>
      <c r="D764" s="16" t="str">
        <f aca="false">IF(C764="","",IFERROR(INDEX(Products!$B$2:$B$501,MATCH(C764,Products!$A$2:$A$501,0)),"CODE NOT FOUND"))</f>
        <v>Clutch Cable</v>
      </c>
      <c r="E764" s="7" t="n">
        <v>3</v>
      </c>
      <c r="F764" s="13" t="n">
        <v>190</v>
      </c>
      <c r="G764" s="13" t="n">
        <v>110</v>
      </c>
      <c r="H764" s="17" t="n">
        <f aca="false">IF(OR(E764="",F764=""),"",E764*F764)</f>
        <v>570</v>
      </c>
      <c r="I764" s="17" t="n">
        <f aca="false">IF(OR(E764="",G764=""),"",E764*G764)</f>
        <v>330</v>
      </c>
      <c r="J764" s="17" t="n">
        <f aca="false">IF(H764="","",H764-I764)</f>
        <v>240</v>
      </c>
    </row>
    <row r="765" customFormat="false" ht="15" hidden="false" customHeight="true" outlineLevel="0" collapsed="false">
      <c r="A765" s="7" t="s">
        <v>925</v>
      </c>
      <c r="B765" s="18" t="n">
        <f aca="false">IF(A765="","",IFERROR(INDEX(Sales_Memo!$B$2:$B$1001,MATCH(A765,Sales_Memo!$A$2:$A$1001,0)),""))</f>
        <v>46296</v>
      </c>
      <c r="C765" s="7" t="s">
        <v>77</v>
      </c>
      <c r="D765" s="16" t="str">
        <f aca="false">IF(C765="","",IFERROR(INDEX(Products!$B$2:$B$501,MATCH(C765,Products!$A$2:$A$501,0)),"CODE NOT FOUND"))</f>
        <v>Brake Pad Set - Front</v>
      </c>
      <c r="E765" s="7" t="n">
        <v>2</v>
      </c>
      <c r="F765" s="13" t="n">
        <v>480</v>
      </c>
      <c r="G765" s="13" t="n">
        <v>320</v>
      </c>
      <c r="H765" s="17" t="n">
        <f aca="false">IF(OR(E765="",F765=""),"",E765*F765)</f>
        <v>960</v>
      </c>
      <c r="I765" s="17" t="n">
        <f aca="false">IF(OR(E765="",G765=""),"",E765*G765)</f>
        <v>640</v>
      </c>
      <c r="J765" s="17" t="n">
        <f aca="false">IF(H765="","",H765-I765)</f>
        <v>320</v>
      </c>
    </row>
    <row r="766" customFormat="false" ht="15" hidden="false" customHeight="true" outlineLevel="0" collapsed="false">
      <c r="A766" s="7" t="s">
        <v>927</v>
      </c>
      <c r="B766" s="18" t="n">
        <f aca="false">IF(A766="","",IFERROR(INDEX(Sales_Memo!$B$2:$B$1001,MATCH(A766,Sales_Memo!$A$2:$A$1001,0)),""))</f>
        <v>46296</v>
      </c>
      <c r="C766" s="7" t="s">
        <v>86</v>
      </c>
      <c r="D766" s="16" t="str">
        <f aca="false">IF(C766="","",IFERROR(INDEX(Products!$B$2:$B$501,MATCH(C766,Products!$A$2:$A$501,0)),"CODE NOT FOUND"))</f>
        <v>Spark Plug CPR8EA-9</v>
      </c>
      <c r="E766" s="7" t="n">
        <v>3</v>
      </c>
      <c r="F766" s="13" t="n">
        <v>260</v>
      </c>
      <c r="G766" s="13" t="n">
        <v>175</v>
      </c>
      <c r="H766" s="17" t="n">
        <f aca="false">IF(OR(E766="",F766=""),"",E766*F766)</f>
        <v>780</v>
      </c>
      <c r="I766" s="17" t="n">
        <f aca="false">IF(OR(E766="",G766=""),"",E766*G766)</f>
        <v>525</v>
      </c>
      <c r="J766" s="17" t="n">
        <f aca="false">IF(H766="","",H766-I766)</f>
        <v>255</v>
      </c>
    </row>
    <row r="767" customFormat="false" ht="15" hidden="false" customHeight="true" outlineLevel="0" collapsed="false">
      <c r="A767" s="7" t="s">
        <v>928</v>
      </c>
      <c r="B767" s="18" t="n">
        <f aca="false">IF(A767="","",IFERROR(INDEX(Sales_Memo!$B$2:$B$1001,MATCH(A767,Sales_Memo!$A$2:$A$1001,0)),""))</f>
        <v>46296</v>
      </c>
      <c r="C767" s="7" t="s">
        <v>121</v>
      </c>
      <c r="D767" s="16" t="str">
        <f aca="false">IF(C767="","",IFERROR(INDEX(Products!$B$2:$B$501,MATCH(C767,Products!$A$2:$A$501,0)),"CODE NOT FOUND"))</f>
        <v>Handle Grip Set</v>
      </c>
      <c r="E767" s="7" t="n">
        <v>1</v>
      </c>
      <c r="F767" s="13" t="n">
        <v>280</v>
      </c>
      <c r="G767" s="13" t="n">
        <v>160</v>
      </c>
      <c r="H767" s="17" t="n">
        <f aca="false">IF(OR(E767="",F767=""),"",E767*F767)</f>
        <v>280</v>
      </c>
      <c r="I767" s="17" t="n">
        <f aca="false">IF(OR(E767="",G767=""),"",E767*G767)</f>
        <v>160</v>
      </c>
      <c r="J767" s="17" t="n">
        <f aca="false">IF(H767="","",H767-I767)</f>
        <v>120</v>
      </c>
    </row>
    <row r="768" customFormat="false" ht="15" hidden="false" customHeight="true" outlineLevel="0" collapsed="false">
      <c r="A768" s="7" t="s">
        <v>928</v>
      </c>
      <c r="B768" s="18" t="n">
        <f aca="false">IF(A768="","",IFERROR(INDEX(Sales_Memo!$B$2:$B$1001,MATCH(A768,Sales_Memo!$A$2:$A$1001,0)),""))</f>
        <v>46296</v>
      </c>
      <c r="C768" s="7" t="s">
        <v>119</v>
      </c>
      <c r="D768" s="16" t="str">
        <f aca="false">IF(C768="","",IFERROR(INDEX(Products!$B$2:$B$501,MATCH(C768,Products!$A$2:$A$501,0)),"CODE NOT FOUND"))</f>
        <v>Chain Lube Spray</v>
      </c>
      <c r="E768" s="7" t="n">
        <v>2</v>
      </c>
      <c r="F768" s="13" t="n">
        <v>270</v>
      </c>
      <c r="G768" s="13" t="n">
        <v>170</v>
      </c>
      <c r="H768" s="17" t="n">
        <f aca="false">IF(OR(E768="",F768=""),"",E768*F768)</f>
        <v>540</v>
      </c>
      <c r="I768" s="17" t="n">
        <f aca="false">IF(OR(E768="",G768=""),"",E768*G768)</f>
        <v>340</v>
      </c>
      <c r="J768" s="17" t="n">
        <f aca="false">IF(H768="","",H768-I768)</f>
        <v>200</v>
      </c>
    </row>
    <row r="769" customFormat="false" ht="15" hidden="false" customHeight="true" outlineLevel="0" collapsed="false">
      <c r="A769" s="7" t="s">
        <v>928</v>
      </c>
      <c r="B769" s="18" t="n">
        <f aca="false">IF(A769="","",IFERROR(INDEX(Sales_Memo!$B$2:$B$1001,MATCH(A769,Sales_Memo!$A$2:$A$1001,0)),""))</f>
        <v>46296</v>
      </c>
      <c r="C769" s="7" t="s">
        <v>77</v>
      </c>
      <c r="D769" s="16" t="str">
        <f aca="false">IF(C769="","",IFERROR(INDEX(Products!$B$2:$B$501,MATCH(C769,Products!$A$2:$A$501,0)),"CODE NOT FOUND"))</f>
        <v>Brake Pad Set - Front</v>
      </c>
      <c r="E769" s="7" t="n">
        <v>1</v>
      </c>
      <c r="F769" s="13" t="n">
        <v>480</v>
      </c>
      <c r="G769" s="13" t="n">
        <v>320</v>
      </c>
      <c r="H769" s="17" t="n">
        <f aca="false">IF(OR(E769="",F769=""),"",E769*F769)</f>
        <v>480</v>
      </c>
      <c r="I769" s="17" t="n">
        <f aca="false">IF(OR(E769="",G769=""),"",E769*G769)</f>
        <v>320</v>
      </c>
      <c r="J769" s="17" t="n">
        <f aca="false">IF(H769="","",H769-I769)</f>
        <v>160</v>
      </c>
    </row>
    <row r="770" customFormat="false" ht="15" hidden="false" customHeight="true" outlineLevel="0" collapsed="false">
      <c r="A770" s="7" t="s">
        <v>930</v>
      </c>
      <c r="B770" s="18" t="n">
        <f aca="false">IF(A770="","",IFERROR(INDEX(Sales_Memo!$B$2:$B$1001,MATCH(A770,Sales_Memo!$A$2:$A$1001,0)),""))</f>
        <v>46296</v>
      </c>
      <c r="C770" s="7" t="s">
        <v>82</v>
      </c>
      <c r="D770" s="16" t="str">
        <f aca="false">IF(C770="","",IFERROR(INDEX(Products!$B$2:$B$501,MATCH(C770,Products!$A$2:$A$501,0)),"CODE NOT FOUND"))</f>
        <v>Clutch Cable</v>
      </c>
      <c r="E770" s="7" t="n">
        <v>3</v>
      </c>
      <c r="F770" s="13" t="n">
        <v>190</v>
      </c>
      <c r="G770" s="13" t="n">
        <v>110</v>
      </c>
      <c r="H770" s="17" t="n">
        <f aca="false">IF(OR(E770="",F770=""),"",E770*F770)</f>
        <v>570</v>
      </c>
      <c r="I770" s="17" t="n">
        <f aca="false">IF(OR(E770="",G770=""),"",E770*G770)</f>
        <v>330</v>
      </c>
      <c r="J770" s="17" t="n">
        <f aca="false">IF(H770="","",H770-I770)</f>
        <v>240</v>
      </c>
    </row>
    <row r="771" customFormat="false" ht="15" hidden="false" customHeight="true" outlineLevel="0" collapsed="false">
      <c r="A771" s="7" t="s">
        <v>931</v>
      </c>
      <c r="B771" s="18" t="n">
        <f aca="false">IF(A771="","",IFERROR(INDEX(Sales_Memo!$B$2:$B$1001,MATCH(A771,Sales_Memo!$A$2:$A$1001,0)),""))</f>
        <v>46296</v>
      </c>
      <c r="C771" s="7" t="s">
        <v>121</v>
      </c>
      <c r="D771" s="16" t="str">
        <f aca="false">IF(C771="","",IFERROR(INDEX(Products!$B$2:$B$501,MATCH(C771,Products!$A$2:$A$501,0)),"CODE NOT FOUND"))</f>
        <v>Handle Grip Set</v>
      </c>
      <c r="E771" s="7" t="n">
        <v>1</v>
      </c>
      <c r="F771" s="13" t="n">
        <v>280</v>
      </c>
      <c r="G771" s="13" t="n">
        <v>160</v>
      </c>
      <c r="H771" s="17" t="n">
        <f aca="false">IF(OR(E771="",F771=""),"",E771*F771)</f>
        <v>280</v>
      </c>
      <c r="I771" s="17" t="n">
        <f aca="false">IF(OR(E771="",G771=""),"",E771*G771)</f>
        <v>160</v>
      </c>
      <c r="J771" s="17" t="n">
        <f aca="false">IF(H771="","",H771-I771)</f>
        <v>120</v>
      </c>
    </row>
    <row r="772" customFormat="false" ht="15" hidden="false" customHeight="true" outlineLevel="0" collapsed="false">
      <c r="A772" s="7" t="s">
        <v>932</v>
      </c>
      <c r="B772" s="18" t="n">
        <f aca="false">IF(A772="","",IFERROR(INDEX(Sales_Memo!$B$2:$B$1001,MATCH(A772,Sales_Memo!$A$2:$A$1001,0)),""))</f>
        <v>46298</v>
      </c>
      <c r="C772" s="7" t="s">
        <v>119</v>
      </c>
      <c r="D772" s="16" t="str">
        <f aca="false">IF(C772="","",IFERROR(INDEX(Products!$B$2:$B$501,MATCH(C772,Products!$A$2:$A$501,0)),"CODE NOT FOUND"))</f>
        <v>Chain Lube Spray</v>
      </c>
      <c r="E772" s="7" t="n">
        <v>3</v>
      </c>
      <c r="F772" s="13" t="n">
        <v>270</v>
      </c>
      <c r="G772" s="13" t="n">
        <v>170</v>
      </c>
      <c r="H772" s="17" t="n">
        <f aca="false">IF(OR(E772="",F772=""),"",E772*F772)</f>
        <v>810</v>
      </c>
      <c r="I772" s="17" t="n">
        <f aca="false">IF(OR(E772="",G772=""),"",E772*G772)</f>
        <v>510</v>
      </c>
      <c r="J772" s="17" t="n">
        <f aca="false">IF(H772="","",H772-I772)</f>
        <v>300</v>
      </c>
    </row>
    <row r="773" customFormat="false" ht="15" hidden="false" customHeight="true" outlineLevel="0" collapsed="false">
      <c r="A773" s="7" t="s">
        <v>933</v>
      </c>
      <c r="B773" s="18" t="n">
        <f aca="false">IF(A773="","",IFERROR(INDEX(Sales_Memo!$B$2:$B$1001,MATCH(A773,Sales_Memo!$A$2:$A$1001,0)),""))</f>
        <v>46298</v>
      </c>
      <c r="C773" s="7" t="s">
        <v>102</v>
      </c>
      <c r="D773" s="16" t="str">
        <f aca="false">IF(C773="","",IFERROR(INDEX(Products!$B$2:$B$501,MATCH(C773,Products!$A$2:$A$501,0)),"CODE NOT FOUND"))</f>
        <v>Headlight Bulb H4</v>
      </c>
      <c r="E773" s="7" t="n">
        <v>1</v>
      </c>
      <c r="F773" s="13" t="n">
        <v>240</v>
      </c>
      <c r="G773" s="13" t="n">
        <v>140</v>
      </c>
      <c r="H773" s="17" t="n">
        <f aca="false">IF(OR(E773="",F773=""),"",E773*F773)</f>
        <v>240</v>
      </c>
      <c r="I773" s="17" t="n">
        <f aca="false">IF(OR(E773="",G773=""),"",E773*G773)</f>
        <v>140</v>
      </c>
      <c r="J773" s="17" t="n">
        <f aca="false">IF(H773="","",H773-I773)</f>
        <v>100</v>
      </c>
    </row>
    <row r="774" customFormat="false" ht="15" hidden="false" customHeight="true" outlineLevel="0" collapsed="false">
      <c r="A774" s="7" t="s">
        <v>933</v>
      </c>
      <c r="B774" s="18" t="n">
        <f aca="false">IF(A774="","",IFERROR(INDEX(Sales_Memo!$B$2:$B$1001,MATCH(A774,Sales_Memo!$A$2:$A$1001,0)),""))</f>
        <v>46298</v>
      </c>
      <c r="C774" s="7" t="s">
        <v>96</v>
      </c>
      <c r="D774" s="16" t="str">
        <f aca="false">IF(C774="","",IFERROR(INDEX(Products!$B$2:$B$501,MATCH(C774,Products!$A$2:$A$501,0)),"CODE NOT FOUND"))</f>
        <v>Engine Oil 10W-30 (1L)</v>
      </c>
      <c r="E774" s="7" t="n">
        <v>3</v>
      </c>
      <c r="F774" s="13" t="n">
        <v>780</v>
      </c>
      <c r="G774" s="13" t="n">
        <v>620</v>
      </c>
      <c r="H774" s="17" t="n">
        <f aca="false">IF(OR(E774="",F774=""),"",E774*F774)</f>
        <v>2340</v>
      </c>
      <c r="I774" s="17" t="n">
        <f aca="false">IF(OR(E774="",G774=""),"",E774*G774)</f>
        <v>1860</v>
      </c>
      <c r="J774" s="17" t="n">
        <f aca="false">IF(H774="","",H774-I774)</f>
        <v>480</v>
      </c>
    </row>
    <row r="775" customFormat="false" ht="15" hidden="false" customHeight="true" outlineLevel="0" collapsed="false">
      <c r="A775" s="7" t="s">
        <v>934</v>
      </c>
      <c r="B775" s="18" t="n">
        <f aca="false">IF(A775="","",IFERROR(INDEX(Sales_Memo!$B$2:$B$1001,MATCH(A775,Sales_Memo!$A$2:$A$1001,0)),""))</f>
        <v>46298</v>
      </c>
      <c r="C775" s="7" t="s">
        <v>77</v>
      </c>
      <c r="D775" s="16" t="str">
        <f aca="false">IF(C775="","",IFERROR(INDEX(Products!$B$2:$B$501,MATCH(C775,Products!$A$2:$A$501,0)),"CODE NOT FOUND"))</f>
        <v>Brake Pad Set - Front</v>
      </c>
      <c r="E775" s="7" t="n">
        <v>1</v>
      </c>
      <c r="F775" s="13" t="n">
        <v>480</v>
      </c>
      <c r="G775" s="13" t="n">
        <v>320</v>
      </c>
      <c r="H775" s="17" t="n">
        <f aca="false">IF(OR(E775="",F775=""),"",E775*F775)</f>
        <v>480</v>
      </c>
      <c r="I775" s="17" t="n">
        <f aca="false">IF(OR(E775="",G775=""),"",E775*G775)</f>
        <v>320</v>
      </c>
      <c r="J775" s="17" t="n">
        <f aca="false">IF(H775="","",H775-I775)</f>
        <v>160</v>
      </c>
    </row>
    <row r="776" customFormat="false" ht="15" hidden="false" customHeight="true" outlineLevel="0" collapsed="false">
      <c r="A776" s="7" t="s">
        <v>935</v>
      </c>
      <c r="B776" s="18" t="n">
        <f aca="false">IF(A776="","",IFERROR(INDEX(Sales_Memo!$B$2:$B$1001,MATCH(A776,Sales_Memo!$A$2:$A$1001,0)),""))</f>
        <v>46298</v>
      </c>
      <c r="C776" s="7" t="s">
        <v>121</v>
      </c>
      <c r="D776" s="16" t="str">
        <f aca="false">IF(C776="","",IFERROR(INDEX(Products!$B$2:$B$501,MATCH(C776,Products!$A$2:$A$501,0)),"CODE NOT FOUND"))</f>
        <v>Handle Grip Set</v>
      </c>
      <c r="E776" s="7" t="n">
        <v>1</v>
      </c>
      <c r="F776" s="13" t="n">
        <v>280</v>
      </c>
      <c r="G776" s="13" t="n">
        <v>160</v>
      </c>
      <c r="H776" s="17" t="n">
        <f aca="false">IF(OR(E776="",F776=""),"",E776*F776)</f>
        <v>280</v>
      </c>
      <c r="I776" s="17" t="n">
        <f aca="false">IF(OR(E776="",G776=""),"",E776*G776)</f>
        <v>160</v>
      </c>
      <c r="J776" s="17" t="n">
        <f aca="false">IF(H776="","",H776-I776)</f>
        <v>120</v>
      </c>
    </row>
    <row r="777" customFormat="false" ht="15" hidden="false" customHeight="true" outlineLevel="0" collapsed="false">
      <c r="A777" s="7" t="s">
        <v>936</v>
      </c>
      <c r="B777" s="18" t="n">
        <f aca="false">IF(A777="","",IFERROR(INDEX(Sales_Memo!$B$2:$B$1001,MATCH(A777,Sales_Memo!$A$2:$A$1001,0)),""))</f>
        <v>46298</v>
      </c>
      <c r="C777" s="7" t="s">
        <v>119</v>
      </c>
      <c r="D777" s="16" t="str">
        <f aca="false">IF(C777="","",IFERROR(INDEX(Products!$B$2:$B$501,MATCH(C777,Products!$A$2:$A$501,0)),"CODE NOT FOUND"))</f>
        <v>Chain Lube Spray</v>
      </c>
      <c r="E777" s="7" t="n">
        <v>3</v>
      </c>
      <c r="F777" s="13" t="n">
        <v>270</v>
      </c>
      <c r="G777" s="13" t="n">
        <v>170</v>
      </c>
      <c r="H777" s="17" t="n">
        <f aca="false">IF(OR(E777="",F777=""),"",E777*F777)</f>
        <v>810</v>
      </c>
      <c r="I777" s="17" t="n">
        <f aca="false">IF(OR(E777="",G777=""),"",E777*G777)</f>
        <v>510</v>
      </c>
      <c r="J777" s="17" t="n">
        <f aca="false">IF(H777="","",H777-I777)</f>
        <v>300</v>
      </c>
    </row>
    <row r="778" customFormat="false" ht="15" hidden="false" customHeight="true" outlineLevel="0" collapsed="false">
      <c r="A778" s="7" t="s">
        <v>936</v>
      </c>
      <c r="B778" s="18" t="n">
        <f aca="false">IF(A778="","",IFERROR(INDEX(Sales_Memo!$B$2:$B$1001,MATCH(A778,Sales_Memo!$A$2:$A$1001,0)),""))</f>
        <v>46298</v>
      </c>
      <c r="C778" s="7" t="s">
        <v>82</v>
      </c>
      <c r="D778" s="16" t="str">
        <f aca="false">IF(C778="","",IFERROR(INDEX(Products!$B$2:$B$501,MATCH(C778,Products!$A$2:$A$501,0)),"CODE NOT FOUND"))</f>
        <v>Clutch Cable</v>
      </c>
      <c r="E778" s="7" t="n">
        <v>3</v>
      </c>
      <c r="F778" s="13" t="n">
        <v>190</v>
      </c>
      <c r="G778" s="13" t="n">
        <v>110</v>
      </c>
      <c r="H778" s="17" t="n">
        <f aca="false">IF(OR(E778="",F778=""),"",E778*F778)</f>
        <v>570</v>
      </c>
      <c r="I778" s="17" t="n">
        <f aca="false">IF(OR(E778="",G778=""),"",E778*G778)</f>
        <v>330</v>
      </c>
      <c r="J778" s="17" t="n">
        <f aca="false">IF(H778="","",H778-I778)</f>
        <v>240</v>
      </c>
    </row>
    <row r="779" customFormat="false" ht="15" hidden="false" customHeight="true" outlineLevel="0" collapsed="false">
      <c r="A779" s="7" t="s">
        <v>936</v>
      </c>
      <c r="B779" s="18" t="n">
        <f aca="false">IF(A779="","",IFERROR(INDEX(Sales_Memo!$B$2:$B$1001,MATCH(A779,Sales_Memo!$A$2:$A$1001,0)),""))</f>
        <v>46298</v>
      </c>
      <c r="C779" s="7" t="s">
        <v>99</v>
      </c>
      <c r="D779" s="16" t="str">
        <f aca="false">IF(C779="","",IFERROR(INDEX(Products!$B$2:$B$501,MATCH(C779,Products!$A$2:$A$501,0)),"CODE NOT FOUND"))</f>
        <v>Engine Oil 20W-50 (1L)</v>
      </c>
      <c r="E779" s="7" t="n">
        <v>2</v>
      </c>
      <c r="F779" s="13" t="n">
        <v>990</v>
      </c>
      <c r="G779" s="13" t="n">
        <v>780</v>
      </c>
      <c r="H779" s="17" t="n">
        <f aca="false">IF(OR(E779="",F779=""),"",E779*F779)</f>
        <v>1980</v>
      </c>
      <c r="I779" s="17" t="n">
        <f aca="false">IF(OR(E779="",G779=""),"",E779*G779)</f>
        <v>1560</v>
      </c>
      <c r="J779" s="17" t="n">
        <f aca="false">IF(H779="","",H779-I779)</f>
        <v>420</v>
      </c>
    </row>
    <row r="780" customFormat="false" ht="15" hidden="false" customHeight="true" outlineLevel="0" collapsed="false">
      <c r="A780" s="7" t="s">
        <v>938</v>
      </c>
      <c r="B780" s="18" t="n">
        <f aca="false">IF(A780="","",IFERROR(INDEX(Sales_Memo!$B$2:$B$1001,MATCH(A780,Sales_Memo!$A$2:$A$1001,0)),""))</f>
        <v>46298</v>
      </c>
      <c r="C780" s="7" t="s">
        <v>119</v>
      </c>
      <c r="D780" s="16" t="str">
        <f aca="false">IF(C780="","",IFERROR(INDEX(Products!$B$2:$B$501,MATCH(C780,Products!$A$2:$A$501,0)),"CODE NOT FOUND"))</f>
        <v>Chain Lube Spray</v>
      </c>
      <c r="E780" s="7" t="n">
        <v>2</v>
      </c>
      <c r="F780" s="13" t="n">
        <v>270</v>
      </c>
      <c r="G780" s="13" t="n">
        <v>170</v>
      </c>
      <c r="H780" s="17" t="n">
        <f aca="false">IF(OR(E780="",F780=""),"",E780*F780)</f>
        <v>540</v>
      </c>
      <c r="I780" s="17" t="n">
        <f aca="false">IF(OR(E780="",G780=""),"",E780*G780)</f>
        <v>340</v>
      </c>
      <c r="J780" s="17" t="n">
        <f aca="false">IF(H780="","",H780-I780)</f>
        <v>200</v>
      </c>
    </row>
    <row r="781" customFormat="false" ht="15" hidden="false" customHeight="true" outlineLevel="0" collapsed="false">
      <c r="A781" s="7" t="s">
        <v>939</v>
      </c>
      <c r="B781" s="18" t="n">
        <f aca="false">IF(A781="","",IFERROR(INDEX(Sales_Memo!$B$2:$B$1001,MATCH(A781,Sales_Memo!$A$2:$A$1001,0)),""))</f>
        <v>46298</v>
      </c>
      <c r="C781" s="7" t="s">
        <v>96</v>
      </c>
      <c r="D781" s="16" t="str">
        <f aca="false">IF(C781="","",IFERROR(INDEX(Products!$B$2:$B$501,MATCH(C781,Products!$A$2:$A$501,0)),"CODE NOT FOUND"))</f>
        <v>Engine Oil 10W-30 (1L)</v>
      </c>
      <c r="E781" s="7" t="n">
        <v>2</v>
      </c>
      <c r="F781" s="13" t="n">
        <v>780</v>
      </c>
      <c r="G781" s="13" t="n">
        <v>620</v>
      </c>
      <c r="H781" s="17" t="n">
        <f aca="false">IF(OR(E781="",F781=""),"",E781*F781)</f>
        <v>1560</v>
      </c>
      <c r="I781" s="17" t="n">
        <f aca="false">IF(OR(E781="",G781=""),"",E781*G781)</f>
        <v>1240</v>
      </c>
      <c r="J781" s="17" t="n">
        <f aca="false">IF(H781="","",H781-I781)</f>
        <v>320</v>
      </c>
    </row>
    <row r="782" customFormat="false" ht="15" hidden="false" customHeight="true" outlineLevel="0" collapsed="false">
      <c r="A782" s="7" t="s">
        <v>939</v>
      </c>
      <c r="B782" s="18" t="n">
        <f aca="false">IF(A782="","",IFERROR(INDEX(Sales_Memo!$B$2:$B$1001,MATCH(A782,Sales_Memo!$A$2:$A$1001,0)),""))</f>
        <v>46298</v>
      </c>
      <c r="C782" s="7" t="s">
        <v>82</v>
      </c>
      <c r="D782" s="16" t="str">
        <f aca="false">IF(C782="","",IFERROR(INDEX(Products!$B$2:$B$501,MATCH(C782,Products!$A$2:$A$501,0)),"CODE NOT FOUND"))</f>
        <v>Clutch Cable</v>
      </c>
      <c r="E782" s="7" t="n">
        <v>1</v>
      </c>
      <c r="F782" s="13" t="n">
        <v>190</v>
      </c>
      <c r="G782" s="13" t="n">
        <v>110</v>
      </c>
      <c r="H782" s="17" t="n">
        <f aca="false">IF(OR(E782="",F782=""),"",E782*F782)</f>
        <v>190</v>
      </c>
      <c r="I782" s="17" t="n">
        <f aca="false">IF(OR(E782="",G782=""),"",E782*G782)</f>
        <v>110</v>
      </c>
      <c r="J782" s="17" t="n">
        <f aca="false">IF(H782="","",H782-I782)</f>
        <v>80</v>
      </c>
    </row>
    <row r="783" customFormat="false" ht="15" hidden="false" customHeight="true" outlineLevel="0" collapsed="false">
      <c r="A783" s="7" t="s">
        <v>940</v>
      </c>
      <c r="B783" s="18" t="n">
        <f aca="false">IF(A783="","",IFERROR(INDEX(Sales_Memo!$B$2:$B$1001,MATCH(A783,Sales_Memo!$A$2:$A$1001,0)),""))</f>
        <v>46298</v>
      </c>
      <c r="C783" s="7" t="s">
        <v>82</v>
      </c>
      <c r="D783" s="16" t="str">
        <f aca="false">IF(C783="","",IFERROR(INDEX(Products!$B$2:$B$501,MATCH(C783,Products!$A$2:$A$501,0)),"CODE NOT FOUND"))</f>
        <v>Clutch Cable</v>
      </c>
      <c r="E783" s="7" t="n">
        <v>1</v>
      </c>
      <c r="F783" s="13" t="n">
        <v>190</v>
      </c>
      <c r="G783" s="13" t="n">
        <v>110</v>
      </c>
      <c r="H783" s="17" t="n">
        <f aca="false">IF(OR(E783="",F783=""),"",E783*F783)</f>
        <v>190</v>
      </c>
      <c r="I783" s="17" t="n">
        <f aca="false">IF(OR(E783="",G783=""),"",E783*G783)</f>
        <v>110</v>
      </c>
      <c r="J783" s="17" t="n">
        <f aca="false">IF(H783="","",H783-I783)</f>
        <v>80</v>
      </c>
    </row>
    <row r="784" customFormat="false" ht="15" hidden="false" customHeight="true" outlineLevel="0" collapsed="false">
      <c r="A784" s="7" t="s">
        <v>941</v>
      </c>
      <c r="B784" s="18" t="n">
        <f aca="false">IF(A784="","",IFERROR(INDEX(Sales_Memo!$B$2:$B$1001,MATCH(A784,Sales_Memo!$A$2:$A$1001,0)),""))</f>
        <v>46298</v>
      </c>
      <c r="C784" s="7" t="s">
        <v>90</v>
      </c>
      <c r="D784" s="16" t="str">
        <f aca="false">IF(C784="","",IFERROR(INDEX(Products!$B$2:$B$501,MATCH(C784,Products!$A$2:$A$501,0)),"CODE NOT FOUND"))</f>
        <v>Air Filter 150cc</v>
      </c>
      <c r="E784" s="7" t="n">
        <v>2</v>
      </c>
      <c r="F784" s="13" t="n">
        <v>340</v>
      </c>
      <c r="G784" s="13" t="n">
        <v>210</v>
      </c>
      <c r="H784" s="17" t="n">
        <f aca="false">IF(OR(E784="",F784=""),"",E784*F784)</f>
        <v>680</v>
      </c>
      <c r="I784" s="17" t="n">
        <f aca="false">IF(OR(E784="",G784=""),"",E784*G784)</f>
        <v>420</v>
      </c>
      <c r="J784" s="17" t="n">
        <f aca="false">IF(H784="","",H784-I784)</f>
        <v>260</v>
      </c>
    </row>
    <row r="785" customFormat="false" ht="15" hidden="false" customHeight="true" outlineLevel="0" collapsed="false">
      <c r="A785" s="7" t="s">
        <v>941</v>
      </c>
      <c r="B785" s="18" t="n">
        <f aca="false">IF(A785="","",IFERROR(INDEX(Sales_Memo!$B$2:$B$1001,MATCH(A785,Sales_Memo!$A$2:$A$1001,0)),""))</f>
        <v>46298</v>
      </c>
      <c r="C785" s="7" t="s">
        <v>102</v>
      </c>
      <c r="D785" s="16" t="str">
        <f aca="false">IF(C785="","",IFERROR(INDEX(Products!$B$2:$B$501,MATCH(C785,Products!$A$2:$A$501,0)),"CODE NOT FOUND"))</f>
        <v>Headlight Bulb H4</v>
      </c>
      <c r="E785" s="7" t="n">
        <v>2</v>
      </c>
      <c r="F785" s="13" t="n">
        <v>240</v>
      </c>
      <c r="G785" s="13" t="n">
        <v>140</v>
      </c>
      <c r="H785" s="17" t="n">
        <f aca="false">IF(OR(E785="",F785=""),"",E785*F785)</f>
        <v>480</v>
      </c>
      <c r="I785" s="17" t="n">
        <f aca="false">IF(OR(E785="",G785=""),"",E785*G785)</f>
        <v>280</v>
      </c>
      <c r="J785" s="17" t="n">
        <f aca="false">IF(H785="","",H785-I785)</f>
        <v>200</v>
      </c>
    </row>
    <row r="786" customFormat="false" ht="15" hidden="false" customHeight="true" outlineLevel="0" collapsed="false">
      <c r="A786" s="7" t="s">
        <v>942</v>
      </c>
      <c r="B786" s="18" t="n">
        <f aca="false">IF(A786="","",IFERROR(INDEX(Sales_Memo!$B$2:$B$1001,MATCH(A786,Sales_Memo!$A$2:$A$1001,0)),""))</f>
        <v>46298</v>
      </c>
      <c r="C786" s="7" t="s">
        <v>86</v>
      </c>
      <c r="D786" s="16" t="str">
        <f aca="false">IF(C786="","",IFERROR(INDEX(Products!$B$2:$B$501,MATCH(C786,Products!$A$2:$A$501,0)),"CODE NOT FOUND"))</f>
        <v>Spark Plug CPR8EA-9</v>
      </c>
      <c r="E786" s="7" t="n">
        <v>1</v>
      </c>
      <c r="F786" s="13" t="n">
        <v>260</v>
      </c>
      <c r="G786" s="13" t="n">
        <v>175</v>
      </c>
      <c r="H786" s="17" t="n">
        <f aca="false">IF(OR(E786="",F786=""),"",E786*F786)</f>
        <v>260</v>
      </c>
      <c r="I786" s="17" t="n">
        <f aca="false">IF(OR(E786="",G786=""),"",E786*G786)</f>
        <v>175</v>
      </c>
      <c r="J786" s="17" t="n">
        <f aca="false">IF(H786="","",H786-I786)</f>
        <v>85</v>
      </c>
    </row>
    <row r="787" customFormat="false" ht="15" hidden="false" customHeight="true" outlineLevel="0" collapsed="false">
      <c r="A787" s="7" t="s">
        <v>943</v>
      </c>
      <c r="B787" s="18" t="n">
        <f aca="false">IF(A787="","",IFERROR(INDEX(Sales_Memo!$B$2:$B$1001,MATCH(A787,Sales_Memo!$A$2:$A$1001,0)),""))</f>
        <v>46298</v>
      </c>
      <c r="C787" s="7" t="s">
        <v>86</v>
      </c>
      <c r="D787" s="16" t="str">
        <f aca="false">IF(C787="","",IFERROR(INDEX(Products!$B$2:$B$501,MATCH(C787,Products!$A$2:$A$501,0)),"CODE NOT FOUND"))</f>
        <v>Spark Plug CPR8EA-9</v>
      </c>
      <c r="E787" s="7" t="n">
        <v>1</v>
      </c>
      <c r="F787" s="13" t="n">
        <v>260</v>
      </c>
      <c r="G787" s="13" t="n">
        <v>175</v>
      </c>
      <c r="H787" s="17" t="n">
        <f aca="false">IF(OR(E787="",F787=""),"",E787*F787)</f>
        <v>260</v>
      </c>
      <c r="I787" s="17" t="n">
        <f aca="false">IF(OR(E787="",G787=""),"",E787*G787)</f>
        <v>175</v>
      </c>
      <c r="J787" s="17" t="n">
        <f aca="false">IF(H787="","",H787-I787)</f>
        <v>85</v>
      </c>
    </row>
    <row r="788" customFormat="false" ht="15" hidden="false" customHeight="true" outlineLevel="0" collapsed="false">
      <c r="A788" s="7" t="s">
        <v>944</v>
      </c>
      <c r="B788" s="18" t="n">
        <f aca="false">IF(A788="","",IFERROR(INDEX(Sales_Memo!$B$2:$B$1001,MATCH(A788,Sales_Memo!$A$2:$A$1001,0)),""))</f>
        <v>46299</v>
      </c>
      <c r="C788" s="7" t="s">
        <v>119</v>
      </c>
      <c r="D788" s="16" t="str">
        <f aca="false">IF(C788="","",IFERROR(INDEX(Products!$B$2:$B$501,MATCH(C788,Products!$A$2:$A$501,0)),"CODE NOT FOUND"))</f>
        <v>Chain Lube Spray</v>
      </c>
      <c r="E788" s="7" t="n">
        <v>1</v>
      </c>
      <c r="F788" s="13" t="n">
        <v>270</v>
      </c>
      <c r="G788" s="13" t="n">
        <v>170</v>
      </c>
      <c r="H788" s="17" t="n">
        <f aca="false">IF(OR(E788="",F788=""),"",E788*F788)</f>
        <v>270</v>
      </c>
      <c r="I788" s="17" t="n">
        <f aca="false">IF(OR(E788="",G788=""),"",E788*G788)</f>
        <v>170</v>
      </c>
      <c r="J788" s="17" t="n">
        <f aca="false">IF(H788="","",H788-I788)</f>
        <v>100</v>
      </c>
    </row>
    <row r="789" customFormat="false" ht="15" hidden="false" customHeight="true" outlineLevel="0" collapsed="false">
      <c r="A789" s="7" t="s">
        <v>945</v>
      </c>
      <c r="B789" s="18" t="n">
        <f aca="false">IF(A789="","",IFERROR(INDEX(Sales_Memo!$B$2:$B$1001,MATCH(A789,Sales_Memo!$A$2:$A$1001,0)),""))</f>
        <v>46299</v>
      </c>
      <c r="C789" s="7" t="s">
        <v>119</v>
      </c>
      <c r="D789" s="16" t="str">
        <f aca="false">IF(C789="","",IFERROR(INDEX(Products!$B$2:$B$501,MATCH(C789,Products!$A$2:$A$501,0)),"CODE NOT FOUND"))</f>
        <v>Chain Lube Spray</v>
      </c>
      <c r="E789" s="7" t="n">
        <v>2</v>
      </c>
      <c r="F789" s="13" t="n">
        <v>270</v>
      </c>
      <c r="G789" s="13" t="n">
        <v>170</v>
      </c>
      <c r="H789" s="17" t="n">
        <f aca="false">IF(OR(E789="",F789=""),"",E789*F789)</f>
        <v>540</v>
      </c>
      <c r="I789" s="17" t="n">
        <f aca="false">IF(OR(E789="",G789=""),"",E789*G789)</f>
        <v>340</v>
      </c>
      <c r="J789" s="17" t="n">
        <f aca="false">IF(H789="","",H789-I789)</f>
        <v>200</v>
      </c>
    </row>
    <row r="790" customFormat="false" ht="15" hidden="false" customHeight="true" outlineLevel="0" collapsed="false">
      <c r="A790" s="7" t="s">
        <v>946</v>
      </c>
      <c r="B790" s="18" t="n">
        <f aca="false">IF(A790="","",IFERROR(INDEX(Sales_Memo!$B$2:$B$1001,MATCH(A790,Sales_Memo!$A$2:$A$1001,0)),""))</f>
        <v>46299</v>
      </c>
      <c r="C790" s="7" t="s">
        <v>82</v>
      </c>
      <c r="D790" s="16" t="str">
        <f aca="false">IF(C790="","",IFERROR(INDEX(Products!$B$2:$B$501,MATCH(C790,Products!$A$2:$A$501,0)),"CODE NOT FOUND"))</f>
        <v>Clutch Cable</v>
      </c>
      <c r="E790" s="7" t="n">
        <v>2</v>
      </c>
      <c r="F790" s="13" t="n">
        <v>190</v>
      </c>
      <c r="G790" s="13" t="n">
        <v>110</v>
      </c>
      <c r="H790" s="17" t="n">
        <f aca="false">IF(OR(E790="",F790=""),"",E790*F790)</f>
        <v>380</v>
      </c>
      <c r="I790" s="17" t="n">
        <f aca="false">IF(OR(E790="",G790=""),"",E790*G790)</f>
        <v>220</v>
      </c>
      <c r="J790" s="17" t="n">
        <f aca="false">IF(H790="","",H790-I790)</f>
        <v>160</v>
      </c>
    </row>
    <row r="791" customFormat="false" ht="15" hidden="false" customHeight="true" outlineLevel="0" collapsed="false">
      <c r="A791" s="7" t="s">
        <v>946</v>
      </c>
      <c r="B791" s="18" t="n">
        <f aca="false">IF(A791="","",IFERROR(INDEX(Sales_Memo!$B$2:$B$1001,MATCH(A791,Sales_Memo!$A$2:$A$1001,0)),""))</f>
        <v>46299</v>
      </c>
      <c r="C791" s="7" t="s">
        <v>99</v>
      </c>
      <c r="D791" s="16" t="str">
        <f aca="false">IF(C791="","",IFERROR(INDEX(Products!$B$2:$B$501,MATCH(C791,Products!$A$2:$A$501,0)),"CODE NOT FOUND"))</f>
        <v>Engine Oil 20W-50 (1L)</v>
      </c>
      <c r="E791" s="7" t="n">
        <v>1</v>
      </c>
      <c r="F791" s="13" t="n">
        <v>990</v>
      </c>
      <c r="G791" s="13" t="n">
        <v>780</v>
      </c>
      <c r="H791" s="17" t="n">
        <f aca="false">IF(OR(E791="",F791=""),"",E791*F791)</f>
        <v>990</v>
      </c>
      <c r="I791" s="17" t="n">
        <f aca="false">IF(OR(E791="",G791=""),"",E791*G791)</f>
        <v>780</v>
      </c>
      <c r="J791" s="17" t="n">
        <f aca="false">IF(H791="","",H791-I791)</f>
        <v>210</v>
      </c>
    </row>
    <row r="792" customFormat="false" ht="15" hidden="false" customHeight="true" outlineLevel="0" collapsed="false">
      <c r="A792" s="7" t="s">
        <v>947</v>
      </c>
      <c r="B792" s="18" t="n">
        <f aca="false">IF(A792="","",IFERROR(INDEX(Sales_Memo!$B$2:$B$1001,MATCH(A792,Sales_Memo!$A$2:$A$1001,0)),""))</f>
        <v>46299</v>
      </c>
      <c r="C792" s="7" t="s">
        <v>102</v>
      </c>
      <c r="D792" s="16" t="str">
        <f aca="false">IF(C792="","",IFERROR(INDEX(Products!$B$2:$B$501,MATCH(C792,Products!$A$2:$A$501,0)),"CODE NOT FOUND"))</f>
        <v>Headlight Bulb H4</v>
      </c>
      <c r="E792" s="7" t="n">
        <v>2</v>
      </c>
      <c r="F792" s="13" t="n">
        <v>240</v>
      </c>
      <c r="G792" s="13" t="n">
        <v>140</v>
      </c>
      <c r="H792" s="17" t="n">
        <f aca="false">IF(OR(E792="",F792=""),"",E792*F792)</f>
        <v>480</v>
      </c>
      <c r="I792" s="17" t="n">
        <f aca="false">IF(OR(E792="",G792=""),"",E792*G792)</f>
        <v>280</v>
      </c>
      <c r="J792" s="17" t="n">
        <f aca="false">IF(H792="","",H792-I792)</f>
        <v>200</v>
      </c>
    </row>
    <row r="793" customFormat="false" ht="15" hidden="false" customHeight="true" outlineLevel="0" collapsed="false">
      <c r="A793" s="7" t="s">
        <v>948</v>
      </c>
      <c r="B793" s="18" t="n">
        <f aca="false">IF(A793="","",IFERROR(INDEX(Sales_Memo!$B$2:$B$1001,MATCH(A793,Sales_Memo!$A$2:$A$1001,0)),""))</f>
        <v>46299</v>
      </c>
      <c r="C793" s="7" t="s">
        <v>96</v>
      </c>
      <c r="D793" s="16" t="str">
        <f aca="false">IF(C793="","",IFERROR(INDEX(Products!$B$2:$B$501,MATCH(C793,Products!$A$2:$A$501,0)),"CODE NOT FOUND"))</f>
        <v>Engine Oil 10W-30 (1L)</v>
      </c>
      <c r="E793" s="7" t="n">
        <v>1</v>
      </c>
      <c r="F793" s="13" t="n">
        <v>780</v>
      </c>
      <c r="G793" s="13" t="n">
        <v>620</v>
      </c>
      <c r="H793" s="17" t="n">
        <f aca="false">IF(OR(E793="",F793=""),"",E793*F793)</f>
        <v>780</v>
      </c>
      <c r="I793" s="17" t="n">
        <f aca="false">IF(OR(E793="",G793=""),"",E793*G793)</f>
        <v>620</v>
      </c>
      <c r="J793" s="17" t="n">
        <f aca="false">IF(H793="","",H793-I793)</f>
        <v>160</v>
      </c>
    </row>
    <row r="794" customFormat="false" ht="15" hidden="false" customHeight="true" outlineLevel="0" collapsed="false">
      <c r="A794" s="7" t="s">
        <v>948</v>
      </c>
      <c r="B794" s="18" t="n">
        <f aca="false">IF(A794="","",IFERROR(INDEX(Sales_Memo!$B$2:$B$1001,MATCH(A794,Sales_Memo!$A$2:$A$1001,0)),""))</f>
        <v>46299</v>
      </c>
      <c r="C794" s="7" t="s">
        <v>82</v>
      </c>
      <c r="D794" s="16" t="str">
        <f aca="false">IF(C794="","",IFERROR(INDEX(Products!$B$2:$B$501,MATCH(C794,Products!$A$2:$A$501,0)),"CODE NOT FOUND"))</f>
        <v>Clutch Cable</v>
      </c>
      <c r="E794" s="7" t="n">
        <v>2</v>
      </c>
      <c r="F794" s="13" t="n">
        <v>190</v>
      </c>
      <c r="G794" s="13" t="n">
        <v>110</v>
      </c>
      <c r="H794" s="17" t="n">
        <f aca="false">IF(OR(E794="",F794=""),"",E794*F794)</f>
        <v>380</v>
      </c>
      <c r="I794" s="17" t="n">
        <f aca="false">IF(OR(E794="",G794=""),"",E794*G794)</f>
        <v>220</v>
      </c>
      <c r="J794" s="17" t="n">
        <f aca="false">IF(H794="","",H794-I794)</f>
        <v>160</v>
      </c>
    </row>
    <row r="795" customFormat="false" ht="15" hidden="false" customHeight="true" outlineLevel="0" collapsed="false">
      <c r="A795" s="7" t="s">
        <v>949</v>
      </c>
      <c r="B795" s="18" t="n">
        <f aca="false">IF(A795="","",IFERROR(INDEX(Sales_Memo!$B$2:$B$1001,MATCH(A795,Sales_Memo!$A$2:$A$1001,0)),""))</f>
        <v>46299</v>
      </c>
      <c r="C795" s="7" t="s">
        <v>82</v>
      </c>
      <c r="D795" s="16" t="str">
        <f aca="false">IF(C795="","",IFERROR(INDEX(Products!$B$2:$B$501,MATCH(C795,Products!$A$2:$A$501,0)),"CODE NOT FOUND"))</f>
        <v>Clutch Cable</v>
      </c>
      <c r="E795" s="7" t="n">
        <v>2</v>
      </c>
      <c r="F795" s="13" t="n">
        <v>190</v>
      </c>
      <c r="G795" s="13" t="n">
        <v>110</v>
      </c>
      <c r="H795" s="17" t="n">
        <f aca="false">IF(OR(E795="",F795=""),"",E795*F795)</f>
        <v>380</v>
      </c>
      <c r="I795" s="17" t="n">
        <f aca="false">IF(OR(E795="",G795=""),"",E795*G795)</f>
        <v>220</v>
      </c>
      <c r="J795" s="17" t="n">
        <f aca="false">IF(H795="","",H795-I795)</f>
        <v>160</v>
      </c>
    </row>
    <row r="796" customFormat="false" ht="15" hidden="false" customHeight="true" outlineLevel="0" collapsed="false">
      <c r="A796" s="7" t="s">
        <v>949</v>
      </c>
      <c r="B796" s="18" t="n">
        <f aca="false">IF(A796="","",IFERROR(INDEX(Sales_Memo!$B$2:$B$1001,MATCH(A796,Sales_Memo!$A$2:$A$1001,0)),""))</f>
        <v>46299</v>
      </c>
      <c r="C796" s="7" t="s">
        <v>119</v>
      </c>
      <c r="D796" s="16" t="str">
        <f aca="false">IF(C796="","",IFERROR(INDEX(Products!$B$2:$B$501,MATCH(C796,Products!$A$2:$A$501,0)),"CODE NOT FOUND"))</f>
        <v>Chain Lube Spray</v>
      </c>
      <c r="E796" s="7" t="n">
        <v>2</v>
      </c>
      <c r="F796" s="13" t="n">
        <v>270</v>
      </c>
      <c r="G796" s="13" t="n">
        <v>170</v>
      </c>
      <c r="H796" s="17" t="n">
        <f aca="false">IF(OR(E796="",F796=""),"",E796*F796)</f>
        <v>540</v>
      </c>
      <c r="I796" s="17" t="n">
        <f aca="false">IF(OR(E796="",G796=""),"",E796*G796)</f>
        <v>340</v>
      </c>
      <c r="J796" s="17" t="n">
        <f aca="false">IF(H796="","",H796-I796)</f>
        <v>200</v>
      </c>
    </row>
    <row r="797" customFormat="false" ht="15" hidden="false" customHeight="true" outlineLevel="0" collapsed="false">
      <c r="A797" s="7" t="s">
        <v>950</v>
      </c>
      <c r="B797" s="18" t="n">
        <f aca="false">IF(A797="","",IFERROR(INDEX(Sales_Memo!$B$2:$B$1001,MATCH(A797,Sales_Memo!$A$2:$A$1001,0)),""))</f>
        <v>46299</v>
      </c>
      <c r="C797" s="7" t="s">
        <v>121</v>
      </c>
      <c r="D797" s="16" t="str">
        <f aca="false">IF(C797="","",IFERROR(INDEX(Products!$B$2:$B$501,MATCH(C797,Products!$A$2:$A$501,0)),"CODE NOT FOUND"))</f>
        <v>Handle Grip Set</v>
      </c>
      <c r="E797" s="7" t="n">
        <v>1</v>
      </c>
      <c r="F797" s="13" t="n">
        <v>280</v>
      </c>
      <c r="G797" s="13" t="n">
        <v>160</v>
      </c>
      <c r="H797" s="17" t="n">
        <f aca="false">IF(OR(E797="",F797=""),"",E797*F797)</f>
        <v>280</v>
      </c>
      <c r="I797" s="17" t="n">
        <f aca="false">IF(OR(E797="",G797=""),"",E797*G797)</f>
        <v>160</v>
      </c>
      <c r="J797" s="17" t="n">
        <f aca="false">IF(H797="","",H797-I797)</f>
        <v>120</v>
      </c>
    </row>
    <row r="798" customFormat="false" ht="15" hidden="false" customHeight="true" outlineLevel="0" collapsed="false">
      <c r="A798" s="7" t="s">
        <v>951</v>
      </c>
      <c r="B798" s="18" t="n">
        <f aca="false">IF(A798="","",IFERROR(INDEX(Sales_Memo!$B$2:$B$1001,MATCH(A798,Sales_Memo!$A$2:$A$1001,0)),""))</f>
        <v>46299</v>
      </c>
      <c r="C798" s="7" t="s">
        <v>90</v>
      </c>
      <c r="D798" s="16" t="str">
        <f aca="false">IF(C798="","",IFERROR(INDEX(Products!$B$2:$B$501,MATCH(C798,Products!$A$2:$A$501,0)),"CODE NOT FOUND"))</f>
        <v>Air Filter 150cc</v>
      </c>
      <c r="E798" s="7" t="n">
        <v>1</v>
      </c>
      <c r="F798" s="13" t="n">
        <v>340</v>
      </c>
      <c r="G798" s="13" t="n">
        <v>210</v>
      </c>
      <c r="H798" s="17" t="n">
        <f aca="false">IF(OR(E798="",F798=""),"",E798*F798)</f>
        <v>340</v>
      </c>
      <c r="I798" s="17" t="n">
        <f aca="false">IF(OR(E798="",G798=""),"",E798*G798)</f>
        <v>210</v>
      </c>
      <c r="J798" s="17" t="n">
        <f aca="false">IF(H798="","",H798-I798)</f>
        <v>130</v>
      </c>
    </row>
    <row r="799" customFormat="false" ht="15" hidden="false" customHeight="true" outlineLevel="0" collapsed="false">
      <c r="A799" s="7" t="s">
        <v>951</v>
      </c>
      <c r="B799" s="18" t="n">
        <f aca="false">IF(A799="","",IFERROR(INDEX(Sales_Memo!$B$2:$B$1001,MATCH(A799,Sales_Memo!$A$2:$A$1001,0)),""))</f>
        <v>46299</v>
      </c>
      <c r="C799" s="7" t="s">
        <v>82</v>
      </c>
      <c r="D799" s="16" t="str">
        <f aca="false">IF(C799="","",IFERROR(INDEX(Products!$B$2:$B$501,MATCH(C799,Products!$A$2:$A$501,0)),"CODE NOT FOUND"))</f>
        <v>Clutch Cable</v>
      </c>
      <c r="E799" s="7" t="n">
        <v>1</v>
      </c>
      <c r="F799" s="13" t="n">
        <v>190</v>
      </c>
      <c r="G799" s="13" t="n">
        <v>110</v>
      </c>
      <c r="H799" s="17" t="n">
        <f aca="false">IF(OR(E799="",F799=""),"",E799*F799)</f>
        <v>190</v>
      </c>
      <c r="I799" s="17" t="n">
        <f aca="false">IF(OR(E799="",G799=""),"",E799*G799)</f>
        <v>110</v>
      </c>
      <c r="J799" s="17" t="n">
        <f aca="false">IF(H799="","",H799-I799)</f>
        <v>80</v>
      </c>
    </row>
    <row r="800" customFormat="false" ht="15" hidden="false" customHeight="true" outlineLevel="0" collapsed="false">
      <c r="A800" s="7" t="s">
        <v>952</v>
      </c>
      <c r="B800" s="18" t="n">
        <f aca="false">IF(A800="","",IFERROR(INDEX(Sales_Memo!$B$2:$B$1001,MATCH(A800,Sales_Memo!$A$2:$A$1001,0)),""))</f>
        <v>46299</v>
      </c>
      <c r="C800" s="7" t="s">
        <v>102</v>
      </c>
      <c r="D800" s="16" t="str">
        <f aca="false">IF(C800="","",IFERROR(INDEX(Products!$B$2:$B$501,MATCH(C800,Products!$A$2:$A$501,0)),"CODE NOT FOUND"))</f>
        <v>Headlight Bulb H4</v>
      </c>
      <c r="E800" s="7" t="n">
        <v>2</v>
      </c>
      <c r="F800" s="13" t="n">
        <v>240</v>
      </c>
      <c r="G800" s="13" t="n">
        <v>140</v>
      </c>
      <c r="H800" s="17" t="n">
        <f aca="false">IF(OR(E800="",F800=""),"",E800*F800)</f>
        <v>480</v>
      </c>
      <c r="I800" s="17" t="n">
        <f aca="false">IF(OR(E800="",G800=""),"",E800*G800)</f>
        <v>280</v>
      </c>
      <c r="J800" s="17" t="n">
        <f aca="false">IF(H800="","",H800-I800)</f>
        <v>200</v>
      </c>
    </row>
    <row r="801" customFormat="false" ht="15" hidden="false" customHeight="true" outlineLevel="0" collapsed="false">
      <c r="A801" s="7" t="s">
        <v>953</v>
      </c>
      <c r="B801" s="18" t="n">
        <f aca="false">IF(A801="","",IFERROR(INDEX(Sales_Memo!$B$2:$B$1001,MATCH(A801,Sales_Memo!$A$2:$A$1001,0)),""))</f>
        <v>46299</v>
      </c>
      <c r="C801" s="7" t="s">
        <v>121</v>
      </c>
      <c r="D801" s="16" t="str">
        <f aca="false">IF(C801="","",IFERROR(INDEX(Products!$B$2:$B$501,MATCH(C801,Products!$A$2:$A$501,0)),"CODE NOT FOUND"))</f>
        <v>Handle Grip Set</v>
      </c>
      <c r="E801" s="7" t="n">
        <v>1</v>
      </c>
      <c r="F801" s="13" t="n">
        <v>280</v>
      </c>
      <c r="G801" s="13" t="n">
        <v>160</v>
      </c>
      <c r="H801" s="17" t="n">
        <f aca="false">IF(OR(E801="",F801=""),"",E801*F801)</f>
        <v>280</v>
      </c>
      <c r="I801" s="17" t="n">
        <f aca="false">IF(OR(E801="",G801=""),"",E801*G801)</f>
        <v>160</v>
      </c>
      <c r="J801" s="17" t="n">
        <f aca="false">IF(H801="","",H801-I801)</f>
        <v>120</v>
      </c>
    </row>
    <row r="802" customFormat="false" ht="15" hidden="false" customHeight="true" outlineLevel="0" collapsed="false">
      <c r="A802" s="7" t="s">
        <v>953</v>
      </c>
      <c r="B802" s="18" t="n">
        <f aca="false">IF(A802="","",IFERROR(INDEX(Sales_Memo!$B$2:$B$1001,MATCH(A802,Sales_Memo!$A$2:$A$1001,0)),""))</f>
        <v>46299</v>
      </c>
      <c r="C802" s="7" t="s">
        <v>119</v>
      </c>
      <c r="D802" s="16" t="str">
        <f aca="false">IF(C802="","",IFERROR(INDEX(Products!$B$2:$B$501,MATCH(C802,Products!$A$2:$A$501,0)),"CODE NOT FOUND"))</f>
        <v>Chain Lube Spray</v>
      </c>
      <c r="E802" s="7" t="n">
        <v>1</v>
      </c>
      <c r="F802" s="13" t="n">
        <v>270</v>
      </c>
      <c r="G802" s="13" t="n">
        <v>170</v>
      </c>
      <c r="H802" s="17" t="n">
        <f aca="false">IF(OR(E802="",F802=""),"",E802*F802)</f>
        <v>270</v>
      </c>
      <c r="I802" s="17" t="n">
        <f aca="false">IF(OR(E802="",G802=""),"",E802*G802)</f>
        <v>170</v>
      </c>
      <c r="J802" s="17" t="n">
        <f aca="false">IF(H802="","",H802-I802)</f>
        <v>100</v>
      </c>
    </row>
    <row r="803" customFormat="false" ht="15" hidden="false" customHeight="true" outlineLevel="0" collapsed="false">
      <c r="A803" s="7" t="s">
        <v>955</v>
      </c>
      <c r="B803" s="18" t="n">
        <f aca="false">IF(A803="","",IFERROR(INDEX(Sales_Memo!$B$2:$B$1001,MATCH(A803,Sales_Memo!$A$2:$A$1001,0)),""))</f>
        <v>46300</v>
      </c>
      <c r="C803" s="7" t="s">
        <v>121</v>
      </c>
      <c r="D803" s="16" t="str">
        <f aca="false">IF(C803="","",IFERROR(INDEX(Products!$B$2:$B$501,MATCH(C803,Products!$A$2:$A$501,0)),"CODE NOT FOUND"))</f>
        <v>Handle Grip Set</v>
      </c>
      <c r="E803" s="7" t="n">
        <v>2</v>
      </c>
      <c r="F803" s="13" t="n">
        <v>280</v>
      </c>
      <c r="G803" s="13" t="n">
        <v>160</v>
      </c>
      <c r="H803" s="17" t="n">
        <f aca="false">IF(OR(E803="",F803=""),"",E803*F803)</f>
        <v>560</v>
      </c>
      <c r="I803" s="17" t="n">
        <f aca="false">IF(OR(E803="",G803=""),"",E803*G803)</f>
        <v>320</v>
      </c>
      <c r="J803" s="17" t="n">
        <f aca="false">IF(H803="","",H803-I803)</f>
        <v>240</v>
      </c>
    </row>
    <row r="804" customFormat="false" ht="15" hidden="false" customHeight="true" outlineLevel="0" collapsed="false">
      <c r="A804" s="7" t="s">
        <v>955</v>
      </c>
      <c r="B804" s="18" t="n">
        <f aca="false">IF(A804="","",IFERROR(INDEX(Sales_Memo!$B$2:$B$1001,MATCH(A804,Sales_Memo!$A$2:$A$1001,0)),""))</f>
        <v>46300</v>
      </c>
      <c r="C804" s="7" t="s">
        <v>86</v>
      </c>
      <c r="D804" s="16" t="str">
        <f aca="false">IF(C804="","",IFERROR(INDEX(Products!$B$2:$B$501,MATCH(C804,Products!$A$2:$A$501,0)),"CODE NOT FOUND"))</f>
        <v>Spark Plug CPR8EA-9</v>
      </c>
      <c r="E804" s="7" t="n">
        <v>2</v>
      </c>
      <c r="F804" s="13" t="n">
        <v>260</v>
      </c>
      <c r="G804" s="13" t="n">
        <v>175</v>
      </c>
      <c r="H804" s="17" t="n">
        <f aca="false">IF(OR(E804="",F804=""),"",E804*F804)</f>
        <v>520</v>
      </c>
      <c r="I804" s="17" t="n">
        <f aca="false">IF(OR(E804="",G804=""),"",E804*G804)</f>
        <v>350</v>
      </c>
      <c r="J804" s="17" t="n">
        <f aca="false">IF(H804="","",H804-I804)</f>
        <v>170</v>
      </c>
    </row>
    <row r="805" customFormat="false" ht="15" hidden="false" customHeight="true" outlineLevel="0" collapsed="false">
      <c r="A805" s="7" t="s">
        <v>956</v>
      </c>
      <c r="B805" s="18" t="n">
        <f aca="false">IF(A805="","",IFERROR(INDEX(Sales_Memo!$B$2:$B$1001,MATCH(A805,Sales_Memo!$A$2:$A$1001,0)),""))</f>
        <v>46300</v>
      </c>
      <c r="C805" s="7" t="s">
        <v>102</v>
      </c>
      <c r="D805" s="16" t="str">
        <f aca="false">IF(C805="","",IFERROR(INDEX(Products!$B$2:$B$501,MATCH(C805,Products!$A$2:$A$501,0)),"CODE NOT FOUND"))</f>
        <v>Headlight Bulb H4</v>
      </c>
      <c r="E805" s="7" t="n">
        <v>1</v>
      </c>
      <c r="F805" s="13" t="n">
        <v>240</v>
      </c>
      <c r="G805" s="13" t="n">
        <v>140</v>
      </c>
      <c r="H805" s="17" t="n">
        <f aca="false">IF(OR(E805="",F805=""),"",E805*F805)</f>
        <v>240</v>
      </c>
      <c r="I805" s="17" t="n">
        <f aca="false">IF(OR(E805="",G805=""),"",E805*G805)</f>
        <v>140</v>
      </c>
      <c r="J805" s="17" t="n">
        <f aca="false">IF(H805="","",H805-I805)</f>
        <v>100</v>
      </c>
    </row>
    <row r="806" customFormat="false" ht="15" hidden="false" customHeight="true" outlineLevel="0" collapsed="false">
      <c r="A806" s="7" t="s">
        <v>957</v>
      </c>
      <c r="B806" s="18" t="n">
        <f aca="false">IF(A806="","",IFERROR(INDEX(Sales_Memo!$B$2:$B$1001,MATCH(A806,Sales_Memo!$A$2:$A$1001,0)),""))</f>
        <v>46300</v>
      </c>
      <c r="C806" s="7" t="s">
        <v>116</v>
      </c>
      <c r="D806" s="16" t="str">
        <f aca="false">IF(C806="","",IFERROR(INDEX(Products!$B$2:$B$501,MATCH(C806,Products!$A$2:$A$501,0)),"CODE NOT FOUND"))</f>
        <v>Helmet Full Face</v>
      </c>
      <c r="E806" s="7" t="n">
        <v>1</v>
      </c>
      <c r="F806" s="13" t="n">
        <v>1750</v>
      </c>
      <c r="G806" s="13" t="n">
        <v>1250</v>
      </c>
      <c r="H806" s="17" t="n">
        <f aca="false">IF(OR(E806="",F806=""),"",E806*F806)</f>
        <v>1750</v>
      </c>
      <c r="I806" s="17" t="n">
        <f aca="false">IF(OR(E806="",G806=""),"",E806*G806)</f>
        <v>1250</v>
      </c>
      <c r="J806" s="17" t="n">
        <f aca="false">IF(H806="","",H806-I806)</f>
        <v>500</v>
      </c>
    </row>
    <row r="807" customFormat="false" ht="15" hidden="false" customHeight="true" outlineLevel="0" collapsed="false">
      <c r="A807" s="7" t="s">
        <v>958</v>
      </c>
      <c r="B807" s="18" t="n">
        <f aca="false">IF(A807="","",IFERROR(INDEX(Sales_Memo!$B$2:$B$1001,MATCH(A807,Sales_Memo!$A$2:$A$1001,0)),""))</f>
        <v>46300</v>
      </c>
      <c r="C807" s="7" t="s">
        <v>102</v>
      </c>
      <c r="D807" s="16" t="str">
        <f aca="false">IF(C807="","",IFERROR(INDEX(Products!$B$2:$B$501,MATCH(C807,Products!$A$2:$A$501,0)),"CODE NOT FOUND"))</f>
        <v>Headlight Bulb H4</v>
      </c>
      <c r="E807" s="7" t="n">
        <v>1</v>
      </c>
      <c r="F807" s="13" t="n">
        <v>240</v>
      </c>
      <c r="G807" s="13" t="n">
        <v>140</v>
      </c>
      <c r="H807" s="17" t="n">
        <f aca="false">IF(OR(E807="",F807=""),"",E807*F807)</f>
        <v>240</v>
      </c>
      <c r="I807" s="17" t="n">
        <f aca="false">IF(OR(E807="",G807=""),"",E807*G807)</f>
        <v>140</v>
      </c>
      <c r="J807" s="17" t="n">
        <f aca="false">IF(H807="","",H807-I807)</f>
        <v>100</v>
      </c>
    </row>
    <row r="808" customFormat="false" ht="15" hidden="false" customHeight="true" outlineLevel="0" collapsed="false">
      <c r="A808" s="7" t="s">
        <v>959</v>
      </c>
      <c r="B808" s="18" t="n">
        <f aca="false">IF(A808="","",IFERROR(INDEX(Sales_Memo!$B$2:$B$1001,MATCH(A808,Sales_Memo!$A$2:$A$1001,0)),""))</f>
        <v>46300</v>
      </c>
      <c r="C808" s="7" t="s">
        <v>90</v>
      </c>
      <c r="D808" s="16" t="str">
        <f aca="false">IF(C808="","",IFERROR(INDEX(Products!$B$2:$B$501,MATCH(C808,Products!$A$2:$A$501,0)),"CODE NOT FOUND"))</f>
        <v>Air Filter 150cc</v>
      </c>
      <c r="E808" s="7" t="n">
        <v>1</v>
      </c>
      <c r="F808" s="13" t="n">
        <v>340</v>
      </c>
      <c r="G808" s="13" t="n">
        <v>210</v>
      </c>
      <c r="H808" s="17" t="n">
        <f aca="false">IF(OR(E808="",F808=""),"",E808*F808)</f>
        <v>340</v>
      </c>
      <c r="I808" s="17" t="n">
        <f aca="false">IF(OR(E808="",G808=""),"",E808*G808)</f>
        <v>210</v>
      </c>
      <c r="J808" s="17" t="n">
        <f aca="false">IF(H808="","",H808-I808)</f>
        <v>130</v>
      </c>
    </row>
    <row r="809" customFormat="false" ht="15" hidden="false" customHeight="true" outlineLevel="0" collapsed="false">
      <c r="A809" s="7" t="s">
        <v>959</v>
      </c>
      <c r="B809" s="18" t="n">
        <f aca="false">IF(A809="","",IFERROR(INDEX(Sales_Memo!$B$2:$B$1001,MATCH(A809,Sales_Memo!$A$2:$A$1001,0)),""))</f>
        <v>46300</v>
      </c>
      <c r="C809" s="7" t="s">
        <v>82</v>
      </c>
      <c r="D809" s="16" t="str">
        <f aca="false">IF(C809="","",IFERROR(INDEX(Products!$B$2:$B$501,MATCH(C809,Products!$A$2:$A$501,0)),"CODE NOT FOUND"))</f>
        <v>Clutch Cable</v>
      </c>
      <c r="E809" s="7" t="n">
        <v>1</v>
      </c>
      <c r="F809" s="13" t="n">
        <v>190</v>
      </c>
      <c r="G809" s="13" t="n">
        <v>110</v>
      </c>
      <c r="H809" s="17" t="n">
        <f aca="false">IF(OR(E809="",F809=""),"",E809*F809)</f>
        <v>190</v>
      </c>
      <c r="I809" s="17" t="n">
        <f aca="false">IF(OR(E809="",G809=""),"",E809*G809)</f>
        <v>110</v>
      </c>
      <c r="J809" s="17" t="n">
        <f aca="false">IF(H809="","",H809-I809)</f>
        <v>80</v>
      </c>
    </row>
    <row r="810" customFormat="false" ht="15" hidden="false" customHeight="true" outlineLevel="0" collapsed="false">
      <c r="A810" s="7" t="s">
        <v>959</v>
      </c>
      <c r="B810" s="18" t="n">
        <f aca="false">IF(A810="","",IFERROR(INDEX(Sales_Memo!$B$2:$B$1001,MATCH(A810,Sales_Memo!$A$2:$A$1001,0)),""))</f>
        <v>46300</v>
      </c>
      <c r="C810" s="7" t="s">
        <v>102</v>
      </c>
      <c r="D810" s="16" t="str">
        <f aca="false">IF(C810="","",IFERROR(INDEX(Products!$B$2:$B$501,MATCH(C810,Products!$A$2:$A$501,0)),"CODE NOT FOUND"))</f>
        <v>Headlight Bulb H4</v>
      </c>
      <c r="E810" s="7" t="n">
        <v>2</v>
      </c>
      <c r="F810" s="13" t="n">
        <v>240</v>
      </c>
      <c r="G810" s="13" t="n">
        <v>140</v>
      </c>
      <c r="H810" s="17" t="n">
        <f aca="false">IF(OR(E810="",F810=""),"",E810*F810)</f>
        <v>480</v>
      </c>
      <c r="I810" s="17" t="n">
        <f aca="false">IF(OR(E810="",G810=""),"",E810*G810)</f>
        <v>280</v>
      </c>
      <c r="J810" s="17" t="n">
        <f aca="false">IF(H810="","",H810-I810)</f>
        <v>200</v>
      </c>
    </row>
    <row r="811" customFormat="false" ht="15" hidden="false" customHeight="true" outlineLevel="0" collapsed="false">
      <c r="A811" s="7" t="s">
        <v>960</v>
      </c>
      <c r="B811" s="18" t="n">
        <f aca="false">IF(A811="","",IFERROR(INDEX(Sales_Memo!$B$2:$B$1001,MATCH(A811,Sales_Memo!$A$2:$A$1001,0)),""))</f>
        <v>46300</v>
      </c>
      <c r="C811" s="7" t="s">
        <v>121</v>
      </c>
      <c r="D811" s="16" t="str">
        <f aca="false">IF(C811="","",IFERROR(INDEX(Products!$B$2:$B$501,MATCH(C811,Products!$A$2:$A$501,0)),"CODE NOT FOUND"))</f>
        <v>Handle Grip Set</v>
      </c>
      <c r="E811" s="7" t="n">
        <v>3</v>
      </c>
      <c r="F811" s="13" t="n">
        <v>280</v>
      </c>
      <c r="G811" s="13" t="n">
        <v>160</v>
      </c>
      <c r="H811" s="17" t="n">
        <f aca="false">IF(OR(E811="",F811=""),"",E811*F811)</f>
        <v>840</v>
      </c>
      <c r="I811" s="17" t="n">
        <f aca="false">IF(OR(E811="",G811=""),"",E811*G811)</f>
        <v>480</v>
      </c>
      <c r="J811" s="17" t="n">
        <f aca="false">IF(H811="","",H811-I811)</f>
        <v>360</v>
      </c>
    </row>
    <row r="812" customFormat="false" ht="15" hidden="false" customHeight="true" outlineLevel="0" collapsed="false">
      <c r="A812" s="7" t="s">
        <v>960</v>
      </c>
      <c r="B812" s="18" t="n">
        <f aca="false">IF(A812="","",IFERROR(INDEX(Sales_Memo!$B$2:$B$1001,MATCH(A812,Sales_Memo!$A$2:$A$1001,0)),""))</f>
        <v>46300</v>
      </c>
      <c r="C812" s="7" t="s">
        <v>102</v>
      </c>
      <c r="D812" s="16" t="str">
        <f aca="false">IF(C812="","",IFERROR(INDEX(Products!$B$2:$B$501,MATCH(C812,Products!$A$2:$A$501,0)),"CODE NOT FOUND"))</f>
        <v>Headlight Bulb H4</v>
      </c>
      <c r="E812" s="7" t="n">
        <v>1</v>
      </c>
      <c r="F812" s="13" t="n">
        <v>240</v>
      </c>
      <c r="G812" s="13" t="n">
        <v>140</v>
      </c>
      <c r="H812" s="17" t="n">
        <f aca="false">IF(OR(E812="",F812=""),"",E812*F812)</f>
        <v>240</v>
      </c>
      <c r="I812" s="17" t="n">
        <f aca="false">IF(OR(E812="",G812=""),"",E812*G812)</f>
        <v>140</v>
      </c>
      <c r="J812" s="17" t="n">
        <f aca="false">IF(H812="","",H812-I812)</f>
        <v>100</v>
      </c>
    </row>
    <row r="813" customFormat="false" ht="15" hidden="false" customHeight="true" outlineLevel="0" collapsed="false">
      <c r="A813" s="7" t="s">
        <v>962</v>
      </c>
      <c r="B813" s="18" t="n">
        <f aca="false">IF(A813="","",IFERROR(INDEX(Sales_Memo!$B$2:$B$1001,MATCH(A813,Sales_Memo!$A$2:$A$1001,0)),""))</f>
        <v>46300</v>
      </c>
      <c r="C813" s="7" t="s">
        <v>102</v>
      </c>
      <c r="D813" s="16" t="str">
        <f aca="false">IF(C813="","",IFERROR(INDEX(Products!$B$2:$B$501,MATCH(C813,Products!$A$2:$A$501,0)),"CODE NOT FOUND"))</f>
        <v>Headlight Bulb H4</v>
      </c>
      <c r="E813" s="7" t="n">
        <v>2</v>
      </c>
      <c r="F813" s="13" t="n">
        <v>240</v>
      </c>
      <c r="G813" s="13" t="n">
        <v>140</v>
      </c>
      <c r="H813" s="17" t="n">
        <f aca="false">IF(OR(E813="",F813=""),"",E813*F813)</f>
        <v>480</v>
      </c>
      <c r="I813" s="17" t="n">
        <f aca="false">IF(OR(E813="",G813=""),"",E813*G813)</f>
        <v>280</v>
      </c>
      <c r="J813" s="17" t="n">
        <f aca="false">IF(H813="","",H813-I813)</f>
        <v>200</v>
      </c>
    </row>
    <row r="814" customFormat="false" ht="15" hidden="false" customHeight="true" outlineLevel="0" collapsed="false">
      <c r="A814" s="7" t="s">
        <v>963</v>
      </c>
      <c r="B814" s="18" t="n">
        <f aca="false">IF(A814="","",IFERROR(INDEX(Sales_Memo!$B$2:$B$1001,MATCH(A814,Sales_Memo!$A$2:$A$1001,0)),""))</f>
        <v>46300</v>
      </c>
      <c r="C814" s="7" t="s">
        <v>82</v>
      </c>
      <c r="D814" s="16" t="str">
        <f aca="false">IF(C814="","",IFERROR(INDEX(Products!$B$2:$B$501,MATCH(C814,Products!$A$2:$A$501,0)),"CODE NOT FOUND"))</f>
        <v>Clutch Cable</v>
      </c>
      <c r="E814" s="7" t="n">
        <v>1</v>
      </c>
      <c r="F814" s="13" t="n">
        <v>190</v>
      </c>
      <c r="G814" s="13" t="n">
        <v>110</v>
      </c>
      <c r="H814" s="17" t="n">
        <f aca="false">IF(OR(E814="",F814=""),"",E814*F814)</f>
        <v>190</v>
      </c>
      <c r="I814" s="17" t="n">
        <f aca="false">IF(OR(E814="",G814=""),"",E814*G814)</f>
        <v>110</v>
      </c>
      <c r="J814" s="17" t="n">
        <f aca="false">IF(H814="","",H814-I814)</f>
        <v>80</v>
      </c>
    </row>
    <row r="815" customFormat="false" ht="15" hidden="false" customHeight="true" outlineLevel="0" collapsed="false">
      <c r="A815" s="7" t="s">
        <v>964</v>
      </c>
      <c r="B815" s="18" t="n">
        <f aca="false">IF(A815="","",IFERROR(INDEX(Sales_Memo!$B$2:$B$1001,MATCH(A815,Sales_Memo!$A$2:$A$1001,0)),""))</f>
        <v>46300</v>
      </c>
      <c r="C815" s="7" t="s">
        <v>102</v>
      </c>
      <c r="D815" s="16" t="str">
        <f aca="false">IF(C815="","",IFERROR(INDEX(Products!$B$2:$B$501,MATCH(C815,Products!$A$2:$A$501,0)),"CODE NOT FOUND"))</f>
        <v>Headlight Bulb H4</v>
      </c>
      <c r="E815" s="7" t="n">
        <v>2</v>
      </c>
      <c r="F815" s="13" t="n">
        <v>240</v>
      </c>
      <c r="G815" s="13" t="n">
        <v>140</v>
      </c>
      <c r="H815" s="17" t="n">
        <f aca="false">IF(OR(E815="",F815=""),"",E815*F815)</f>
        <v>480</v>
      </c>
      <c r="I815" s="17" t="n">
        <f aca="false">IF(OR(E815="",G815=""),"",E815*G815)</f>
        <v>280</v>
      </c>
      <c r="J815" s="17" t="n">
        <f aca="false">IF(H815="","",H815-I815)</f>
        <v>200</v>
      </c>
    </row>
    <row r="816" customFormat="false" ht="15" hidden="false" customHeight="true" outlineLevel="0" collapsed="false">
      <c r="A816" s="7" t="s">
        <v>965</v>
      </c>
      <c r="B816" s="18" t="n">
        <f aca="false">IF(A816="","",IFERROR(INDEX(Sales_Memo!$B$2:$B$1001,MATCH(A816,Sales_Memo!$A$2:$A$1001,0)),""))</f>
        <v>46300</v>
      </c>
      <c r="C816" s="7" t="s">
        <v>99</v>
      </c>
      <c r="D816" s="16" t="str">
        <f aca="false">IF(C816="","",IFERROR(INDEX(Products!$B$2:$B$501,MATCH(C816,Products!$A$2:$A$501,0)),"CODE NOT FOUND"))</f>
        <v>Engine Oil 20W-50 (1L)</v>
      </c>
      <c r="E816" s="7" t="n">
        <v>3</v>
      </c>
      <c r="F816" s="13" t="n">
        <v>990</v>
      </c>
      <c r="G816" s="13" t="n">
        <v>780</v>
      </c>
      <c r="H816" s="17" t="n">
        <f aca="false">IF(OR(E816="",F816=""),"",E816*F816)</f>
        <v>2970</v>
      </c>
      <c r="I816" s="17" t="n">
        <f aca="false">IF(OR(E816="",G816=""),"",E816*G816)</f>
        <v>2340</v>
      </c>
      <c r="J816" s="17" t="n">
        <f aca="false">IF(H816="","",H816-I816)</f>
        <v>630</v>
      </c>
    </row>
    <row r="817" customFormat="false" ht="15" hidden="false" customHeight="true" outlineLevel="0" collapsed="false">
      <c r="A817" s="7" t="s">
        <v>965</v>
      </c>
      <c r="B817" s="18" t="n">
        <f aca="false">IF(A817="","",IFERROR(INDEX(Sales_Memo!$B$2:$B$1001,MATCH(A817,Sales_Memo!$A$2:$A$1001,0)),""))</f>
        <v>46300</v>
      </c>
      <c r="C817" s="7" t="s">
        <v>102</v>
      </c>
      <c r="D817" s="16" t="str">
        <f aca="false">IF(C817="","",IFERROR(INDEX(Products!$B$2:$B$501,MATCH(C817,Products!$A$2:$A$501,0)),"CODE NOT FOUND"))</f>
        <v>Headlight Bulb H4</v>
      </c>
      <c r="E817" s="7" t="n">
        <v>2</v>
      </c>
      <c r="F817" s="13" t="n">
        <v>240</v>
      </c>
      <c r="G817" s="13" t="n">
        <v>140</v>
      </c>
      <c r="H817" s="17" t="n">
        <f aca="false">IF(OR(E817="",F817=""),"",E817*F817)</f>
        <v>480</v>
      </c>
      <c r="I817" s="17" t="n">
        <f aca="false">IF(OR(E817="",G817=""),"",E817*G817)</f>
        <v>280</v>
      </c>
      <c r="J817" s="17" t="n">
        <f aca="false">IF(H817="","",H817-I817)</f>
        <v>200</v>
      </c>
    </row>
    <row r="818" customFormat="false" ht="15" hidden="false" customHeight="true" outlineLevel="0" collapsed="false">
      <c r="A818" s="7" t="s">
        <v>967</v>
      </c>
      <c r="B818" s="18" t="n">
        <f aca="false">IF(A818="","",IFERROR(INDEX(Sales_Memo!$B$2:$B$1001,MATCH(A818,Sales_Memo!$A$2:$A$1001,0)),""))</f>
        <v>46301</v>
      </c>
      <c r="C818" s="7" t="s">
        <v>82</v>
      </c>
      <c r="D818" s="16" t="str">
        <f aca="false">IF(C818="","",IFERROR(INDEX(Products!$B$2:$B$501,MATCH(C818,Products!$A$2:$A$501,0)),"CODE NOT FOUND"))</f>
        <v>Clutch Cable</v>
      </c>
      <c r="E818" s="7" t="n">
        <v>3</v>
      </c>
      <c r="F818" s="13" t="n">
        <v>190</v>
      </c>
      <c r="G818" s="13" t="n">
        <v>110</v>
      </c>
      <c r="H818" s="17" t="n">
        <f aca="false">IF(OR(E818="",F818=""),"",E818*F818)</f>
        <v>570</v>
      </c>
      <c r="I818" s="17" t="n">
        <f aca="false">IF(OR(E818="",G818=""),"",E818*G818)</f>
        <v>330</v>
      </c>
      <c r="J818" s="17" t="n">
        <f aca="false">IF(H818="","",H818-I818)</f>
        <v>240</v>
      </c>
    </row>
    <row r="819" customFormat="false" ht="15" hidden="false" customHeight="true" outlineLevel="0" collapsed="false">
      <c r="A819" s="7" t="s">
        <v>968</v>
      </c>
      <c r="B819" s="18" t="n">
        <f aca="false">IF(A819="","",IFERROR(INDEX(Sales_Memo!$B$2:$B$1001,MATCH(A819,Sales_Memo!$A$2:$A$1001,0)),""))</f>
        <v>46301</v>
      </c>
      <c r="C819" s="7" t="s">
        <v>114</v>
      </c>
      <c r="D819" s="16" t="str">
        <f aca="false">IF(C819="","",IFERROR(INDEX(Products!$B$2:$B$501,MATCH(C819,Products!$A$2:$A$501,0)),"CODE NOT FOUND"))</f>
        <v>Side Mirror (Pair)</v>
      </c>
      <c r="E819" s="7" t="n">
        <v>1</v>
      </c>
      <c r="F819" s="13" t="n">
        <v>620</v>
      </c>
      <c r="G819" s="13" t="n">
        <v>380</v>
      </c>
      <c r="H819" s="17" t="n">
        <f aca="false">IF(OR(E819="",F819=""),"",E819*F819)</f>
        <v>620</v>
      </c>
      <c r="I819" s="17" t="n">
        <f aca="false">IF(OR(E819="",G819=""),"",E819*G819)</f>
        <v>380</v>
      </c>
      <c r="J819" s="17" t="n">
        <f aca="false">IF(H819="","",H819-I819)</f>
        <v>240</v>
      </c>
    </row>
    <row r="820" customFormat="false" ht="15" hidden="false" customHeight="true" outlineLevel="0" collapsed="false">
      <c r="A820" s="7" t="s">
        <v>969</v>
      </c>
      <c r="B820" s="18" t="n">
        <f aca="false">IF(A820="","",IFERROR(INDEX(Sales_Memo!$B$2:$B$1001,MATCH(A820,Sales_Memo!$A$2:$A$1001,0)),""))</f>
        <v>46301</v>
      </c>
      <c r="C820" s="7" t="s">
        <v>119</v>
      </c>
      <c r="D820" s="16" t="str">
        <f aca="false">IF(C820="","",IFERROR(INDEX(Products!$B$2:$B$501,MATCH(C820,Products!$A$2:$A$501,0)),"CODE NOT FOUND"))</f>
        <v>Chain Lube Spray</v>
      </c>
      <c r="E820" s="7" t="n">
        <v>1</v>
      </c>
      <c r="F820" s="13" t="n">
        <v>270</v>
      </c>
      <c r="G820" s="13" t="n">
        <v>170</v>
      </c>
      <c r="H820" s="17" t="n">
        <f aca="false">IF(OR(E820="",F820=""),"",E820*F820)</f>
        <v>270</v>
      </c>
      <c r="I820" s="17" t="n">
        <f aca="false">IF(OR(E820="",G820=""),"",E820*G820)</f>
        <v>170</v>
      </c>
      <c r="J820" s="17" t="n">
        <f aca="false">IF(H820="","",H820-I820)</f>
        <v>100</v>
      </c>
    </row>
    <row r="821" customFormat="false" ht="15" hidden="false" customHeight="true" outlineLevel="0" collapsed="false">
      <c r="A821" s="7" t="s">
        <v>970</v>
      </c>
      <c r="B821" s="18" t="n">
        <f aca="false">IF(A821="","",IFERROR(INDEX(Sales_Memo!$B$2:$B$1001,MATCH(A821,Sales_Memo!$A$2:$A$1001,0)),""))</f>
        <v>46301</v>
      </c>
      <c r="C821" s="7" t="s">
        <v>119</v>
      </c>
      <c r="D821" s="16" t="str">
        <f aca="false">IF(C821="","",IFERROR(INDEX(Products!$B$2:$B$501,MATCH(C821,Products!$A$2:$A$501,0)),"CODE NOT FOUND"))</f>
        <v>Chain Lube Spray</v>
      </c>
      <c r="E821" s="7" t="n">
        <v>1</v>
      </c>
      <c r="F821" s="13" t="n">
        <v>270</v>
      </c>
      <c r="G821" s="13" t="n">
        <v>170</v>
      </c>
      <c r="H821" s="17" t="n">
        <f aca="false">IF(OR(E821="",F821=""),"",E821*F821)</f>
        <v>270</v>
      </c>
      <c r="I821" s="17" t="n">
        <f aca="false">IF(OR(E821="",G821=""),"",E821*G821)</f>
        <v>170</v>
      </c>
      <c r="J821" s="17" t="n">
        <f aca="false">IF(H821="","",H821-I821)</f>
        <v>100</v>
      </c>
    </row>
    <row r="822" customFormat="false" ht="15" hidden="false" customHeight="true" outlineLevel="0" collapsed="false">
      <c r="A822" s="7" t="s">
        <v>970</v>
      </c>
      <c r="B822" s="18" t="n">
        <f aca="false">IF(A822="","",IFERROR(INDEX(Sales_Memo!$B$2:$B$1001,MATCH(A822,Sales_Memo!$A$2:$A$1001,0)),""))</f>
        <v>46301</v>
      </c>
      <c r="C822" s="7" t="s">
        <v>102</v>
      </c>
      <c r="D822" s="16" t="str">
        <f aca="false">IF(C822="","",IFERROR(INDEX(Products!$B$2:$B$501,MATCH(C822,Products!$A$2:$A$501,0)),"CODE NOT FOUND"))</f>
        <v>Headlight Bulb H4</v>
      </c>
      <c r="E822" s="7" t="n">
        <v>1</v>
      </c>
      <c r="F822" s="13" t="n">
        <v>240</v>
      </c>
      <c r="G822" s="13" t="n">
        <v>140</v>
      </c>
      <c r="H822" s="17" t="n">
        <f aca="false">IF(OR(E822="",F822=""),"",E822*F822)</f>
        <v>240</v>
      </c>
      <c r="I822" s="17" t="n">
        <f aca="false">IF(OR(E822="",G822=""),"",E822*G822)</f>
        <v>140</v>
      </c>
      <c r="J822" s="17" t="n">
        <f aca="false">IF(H822="","",H822-I822)</f>
        <v>100</v>
      </c>
    </row>
    <row r="823" customFormat="false" ht="15" hidden="false" customHeight="true" outlineLevel="0" collapsed="false">
      <c r="A823" s="7" t="s">
        <v>971</v>
      </c>
      <c r="B823" s="18" t="n">
        <f aca="false">IF(A823="","",IFERROR(INDEX(Sales_Memo!$B$2:$B$1001,MATCH(A823,Sales_Memo!$A$2:$A$1001,0)),""))</f>
        <v>46301</v>
      </c>
      <c r="C823" s="7" t="s">
        <v>86</v>
      </c>
      <c r="D823" s="16" t="str">
        <f aca="false">IF(C823="","",IFERROR(INDEX(Products!$B$2:$B$501,MATCH(C823,Products!$A$2:$A$501,0)),"CODE NOT FOUND"))</f>
        <v>Spark Plug CPR8EA-9</v>
      </c>
      <c r="E823" s="7" t="n">
        <v>2</v>
      </c>
      <c r="F823" s="13" t="n">
        <v>260</v>
      </c>
      <c r="G823" s="13" t="n">
        <v>175</v>
      </c>
      <c r="H823" s="17" t="n">
        <f aca="false">IF(OR(E823="",F823=""),"",E823*F823)</f>
        <v>520</v>
      </c>
      <c r="I823" s="17" t="n">
        <f aca="false">IF(OR(E823="",G823=""),"",E823*G823)</f>
        <v>350</v>
      </c>
      <c r="J823" s="17" t="n">
        <f aca="false">IF(H823="","",H823-I823)</f>
        <v>170</v>
      </c>
    </row>
    <row r="824" customFormat="false" ht="15" hidden="false" customHeight="true" outlineLevel="0" collapsed="false">
      <c r="A824" s="7" t="s">
        <v>971</v>
      </c>
      <c r="B824" s="18" t="n">
        <f aca="false">IF(A824="","",IFERROR(INDEX(Sales_Memo!$B$2:$B$1001,MATCH(A824,Sales_Memo!$A$2:$A$1001,0)),""))</f>
        <v>46301</v>
      </c>
      <c r="C824" s="7" t="s">
        <v>119</v>
      </c>
      <c r="D824" s="16" t="str">
        <f aca="false">IF(C824="","",IFERROR(INDEX(Products!$B$2:$B$501,MATCH(C824,Products!$A$2:$A$501,0)),"CODE NOT FOUND"))</f>
        <v>Chain Lube Spray</v>
      </c>
      <c r="E824" s="7" t="n">
        <v>1</v>
      </c>
      <c r="F824" s="13" t="n">
        <v>270</v>
      </c>
      <c r="G824" s="13" t="n">
        <v>170</v>
      </c>
      <c r="H824" s="17" t="n">
        <f aca="false">IF(OR(E824="",F824=""),"",E824*F824)</f>
        <v>270</v>
      </c>
      <c r="I824" s="17" t="n">
        <f aca="false">IF(OR(E824="",G824=""),"",E824*G824)</f>
        <v>170</v>
      </c>
      <c r="J824" s="17" t="n">
        <f aca="false">IF(H824="","",H824-I824)</f>
        <v>100</v>
      </c>
    </row>
    <row r="825" customFormat="false" ht="15" hidden="false" customHeight="true" outlineLevel="0" collapsed="false">
      <c r="A825" s="7" t="s">
        <v>972</v>
      </c>
      <c r="B825" s="18" t="n">
        <f aca="false">IF(A825="","",IFERROR(INDEX(Sales_Memo!$B$2:$B$1001,MATCH(A825,Sales_Memo!$A$2:$A$1001,0)),""))</f>
        <v>46301</v>
      </c>
      <c r="C825" s="7" t="s">
        <v>119</v>
      </c>
      <c r="D825" s="16" t="str">
        <f aca="false">IF(C825="","",IFERROR(INDEX(Products!$B$2:$B$501,MATCH(C825,Products!$A$2:$A$501,0)),"CODE NOT FOUND"))</f>
        <v>Chain Lube Spray</v>
      </c>
      <c r="E825" s="7" t="n">
        <v>3</v>
      </c>
      <c r="F825" s="13" t="n">
        <v>270</v>
      </c>
      <c r="G825" s="13" t="n">
        <v>170</v>
      </c>
      <c r="H825" s="17" t="n">
        <f aca="false">IF(OR(E825="",F825=""),"",E825*F825)</f>
        <v>810</v>
      </c>
      <c r="I825" s="17" t="n">
        <f aca="false">IF(OR(E825="",G825=""),"",E825*G825)</f>
        <v>510</v>
      </c>
      <c r="J825" s="17" t="n">
        <f aca="false">IF(H825="","",H825-I825)</f>
        <v>300</v>
      </c>
    </row>
    <row r="826" customFormat="false" ht="15" hidden="false" customHeight="true" outlineLevel="0" collapsed="false">
      <c r="A826" s="7" t="s">
        <v>973</v>
      </c>
      <c r="B826" s="18" t="n">
        <f aca="false">IF(A826="","",IFERROR(INDEX(Sales_Memo!$B$2:$B$1001,MATCH(A826,Sales_Memo!$A$2:$A$1001,0)),""))</f>
        <v>46301</v>
      </c>
      <c r="C826" s="7" t="s">
        <v>102</v>
      </c>
      <c r="D826" s="16" t="str">
        <f aca="false">IF(C826="","",IFERROR(INDEX(Products!$B$2:$B$501,MATCH(C826,Products!$A$2:$A$501,0)),"CODE NOT FOUND"))</f>
        <v>Headlight Bulb H4</v>
      </c>
      <c r="E826" s="7" t="n">
        <v>2</v>
      </c>
      <c r="F826" s="13" t="n">
        <v>240</v>
      </c>
      <c r="G826" s="13" t="n">
        <v>140</v>
      </c>
      <c r="H826" s="17" t="n">
        <f aca="false">IF(OR(E826="",F826=""),"",E826*F826)</f>
        <v>480</v>
      </c>
      <c r="I826" s="17" t="n">
        <f aca="false">IF(OR(E826="",G826=""),"",E826*G826)</f>
        <v>280</v>
      </c>
      <c r="J826" s="17" t="n">
        <f aca="false">IF(H826="","",H826-I826)</f>
        <v>200</v>
      </c>
    </row>
    <row r="827" customFormat="false" ht="15" hidden="false" customHeight="true" outlineLevel="0" collapsed="false">
      <c r="A827" s="7" t="s">
        <v>973</v>
      </c>
      <c r="B827" s="18" t="n">
        <f aca="false">IF(A827="","",IFERROR(INDEX(Sales_Memo!$B$2:$B$1001,MATCH(A827,Sales_Memo!$A$2:$A$1001,0)),""))</f>
        <v>46301</v>
      </c>
      <c r="C827" s="7" t="s">
        <v>82</v>
      </c>
      <c r="D827" s="16" t="str">
        <f aca="false">IF(C827="","",IFERROR(INDEX(Products!$B$2:$B$501,MATCH(C827,Products!$A$2:$A$501,0)),"CODE NOT FOUND"))</f>
        <v>Clutch Cable</v>
      </c>
      <c r="E827" s="7" t="n">
        <v>2</v>
      </c>
      <c r="F827" s="13" t="n">
        <v>190</v>
      </c>
      <c r="G827" s="13" t="n">
        <v>110</v>
      </c>
      <c r="H827" s="17" t="n">
        <f aca="false">IF(OR(E827="",F827=""),"",E827*F827)</f>
        <v>380</v>
      </c>
      <c r="I827" s="17" t="n">
        <f aca="false">IF(OR(E827="",G827=""),"",E827*G827)</f>
        <v>220</v>
      </c>
      <c r="J827" s="17" t="n">
        <f aca="false">IF(H827="","",H827-I827)</f>
        <v>160</v>
      </c>
    </row>
    <row r="828" customFormat="false" ht="15" hidden="false" customHeight="true" outlineLevel="0" collapsed="false">
      <c r="A828" s="7" t="s">
        <v>974</v>
      </c>
      <c r="B828" s="18" t="n">
        <f aca="false">IF(A828="","",IFERROR(INDEX(Sales_Memo!$B$2:$B$1001,MATCH(A828,Sales_Memo!$A$2:$A$1001,0)),""))</f>
        <v>46302</v>
      </c>
      <c r="C828" s="7" t="s">
        <v>82</v>
      </c>
      <c r="D828" s="16" t="str">
        <f aca="false">IF(C828="","",IFERROR(INDEX(Products!$B$2:$B$501,MATCH(C828,Products!$A$2:$A$501,0)),"CODE NOT FOUND"))</f>
        <v>Clutch Cable</v>
      </c>
      <c r="E828" s="7" t="n">
        <v>1</v>
      </c>
      <c r="F828" s="13" t="n">
        <v>190</v>
      </c>
      <c r="G828" s="13" t="n">
        <v>110</v>
      </c>
      <c r="H828" s="17" t="n">
        <f aca="false">IF(OR(E828="",F828=""),"",E828*F828)</f>
        <v>190</v>
      </c>
      <c r="I828" s="17" t="n">
        <f aca="false">IF(OR(E828="",G828=""),"",E828*G828)</f>
        <v>110</v>
      </c>
      <c r="J828" s="17" t="n">
        <f aca="false">IF(H828="","",H828-I828)</f>
        <v>80</v>
      </c>
    </row>
    <row r="829" customFormat="false" ht="15" hidden="false" customHeight="true" outlineLevel="0" collapsed="false">
      <c r="A829" s="7" t="s">
        <v>975</v>
      </c>
      <c r="B829" s="18" t="n">
        <f aca="false">IF(A829="","",IFERROR(INDEX(Sales_Memo!$B$2:$B$1001,MATCH(A829,Sales_Memo!$A$2:$A$1001,0)),""))</f>
        <v>46302</v>
      </c>
      <c r="C829" s="7" t="s">
        <v>99</v>
      </c>
      <c r="D829" s="16" t="str">
        <f aca="false">IF(C829="","",IFERROR(INDEX(Products!$B$2:$B$501,MATCH(C829,Products!$A$2:$A$501,0)),"CODE NOT FOUND"))</f>
        <v>Engine Oil 20W-50 (1L)</v>
      </c>
      <c r="E829" s="7" t="n">
        <v>1</v>
      </c>
      <c r="F829" s="13" t="n">
        <v>990</v>
      </c>
      <c r="G829" s="13" t="n">
        <v>780</v>
      </c>
      <c r="H829" s="17" t="n">
        <f aca="false">IF(OR(E829="",F829=""),"",E829*F829)</f>
        <v>990</v>
      </c>
      <c r="I829" s="17" t="n">
        <f aca="false">IF(OR(E829="",G829=""),"",E829*G829)</f>
        <v>780</v>
      </c>
      <c r="J829" s="17" t="n">
        <f aca="false">IF(H829="","",H829-I829)</f>
        <v>210</v>
      </c>
    </row>
    <row r="830" customFormat="false" ht="15" hidden="false" customHeight="true" outlineLevel="0" collapsed="false">
      <c r="A830" s="7" t="s">
        <v>976</v>
      </c>
      <c r="B830" s="18" t="n">
        <f aca="false">IF(A830="","",IFERROR(INDEX(Sales_Memo!$B$2:$B$1001,MATCH(A830,Sales_Memo!$A$2:$A$1001,0)),""))</f>
        <v>46302</v>
      </c>
      <c r="C830" s="7" t="s">
        <v>96</v>
      </c>
      <c r="D830" s="16" t="str">
        <f aca="false">IF(C830="","",IFERROR(INDEX(Products!$B$2:$B$501,MATCH(C830,Products!$A$2:$A$501,0)),"CODE NOT FOUND"))</f>
        <v>Engine Oil 10W-30 (1L)</v>
      </c>
      <c r="E830" s="7" t="n">
        <v>1</v>
      </c>
      <c r="F830" s="13" t="n">
        <v>780</v>
      </c>
      <c r="G830" s="13" t="n">
        <v>620</v>
      </c>
      <c r="H830" s="17" t="n">
        <f aca="false">IF(OR(E830="",F830=""),"",E830*F830)</f>
        <v>780</v>
      </c>
      <c r="I830" s="17" t="n">
        <f aca="false">IF(OR(E830="",G830=""),"",E830*G830)</f>
        <v>620</v>
      </c>
      <c r="J830" s="17" t="n">
        <f aca="false">IF(H830="","",H830-I830)</f>
        <v>160</v>
      </c>
    </row>
    <row r="831" customFormat="false" ht="15" hidden="false" customHeight="true" outlineLevel="0" collapsed="false">
      <c r="A831" s="7" t="s">
        <v>976</v>
      </c>
      <c r="B831" s="18" t="n">
        <f aca="false">IF(A831="","",IFERROR(INDEX(Sales_Memo!$B$2:$B$1001,MATCH(A831,Sales_Memo!$A$2:$A$1001,0)),""))</f>
        <v>46302</v>
      </c>
      <c r="C831" s="7" t="s">
        <v>86</v>
      </c>
      <c r="D831" s="16" t="str">
        <f aca="false">IF(C831="","",IFERROR(INDEX(Products!$B$2:$B$501,MATCH(C831,Products!$A$2:$A$501,0)),"CODE NOT FOUND"))</f>
        <v>Spark Plug CPR8EA-9</v>
      </c>
      <c r="E831" s="7" t="n">
        <v>2</v>
      </c>
      <c r="F831" s="13" t="n">
        <v>260</v>
      </c>
      <c r="G831" s="13" t="n">
        <v>175</v>
      </c>
      <c r="H831" s="17" t="n">
        <f aca="false">IF(OR(E831="",F831=""),"",E831*F831)</f>
        <v>520</v>
      </c>
      <c r="I831" s="17" t="n">
        <f aca="false">IF(OR(E831="",G831=""),"",E831*G831)</f>
        <v>350</v>
      </c>
      <c r="J831" s="17" t="n">
        <f aca="false">IF(H831="","",H831-I831)</f>
        <v>170</v>
      </c>
    </row>
    <row r="832" customFormat="false" ht="15" hidden="false" customHeight="true" outlineLevel="0" collapsed="false">
      <c r="A832" s="7" t="s">
        <v>978</v>
      </c>
      <c r="B832" s="18" t="n">
        <f aca="false">IF(A832="","",IFERROR(INDEX(Sales_Memo!$B$2:$B$1001,MATCH(A832,Sales_Memo!$A$2:$A$1001,0)),""))</f>
        <v>46302</v>
      </c>
      <c r="C832" s="7" t="s">
        <v>102</v>
      </c>
      <c r="D832" s="16" t="str">
        <f aca="false">IF(C832="","",IFERROR(INDEX(Products!$B$2:$B$501,MATCH(C832,Products!$A$2:$A$501,0)),"CODE NOT FOUND"))</f>
        <v>Headlight Bulb H4</v>
      </c>
      <c r="E832" s="7" t="n">
        <v>2</v>
      </c>
      <c r="F832" s="13" t="n">
        <v>240</v>
      </c>
      <c r="G832" s="13" t="n">
        <v>140</v>
      </c>
      <c r="H832" s="17" t="n">
        <f aca="false">IF(OR(E832="",F832=""),"",E832*F832)</f>
        <v>480</v>
      </c>
      <c r="I832" s="17" t="n">
        <f aca="false">IF(OR(E832="",G832=""),"",E832*G832)</f>
        <v>280</v>
      </c>
      <c r="J832" s="17" t="n">
        <f aca="false">IF(H832="","",H832-I832)</f>
        <v>200</v>
      </c>
    </row>
    <row r="833" customFormat="false" ht="15" hidden="false" customHeight="true" outlineLevel="0" collapsed="false">
      <c r="A833" s="7" t="s">
        <v>979</v>
      </c>
      <c r="B833" s="18" t="n">
        <f aca="false">IF(A833="","",IFERROR(INDEX(Sales_Memo!$B$2:$B$1001,MATCH(A833,Sales_Memo!$A$2:$A$1001,0)),""))</f>
        <v>46302</v>
      </c>
      <c r="C833" s="7" t="s">
        <v>86</v>
      </c>
      <c r="D833" s="16" t="str">
        <f aca="false">IF(C833="","",IFERROR(INDEX(Products!$B$2:$B$501,MATCH(C833,Products!$A$2:$A$501,0)),"CODE NOT FOUND"))</f>
        <v>Spark Plug CPR8EA-9</v>
      </c>
      <c r="E833" s="7" t="n">
        <v>2</v>
      </c>
      <c r="F833" s="13" t="n">
        <v>260</v>
      </c>
      <c r="G833" s="13" t="n">
        <v>175</v>
      </c>
      <c r="H833" s="17" t="n">
        <f aca="false">IF(OR(E833="",F833=""),"",E833*F833)</f>
        <v>520</v>
      </c>
      <c r="I833" s="17" t="n">
        <f aca="false">IF(OR(E833="",G833=""),"",E833*G833)</f>
        <v>350</v>
      </c>
      <c r="J833" s="17" t="n">
        <f aca="false">IF(H833="","",H833-I833)</f>
        <v>170</v>
      </c>
    </row>
    <row r="834" customFormat="false" ht="15" hidden="false" customHeight="true" outlineLevel="0" collapsed="false">
      <c r="A834" s="7" t="s">
        <v>980</v>
      </c>
      <c r="B834" s="18" t="n">
        <f aca="false">IF(A834="","",IFERROR(INDEX(Sales_Memo!$B$2:$B$1001,MATCH(A834,Sales_Memo!$A$2:$A$1001,0)),""))</f>
        <v>46302</v>
      </c>
      <c r="C834" s="7" t="s">
        <v>121</v>
      </c>
      <c r="D834" s="16" t="str">
        <f aca="false">IF(C834="","",IFERROR(INDEX(Products!$B$2:$B$501,MATCH(C834,Products!$A$2:$A$501,0)),"CODE NOT FOUND"))</f>
        <v>Handle Grip Set</v>
      </c>
      <c r="E834" s="7" t="n">
        <v>3</v>
      </c>
      <c r="F834" s="13" t="n">
        <v>280</v>
      </c>
      <c r="G834" s="13" t="n">
        <v>160</v>
      </c>
      <c r="H834" s="17" t="n">
        <f aca="false">IF(OR(E834="",F834=""),"",E834*F834)</f>
        <v>840</v>
      </c>
      <c r="I834" s="17" t="n">
        <f aca="false">IF(OR(E834="",G834=""),"",E834*G834)</f>
        <v>480</v>
      </c>
      <c r="J834" s="17" t="n">
        <f aca="false">IF(H834="","",H834-I834)</f>
        <v>360</v>
      </c>
    </row>
    <row r="835" customFormat="false" ht="15" hidden="false" customHeight="true" outlineLevel="0" collapsed="false">
      <c r="A835" s="7" t="s">
        <v>981</v>
      </c>
      <c r="B835" s="18" t="n">
        <f aca="false">IF(A835="","",IFERROR(INDEX(Sales_Memo!$B$2:$B$1001,MATCH(A835,Sales_Memo!$A$2:$A$1001,0)),""))</f>
        <v>46302</v>
      </c>
      <c r="C835" s="7" t="s">
        <v>119</v>
      </c>
      <c r="D835" s="16" t="str">
        <f aca="false">IF(C835="","",IFERROR(INDEX(Products!$B$2:$B$501,MATCH(C835,Products!$A$2:$A$501,0)),"CODE NOT FOUND"))</f>
        <v>Chain Lube Spray</v>
      </c>
      <c r="E835" s="7" t="n">
        <v>1</v>
      </c>
      <c r="F835" s="13" t="n">
        <v>270</v>
      </c>
      <c r="G835" s="13" t="n">
        <v>170</v>
      </c>
      <c r="H835" s="17" t="n">
        <f aca="false">IF(OR(E835="",F835=""),"",E835*F835)</f>
        <v>270</v>
      </c>
      <c r="I835" s="17" t="n">
        <f aca="false">IF(OR(E835="",G835=""),"",E835*G835)</f>
        <v>170</v>
      </c>
      <c r="J835" s="17" t="n">
        <f aca="false">IF(H835="","",H835-I835)</f>
        <v>100</v>
      </c>
    </row>
    <row r="836" customFormat="false" ht="15" hidden="false" customHeight="true" outlineLevel="0" collapsed="false">
      <c r="A836" s="7" t="s">
        <v>982</v>
      </c>
      <c r="B836" s="18" t="n">
        <f aca="false">IF(A836="","",IFERROR(INDEX(Sales_Memo!$B$2:$B$1001,MATCH(A836,Sales_Memo!$A$2:$A$1001,0)),""))</f>
        <v>46302</v>
      </c>
      <c r="C836" s="7" t="s">
        <v>119</v>
      </c>
      <c r="D836" s="16" t="str">
        <f aca="false">IF(C836="","",IFERROR(INDEX(Products!$B$2:$B$501,MATCH(C836,Products!$A$2:$A$501,0)),"CODE NOT FOUND"))</f>
        <v>Chain Lube Spray</v>
      </c>
      <c r="E836" s="7" t="n">
        <v>3</v>
      </c>
      <c r="F836" s="13" t="n">
        <v>270</v>
      </c>
      <c r="G836" s="13" t="n">
        <v>170</v>
      </c>
      <c r="H836" s="17" t="n">
        <f aca="false">IF(OR(E836="",F836=""),"",E836*F836)</f>
        <v>810</v>
      </c>
      <c r="I836" s="17" t="n">
        <f aca="false">IF(OR(E836="",G836=""),"",E836*G836)</f>
        <v>510</v>
      </c>
      <c r="J836" s="17" t="n">
        <f aca="false">IF(H836="","",H836-I836)</f>
        <v>300</v>
      </c>
    </row>
    <row r="837" customFormat="false" ht="15" hidden="false" customHeight="true" outlineLevel="0" collapsed="false">
      <c r="A837" s="7" t="s">
        <v>982</v>
      </c>
      <c r="B837" s="18" t="n">
        <f aca="false">IF(A837="","",IFERROR(INDEX(Sales_Memo!$B$2:$B$1001,MATCH(A837,Sales_Memo!$A$2:$A$1001,0)),""))</f>
        <v>46302</v>
      </c>
      <c r="C837" s="7" t="s">
        <v>86</v>
      </c>
      <c r="D837" s="16" t="str">
        <f aca="false">IF(C837="","",IFERROR(INDEX(Products!$B$2:$B$501,MATCH(C837,Products!$A$2:$A$501,0)),"CODE NOT FOUND"))</f>
        <v>Spark Plug CPR8EA-9</v>
      </c>
      <c r="E837" s="7" t="n">
        <v>3</v>
      </c>
      <c r="F837" s="13" t="n">
        <v>260</v>
      </c>
      <c r="G837" s="13" t="n">
        <v>175</v>
      </c>
      <c r="H837" s="17" t="n">
        <f aca="false">IF(OR(E837="",F837=""),"",E837*F837)</f>
        <v>780</v>
      </c>
      <c r="I837" s="17" t="n">
        <f aca="false">IF(OR(E837="",G837=""),"",E837*G837)</f>
        <v>525</v>
      </c>
      <c r="J837" s="17" t="n">
        <f aca="false">IF(H837="","",H837-I837)</f>
        <v>255</v>
      </c>
    </row>
    <row r="838" customFormat="false" ht="15" hidden="false" customHeight="true" outlineLevel="0" collapsed="false">
      <c r="A838" s="7" t="s">
        <v>983</v>
      </c>
      <c r="B838" s="18" t="n">
        <f aca="false">IF(A838="","",IFERROR(INDEX(Sales_Memo!$B$2:$B$1001,MATCH(A838,Sales_Memo!$A$2:$A$1001,0)),""))</f>
        <v>46302</v>
      </c>
      <c r="C838" s="7" t="s">
        <v>90</v>
      </c>
      <c r="D838" s="16" t="str">
        <f aca="false">IF(C838="","",IFERROR(INDEX(Products!$B$2:$B$501,MATCH(C838,Products!$A$2:$A$501,0)),"CODE NOT FOUND"))</f>
        <v>Air Filter 150cc</v>
      </c>
      <c r="E838" s="7" t="n">
        <v>2</v>
      </c>
      <c r="F838" s="13" t="n">
        <v>340</v>
      </c>
      <c r="G838" s="13" t="n">
        <v>210</v>
      </c>
      <c r="H838" s="17" t="n">
        <f aca="false">IF(OR(E838="",F838=""),"",E838*F838)</f>
        <v>680</v>
      </c>
      <c r="I838" s="17" t="n">
        <f aca="false">IF(OR(E838="",G838=""),"",E838*G838)</f>
        <v>420</v>
      </c>
      <c r="J838" s="17" t="n">
        <f aca="false">IF(H838="","",H838-I838)</f>
        <v>260</v>
      </c>
    </row>
    <row r="839" customFormat="false" ht="15" hidden="false" customHeight="true" outlineLevel="0" collapsed="false">
      <c r="A839" s="7" t="s">
        <v>984</v>
      </c>
      <c r="B839" s="18" t="n">
        <f aca="false">IF(A839="","",IFERROR(INDEX(Sales_Memo!$B$2:$B$1001,MATCH(A839,Sales_Memo!$A$2:$A$1001,0)),""))</f>
        <v>46302</v>
      </c>
      <c r="C839" s="7" t="s">
        <v>82</v>
      </c>
      <c r="D839" s="16" t="str">
        <f aca="false">IF(C839="","",IFERROR(INDEX(Products!$B$2:$B$501,MATCH(C839,Products!$A$2:$A$501,0)),"CODE NOT FOUND"))</f>
        <v>Clutch Cable</v>
      </c>
      <c r="E839" s="7" t="n">
        <v>1</v>
      </c>
      <c r="F839" s="13" t="n">
        <v>190</v>
      </c>
      <c r="G839" s="13" t="n">
        <v>110</v>
      </c>
      <c r="H839" s="17" t="n">
        <f aca="false">IF(OR(E839="",F839=""),"",E839*F839)</f>
        <v>190</v>
      </c>
      <c r="I839" s="17" t="n">
        <f aca="false">IF(OR(E839="",G839=""),"",E839*G839)</f>
        <v>110</v>
      </c>
      <c r="J839" s="17" t="n">
        <f aca="false">IF(H839="","",H839-I839)</f>
        <v>80</v>
      </c>
    </row>
    <row r="840" customFormat="false" ht="15" hidden="false" customHeight="true" outlineLevel="0" collapsed="false">
      <c r="A840" s="7" t="s">
        <v>985</v>
      </c>
      <c r="B840" s="18" t="n">
        <f aca="false">IF(A840="","",IFERROR(INDEX(Sales_Memo!$B$2:$B$1001,MATCH(A840,Sales_Memo!$A$2:$A$1001,0)),""))</f>
        <v>46303</v>
      </c>
      <c r="C840" s="7" t="s">
        <v>121</v>
      </c>
      <c r="D840" s="16" t="str">
        <f aca="false">IF(C840="","",IFERROR(INDEX(Products!$B$2:$B$501,MATCH(C840,Products!$A$2:$A$501,0)),"CODE NOT FOUND"))</f>
        <v>Handle Grip Set</v>
      </c>
      <c r="E840" s="7" t="n">
        <v>2</v>
      </c>
      <c r="F840" s="13" t="n">
        <v>280</v>
      </c>
      <c r="G840" s="13" t="n">
        <v>160</v>
      </c>
      <c r="H840" s="17" t="n">
        <f aca="false">IF(OR(E840="",F840=""),"",E840*F840)</f>
        <v>560</v>
      </c>
      <c r="I840" s="17" t="n">
        <f aca="false">IF(OR(E840="",G840=""),"",E840*G840)</f>
        <v>320</v>
      </c>
      <c r="J840" s="17" t="n">
        <f aca="false">IF(H840="","",H840-I840)</f>
        <v>240</v>
      </c>
    </row>
    <row r="841" customFormat="false" ht="15" hidden="false" customHeight="true" outlineLevel="0" collapsed="false">
      <c r="A841" s="7" t="s">
        <v>985</v>
      </c>
      <c r="B841" s="18" t="n">
        <f aca="false">IF(A841="","",IFERROR(INDEX(Sales_Memo!$B$2:$B$1001,MATCH(A841,Sales_Memo!$A$2:$A$1001,0)),""))</f>
        <v>46303</v>
      </c>
      <c r="C841" s="7" t="s">
        <v>82</v>
      </c>
      <c r="D841" s="16" t="str">
        <f aca="false">IF(C841="","",IFERROR(INDEX(Products!$B$2:$B$501,MATCH(C841,Products!$A$2:$A$501,0)),"CODE NOT FOUND"))</f>
        <v>Clutch Cable</v>
      </c>
      <c r="E841" s="7" t="n">
        <v>2</v>
      </c>
      <c r="F841" s="13" t="n">
        <v>190</v>
      </c>
      <c r="G841" s="13" t="n">
        <v>110</v>
      </c>
      <c r="H841" s="17" t="n">
        <f aca="false">IF(OR(E841="",F841=""),"",E841*F841)</f>
        <v>380</v>
      </c>
      <c r="I841" s="17" t="n">
        <f aca="false">IF(OR(E841="",G841=""),"",E841*G841)</f>
        <v>220</v>
      </c>
      <c r="J841" s="17" t="n">
        <f aca="false">IF(H841="","",H841-I841)</f>
        <v>160</v>
      </c>
    </row>
    <row r="842" customFormat="false" ht="15" hidden="false" customHeight="true" outlineLevel="0" collapsed="false">
      <c r="A842" s="7" t="s">
        <v>986</v>
      </c>
      <c r="B842" s="18" t="n">
        <f aca="false">IF(A842="","",IFERROR(INDEX(Sales_Memo!$B$2:$B$1001,MATCH(A842,Sales_Memo!$A$2:$A$1001,0)),""))</f>
        <v>46303</v>
      </c>
      <c r="C842" s="7" t="s">
        <v>121</v>
      </c>
      <c r="D842" s="16" t="str">
        <f aca="false">IF(C842="","",IFERROR(INDEX(Products!$B$2:$B$501,MATCH(C842,Products!$A$2:$A$501,0)),"CODE NOT FOUND"))</f>
        <v>Handle Grip Set</v>
      </c>
      <c r="E842" s="7" t="n">
        <v>3</v>
      </c>
      <c r="F842" s="13" t="n">
        <v>280</v>
      </c>
      <c r="G842" s="13" t="n">
        <v>160</v>
      </c>
      <c r="H842" s="17" t="n">
        <f aca="false">IF(OR(E842="",F842=""),"",E842*F842)</f>
        <v>840</v>
      </c>
      <c r="I842" s="17" t="n">
        <f aca="false">IF(OR(E842="",G842=""),"",E842*G842)</f>
        <v>480</v>
      </c>
      <c r="J842" s="17" t="n">
        <f aca="false">IF(H842="","",H842-I842)</f>
        <v>360</v>
      </c>
    </row>
    <row r="843" customFormat="false" ht="15" hidden="false" customHeight="true" outlineLevel="0" collapsed="false">
      <c r="A843" s="7" t="s">
        <v>986</v>
      </c>
      <c r="B843" s="18" t="n">
        <f aca="false">IF(A843="","",IFERROR(INDEX(Sales_Memo!$B$2:$B$1001,MATCH(A843,Sales_Memo!$A$2:$A$1001,0)),""))</f>
        <v>46303</v>
      </c>
      <c r="C843" s="7" t="s">
        <v>77</v>
      </c>
      <c r="D843" s="16" t="str">
        <f aca="false">IF(C843="","",IFERROR(INDEX(Products!$B$2:$B$501,MATCH(C843,Products!$A$2:$A$501,0)),"CODE NOT FOUND"))</f>
        <v>Brake Pad Set - Front</v>
      </c>
      <c r="E843" s="7" t="n">
        <v>3</v>
      </c>
      <c r="F843" s="13" t="n">
        <v>480</v>
      </c>
      <c r="G843" s="13" t="n">
        <v>320</v>
      </c>
      <c r="H843" s="17" t="n">
        <f aca="false">IF(OR(E843="",F843=""),"",E843*F843)</f>
        <v>1440</v>
      </c>
      <c r="I843" s="17" t="n">
        <f aca="false">IF(OR(E843="",G843=""),"",E843*G843)</f>
        <v>960</v>
      </c>
      <c r="J843" s="17" t="n">
        <f aca="false">IF(H843="","",H843-I843)</f>
        <v>480</v>
      </c>
    </row>
    <row r="844" customFormat="false" ht="15" hidden="false" customHeight="true" outlineLevel="0" collapsed="false">
      <c r="A844" s="7" t="s">
        <v>987</v>
      </c>
      <c r="B844" s="18" t="n">
        <f aca="false">IF(A844="","",IFERROR(INDEX(Sales_Memo!$B$2:$B$1001,MATCH(A844,Sales_Memo!$A$2:$A$1001,0)),""))</f>
        <v>46303</v>
      </c>
      <c r="C844" s="7" t="s">
        <v>86</v>
      </c>
      <c r="D844" s="16" t="str">
        <f aca="false">IF(C844="","",IFERROR(INDEX(Products!$B$2:$B$501,MATCH(C844,Products!$A$2:$A$501,0)),"CODE NOT FOUND"))</f>
        <v>Spark Plug CPR8EA-9</v>
      </c>
      <c r="E844" s="7" t="n">
        <v>3</v>
      </c>
      <c r="F844" s="13" t="n">
        <v>260</v>
      </c>
      <c r="G844" s="13" t="n">
        <v>175</v>
      </c>
      <c r="H844" s="17" t="n">
        <f aca="false">IF(OR(E844="",F844=""),"",E844*F844)</f>
        <v>780</v>
      </c>
      <c r="I844" s="17" t="n">
        <f aca="false">IF(OR(E844="",G844=""),"",E844*G844)</f>
        <v>525</v>
      </c>
      <c r="J844" s="17" t="n">
        <f aca="false">IF(H844="","",H844-I844)</f>
        <v>255</v>
      </c>
    </row>
    <row r="845" customFormat="false" ht="15" hidden="false" customHeight="true" outlineLevel="0" collapsed="false">
      <c r="A845" s="7" t="s">
        <v>987</v>
      </c>
      <c r="B845" s="18" t="n">
        <f aca="false">IF(A845="","",IFERROR(INDEX(Sales_Memo!$B$2:$B$1001,MATCH(A845,Sales_Memo!$A$2:$A$1001,0)),""))</f>
        <v>46303</v>
      </c>
      <c r="C845" s="7" t="s">
        <v>99</v>
      </c>
      <c r="D845" s="16" t="str">
        <f aca="false">IF(C845="","",IFERROR(INDEX(Products!$B$2:$B$501,MATCH(C845,Products!$A$2:$A$501,0)),"CODE NOT FOUND"))</f>
        <v>Engine Oil 20W-50 (1L)</v>
      </c>
      <c r="E845" s="7" t="n">
        <v>3</v>
      </c>
      <c r="F845" s="13" t="n">
        <v>990</v>
      </c>
      <c r="G845" s="13" t="n">
        <v>780</v>
      </c>
      <c r="H845" s="17" t="n">
        <f aca="false">IF(OR(E845="",F845=""),"",E845*F845)</f>
        <v>2970</v>
      </c>
      <c r="I845" s="17" t="n">
        <f aca="false">IF(OR(E845="",G845=""),"",E845*G845)</f>
        <v>2340</v>
      </c>
      <c r="J845" s="17" t="n">
        <f aca="false">IF(H845="","",H845-I845)</f>
        <v>630</v>
      </c>
    </row>
    <row r="846" customFormat="false" ht="15" hidden="false" customHeight="true" outlineLevel="0" collapsed="false">
      <c r="A846" s="7" t="s">
        <v>987</v>
      </c>
      <c r="B846" s="18" t="n">
        <f aca="false">IF(A846="","",IFERROR(INDEX(Sales_Memo!$B$2:$B$1001,MATCH(A846,Sales_Memo!$A$2:$A$1001,0)),""))</f>
        <v>46303</v>
      </c>
      <c r="C846" s="7" t="s">
        <v>77</v>
      </c>
      <c r="D846" s="16" t="str">
        <f aca="false">IF(C846="","",IFERROR(INDEX(Products!$B$2:$B$501,MATCH(C846,Products!$A$2:$A$501,0)),"CODE NOT FOUND"))</f>
        <v>Brake Pad Set - Front</v>
      </c>
      <c r="E846" s="7" t="n">
        <v>1</v>
      </c>
      <c r="F846" s="13" t="n">
        <v>480</v>
      </c>
      <c r="G846" s="13" t="n">
        <v>320</v>
      </c>
      <c r="H846" s="17" t="n">
        <f aca="false">IF(OR(E846="",F846=""),"",E846*F846)</f>
        <v>480</v>
      </c>
      <c r="I846" s="17" t="n">
        <f aca="false">IF(OR(E846="",G846=""),"",E846*G846)</f>
        <v>320</v>
      </c>
      <c r="J846" s="17" t="n">
        <f aca="false">IF(H846="","",H846-I846)</f>
        <v>160</v>
      </c>
    </row>
    <row r="847" customFormat="false" ht="15" hidden="false" customHeight="true" outlineLevel="0" collapsed="false">
      <c r="A847" s="7" t="s">
        <v>989</v>
      </c>
      <c r="B847" s="18" t="n">
        <f aca="false">IF(A847="","",IFERROR(INDEX(Sales_Memo!$B$2:$B$1001,MATCH(A847,Sales_Memo!$A$2:$A$1001,0)),""))</f>
        <v>46303</v>
      </c>
      <c r="C847" s="7" t="s">
        <v>82</v>
      </c>
      <c r="D847" s="16" t="str">
        <f aca="false">IF(C847="","",IFERROR(INDEX(Products!$B$2:$B$501,MATCH(C847,Products!$A$2:$A$501,0)),"CODE NOT FOUND"))</f>
        <v>Clutch Cable</v>
      </c>
      <c r="E847" s="7" t="n">
        <v>1</v>
      </c>
      <c r="F847" s="13" t="n">
        <v>190</v>
      </c>
      <c r="G847" s="13" t="n">
        <v>110</v>
      </c>
      <c r="H847" s="17" t="n">
        <f aca="false">IF(OR(E847="",F847=""),"",E847*F847)</f>
        <v>190</v>
      </c>
      <c r="I847" s="17" t="n">
        <f aca="false">IF(OR(E847="",G847=""),"",E847*G847)</f>
        <v>110</v>
      </c>
      <c r="J847" s="17" t="n">
        <f aca="false">IF(H847="","",H847-I847)</f>
        <v>80</v>
      </c>
    </row>
    <row r="848" customFormat="false" ht="15" hidden="false" customHeight="true" outlineLevel="0" collapsed="false">
      <c r="A848" s="7" t="s">
        <v>990</v>
      </c>
      <c r="B848" s="18" t="n">
        <f aca="false">IF(A848="","",IFERROR(INDEX(Sales_Memo!$B$2:$B$1001,MATCH(A848,Sales_Memo!$A$2:$A$1001,0)),""))</f>
        <v>46303</v>
      </c>
      <c r="C848" s="7" t="s">
        <v>102</v>
      </c>
      <c r="D848" s="16" t="str">
        <f aca="false">IF(C848="","",IFERROR(INDEX(Products!$B$2:$B$501,MATCH(C848,Products!$A$2:$A$501,0)),"CODE NOT FOUND"))</f>
        <v>Headlight Bulb H4</v>
      </c>
      <c r="E848" s="7" t="n">
        <v>1</v>
      </c>
      <c r="F848" s="13" t="n">
        <v>240</v>
      </c>
      <c r="G848" s="13" t="n">
        <v>140</v>
      </c>
      <c r="H848" s="17" t="n">
        <f aca="false">IF(OR(E848="",F848=""),"",E848*F848)</f>
        <v>240</v>
      </c>
      <c r="I848" s="17" t="n">
        <f aca="false">IF(OR(E848="",G848=""),"",E848*G848)</f>
        <v>140</v>
      </c>
      <c r="J848" s="17" t="n">
        <f aca="false">IF(H848="","",H848-I848)</f>
        <v>100</v>
      </c>
    </row>
    <row r="849" customFormat="false" ht="15" hidden="false" customHeight="true" outlineLevel="0" collapsed="false">
      <c r="A849" s="7" t="s">
        <v>990</v>
      </c>
      <c r="B849" s="18" t="n">
        <f aca="false">IF(A849="","",IFERROR(INDEX(Sales_Memo!$B$2:$B$1001,MATCH(A849,Sales_Memo!$A$2:$A$1001,0)),""))</f>
        <v>46303</v>
      </c>
      <c r="C849" s="7" t="s">
        <v>82</v>
      </c>
      <c r="D849" s="16" t="str">
        <f aca="false">IF(C849="","",IFERROR(INDEX(Products!$B$2:$B$501,MATCH(C849,Products!$A$2:$A$501,0)),"CODE NOT FOUND"))</f>
        <v>Clutch Cable</v>
      </c>
      <c r="E849" s="7" t="n">
        <v>3</v>
      </c>
      <c r="F849" s="13" t="n">
        <v>190</v>
      </c>
      <c r="G849" s="13" t="n">
        <v>110</v>
      </c>
      <c r="H849" s="17" t="n">
        <f aca="false">IF(OR(E849="",F849=""),"",E849*F849)</f>
        <v>570</v>
      </c>
      <c r="I849" s="17" t="n">
        <f aca="false">IF(OR(E849="",G849=""),"",E849*G849)</f>
        <v>330</v>
      </c>
      <c r="J849" s="17" t="n">
        <f aca="false">IF(H849="","",H849-I849)</f>
        <v>240</v>
      </c>
    </row>
    <row r="850" customFormat="false" ht="15" hidden="false" customHeight="true" outlineLevel="0" collapsed="false">
      <c r="A850" s="7" t="s">
        <v>991</v>
      </c>
      <c r="B850" s="18" t="n">
        <f aca="false">IF(A850="","",IFERROR(INDEX(Sales_Memo!$B$2:$B$1001,MATCH(A850,Sales_Memo!$A$2:$A$1001,0)),""))</f>
        <v>46303</v>
      </c>
      <c r="C850" s="7" t="s">
        <v>96</v>
      </c>
      <c r="D850" s="16" t="str">
        <f aca="false">IF(C850="","",IFERROR(INDEX(Products!$B$2:$B$501,MATCH(C850,Products!$A$2:$A$501,0)),"CODE NOT FOUND"))</f>
        <v>Engine Oil 10W-30 (1L)</v>
      </c>
      <c r="E850" s="7" t="n">
        <v>2</v>
      </c>
      <c r="F850" s="13" t="n">
        <v>780</v>
      </c>
      <c r="G850" s="13" t="n">
        <v>620</v>
      </c>
      <c r="H850" s="17" t="n">
        <f aca="false">IF(OR(E850="",F850=""),"",E850*F850)</f>
        <v>1560</v>
      </c>
      <c r="I850" s="17" t="n">
        <f aca="false">IF(OR(E850="",G850=""),"",E850*G850)</f>
        <v>1240</v>
      </c>
      <c r="J850" s="17" t="n">
        <f aca="false">IF(H850="","",H850-I850)</f>
        <v>320</v>
      </c>
    </row>
    <row r="851" customFormat="false" ht="15" hidden="false" customHeight="true" outlineLevel="0" collapsed="false">
      <c r="A851" s="7" t="s">
        <v>991</v>
      </c>
      <c r="B851" s="18" t="n">
        <f aca="false">IF(A851="","",IFERROR(INDEX(Sales_Memo!$B$2:$B$1001,MATCH(A851,Sales_Memo!$A$2:$A$1001,0)),""))</f>
        <v>46303</v>
      </c>
      <c r="C851" s="7" t="s">
        <v>102</v>
      </c>
      <c r="D851" s="16" t="str">
        <f aca="false">IF(C851="","",IFERROR(INDEX(Products!$B$2:$B$501,MATCH(C851,Products!$A$2:$A$501,0)),"CODE NOT FOUND"))</f>
        <v>Headlight Bulb H4</v>
      </c>
      <c r="E851" s="7" t="n">
        <v>3</v>
      </c>
      <c r="F851" s="13" t="n">
        <v>240</v>
      </c>
      <c r="G851" s="13" t="n">
        <v>140</v>
      </c>
      <c r="H851" s="17" t="n">
        <f aca="false">IF(OR(E851="",F851=""),"",E851*F851)</f>
        <v>720</v>
      </c>
      <c r="I851" s="17" t="n">
        <f aca="false">IF(OR(E851="",G851=""),"",E851*G851)</f>
        <v>420</v>
      </c>
      <c r="J851" s="17" t="n">
        <f aca="false">IF(H851="","",H851-I851)</f>
        <v>300</v>
      </c>
    </row>
    <row r="852" customFormat="false" ht="15" hidden="false" customHeight="true" outlineLevel="0" collapsed="false">
      <c r="A852" s="7" t="s">
        <v>993</v>
      </c>
      <c r="B852" s="18" t="n">
        <f aca="false">IF(A852="","",IFERROR(INDEX(Sales_Memo!$B$2:$B$1001,MATCH(A852,Sales_Memo!$A$2:$A$1001,0)),""))</f>
        <v>46303</v>
      </c>
      <c r="C852" s="7" t="s">
        <v>90</v>
      </c>
      <c r="D852" s="16" t="str">
        <f aca="false">IF(C852="","",IFERROR(INDEX(Products!$B$2:$B$501,MATCH(C852,Products!$A$2:$A$501,0)),"CODE NOT FOUND"))</f>
        <v>Air Filter 150cc</v>
      </c>
      <c r="E852" s="7" t="n">
        <v>1</v>
      </c>
      <c r="F852" s="13" t="n">
        <v>340</v>
      </c>
      <c r="G852" s="13" t="n">
        <v>210</v>
      </c>
      <c r="H852" s="17" t="n">
        <f aca="false">IF(OR(E852="",F852=""),"",E852*F852)</f>
        <v>340</v>
      </c>
      <c r="I852" s="17" t="n">
        <f aca="false">IF(OR(E852="",G852=""),"",E852*G852)</f>
        <v>210</v>
      </c>
      <c r="J852" s="17" t="n">
        <f aca="false">IF(H852="","",H852-I852)</f>
        <v>130</v>
      </c>
    </row>
    <row r="853" customFormat="false" ht="15" hidden="false" customHeight="true" outlineLevel="0" collapsed="false">
      <c r="A853" s="7" t="s">
        <v>993</v>
      </c>
      <c r="B853" s="18" t="n">
        <f aca="false">IF(A853="","",IFERROR(INDEX(Sales_Memo!$B$2:$B$1001,MATCH(A853,Sales_Memo!$A$2:$A$1001,0)),""))</f>
        <v>46303</v>
      </c>
      <c r="C853" s="7" t="s">
        <v>99</v>
      </c>
      <c r="D853" s="16" t="str">
        <f aca="false">IF(C853="","",IFERROR(INDEX(Products!$B$2:$B$501,MATCH(C853,Products!$A$2:$A$501,0)),"CODE NOT FOUND"))</f>
        <v>Engine Oil 20W-50 (1L)</v>
      </c>
      <c r="E853" s="7" t="n">
        <v>3</v>
      </c>
      <c r="F853" s="13" t="n">
        <v>990</v>
      </c>
      <c r="G853" s="13" t="n">
        <v>780</v>
      </c>
      <c r="H853" s="17" t="n">
        <f aca="false">IF(OR(E853="",F853=""),"",E853*F853)</f>
        <v>2970</v>
      </c>
      <c r="I853" s="17" t="n">
        <f aca="false">IF(OR(E853="",G853=""),"",E853*G853)</f>
        <v>2340</v>
      </c>
      <c r="J853" s="17" t="n">
        <f aca="false">IF(H853="","",H853-I853)</f>
        <v>630</v>
      </c>
    </row>
    <row r="854" customFormat="false" ht="15" hidden="false" customHeight="true" outlineLevel="0" collapsed="false">
      <c r="A854" s="7" t="s">
        <v>995</v>
      </c>
      <c r="B854" s="18" t="n">
        <f aca="false">IF(A854="","",IFERROR(INDEX(Sales_Memo!$B$2:$B$1001,MATCH(A854,Sales_Memo!$A$2:$A$1001,0)),""))</f>
        <v>46303</v>
      </c>
      <c r="C854" s="7" t="s">
        <v>82</v>
      </c>
      <c r="D854" s="16" t="str">
        <f aca="false">IF(C854="","",IFERROR(INDEX(Products!$B$2:$B$501,MATCH(C854,Products!$A$2:$A$501,0)),"CODE NOT FOUND"))</f>
        <v>Clutch Cable</v>
      </c>
      <c r="E854" s="7" t="n">
        <v>1</v>
      </c>
      <c r="F854" s="13" t="n">
        <v>190</v>
      </c>
      <c r="G854" s="13" t="n">
        <v>110</v>
      </c>
      <c r="H854" s="17" t="n">
        <f aca="false">IF(OR(E854="",F854=""),"",E854*F854)</f>
        <v>190</v>
      </c>
      <c r="I854" s="17" t="n">
        <f aca="false">IF(OR(E854="",G854=""),"",E854*G854)</f>
        <v>110</v>
      </c>
      <c r="J854" s="17" t="n">
        <f aca="false">IF(H854="","",H854-I854)</f>
        <v>80</v>
      </c>
    </row>
    <row r="855" customFormat="false" ht="15" hidden="false" customHeight="true" outlineLevel="0" collapsed="false">
      <c r="A855" s="7" t="s">
        <v>996</v>
      </c>
      <c r="B855" s="18" t="n">
        <f aca="false">IF(A855="","",IFERROR(INDEX(Sales_Memo!$B$2:$B$1001,MATCH(A855,Sales_Memo!$A$2:$A$1001,0)),""))</f>
        <v>46303</v>
      </c>
      <c r="C855" s="7" t="s">
        <v>119</v>
      </c>
      <c r="D855" s="16" t="str">
        <f aca="false">IF(C855="","",IFERROR(INDEX(Products!$B$2:$B$501,MATCH(C855,Products!$A$2:$A$501,0)),"CODE NOT FOUND"))</f>
        <v>Chain Lube Spray</v>
      </c>
      <c r="E855" s="7" t="n">
        <v>2</v>
      </c>
      <c r="F855" s="13" t="n">
        <v>270</v>
      </c>
      <c r="G855" s="13" t="n">
        <v>170</v>
      </c>
      <c r="H855" s="17" t="n">
        <f aca="false">IF(OR(E855="",F855=""),"",E855*F855)</f>
        <v>540</v>
      </c>
      <c r="I855" s="17" t="n">
        <f aca="false">IF(OR(E855="",G855=""),"",E855*G855)</f>
        <v>340</v>
      </c>
      <c r="J855" s="17" t="n">
        <f aca="false">IF(H855="","",H855-I855)</f>
        <v>200</v>
      </c>
    </row>
    <row r="856" customFormat="false" ht="15" hidden="false" customHeight="true" outlineLevel="0" collapsed="false">
      <c r="A856" s="7" t="s">
        <v>997</v>
      </c>
      <c r="B856" s="18" t="n">
        <f aca="false">IF(A856="","",IFERROR(INDEX(Sales_Memo!$B$2:$B$1001,MATCH(A856,Sales_Memo!$A$2:$A$1001,0)),""))</f>
        <v>46303</v>
      </c>
      <c r="C856" s="7" t="s">
        <v>119</v>
      </c>
      <c r="D856" s="16" t="str">
        <f aca="false">IF(C856="","",IFERROR(INDEX(Products!$B$2:$B$501,MATCH(C856,Products!$A$2:$A$501,0)),"CODE NOT FOUND"))</f>
        <v>Chain Lube Spray</v>
      </c>
      <c r="E856" s="7" t="n">
        <v>3</v>
      </c>
      <c r="F856" s="13" t="n">
        <v>270</v>
      </c>
      <c r="G856" s="13" t="n">
        <v>170</v>
      </c>
      <c r="H856" s="17" t="n">
        <f aca="false">IF(OR(E856="",F856=""),"",E856*F856)</f>
        <v>810</v>
      </c>
      <c r="I856" s="17" t="n">
        <f aca="false">IF(OR(E856="",G856=""),"",E856*G856)</f>
        <v>510</v>
      </c>
      <c r="J856" s="17" t="n">
        <f aca="false">IF(H856="","",H856-I856)</f>
        <v>300</v>
      </c>
    </row>
    <row r="857" customFormat="false" ht="15" hidden="false" customHeight="true" outlineLevel="0" collapsed="false">
      <c r="A857" s="7" t="s">
        <v>997</v>
      </c>
      <c r="B857" s="18" t="n">
        <f aca="false">IF(A857="","",IFERROR(INDEX(Sales_Memo!$B$2:$B$1001,MATCH(A857,Sales_Memo!$A$2:$A$1001,0)),""))</f>
        <v>46303</v>
      </c>
      <c r="C857" s="7" t="s">
        <v>102</v>
      </c>
      <c r="D857" s="16" t="str">
        <f aca="false">IF(C857="","",IFERROR(INDEX(Products!$B$2:$B$501,MATCH(C857,Products!$A$2:$A$501,0)),"CODE NOT FOUND"))</f>
        <v>Headlight Bulb H4</v>
      </c>
      <c r="E857" s="7" t="n">
        <v>1</v>
      </c>
      <c r="F857" s="13" t="n">
        <v>240</v>
      </c>
      <c r="G857" s="13" t="n">
        <v>140</v>
      </c>
      <c r="H857" s="17" t="n">
        <f aca="false">IF(OR(E857="",F857=""),"",E857*F857)</f>
        <v>240</v>
      </c>
      <c r="I857" s="17" t="n">
        <f aca="false">IF(OR(E857="",G857=""),"",E857*G857)</f>
        <v>140</v>
      </c>
      <c r="J857" s="17" t="n">
        <f aca="false">IF(H857="","",H857-I857)</f>
        <v>100</v>
      </c>
    </row>
    <row r="858" customFormat="false" ht="15" hidden="false" customHeight="true" outlineLevel="0" collapsed="false">
      <c r="A858" s="7" t="s">
        <v>999</v>
      </c>
      <c r="B858" s="18" t="n">
        <f aca="false">IF(A858="","",IFERROR(INDEX(Sales_Memo!$B$2:$B$1001,MATCH(A858,Sales_Memo!$A$2:$A$1001,0)),""))</f>
        <v>46305</v>
      </c>
      <c r="C858" s="7" t="s">
        <v>90</v>
      </c>
      <c r="D858" s="16" t="str">
        <f aca="false">IF(C858="","",IFERROR(INDEX(Products!$B$2:$B$501,MATCH(C858,Products!$A$2:$A$501,0)),"CODE NOT FOUND"))</f>
        <v>Air Filter 150cc</v>
      </c>
      <c r="E858" s="7" t="n">
        <v>2</v>
      </c>
      <c r="F858" s="13" t="n">
        <v>340</v>
      </c>
      <c r="G858" s="13" t="n">
        <v>210</v>
      </c>
      <c r="H858" s="17" t="n">
        <f aca="false">IF(OR(E858="",F858=""),"",E858*F858)</f>
        <v>680</v>
      </c>
      <c r="I858" s="17" t="n">
        <f aca="false">IF(OR(E858="",G858=""),"",E858*G858)</f>
        <v>420</v>
      </c>
      <c r="J858" s="17" t="n">
        <f aca="false">IF(H858="","",H858-I858)</f>
        <v>260</v>
      </c>
    </row>
    <row r="859" customFormat="false" ht="15" hidden="false" customHeight="true" outlineLevel="0" collapsed="false">
      <c r="A859" s="7" t="s">
        <v>999</v>
      </c>
      <c r="B859" s="18" t="n">
        <f aca="false">IF(A859="","",IFERROR(INDEX(Sales_Memo!$B$2:$B$1001,MATCH(A859,Sales_Memo!$A$2:$A$1001,0)),""))</f>
        <v>46305</v>
      </c>
      <c r="C859" s="7" t="s">
        <v>114</v>
      </c>
      <c r="D859" s="16" t="str">
        <f aca="false">IF(C859="","",IFERROR(INDEX(Products!$B$2:$B$501,MATCH(C859,Products!$A$2:$A$501,0)),"CODE NOT FOUND"))</f>
        <v>Side Mirror (Pair)</v>
      </c>
      <c r="E859" s="7" t="n">
        <v>2</v>
      </c>
      <c r="F859" s="13" t="n">
        <v>620</v>
      </c>
      <c r="G859" s="13" t="n">
        <v>380</v>
      </c>
      <c r="H859" s="17" t="n">
        <f aca="false">IF(OR(E859="",F859=""),"",E859*F859)</f>
        <v>1240</v>
      </c>
      <c r="I859" s="17" t="n">
        <f aca="false">IF(OR(E859="",G859=""),"",E859*G859)</f>
        <v>760</v>
      </c>
      <c r="J859" s="17" t="n">
        <f aca="false">IF(H859="","",H859-I859)</f>
        <v>480</v>
      </c>
    </row>
    <row r="860" customFormat="false" ht="15" hidden="false" customHeight="true" outlineLevel="0" collapsed="false">
      <c r="A860" s="7" t="s">
        <v>1000</v>
      </c>
      <c r="B860" s="18" t="n">
        <f aca="false">IF(A860="","",IFERROR(INDEX(Sales_Memo!$B$2:$B$1001,MATCH(A860,Sales_Memo!$A$2:$A$1001,0)),""))</f>
        <v>46305</v>
      </c>
      <c r="C860" s="7" t="s">
        <v>86</v>
      </c>
      <c r="D860" s="16" t="str">
        <f aca="false">IF(C860="","",IFERROR(INDEX(Products!$B$2:$B$501,MATCH(C860,Products!$A$2:$A$501,0)),"CODE NOT FOUND"))</f>
        <v>Spark Plug CPR8EA-9</v>
      </c>
      <c r="E860" s="7" t="n">
        <v>3</v>
      </c>
      <c r="F860" s="13" t="n">
        <v>260</v>
      </c>
      <c r="G860" s="13" t="n">
        <v>175</v>
      </c>
      <c r="H860" s="17" t="n">
        <f aca="false">IF(OR(E860="",F860=""),"",E860*F860)</f>
        <v>780</v>
      </c>
      <c r="I860" s="17" t="n">
        <f aca="false">IF(OR(E860="",G860=""),"",E860*G860)</f>
        <v>525</v>
      </c>
      <c r="J860" s="17" t="n">
        <f aca="false">IF(H860="","",H860-I860)</f>
        <v>255</v>
      </c>
    </row>
    <row r="861" customFormat="false" ht="15" hidden="false" customHeight="true" outlineLevel="0" collapsed="false">
      <c r="A861" s="7" t="s">
        <v>1000</v>
      </c>
      <c r="B861" s="18" t="n">
        <f aca="false">IF(A861="","",IFERROR(INDEX(Sales_Memo!$B$2:$B$1001,MATCH(A861,Sales_Memo!$A$2:$A$1001,0)),""))</f>
        <v>46305</v>
      </c>
      <c r="C861" s="7" t="s">
        <v>77</v>
      </c>
      <c r="D861" s="16" t="str">
        <f aca="false">IF(C861="","",IFERROR(INDEX(Products!$B$2:$B$501,MATCH(C861,Products!$A$2:$A$501,0)),"CODE NOT FOUND"))</f>
        <v>Brake Pad Set - Front</v>
      </c>
      <c r="E861" s="7" t="n">
        <v>3</v>
      </c>
      <c r="F861" s="13" t="n">
        <v>480</v>
      </c>
      <c r="G861" s="13" t="n">
        <v>320</v>
      </c>
      <c r="H861" s="17" t="n">
        <f aca="false">IF(OR(E861="",F861=""),"",E861*F861)</f>
        <v>1440</v>
      </c>
      <c r="I861" s="17" t="n">
        <f aca="false">IF(OR(E861="",G861=""),"",E861*G861)</f>
        <v>960</v>
      </c>
      <c r="J861" s="17" t="n">
        <f aca="false">IF(H861="","",H861-I861)</f>
        <v>480</v>
      </c>
    </row>
    <row r="862" customFormat="false" ht="15" hidden="false" customHeight="true" outlineLevel="0" collapsed="false">
      <c r="A862" s="7" t="s">
        <v>1001</v>
      </c>
      <c r="B862" s="18" t="n">
        <f aca="false">IF(A862="","",IFERROR(INDEX(Sales_Memo!$B$2:$B$1001,MATCH(A862,Sales_Memo!$A$2:$A$1001,0)),""))</f>
        <v>46305</v>
      </c>
      <c r="C862" s="7" t="s">
        <v>82</v>
      </c>
      <c r="D862" s="16" t="str">
        <f aca="false">IF(C862="","",IFERROR(INDEX(Products!$B$2:$B$501,MATCH(C862,Products!$A$2:$A$501,0)),"CODE NOT FOUND"))</f>
        <v>Clutch Cable</v>
      </c>
      <c r="E862" s="7" t="n">
        <v>1</v>
      </c>
      <c r="F862" s="13" t="n">
        <v>190</v>
      </c>
      <c r="G862" s="13" t="n">
        <v>110</v>
      </c>
      <c r="H862" s="17" t="n">
        <f aca="false">IF(OR(E862="",F862=""),"",E862*F862)</f>
        <v>190</v>
      </c>
      <c r="I862" s="17" t="n">
        <f aca="false">IF(OR(E862="",G862=""),"",E862*G862)</f>
        <v>110</v>
      </c>
      <c r="J862" s="17" t="n">
        <f aca="false">IF(H862="","",H862-I862)</f>
        <v>80</v>
      </c>
    </row>
    <row r="863" customFormat="false" ht="15" hidden="false" customHeight="true" outlineLevel="0" collapsed="false">
      <c r="A863" s="7" t="s">
        <v>1001</v>
      </c>
      <c r="B863" s="18" t="n">
        <f aca="false">IF(A863="","",IFERROR(INDEX(Sales_Memo!$B$2:$B$1001,MATCH(A863,Sales_Memo!$A$2:$A$1001,0)),""))</f>
        <v>46305</v>
      </c>
      <c r="C863" s="7" t="s">
        <v>108</v>
      </c>
      <c r="D863" s="16" t="str">
        <f aca="false">IF(C863="","",IFERROR(INDEX(Products!$B$2:$B$501,MATCH(C863,Products!$A$2:$A$501,0)),"CODE NOT FOUND"))</f>
        <v>Tyre 90/90-17 Rear</v>
      </c>
      <c r="E863" s="7" t="n">
        <v>1</v>
      </c>
      <c r="F863" s="13" t="n">
        <v>3350</v>
      </c>
      <c r="G863" s="13" t="n">
        <v>2750</v>
      </c>
      <c r="H863" s="17" t="n">
        <f aca="false">IF(OR(E863="",F863=""),"",E863*F863)</f>
        <v>3350</v>
      </c>
      <c r="I863" s="17" t="n">
        <f aca="false">IF(OR(E863="",G863=""),"",E863*G863)</f>
        <v>2750</v>
      </c>
      <c r="J863" s="17" t="n">
        <f aca="false">IF(H863="","",H863-I863)</f>
        <v>600</v>
      </c>
    </row>
    <row r="864" customFormat="false" ht="15" hidden="false" customHeight="true" outlineLevel="0" collapsed="false">
      <c r="A864" s="7" t="s">
        <v>1001</v>
      </c>
      <c r="B864" s="18" t="n">
        <f aca="false">IF(A864="","",IFERROR(INDEX(Sales_Memo!$B$2:$B$1001,MATCH(A864,Sales_Memo!$A$2:$A$1001,0)),""))</f>
        <v>46305</v>
      </c>
      <c r="C864" s="7" t="s">
        <v>102</v>
      </c>
      <c r="D864" s="16" t="str">
        <f aca="false">IF(C864="","",IFERROR(INDEX(Products!$B$2:$B$501,MATCH(C864,Products!$A$2:$A$501,0)),"CODE NOT FOUND"))</f>
        <v>Headlight Bulb H4</v>
      </c>
      <c r="E864" s="7" t="n">
        <v>1</v>
      </c>
      <c r="F864" s="13" t="n">
        <v>240</v>
      </c>
      <c r="G864" s="13" t="n">
        <v>140</v>
      </c>
      <c r="H864" s="17" t="n">
        <f aca="false">IF(OR(E864="",F864=""),"",E864*F864)</f>
        <v>240</v>
      </c>
      <c r="I864" s="17" t="n">
        <f aca="false">IF(OR(E864="",G864=""),"",E864*G864)</f>
        <v>140</v>
      </c>
      <c r="J864" s="17" t="n">
        <f aca="false">IF(H864="","",H864-I864)</f>
        <v>100</v>
      </c>
    </row>
    <row r="865" customFormat="false" ht="15" hidden="false" customHeight="true" outlineLevel="0" collapsed="false">
      <c r="A865" s="7" t="s">
        <v>1003</v>
      </c>
      <c r="B865" s="18" t="n">
        <f aca="false">IF(A865="","",IFERROR(INDEX(Sales_Memo!$B$2:$B$1001,MATCH(A865,Sales_Memo!$A$2:$A$1001,0)),""))</f>
        <v>46305</v>
      </c>
      <c r="C865" s="7" t="s">
        <v>102</v>
      </c>
      <c r="D865" s="16" t="str">
        <f aca="false">IF(C865="","",IFERROR(INDEX(Products!$B$2:$B$501,MATCH(C865,Products!$A$2:$A$501,0)),"CODE NOT FOUND"))</f>
        <v>Headlight Bulb H4</v>
      </c>
      <c r="E865" s="7" t="n">
        <v>2</v>
      </c>
      <c r="F865" s="13" t="n">
        <v>240</v>
      </c>
      <c r="G865" s="13" t="n">
        <v>140</v>
      </c>
      <c r="H865" s="17" t="n">
        <f aca="false">IF(OR(E865="",F865=""),"",E865*F865)</f>
        <v>480</v>
      </c>
      <c r="I865" s="17" t="n">
        <f aca="false">IF(OR(E865="",G865=""),"",E865*G865)</f>
        <v>280</v>
      </c>
      <c r="J865" s="17" t="n">
        <f aca="false">IF(H865="","",H865-I865)</f>
        <v>200</v>
      </c>
    </row>
    <row r="866" customFormat="false" ht="15" hidden="false" customHeight="true" outlineLevel="0" collapsed="false">
      <c r="A866" s="7" t="s">
        <v>1003</v>
      </c>
      <c r="B866" s="18" t="n">
        <f aca="false">IF(A866="","",IFERROR(INDEX(Sales_Memo!$B$2:$B$1001,MATCH(A866,Sales_Memo!$A$2:$A$1001,0)),""))</f>
        <v>46305</v>
      </c>
      <c r="C866" s="7" t="s">
        <v>82</v>
      </c>
      <c r="D866" s="16" t="str">
        <f aca="false">IF(C866="","",IFERROR(INDEX(Products!$B$2:$B$501,MATCH(C866,Products!$A$2:$A$501,0)),"CODE NOT FOUND"))</f>
        <v>Clutch Cable</v>
      </c>
      <c r="E866" s="7" t="n">
        <v>1</v>
      </c>
      <c r="F866" s="13" t="n">
        <v>190</v>
      </c>
      <c r="G866" s="13" t="n">
        <v>110</v>
      </c>
      <c r="H866" s="17" t="n">
        <f aca="false">IF(OR(E866="",F866=""),"",E866*F866)</f>
        <v>190</v>
      </c>
      <c r="I866" s="17" t="n">
        <f aca="false">IF(OR(E866="",G866=""),"",E866*G866)</f>
        <v>110</v>
      </c>
      <c r="J866" s="17" t="n">
        <f aca="false">IF(H866="","",H866-I866)</f>
        <v>80</v>
      </c>
    </row>
    <row r="867" customFormat="false" ht="15" hidden="false" customHeight="true" outlineLevel="0" collapsed="false">
      <c r="A867" s="7" t="s">
        <v>1004</v>
      </c>
      <c r="B867" s="18" t="n">
        <f aca="false">IF(A867="","",IFERROR(INDEX(Sales_Memo!$B$2:$B$1001,MATCH(A867,Sales_Memo!$A$2:$A$1001,0)),""))</f>
        <v>46305</v>
      </c>
      <c r="C867" s="7" t="s">
        <v>82</v>
      </c>
      <c r="D867" s="16" t="str">
        <f aca="false">IF(C867="","",IFERROR(INDEX(Products!$B$2:$B$501,MATCH(C867,Products!$A$2:$A$501,0)),"CODE NOT FOUND"))</f>
        <v>Clutch Cable</v>
      </c>
      <c r="E867" s="7" t="n">
        <v>2</v>
      </c>
      <c r="F867" s="13" t="n">
        <v>190</v>
      </c>
      <c r="G867" s="13" t="n">
        <v>110</v>
      </c>
      <c r="H867" s="17" t="n">
        <f aca="false">IF(OR(E867="",F867=""),"",E867*F867)</f>
        <v>380</v>
      </c>
      <c r="I867" s="17" t="n">
        <f aca="false">IF(OR(E867="",G867=""),"",E867*G867)</f>
        <v>220</v>
      </c>
      <c r="J867" s="17" t="n">
        <f aca="false">IF(H867="","",H867-I867)</f>
        <v>160</v>
      </c>
    </row>
    <row r="868" customFormat="false" ht="15" hidden="false" customHeight="true" outlineLevel="0" collapsed="false">
      <c r="A868" s="7" t="s">
        <v>1005</v>
      </c>
      <c r="B868" s="18" t="n">
        <f aca="false">IF(A868="","",IFERROR(INDEX(Sales_Memo!$B$2:$B$1001,MATCH(A868,Sales_Memo!$A$2:$A$1001,0)),""))</f>
        <v>46305</v>
      </c>
      <c r="C868" s="7" t="s">
        <v>121</v>
      </c>
      <c r="D868" s="16" t="str">
        <f aca="false">IF(C868="","",IFERROR(INDEX(Products!$B$2:$B$501,MATCH(C868,Products!$A$2:$A$501,0)),"CODE NOT FOUND"))</f>
        <v>Handle Grip Set</v>
      </c>
      <c r="E868" s="7" t="n">
        <v>3</v>
      </c>
      <c r="F868" s="13" t="n">
        <v>280</v>
      </c>
      <c r="G868" s="13" t="n">
        <v>160</v>
      </c>
      <c r="H868" s="17" t="n">
        <f aca="false">IF(OR(E868="",F868=""),"",E868*F868)</f>
        <v>840</v>
      </c>
      <c r="I868" s="17" t="n">
        <f aca="false">IF(OR(E868="",G868=""),"",E868*G868)</f>
        <v>480</v>
      </c>
      <c r="J868" s="17" t="n">
        <f aca="false">IF(H868="","",H868-I868)</f>
        <v>360</v>
      </c>
    </row>
    <row r="869" customFormat="false" ht="15" hidden="false" customHeight="true" outlineLevel="0" collapsed="false">
      <c r="A869" s="7" t="s">
        <v>1006</v>
      </c>
      <c r="B869" s="18" t="n">
        <f aca="false">IF(A869="","",IFERROR(INDEX(Sales_Memo!$B$2:$B$1001,MATCH(A869,Sales_Memo!$A$2:$A$1001,0)),""))</f>
        <v>46305</v>
      </c>
      <c r="C869" s="7" t="s">
        <v>119</v>
      </c>
      <c r="D869" s="16" t="str">
        <f aca="false">IF(C869="","",IFERROR(INDEX(Products!$B$2:$B$501,MATCH(C869,Products!$A$2:$A$501,0)),"CODE NOT FOUND"))</f>
        <v>Chain Lube Spray</v>
      </c>
      <c r="E869" s="7" t="n">
        <v>1</v>
      </c>
      <c r="F869" s="13" t="n">
        <v>270</v>
      </c>
      <c r="G869" s="13" t="n">
        <v>170</v>
      </c>
      <c r="H869" s="17" t="n">
        <f aca="false">IF(OR(E869="",F869=""),"",E869*F869)</f>
        <v>270</v>
      </c>
      <c r="I869" s="17" t="n">
        <f aca="false">IF(OR(E869="",G869=""),"",E869*G869)</f>
        <v>170</v>
      </c>
      <c r="J869" s="17" t="n">
        <f aca="false">IF(H869="","",H869-I869)</f>
        <v>100</v>
      </c>
    </row>
    <row r="870" customFormat="false" ht="15" hidden="false" customHeight="true" outlineLevel="0" collapsed="false">
      <c r="A870" s="7" t="s">
        <v>1006</v>
      </c>
      <c r="B870" s="18" t="n">
        <f aca="false">IF(A870="","",IFERROR(INDEX(Sales_Memo!$B$2:$B$1001,MATCH(A870,Sales_Memo!$A$2:$A$1001,0)),""))</f>
        <v>46305</v>
      </c>
      <c r="C870" s="7" t="s">
        <v>77</v>
      </c>
      <c r="D870" s="16" t="str">
        <f aca="false">IF(C870="","",IFERROR(INDEX(Products!$B$2:$B$501,MATCH(C870,Products!$A$2:$A$501,0)),"CODE NOT FOUND"))</f>
        <v>Brake Pad Set - Front</v>
      </c>
      <c r="E870" s="7" t="n">
        <v>1</v>
      </c>
      <c r="F870" s="13" t="n">
        <v>480</v>
      </c>
      <c r="G870" s="13" t="n">
        <v>320</v>
      </c>
      <c r="H870" s="17" t="n">
        <f aca="false">IF(OR(E870="",F870=""),"",E870*F870)</f>
        <v>480</v>
      </c>
      <c r="I870" s="17" t="n">
        <f aca="false">IF(OR(E870="",G870=""),"",E870*G870)</f>
        <v>320</v>
      </c>
      <c r="J870" s="17" t="n">
        <f aca="false">IF(H870="","",H870-I870)</f>
        <v>160</v>
      </c>
    </row>
    <row r="871" customFormat="false" ht="15" hidden="false" customHeight="true" outlineLevel="0" collapsed="false">
      <c r="A871" s="7" t="s">
        <v>1007</v>
      </c>
      <c r="B871" s="18" t="n">
        <f aca="false">IF(A871="","",IFERROR(INDEX(Sales_Memo!$B$2:$B$1001,MATCH(A871,Sales_Memo!$A$2:$A$1001,0)),""))</f>
        <v>46305</v>
      </c>
      <c r="C871" s="7" t="s">
        <v>102</v>
      </c>
      <c r="D871" s="16" t="str">
        <f aca="false">IF(C871="","",IFERROR(INDEX(Products!$B$2:$B$501,MATCH(C871,Products!$A$2:$A$501,0)),"CODE NOT FOUND"))</f>
        <v>Headlight Bulb H4</v>
      </c>
      <c r="E871" s="7" t="n">
        <v>2</v>
      </c>
      <c r="F871" s="13" t="n">
        <v>240</v>
      </c>
      <c r="G871" s="13" t="n">
        <v>140</v>
      </c>
      <c r="H871" s="17" t="n">
        <f aca="false">IF(OR(E871="",F871=""),"",E871*F871)</f>
        <v>480</v>
      </c>
      <c r="I871" s="17" t="n">
        <f aca="false">IF(OR(E871="",G871=""),"",E871*G871)</f>
        <v>280</v>
      </c>
      <c r="J871" s="17" t="n">
        <f aca="false">IF(H871="","",H871-I871)</f>
        <v>200</v>
      </c>
    </row>
    <row r="872" customFormat="false" ht="15" hidden="false" customHeight="true" outlineLevel="0" collapsed="false">
      <c r="A872" s="7" t="s">
        <v>1007</v>
      </c>
      <c r="B872" s="18" t="n">
        <f aca="false">IF(A872="","",IFERROR(INDEX(Sales_Memo!$B$2:$B$1001,MATCH(A872,Sales_Memo!$A$2:$A$1001,0)),""))</f>
        <v>46305</v>
      </c>
      <c r="C872" s="7" t="s">
        <v>77</v>
      </c>
      <c r="D872" s="16" t="str">
        <f aca="false">IF(C872="","",IFERROR(INDEX(Products!$B$2:$B$501,MATCH(C872,Products!$A$2:$A$501,0)),"CODE NOT FOUND"))</f>
        <v>Brake Pad Set - Front</v>
      </c>
      <c r="E872" s="7" t="n">
        <v>2</v>
      </c>
      <c r="F872" s="13" t="n">
        <v>480</v>
      </c>
      <c r="G872" s="13" t="n">
        <v>320</v>
      </c>
      <c r="H872" s="17" t="n">
        <f aca="false">IF(OR(E872="",F872=""),"",E872*F872)</f>
        <v>960</v>
      </c>
      <c r="I872" s="17" t="n">
        <f aca="false">IF(OR(E872="",G872=""),"",E872*G872)</f>
        <v>640</v>
      </c>
      <c r="J872" s="17" t="n">
        <f aca="false">IF(H872="","",H872-I872)</f>
        <v>320</v>
      </c>
    </row>
    <row r="873" customFormat="false" ht="15" hidden="false" customHeight="true" outlineLevel="0" collapsed="false">
      <c r="A873" s="7" t="s">
        <v>1008</v>
      </c>
      <c r="B873" s="18" t="n">
        <f aca="false">IF(A873="","",IFERROR(INDEX(Sales_Memo!$B$2:$B$1001,MATCH(A873,Sales_Memo!$A$2:$A$1001,0)),""))</f>
        <v>46305</v>
      </c>
      <c r="C873" s="7" t="s">
        <v>96</v>
      </c>
      <c r="D873" s="16" t="str">
        <f aca="false">IF(C873="","",IFERROR(INDEX(Products!$B$2:$B$501,MATCH(C873,Products!$A$2:$A$501,0)),"CODE NOT FOUND"))</f>
        <v>Engine Oil 10W-30 (1L)</v>
      </c>
      <c r="E873" s="7" t="n">
        <v>2</v>
      </c>
      <c r="F873" s="13" t="n">
        <v>780</v>
      </c>
      <c r="G873" s="13" t="n">
        <v>620</v>
      </c>
      <c r="H873" s="17" t="n">
        <f aca="false">IF(OR(E873="",F873=""),"",E873*F873)</f>
        <v>1560</v>
      </c>
      <c r="I873" s="17" t="n">
        <f aca="false">IF(OR(E873="",G873=""),"",E873*G873)</f>
        <v>1240</v>
      </c>
      <c r="J873" s="17" t="n">
        <f aca="false">IF(H873="","",H873-I873)</f>
        <v>320</v>
      </c>
    </row>
    <row r="874" customFormat="false" ht="15" hidden="false" customHeight="true" outlineLevel="0" collapsed="false">
      <c r="A874" s="7" t="s">
        <v>1009</v>
      </c>
      <c r="B874" s="18" t="n">
        <f aca="false">IF(A874="","",IFERROR(INDEX(Sales_Memo!$B$2:$B$1001,MATCH(A874,Sales_Memo!$A$2:$A$1001,0)),""))</f>
        <v>46305</v>
      </c>
      <c r="C874" s="7" t="s">
        <v>90</v>
      </c>
      <c r="D874" s="16" t="str">
        <f aca="false">IF(C874="","",IFERROR(INDEX(Products!$B$2:$B$501,MATCH(C874,Products!$A$2:$A$501,0)),"CODE NOT FOUND"))</f>
        <v>Air Filter 150cc</v>
      </c>
      <c r="E874" s="7" t="n">
        <v>1</v>
      </c>
      <c r="F874" s="13" t="n">
        <v>340</v>
      </c>
      <c r="G874" s="13" t="n">
        <v>210</v>
      </c>
      <c r="H874" s="17" t="n">
        <f aca="false">IF(OR(E874="",F874=""),"",E874*F874)</f>
        <v>340</v>
      </c>
      <c r="I874" s="17" t="n">
        <f aca="false">IF(OR(E874="",G874=""),"",E874*G874)</f>
        <v>210</v>
      </c>
      <c r="J874" s="17" t="n">
        <f aca="false">IF(H874="","",H874-I874)</f>
        <v>130</v>
      </c>
    </row>
    <row r="875" customFormat="false" ht="15" hidden="false" customHeight="true" outlineLevel="0" collapsed="false">
      <c r="A875" s="7" t="s">
        <v>1009</v>
      </c>
      <c r="B875" s="18" t="n">
        <f aca="false">IF(A875="","",IFERROR(INDEX(Sales_Memo!$B$2:$B$1001,MATCH(A875,Sales_Memo!$A$2:$A$1001,0)),""))</f>
        <v>46305</v>
      </c>
      <c r="C875" s="7" t="s">
        <v>99</v>
      </c>
      <c r="D875" s="16" t="str">
        <f aca="false">IF(C875="","",IFERROR(INDEX(Products!$B$2:$B$501,MATCH(C875,Products!$A$2:$A$501,0)),"CODE NOT FOUND"))</f>
        <v>Engine Oil 20W-50 (1L)</v>
      </c>
      <c r="E875" s="7" t="n">
        <v>2</v>
      </c>
      <c r="F875" s="13" t="n">
        <v>990</v>
      </c>
      <c r="G875" s="13" t="n">
        <v>780</v>
      </c>
      <c r="H875" s="17" t="n">
        <f aca="false">IF(OR(E875="",F875=""),"",E875*F875)</f>
        <v>1980</v>
      </c>
      <c r="I875" s="17" t="n">
        <f aca="false">IF(OR(E875="",G875=""),"",E875*G875)</f>
        <v>1560</v>
      </c>
      <c r="J875" s="17" t="n">
        <f aca="false">IF(H875="","",H875-I875)</f>
        <v>420</v>
      </c>
    </row>
    <row r="876" customFormat="false" ht="15" hidden="false" customHeight="true" outlineLevel="0" collapsed="false">
      <c r="A876" s="7" t="s">
        <v>1009</v>
      </c>
      <c r="B876" s="18" t="n">
        <f aca="false">IF(A876="","",IFERROR(INDEX(Sales_Memo!$B$2:$B$1001,MATCH(A876,Sales_Memo!$A$2:$A$1001,0)),""))</f>
        <v>46305</v>
      </c>
      <c r="C876" s="7" t="s">
        <v>119</v>
      </c>
      <c r="D876" s="16" t="str">
        <f aca="false">IF(C876="","",IFERROR(INDEX(Products!$B$2:$B$501,MATCH(C876,Products!$A$2:$A$501,0)),"CODE NOT FOUND"))</f>
        <v>Chain Lube Spray</v>
      </c>
      <c r="E876" s="7" t="n">
        <v>1</v>
      </c>
      <c r="F876" s="13" t="n">
        <v>270</v>
      </c>
      <c r="G876" s="13" t="n">
        <v>170</v>
      </c>
      <c r="H876" s="17" t="n">
        <f aca="false">IF(OR(E876="",F876=""),"",E876*F876)</f>
        <v>270</v>
      </c>
      <c r="I876" s="17" t="n">
        <f aca="false">IF(OR(E876="",G876=""),"",E876*G876)</f>
        <v>170</v>
      </c>
      <c r="J876" s="17" t="n">
        <f aca="false">IF(H876="","",H876-I876)</f>
        <v>100</v>
      </c>
    </row>
    <row r="877" customFormat="false" ht="15" hidden="false" customHeight="true" outlineLevel="0" collapsed="false">
      <c r="A877" s="7" t="s">
        <v>1011</v>
      </c>
      <c r="B877" s="18" t="n">
        <f aca="false">IF(A877="","",IFERROR(INDEX(Sales_Memo!$B$2:$B$1001,MATCH(A877,Sales_Memo!$A$2:$A$1001,0)),""))</f>
        <v>46305</v>
      </c>
      <c r="C877" s="7" t="s">
        <v>119</v>
      </c>
      <c r="D877" s="16" t="str">
        <f aca="false">IF(C877="","",IFERROR(INDEX(Products!$B$2:$B$501,MATCH(C877,Products!$A$2:$A$501,0)),"CODE NOT FOUND"))</f>
        <v>Chain Lube Spray</v>
      </c>
      <c r="E877" s="7" t="n">
        <v>2</v>
      </c>
      <c r="F877" s="13" t="n">
        <v>270</v>
      </c>
      <c r="G877" s="13" t="n">
        <v>170</v>
      </c>
      <c r="H877" s="17" t="n">
        <f aca="false">IF(OR(E877="",F877=""),"",E877*F877)</f>
        <v>540</v>
      </c>
      <c r="I877" s="17" t="n">
        <f aca="false">IF(OR(E877="",G877=""),"",E877*G877)</f>
        <v>340</v>
      </c>
      <c r="J877" s="17" t="n">
        <f aca="false">IF(H877="","",H877-I877)</f>
        <v>200</v>
      </c>
    </row>
    <row r="878" customFormat="false" ht="15" hidden="false" customHeight="true" outlineLevel="0" collapsed="false">
      <c r="A878" s="7" t="s">
        <v>1011</v>
      </c>
      <c r="B878" s="18" t="n">
        <f aca="false">IF(A878="","",IFERROR(INDEX(Sales_Memo!$B$2:$B$1001,MATCH(A878,Sales_Memo!$A$2:$A$1001,0)),""))</f>
        <v>46305</v>
      </c>
      <c r="C878" s="7" t="s">
        <v>114</v>
      </c>
      <c r="D878" s="16" t="str">
        <f aca="false">IF(C878="","",IFERROR(INDEX(Products!$B$2:$B$501,MATCH(C878,Products!$A$2:$A$501,0)),"CODE NOT FOUND"))</f>
        <v>Side Mirror (Pair)</v>
      </c>
      <c r="E878" s="7" t="n">
        <v>2</v>
      </c>
      <c r="F878" s="13" t="n">
        <v>620</v>
      </c>
      <c r="G878" s="13" t="n">
        <v>380</v>
      </c>
      <c r="H878" s="17" t="n">
        <f aca="false">IF(OR(E878="",F878=""),"",E878*F878)</f>
        <v>1240</v>
      </c>
      <c r="I878" s="17" t="n">
        <f aca="false">IF(OR(E878="",G878=""),"",E878*G878)</f>
        <v>760</v>
      </c>
      <c r="J878" s="17" t="n">
        <f aca="false">IF(H878="","",H878-I878)</f>
        <v>480</v>
      </c>
    </row>
    <row r="879" customFormat="false" ht="15" hidden="false" customHeight="true" outlineLevel="0" collapsed="false">
      <c r="A879" s="7" t="s">
        <v>1013</v>
      </c>
      <c r="B879" s="18" t="n">
        <f aca="false">IF(A879="","",IFERROR(INDEX(Sales_Memo!$B$2:$B$1001,MATCH(A879,Sales_Memo!$A$2:$A$1001,0)),""))</f>
        <v>46306</v>
      </c>
      <c r="C879" s="7" t="s">
        <v>108</v>
      </c>
      <c r="D879" s="16" t="str">
        <f aca="false">IF(C879="","",IFERROR(INDEX(Products!$B$2:$B$501,MATCH(C879,Products!$A$2:$A$501,0)),"CODE NOT FOUND"))</f>
        <v>Tyre 90/90-17 Rear</v>
      </c>
      <c r="E879" s="7" t="n">
        <v>1</v>
      </c>
      <c r="F879" s="13" t="n">
        <v>3350</v>
      </c>
      <c r="G879" s="13" t="n">
        <v>2750</v>
      </c>
      <c r="H879" s="17" t="n">
        <f aca="false">IF(OR(E879="",F879=""),"",E879*F879)</f>
        <v>3350</v>
      </c>
      <c r="I879" s="17" t="n">
        <f aca="false">IF(OR(E879="",G879=""),"",E879*G879)</f>
        <v>2750</v>
      </c>
      <c r="J879" s="17" t="n">
        <f aca="false">IF(H879="","",H879-I879)</f>
        <v>600</v>
      </c>
    </row>
    <row r="880" customFormat="false" ht="15" hidden="false" customHeight="true" outlineLevel="0" collapsed="false">
      <c r="A880" s="7" t="s">
        <v>1013</v>
      </c>
      <c r="B880" s="18" t="n">
        <f aca="false">IF(A880="","",IFERROR(INDEX(Sales_Memo!$B$2:$B$1001,MATCH(A880,Sales_Memo!$A$2:$A$1001,0)),""))</f>
        <v>46306</v>
      </c>
      <c r="C880" s="7" t="s">
        <v>90</v>
      </c>
      <c r="D880" s="16" t="str">
        <f aca="false">IF(C880="","",IFERROR(INDEX(Products!$B$2:$B$501,MATCH(C880,Products!$A$2:$A$501,0)),"CODE NOT FOUND"))</f>
        <v>Air Filter 150cc</v>
      </c>
      <c r="E880" s="7" t="n">
        <v>2</v>
      </c>
      <c r="F880" s="13" t="n">
        <v>340</v>
      </c>
      <c r="G880" s="13" t="n">
        <v>210</v>
      </c>
      <c r="H880" s="17" t="n">
        <f aca="false">IF(OR(E880="",F880=""),"",E880*F880)</f>
        <v>680</v>
      </c>
      <c r="I880" s="17" t="n">
        <f aca="false">IF(OR(E880="",G880=""),"",E880*G880)</f>
        <v>420</v>
      </c>
      <c r="J880" s="17" t="n">
        <f aca="false">IF(H880="","",H880-I880)</f>
        <v>260</v>
      </c>
    </row>
    <row r="881" customFormat="false" ht="15" hidden="false" customHeight="true" outlineLevel="0" collapsed="false">
      <c r="A881" s="7" t="s">
        <v>1013</v>
      </c>
      <c r="B881" s="18" t="n">
        <f aca="false">IF(A881="","",IFERROR(INDEX(Sales_Memo!$B$2:$B$1001,MATCH(A881,Sales_Memo!$A$2:$A$1001,0)),""))</f>
        <v>46306</v>
      </c>
      <c r="C881" s="7" t="s">
        <v>102</v>
      </c>
      <c r="D881" s="16" t="str">
        <f aca="false">IF(C881="","",IFERROR(INDEX(Products!$B$2:$B$501,MATCH(C881,Products!$A$2:$A$501,0)),"CODE NOT FOUND"))</f>
        <v>Headlight Bulb H4</v>
      </c>
      <c r="E881" s="7" t="n">
        <v>1</v>
      </c>
      <c r="F881" s="13" t="n">
        <v>240</v>
      </c>
      <c r="G881" s="13" t="n">
        <v>140</v>
      </c>
      <c r="H881" s="17" t="n">
        <f aca="false">IF(OR(E881="",F881=""),"",E881*F881)</f>
        <v>240</v>
      </c>
      <c r="I881" s="17" t="n">
        <f aca="false">IF(OR(E881="",G881=""),"",E881*G881)</f>
        <v>140</v>
      </c>
      <c r="J881" s="17" t="n">
        <f aca="false">IF(H881="","",H881-I881)</f>
        <v>100</v>
      </c>
    </row>
    <row r="882" customFormat="false" ht="15" hidden="false" customHeight="true" outlineLevel="0" collapsed="false">
      <c r="A882" s="7" t="s">
        <v>1015</v>
      </c>
      <c r="B882" s="18" t="n">
        <f aca="false">IF(A882="","",IFERROR(INDEX(Sales_Memo!$B$2:$B$1001,MATCH(A882,Sales_Memo!$A$2:$A$1001,0)),""))</f>
        <v>46306</v>
      </c>
      <c r="C882" s="7" t="s">
        <v>121</v>
      </c>
      <c r="D882" s="16" t="str">
        <f aca="false">IF(C882="","",IFERROR(INDEX(Products!$B$2:$B$501,MATCH(C882,Products!$A$2:$A$501,0)),"CODE NOT FOUND"))</f>
        <v>Handle Grip Set</v>
      </c>
      <c r="E882" s="7" t="n">
        <v>2</v>
      </c>
      <c r="F882" s="13" t="n">
        <v>280</v>
      </c>
      <c r="G882" s="13" t="n">
        <v>160</v>
      </c>
      <c r="H882" s="17" t="n">
        <f aca="false">IF(OR(E882="",F882=""),"",E882*F882)</f>
        <v>560</v>
      </c>
      <c r="I882" s="17" t="n">
        <f aca="false">IF(OR(E882="",G882=""),"",E882*G882)</f>
        <v>320</v>
      </c>
      <c r="J882" s="17" t="n">
        <f aca="false">IF(H882="","",H882-I882)</f>
        <v>240</v>
      </c>
    </row>
    <row r="883" customFormat="false" ht="15" hidden="false" customHeight="true" outlineLevel="0" collapsed="false">
      <c r="A883" s="7" t="s">
        <v>1015</v>
      </c>
      <c r="B883" s="18" t="n">
        <f aca="false">IF(A883="","",IFERROR(INDEX(Sales_Memo!$B$2:$B$1001,MATCH(A883,Sales_Memo!$A$2:$A$1001,0)),""))</f>
        <v>46306</v>
      </c>
      <c r="C883" s="7" t="s">
        <v>82</v>
      </c>
      <c r="D883" s="16" t="str">
        <f aca="false">IF(C883="","",IFERROR(INDEX(Products!$B$2:$B$501,MATCH(C883,Products!$A$2:$A$501,0)),"CODE NOT FOUND"))</f>
        <v>Clutch Cable</v>
      </c>
      <c r="E883" s="7" t="n">
        <v>2</v>
      </c>
      <c r="F883" s="13" t="n">
        <v>190</v>
      </c>
      <c r="G883" s="13" t="n">
        <v>110</v>
      </c>
      <c r="H883" s="17" t="n">
        <f aca="false">IF(OR(E883="",F883=""),"",E883*F883)</f>
        <v>380</v>
      </c>
      <c r="I883" s="17" t="n">
        <f aca="false">IF(OR(E883="",G883=""),"",E883*G883)</f>
        <v>220</v>
      </c>
      <c r="J883" s="17" t="n">
        <f aca="false">IF(H883="","",H883-I883)</f>
        <v>160</v>
      </c>
    </row>
    <row r="884" customFormat="false" ht="15" hidden="false" customHeight="true" outlineLevel="0" collapsed="false">
      <c r="A884" s="7" t="s">
        <v>1016</v>
      </c>
      <c r="B884" s="18" t="n">
        <f aca="false">IF(A884="","",IFERROR(INDEX(Sales_Memo!$B$2:$B$1001,MATCH(A884,Sales_Memo!$A$2:$A$1001,0)),""))</f>
        <v>46306</v>
      </c>
      <c r="C884" s="7" t="s">
        <v>119</v>
      </c>
      <c r="D884" s="16" t="str">
        <f aca="false">IF(C884="","",IFERROR(INDEX(Products!$B$2:$B$501,MATCH(C884,Products!$A$2:$A$501,0)),"CODE NOT FOUND"))</f>
        <v>Chain Lube Spray</v>
      </c>
      <c r="E884" s="7" t="n">
        <v>1</v>
      </c>
      <c r="F884" s="13" t="n">
        <v>270</v>
      </c>
      <c r="G884" s="13" t="n">
        <v>170</v>
      </c>
      <c r="H884" s="17" t="n">
        <f aca="false">IF(OR(E884="",F884=""),"",E884*F884)</f>
        <v>270</v>
      </c>
      <c r="I884" s="17" t="n">
        <f aca="false">IF(OR(E884="",G884=""),"",E884*G884)</f>
        <v>170</v>
      </c>
      <c r="J884" s="17" t="n">
        <f aca="false">IF(H884="","",H884-I884)</f>
        <v>100</v>
      </c>
    </row>
    <row r="885" customFormat="false" ht="15" hidden="false" customHeight="true" outlineLevel="0" collapsed="false">
      <c r="A885" s="7" t="s">
        <v>1017</v>
      </c>
      <c r="B885" s="18" t="n">
        <f aca="false">IF(A885="","",IFERROR(INDEX(Sales_Memo!$B$2:$B$1001,MATCH(A885,Sales_Memo!$A$2:$A$1001,0)),""))</f>
        <v>46306</v>
      </c>
      <c r="C885" s="7" t="s">
        <v>82</v>
      </c>
      <c r="D885" s="16" t="str">
        <f aca="false">IF(C885="","",IFERROR(INDEX(Products!$B$2:$B$501,MATCH(C885,Products!$A$2:$A$501,0)),"CODE NOT FOUND"))</f>
        <v>Clutch Cable</v>
      </c>
      <c r="E885" s="7" t="n">
        <v>1</v>
      </c>
      <c r="F885" s="13" t="n">
        <v>190</v>
      </c>
      <c r="G885" s="13" t="n">
        <v>110</v>
      </c>
      <c r="H885" s="17" t="n">
        <f aca="false">IF(OR(E885="",F885=""),"",E885*F885)</f>
        <v>190</v>
      </c>
      <c r="I885" s="17" t="n">
        <f aca="false">IF(OR(E885="",G885=""),"",E885*G885)</f>
        <v>110</v>
      </c>
      <c r="J885" s="17" t="n">
        <f aca="false">IF(H885="","",H885-I885)</f>
        <v>80</v>
      </c>
    </row>
    <row r="886" customFormat="false" ht="15" hidden="false" customHeight="true" outlineLevel="0" collapsed="false">
      <c r="A886" s="7" t="s">
        <v>1018</v>
      </c>
      <c r="B886" s="18" t="n">
        <f aca="false">IF(A886="","",IFERROR(INDEX(Sales_Memo!$B$2:$B$1001,MATCH(A886,Sales_Memo!$A$2:$A$1001,0)),""))</f>
        <v>46306</v>
      </c>
      <c r="C886" s="7" t="s">
        <v>96</v>
      </c>
      <c r="D886" s="16" t="str">
        <f aca="false">IF(C886="","",IFERROR(INDEX(Products!$B$2:$B$501,MATCH(C886,Products!$A$2:$A$501,0)),"CODE NOT FOUND"))</f>
        <v>Engine Oil 10W-30 (1L)</v>
      </c>
      <c r="E886" s="7" t="n">
        <v>3</v>
      </c>
      <c r="F886" s="13" t="n">
        <v>780</v>
      </c>
      <c r="G886" s="13" t="n">
        <v>620</v>
      </c>
      <c r="H886" s="17" t="n">
        <f aca="false">IF(OR(E886="",F886=""),"",E886*F886)</f>
        <v>2340</v>
      </c>
      <c r="I886" s="17" t="n">
        <f aca="false">IF(OR(E886="",G886=""),"",E886*G886)</f>
        <v>1860</v>
      </c>
      <c r="J886" s="17" t="n">
        <f aca="false">IF(H886="","",H886-I886)</f>
        <v>480</v>
      </c>
    </row>
    <row r="887" customFormat="false" ht="15" hidden="false" customHeight="true" outlineLevel="0" collapsed="false">
      <c r="A887" s="7" t="s">
        <v>1018</v>
      </c>
      <c r="B887" s="18" t="n">
        <f aca="false">IF(A887="","",IFERROR(INDEX(Sales_Memo!$B$2:$B$1001,MATCH(A887,Sales_Memo!$A$2:$A$1001,0)),""))</f>
        <v>46306</v>
      </c>
      <c r="C887" s="7" t="s">
        <v>102</v>
      </c>
      <c r="D887" s="16" t="str">
        <f aca="false">IF(C887="","",IFERROR(INDEX(Products!$B$2:$B$501,MATCH(C887,Products!$A$2:$A$501,0)),"CODE NOT FOUND"))</f>
        <v>Headlight Bulb H4</v>
      </c>
      <c r="E887" s="7" t="n">
        <v>3</v>
      </c>
      <c r="F887" s="13" t="n">
        <v>240</v>
      </c>
      <c r="G887" s="13" t="n">
        <v>140</v>
      </c>
      <c r="H887" s="17" t="n">
        <f aca="false">IF(OR(E887="",F887=""),"",E887*F887)</f>
        <v>720</v>
      </c>
      <c r="I887" s="17" t="n">
        <f aca="false">IF(OR(E887="",G887=""),"",E887*G887)</f>
        <v>420</v>
      </c>
      <c r="J887" s="17" t="n">
        <f aca="false">IF(H887="","",H887-I887)</f>
        <v>300</v>
      </c>
    </row>
    <row r="888" customFormat="false" ht="15" hidden="false" customHeight="true" outlineLevel="0" collapsed="false">
      <c r="A888" s="7" t="s">
        <v>1020</v>
      </c>
      <c r="B888" s="18" t="n">
        <f aca="false">IF(A888="","",IFERROR(INDEX(Sales_Memo!$B$2:$B$1001,MATCH(A888,Sales_Memo!$A$2:$A$1001,0)),""))</f>
        <v>46306</v>
      </c>
      <c r="C888" s="7" t="s">
        <v>99</v>
      </c>
      <c r="D888" s="16" t="str">
        <f aca="false">IF(C888="","",IFERROR(INDEX(Products!$B$2:$B$501,MATCH(C888,Products!$A$2:$A$501,0)),"CODE NOT FOUND"))</f>
        <v>Engine Oil 20W-50 (1L)</v>
      </c>
      <c r="E888" s="7" t="n">
        <v>3</v>
      </c>
      <c r="F888" s="13" t="n">
        <v>990</v>
      </c>
      <c r="G888" s="13" t="n">
        <v>780</v>
      </c>
      <c r="H888" s="17" t="n">
        <f aca="false">IF(OR(E888="",F888=""),"",E888*F888)</f>
        <v>2970</v>
      </c>
      <c r="I888" s="17" t="n">
        <f aca="false">IF(OR(E888="",G888=""),"",E888*G888)</f>
        <v>2340</v>
      </c>
      <c r="J888" s="17" t="n">
        <f aca="false">IF(H888="","",H888-I888)</f>
        <v>630</v>
      </c>
    </row>
    <row r="889" customFormat="false" ht="15" hidden="false" customHeight="true" outlineLevel="0" collapsed="false">
      <c r="A889" s="7" t="s">
        <v>1021</v>
      </c>
      <c r="B889" s="18" t="n">
        <f aca="false">IF(A889="","",IFERROR(INDEX(Sales_Memo!$B$2:$B$1001,MATCH(A889,Sales_Memo!$A$2:$A$1001,0)),""))</f>
        <v>46306</v>
      </c>
      <c r="C889" s="7" t="s">
        <v>102</v>
      </c>
      <c r="D889" s="16" t="str">
        <f aca="false">IF(C889="","",IFERROR(INDEX(Products!$B$2:$B$501,MATCH(C889,Products!$A$2:$A$501,0)),"CODE NOT FOUND"))</f>
        <v>Headlight Bulb H4</v>
      </c>
      <c r="E889" s="7" t="n">
        <v>2</v>
      </c>
      <c r="F889" s="13" t="n">
        <v>240</v>
      </c>
      <c r="G889" s="13" t="n">
        <v>140</v>
      </c>
      <c r="H889" s="17" t="n">
        <f aca="false">IF(OR(E889="",F889=""),"",E889*F889)</f>
        <v>480</v>
      </c>
      <c r="I889" s="17" t="n">
        <f aca="false">IF(OR(E889="",G889=""),"",E889*G889)</f>
        <v>280</v>
      </c>
      <c r="J889" s="17" t="n">
        <f aca="false">IF(H889="","",H889-I889)</f>
        <v>200</v>
      </c>
    </row>
    <row r="890" customFormat="false" ht="15" hidden="false" customHeight="true" outlineLevel="0" collapsed="false">
      <c r="A890" s="7" t="s">
        <v>1021</v>
      </c>
      <c r="B890" s="18" t="n">
        <f aca="false">IF(A890="","",IFERROR(INDEX(Sales_Memo!$B$2:$B$1001,MATCH(A890,Sales_Memo!$A$2:$A$1001,0)),""))</f>
        <v>46306</v>
      </c>
      <c r="C890" s="7" t="s">
        <v>93</v>
      </c>
      <c r="D890" s="16" t="str">
        <f aca="false">IF(C890="","",IFERROR(INDEX(Products!$B$2:$B$501,MATCH(C890,Products!$A$2:$A$501,0)),"CODE NOT FOUND"))</f>
        <v>Chain &amp; Sprocket Kit</v>
      </c>
      <c r="E890" s="7" t="n">
        <v>1</v>
      </c>
      <c r="F890" s="13" t="n">
        <v>2350</v>
      </c>
      <c r="G890" s="13" t="n">
        <v>1750</v>
      </c>
      <c r="H890" s="17" t="n">
        <f aca="false">IF(OR(E890="",F890=""),"",E890*F890)</f>
        <v>2350</v>
      </c>
      <c r="I890" s="17" t="n">
        <f aca="false">IF(OR(E890="",G890=""),"",E890*G890)</f>
        <v>1750</v>
      </c>
      <c r="J890" s="17" t="n">
        <f aca="false">IF(H890="","",H890-I890)</f>
        <v>600</v>
      </c>
    </row>
    <row r="891" customFormat="false" ht="15" hidden="false" customHeight="true" outlineLevel="0" collapsed="false">
      <c r="A891" s="7" t="s">
        <v>1023</v>
      </c>
      <c r="B891" s="18" t="n">
        <f aca="false">IF(A891="","",IFERROR(INDEX(Sales_Memo!$B$2:$B$1001,MATCH(A891,Sales_Memo!$A$2:$A$1001,0)),""))</f>
        <v>46306</v>
      </c>
      <c r="C891" s="7" t="s">
        <v>99</v>
      </c>
      <c r="D891" s="16" t="str">
        <f aca="false">IF(C891="","",IFERROR(INDEX(Products!$B$2:$B$501,MATCH(C891,Products!$A$2:$A$501,0)),"CODE NOT FOUND"))</f>
        <v>Engine Oil 20W-50 (1L)</v>
      </c>
      <c r="E891" s="7" t="n">
        <v>3</v>
      </c>
      <c r="F891" s="13" t="n">
        <v>990</v>
      </c>
      <c r="G891" s="13" t="n">
        <v>780</v>
      </c>
      <c r="H891" s="17" t="n">
        <f aca="false">IF(OR(E891="",F891=""),"",E891*F891)</f>
        <v>2970</v>
      </c>
      <c r="I891" s="17" t="n">
        <f aca="false">IF(OR(E891="",G891=""),"",E891*G891)</f>
        <v>2340</v>
      </c>
      <c r="J891" s="17" t="n">
        <f aca="false">IF(H891="","",H891-I891)</f>
        <v>630</v>
      </c>
    </row>
    <row r="892" customFormat="false" ht="15" hidden="false" customHeight="true" outlineLevel="0" collapsed="false">
      <c r="A892" s="7" t="s">
        <v>1023</v>
      </c>
      <c r="B892" s="18" t="n">
        <f aca="false">IF(A892="","",IFERROR(INDEX(Sales_Memo!$B$2:$B$1001,MATCH(A892,Sales_Memo!$A$2:$A$1001,0)),""))</f>
        <v>46306</v>
      </c>
      <c r="C892" s="7" t="s">
        <v>82</v>
      </c>
      <c r="D892" s="16" t="str">
        <f aca="false">IF(C892="","",IFERROR(INDEX(Products!$B$2:$B$501,MATCH(C892,Products!$A$2:$A$501,0)),"CODE NOT FOUND"))</f>
        <v>Clutch Cable</v>
      </c>
      <c r="E892" s="7" t="n">
        <v>2</v>
      </c>
      <c r="F892" s="13" t="n">
        <v>190</v>
      </c>
      <c r="G892" s="13" t="n">
        <v>110</v>
      </c>
      <c r="H892" s="17" t="n">
        <f aca="false">IF(OR(E892="",F892=""),"",E892*F892)</f>
        <v>380</v>
      </c>
      <c r="I892" s="17" t="n">
        <f aca="false">IF(OR(E892="",G892=""),"",E892*G892)</f>
        <v>220</v>
      </c>
      <c r="J892" s="17" t="n">
        <f aca="false">IF(H892="","",H892-I892)</f>
        <v>160</v>
      </c>
    </row>
    <row r="893" customFormat="false" ht="15" hidden="false" customHeight="true" outlineLevel="0" collapsed="false">
      <c r="A893" s="7" t="s">
        <v>1024</v>
      </c>
      <c r="B893" s="18" t="n">
        <f aca="false">IF(A893="","",IFERROR(INDEX(Sales_Memo!$B$2:$B$1001,MATCH(A893,Sales_Memo!$A$2:$A$1001,0)),""))</f>
        <v>46306</v>
      </c>
      <c r="C893" s="7" t="s">
        <v>90</v>
      </c>
      <c r="D893" s="16" t="str">
        <f aca="false">IF(C893="","",IFERROR(INDEX(Products!$B$2:$B$501,MATCH(C893,Products!$A$2:$A$501,0)),"CODE NOT FOUND"))</f>
        <v>Air Filter 150cc</v>
      </c>
      <c r="E893" s="7" t="n">
        <v>1</v>
      </c>
      <c r="F893" s="13" t="n">
        <v>340</v>
      </c>
      <c r="G893" s="13" t="n">
        <v>210</v>
      </c>
      <c r="H893" s="17" t="n">
        <f aca="false">IF(OR(E893="",F893=""),"",E893*F893)</f>
        <v>340</v>
      </c>
      <c r="I893" s="17" t="n">
        <f aca="false">IF(OR(E893="",G893=""),"",E893*G893)</f>
        <v>210</v>
      </c>
      <c r="J893" s="17" t="n">
        <f aca="false">IF(H893="","",H893-I893)</f>
        <v>130</v>
      </c>
    </row>
    <row r="894" customFormat="false" ht="15" hidden="false" customHeight="true" outlineLevel="0" collapsed="false">
      <c r="A894" s="7" t="s">
        <v>1025</v>
      </c>
      <c r="B894" s="18" t="n">
        <f aca="false">IF(A894="","",IFERROR(INDEX(Sales_Memo!$B$2:$B$1001,MATCH(A894,Sales_Memo!$A$2:$A$1001,0)),""))</f>
        <v>46306</v>
      </c>
      <c r="C894" s="7" t="s">
        <v>96</v>
      </c>
      <c r="D894" s="16" t="str">
        <f aca="false">IF(C894="","",IFERROR(INDEX(Products!$B$2:$B$501,MATCH(C894,Products!$A$2:$A$501,0)),"CODE NOT FOUND"))</f>
        <v>Engine Oil 10W-30 (1L)</v>
      </c>
      <c r="E894" s="7" t="n">
        <v>3</v>
      </c>
      <c r="F894" s="13" t="n">
        <v>780</v>
      </c>
      <c r="G894" s="13" t="n">
        <v>620</v>
      </c>
      <c r="H894" s="17" t="n">
        <f aca="false">IF(OR(E894="",F894=""),"",E894*F894)</f>
        <v>2340</v>
      </c>
      <c r="I894" s="17" t="n">
        <f aca="false">IF(OR(E894="",G894=""),"",E894*G894)</f>
        <v>1860</v>
      </c>
      <c r="J894" s="17" t="n">
        <f aca="false">IF(H894="","",H894-I894)</f>
        <v>480</v>
      </c>
    </row>
    <row r="895" customFormat="false" ht="15" hidden="false" customHeight="true" outlineLevel="0" collapsed="false">
      <c r="A895" s="7" t="s">
        <v>1026</v>
      </c>
      <c r="B895" s="18" t="n">
        <f aca="false">IF(A895="","",IFERROR(INDEX(Sales_Memo!$B$2:$B$1001,MATCH(A895,Sales_Memo!$A$2:$A$1001,0)),""))</f>
        <v>46306</v>
      </c>
      <c r="C895" s="7" t="s">
        <v>119</v>
      </c>
      <c r="D895" s="16" t="str">
        <f aca="false">IF(C895="","",IFERROR(INDEX(Products!$B$2:$B$501,MATCH(C895,Products!$A$2:$A$501,0)),"CODE NOT FOUND"))</f>
        <v>Chain Lube Spray</v>
      </c>
      <c r="E895" s="7" t="n">
        <v>3</v>
      </c>
      <c r="F895" s="13" t="n">
        <v>270</v>
      </c>
      <c r="G895" s="13" t="n">
        <v>170</v>
      </c>
      <c r="H895" s="17" t="n">
        <f aca="false">IF(OR(E895="",F895=""),"",E895*F895)</f>
        <v>810</v>
      </c>
      <c r="I895" s="17" t="n">
        <f aca="false">IF(OR(E895="",G895=""),"",E895*G895)</f>
        <v>510</v>
      </c>
      <c r="J895" s="17" t="n">
        <f aca="false">IF(H895="","",H895-I895)</f>
        <v>300</v>
      </c>
    </row>
    <row r="896" customFormat="false" ht="15" hidden="false" customHeight="true" outlineLevel="0" collapsed="false">
      <c r="A896" s="7" t="s">
        <v>1027</v>
      </c>
      <c r="B896" s="18" t="n">
        <f aca="false">IF(A896="","",IFERROR(INDEX(Sales_Memo!$B$2:$B$1001,MATCH(A896,Sales_Memo!$A$2:$A$1001,0)),""))</f>
        <v>46307</v>
      </c>
      <c r="C896" s="7" t="s">
        <v>82</v>
      </c>
      <c r="D896" s="16" t="str">
        <f aca="false">IF(C896="","",IFERROR(INDEX(Products!$B$2:$B$501,MATCH(C896,Products!$A$2:$A$501,0)),"CODE NOT FOUND"))</f>
        <v>Clutch Cable</v>
      </c>
      <c r="E896" s="7" t="n">
        <v>2</v>
      </c>
      <c r="F896" s="13" t="n">
        <v>190</v>
      </c>
      <c r="G896" s="13" t="n">
        <v>110</v>
      </c>
      <c r="H896" s="17" t="n">
        <f aca="false">IF(OR(E896="",F896=""),"",E896*F896)</f>
        <v>380</v>
      </c>
      <c r="I896" s="17" t="n">
        <f aca="false">IF(OR(E896="",G896=""),"",E896*G896)</f>
        <v>220</v>
      </c>
      <c r="J896" s="17" t="n">
        <f aca="false">IF(H896="","",H896-I896)</f>
        <v>160</v>
      </c>
    </row>
    <row r="897" customFormat="false" ht="15" hidden="false" customHeight="true" outlineLevel="0" collapsed="false">
      <c r="A897" s="7" t="s">
        <v>1028</v>
      </c>
      <c r="B897" s="18" t="n">
        <f aca="false">IF(A897="","",IFERROR(INDEX(Sales_Memo!$B$2:$B$1001,MATCH(A897,Sales_Memo!$A$2:$A$1001,0)),""))</f>
        <v>46307</v>
      </c>
      <c r="C897" s="7" t="s">
        <v>86</v>
      </c>
      <c r="D897" s="16" t="str">
        <f aca="false">IF(C897="","",IFERROR(INDEX(Products!$B$2:$B$501,MATCH(C897,Products!$A$2:$A$501,0)),"CODE NOT FOUND"))</f>
        <v>Spark Plug CPR8EA-9</v>
      </c>
      <c r="E897" s="7" t="n">
        <v>2</v>
      </c>
      <c r="F897" s="13" t="n">
        <v>260</v>
      </c>
      <c r="G897" s="13" t="n">
        <v>175</v>
      </c>
      <c r="H897" s="17" t="n">
        <f aca="false">IF(OR(E897="",F897=""),"",E897*F897)</f>
        <v>520</v>
      </c>
      <c r="I897" s="17" t="n">
        <f aca="false">IF(OR(E897="",G897=""),"",E897*G897)</f>
        <v>350</v>
      </c>
      <c r="J897" s="17" t="n">
        <f aca="false">IF(H897="","",H897-I897)</f>
        <v>170</v>
      </c>
    </row>
    <row r="898" customFormat="false" ht="15" hidden="false" customHeight="true" outlineLevel="0" collapsed="false">
      <c r="A898" s="7" t="s">
        <v>1029</v>
      </c>
      <c r="B898" s="18" t="n">
        <f aca="false">IF(A898="","",IFERROR(INDEX(Sales_Memo!$B$2:$B$1001,MATCH(A898,Sales_Memo!$A$2:$A$1001,0)),""))</f>
        <v>46307</v>
      </c>
      <c r="C898" s="7" t="s">
        <v>121</v>
      </c>
      <c r="D898" s="16" t="str">
        <f aca="false">IF(C898="","",IFERROR(INDEX(Products!$B$2:$B$501,MATCH(C898,Products!$A$2:$A$501,0)),"CODE NOT FOUND"))</f>
        <v>Handle Grip Set</v>
      </c>
      <c r="E898" s="7" t="n">
        <v>1</v>
      </c>
      <c r="F898" s="13" t="n">
        <v>280</v>
      </c>
      <c r="G898" s="13" t="n">
        <v>160</v>
      </c>
      <c r="H898" s="17" t="n">
        <f aca="false">IF(OR(E898="",F898=""),"",E898*F898)</f>
        <v>280</v>
      </c>
      <c r="I898" s="17" t="n">
        <f aca="false">IF(OR(E898="",G898=""),"",E898*G898)</f>
        <v>160</v>
      </c>
      <c r="J898" s="17" t="n">
        <f aca="false">IF(H898="","",H898-I898)</f>
        <v>120</v>
      </c>
    </row>
    <row r="899" customFormat="false" ht="15" hidden="false" customHeight="true" outlineLevel="0" collapsed="false">
      <c r="A899" s="7" t="s">
        <v>1030</v>
      </c>
      <c r="B899" s="18" t="n">
        <f aca="false">IF(A899="","",IFERROR(INDEX(Sales_Memo!$B$2:$B$1001,MATCH(A899,Sales_Memo!$A$2:$A$1001,0)),""))</f>
        <v>46307</v>
      </c>
      <c r="C899" s="7" t="s">
        <v>82</v>
      </c>
      <c r="D899" s="16" t="str">
        <f aca="false">IF(C899="","",IFERROR(INDEX(Products!$B$2:$B$501,MATCH(C899,Products!$A$2:$A$501,0)),"CODE NOT FOUND"))</f>
        <v>Clutch Cable</v>
      </c>
      <c r="E899" s="7" t="n">
        <v>2</v>
      </c>
      <c r="F899" s="13" t="n">
        <v>190</v>
      </c>
      <c r="G899" s="13" t="n">
        <v>110</v>
      </c>
      <c r="H899" s="17" t="n">
        <f aca="false">IF(OR(E899="",F899=""),"",E899*F899)</f>
        <v>380</v>
      </c>
      <c r="I899" s="17" t="n">
        <f aca="false">IF(OR(E899="",G899=""),"",E899*G899)</f>
        <v>220</v>
      </c>
      <c r="J899" s="17" t="n">
        <f aca="false">IF(H899="","",H899-I899)</f>
        <v>160</v>
      </c>
    </row>
    <row r="900" customFormat="false" ht="15" hidden="false" customHeight="true" outlineLevel="0" collapsed="false">
      <c r="A900" s="7" t="s">
        <v>1031</v>
      </c>
      <c r="B900" s="18" t="n">
        <f aca="false">IF(A900="","",IFERROR(INDEX(Sales_Memo!$B$2:$B$1001,MATCH(A900,Sales_Memo!$A$2:$A$1001,0)),""))</f>
        <v>46307</v>
      </c>
      <c r="C900" s="7" t="s">
        <v>121</v>
      </c>
      <c r="D900" s="16" t="str">
        <f aca="false">IF(C900="","",IFERROR(INDEX(Products!$B$2:$B$501,MATCH(C900,Products!$A$2:$A$501,0)),"CODE NOT FOUND"))</f>
        <v>Handle Grip Set</v>
      </c>
      <c r="E900" s="7" t="n">
        <v>2</v>
      </c>
      <c r="F900" s="13" t="n">
        <v>280</v>
      </c>
      <c r="G900" s="13" t="n">
        <v>160</v>
      </c>
      <c r="H900" s="17" t="n">
        <f aca="false">IF(OR(E900="",F900=""),"",E900*F900)</f>
        <v>560</v>
      </c>
      <c r="I900" s="17" t="n">
        <f aca="false">IF(OR(E900="",G900=""),"",E900*G900)</f>
        <v>320</v>
      </c>
      <c r="J900" s="17" t="n">
        <f aca="false">IF(H900="","",H900-I900)</f>
        <v>240</v>
      </c>
    </row>
    <row r="901" customFormat="false" ht="15" hidden="false" customHeight="true" outlineLevel="0" collapsed="false">
      <c r="A901" s="7" t="s">
        <v>1031</v>
      </c>
      <c r="B901" s="18" t="n">
        <f aca="false">IF(A901="","",IFERROR(INDEX(Sales_Memo!$B$2:$B$1001,MATCH(A901,Sales_Memo!$A$2:$A$1001,0)),""))</f>
        <v>46307</v>
      </c>
      <c r="C901" s="7" t="s">
        <v>82</v>
      </c>
      <c r="D901" s="16" t="str">
        <f aca="false">IF(C901="","",IFERROR(INDEX(Products!$B$2:$B$501,MATCH(C901,Products!$A$2:$A$501,0)),"CODE NOT FOUND"))</f>
        <v>Clutch Cable</v>
      </c>
      <c r="E901" s="7" t="n">
        <v>2</v>
      </c>
      <c r="F901" s="13" t="n">
        <v>190</v>
      </c>
      <c r="G901" s="13" t="n">
        <v>110</v>
      </c>
      <c r="H901" s="17" t="n">
        <f aca="false">IF(OR(E901="",F901=""),"",E901*F901)</f>
        <v>380</v>
      </c>
      <c r="I901" s="17" t="n">
        <f aca="false">IF(OR(E901="",G901=""),"",E901*G901)</f>
        <v>220</v>
      </c>
      <c r="J901" s="17" t="n">
        <f aca="false">IF(H901="","",H901-I901)</f>
        <v>160</v>
      </c>
    </row>
    <row r="902" customFormat="false" ht="15" hidden="false" customHeight="true" outlineLevel="0" collapsed="false">
      <c r="A902" s="7" t="s">
        <v>1032</v>
      </c>
      <c r="B902" s="18" t="n">
        <f aca="false">IF(A902="","",IFERROR(INDEX(Sales_Memo!$B$2:$B$1001,MATCH(A902,Sales_Memo!$A$2:$A$1001,0)),""))</f>
        <v>46307</v>
      </c>
      <c r="C902" s="7" t="s">
        <v>86</v>
      </c>
      <c r="D902" s="16" t="str">
        <f aca="false">IF(C902="","",IFERROR(INDEX(Products!$B$2:$B$501,MATCH(C902,Products!$A$2:$A$501,0)),"CODE NOT FOUND"))</f>
        <v>Spark Plug CPR8EA-9</v>
      </c>
      <c r="E902" s="7" t="n">
        <v>1</v>
      </c>
      <c r="F902" s="13" t="n">
        <v>260</v>
      </c>
      <c r="G902" s="13" t="n">
        <v>175</v>
      </c>
      <c r="H902" s="17" t="n">
        <f aca="false">IF(OR(E902="",F902=""),"",E902*F902)</f>
        <v>260</v>
      </c>
      <c r="I902" s="17" t="n">
        <f aca="false">IF(OR(E902="",G902=""),"",E902*G902)</f>
        <v>175</v>
      </c>
      <c r="J902" s="17" t="n">
        <f aca="false">IF(H902="","",H902-I902)</f>
        <v>85</v>
      </c>
    </row>
    <row r="903" customFormat="false" ht="15" hidden="false" customHeight="true" outlineLevel="0" collapsed="false">
      <c r="A903" s="7" t="s">
        <v>1032</v>
      </c>
      <c r="B903" s="18" t="n">
        <f aca="false">IF(A903="","",IFERROR(INDEX(Sales_Memo!$B$2:$B$1001,MATCH(A903,Sales_Memo!$A$2:$A$1001,0)),""))</f>
        <v>46307</v>
      </c>
      <c r="C903" s="7" t="s">
        <v>121</v>
      </c>
      <c r="D903" s="16" t="str">
        <f aca="false">IF(C903="","",IFERROR(INDEX(Products!$B$2:$B$501,MATCH(C903,Products!$A$2:$A$501,0)),"CODE NOT FOUND"))</f>
        <v>Handle Grip Set</v>
      </c>
      <c r="E903" s="7" t="n">
        <v>3</v>
      </c>
      <c r="F903" s="13" t="n">
        <v>280</v>
      </c>
      <c r="G903" s="13" t="n">
        <v>160</v>
      </c>
      <c r="H903" s="17" t="n">
        <f aca="false">IF(OR(E903="",F903=""),"",E903*F903)</f>
        <v>840</v>
      </c>
      <c r="I903" s="17" t="n">
        <f aca="false">IF(OR(E903="",G903=""),"",E903*G903)</f>
        <v>480</v>
      </c>
      <c r="J903" s="17" t="n">
        <f aca="false">IF(H903="","",H903-I903)</f>
        <v>360</v>
      </c>
    </row>
    <row r="904" customFormat="false" ht="15" hidden="false" customHeight="true" outlineLevel="0" collapsed="false">
      <c r="A904" s="7" t="s">
        <v>1033</v>
      </c>
      <c r="B904" s="18" t="n">
        <f aca="false">IF(A904="","",IFERROR(INDEX(Sales_Memo!$B$2:$B$1001,MATCH(A904,Sales_Memo!$A$2:$A$1001,0)),""))</f>
        <v>46307</v>
      </c>
      <c r="C904" s="7" t="s">
        <v>114</v>
      </c>
      <c r="D904" s="16" t="str">
        <f aca="false">IF(C904="","",IFERROR(INDEX(Products!$B$2:$B$501,MATCH(C904,Products!$A$2:$A$501,0)),"CODE NOT FOUND"))</f>
        <v>Side Mirror (Pair)</v>
      </c>
      <c r="E904" s="7" t="n">
        <v>3</v>
      </c>
      <c r="F904" s="13" t="n">
        <v>620</v>
      </c>
      <c r="G904" s="13" t="n">
        <v>380</v>
      </c>
      <c r="H904" s="17" t="n">
        <f aca="false">IF(OR(E904="",F904=""),"",E904*F904)</f>
        <v>1860</v>
      </c>
      <c r="I904" s="17" t="n">
        <f aca="false">IF(OR(E904="",G904=""),"",E904*G904)</f>
        <v>1140</v>
      </c>
      <c r="J904" s="17" t="n">
        <f aca="false">IF(H904="","",H904-I904)</f>
        <v>720</v>
      </c>
    </row>
    <row r="905" customFormat="false" ht="15" hidden="false" customHeight="true" outlineLevel="0" collapsed="false">
      <c r="A905" s="7" t="s">
        <v>1033</v>
      </c>
      <c r="B905" s="18" t="n">
        <f aca="false">IF(A905="","",IFERROR(INDEX(Sales_Memo!$B$2:$B$1001,MATCH(A905,Sales_Memo!$A$2:$A$1001,0)),""))</f>
        <v>46307</v>
      </c>
      <c r="C905" s="7" t="s">
        <v>102</v>
      </c>
      <c r="D905" s="16" t="str">
        <f aca="false">IF(C905="","",IFERROR(INDEX(Products!$B$2:$B$501,MATCH(C905,Products!$A$2:$A$501,0)),"CODE NOT FOUND"))</f>
        <v>Headlight Bulb H4</v>
      </c>
      <c r="E905" s="7" t="n">
        <v>1</v>
      </c>
      <c r="F905" s="13" t="n">
        <v>240</v>
      </c>
      <c r="G905" s="13" t="n">
        <v>140</v>
      </c>
      <c r="H905" s="17" t="n">
        <f aca="false">IF(OR(E905="",F905=""),"",E905*F905)</f>
        <v>240</v>
      </c>
      <c r="I905" s="17" t="n">
        <f aca="false">IF(OR(E905="",G905=""),"",E905*G905)</f>
        <v>140</v>
      </c>
      <c r="J905" s="17" t="n">
        <f aca="false">IF(H905="","",H905-I905)</f>
        <v>100</v>
      </c>
    </row>
    <row r="906" customFormat="false" ht="15" hidden="false" customHeight="true" outlineLevel="0" collapsed="false">
      <c r="A906" s="7" t="s">
        <v>1035</v>
      </c>
      <c r="B906" s="18" t="n">
        <f aca="false">IF(A906="","",IFERROR(INDEX(Sales_Memo!$B$2:$B$1001,MATCH(A906,Sales_Memo!$A$2:$A$1001,0)),""))</f>
        <v>46307</v>
      </c>
      <c r="C906" s="7" t="s">
        <v>96</v>
      </c>
      <c r="D906" s="16" t="str">
        <f aca="false">IF(C906="","",IFERROR(INDEX(Products!$B$2:$B$501,MATCH(C906,Products!$A$2:$A$501,0)),"CODE NOT FOUND"))</f>
        <v>Engine Oil 10W-30 (1L)</v>
      </c>
      <c r="E906" s="7" t="n">
        <v>1</v>
      </c>
      <c r="F906" s="13" t="n">
        <v>780</v>
      </c>
      <c r="G906" s="13" t="n">
        <v>620</v>
      </c>
      <c r="H906" s="17" t="n">
        <f aca="false">IF(OR(E906="",F906=""),"",E906*F906)</f>
        <v>780</v>
      </c>
      <c r="I906" s="17" t="n">
        <f aca="false">IF(OR(E906="",G906=""),"",E906*G906)</f>
        <v>620</v>
      </c>
      <c r="J906" s="17" t="n">
        <f aca="false">IF(H906="","",H906-I906)</f>
        <v>160</v>
      </c>
    </row>
    <row r="907" customFormat="false" ht="15" hidden="false" customHeight="true" outlineLevel="0" collapsed="false">
      <c r="A907" s="7" t="s">
        <v>1036</v>
      </c>
      <c r="B907" s="18" t="n">
        <f aca="false">IF(A907="","",IFERROR(INDEX(Sales_Memo!$B$2:$B$1001,MATCH(A907,Sales_Memo!$A$2:$A$1001,0)),""))</f>
        <v>46307</v>
      </c>
      <c r="C907" s="7" t="s">
        <v>86</v>
      </c>
      <c r="D907" s="16" t="str">
        <f aca="false">IF(C907="","",IFERROR(INDEX(Products!$B$2:$B$501,MATCH(C907,Products!$A$2:$A$501,0)),"CODE NOT FOUND"))</f>
        <v>Spark Plug CPR8EA-9</v>
      </c>
      <c r="E907" s="7" t="n">
        <v>3</v>
      </c>
      <c r="F907" s="13" t="n">
        <v>260</v>
      </c>
      <c r="G907" s="13" t="n">
        <v>175</v>
      </c>
      <c r="H907" s="17" t="n">
        <f aca="false">IF(OR(E907="",F907=""),"",E907*F907)</f>
        <v>780</v>
      </c>
      <c r="I907" s="17" t="n">
        <f aca="false">IF(OR(E907="",G907=""),"",E907*G907)</f>
        <v>525</v>
      </c>
      <c r="J907" s="17" t="n">
        <f aca="false">IF(H907="","",H907-I907)</f>
        <v>255</v>
      </c>
    </row>
    <row r="908" customFormat="false" ht="15" hidden="false" customHeight="true" outlineLevel="0" collapsed="false">
      <c r="A908" s="7" t="s">
        <v>1036</v>
      </c>
      <c r="B908" s="18" t="n">
        <f aca="false">IF(A908="","",IFERROR(INDEX(Sales_Memo!$B$2:$B$1001,MATCH(A908,Sales_Memo!$A$2:$A$1001,0)),""))</f>
        <v>46307</v>
      </c>
      <c r="C908" s="7" t="s">
        <v>96</v>
      </c>
      <c r="D908" s="16" t="str">
        <f aca="false">IF(C908="","",IFERROR(INDEX(Products!$B$2:$B$501,MATCH(C908,Products!$A$2:$A$501,0)),"CODE NOT FOUND"))</f>
        <v>Engine Oil 10W-30 (1L)</v>
      </c>
      <c r="E908" s="7" t="n">
        <v>2</v>
      </c>
      <c r="F908" s="13" t="n">
        <v>780</v>
      </c>
      <c r="G908" s="13" t="n">
        <v>620</v>
      </c>
      <c r="H908" s="17" t="n">
        <f aca="false">IF(OR(E908="",F908=""),"",E908*F908)</f>
        <v>1560</v>
      </c>
      <c r="I908" s="17" t="n">
        <f aca="false">IF(OR(E908="",G908=""),"",E908*G908)</f>
        <v>1240</v>
      </c>
      <c r="J908" s="17" t="n">
        <f aca="false">IF(H908="","",H908-I908)</f>
        <v>320</v>
      </c>
    </row>
    <row r="909" customFormat="false" ht="15" hidden="false" customHeight="true" outlineLevel="0" collapsed="false">
      <c r="A909" s="7" t="s">
        <v>1037</v>
      </c>
      <c r="B909" s="18" t="n">
        <f aca="false">IF(A909="","",IFERROR(INDEX(Sales_Memo!$B$2:$B$1001,MATCH(A909,Sales_Memo!$A$2:$A$1001,0)),""))</f>
        <v>46307</v>
      </c>
      <c r="C909" s="7" t="s">
        <v>86</v>
      </c>
      <c r="D909" s="16" t="str">
        <f aca="false">IF(C909="","",IFERROR(INDEX(Products!$B$2:$B$501,MATCH(C909,Products!$A$2:$A$501,0)),"CODE NOT FOUND"))</f>
        <v>Spark Plug CPR8EA-9</v>
      </c>
      <c r="E909" s="7" t="n">
        <v>1</v>
      </c>
      <c r="F909" s="13" t="n">
        <v>260</v>
      </c>
      <c r="G909" s="13" t="n">
        <v>175</v>
      </c>
      <c r="H909" s="17" t="n">
        <f aca="false">IF(OR(E909="",F909=""),"",E909*F909)</f>
        <v>260</v>
      </c>
      <c r="I909" s="17" t="n">
        <f aca="false">IF(OR(E909="",G909=""),"",E909*G909)</f>
        <v>175</v>
      </c>
      <c r="J909" s="17" t="n">
        <f aca="false">IF(H909="","",H909-I909)</f>
        <v>85</v>
      </c>
    </row>
    <row r="910" customFormat="false" ht="15" hidden="false" customHeight="true" outlineLevel="0" collapsed="false">
      <c r="A910" s="7" t="s">
        <v>1037</v>
      </c>
      <c r="B910" s="18" t="n">
        <f aca="false">IF(A910="","",IFERROR(INDEX(Sales_Memo!$B$2:$B$1001,MATCH(A910,Sales_Memo!$A$2:$A$1001,0)),""))</f>
        <v>46307</v>
      </c>
      <c r="C910" s="7" t="s">
        <v>90</v>
      </c>
      <c r="D910" s="16" t="str">
        <f aca="false">IF(C910="","",IFERROR(INDEX(Products!$B$2:$B$501,MATCH(C910,Products!$A$2:$A$501,0)),"CODE NOT FOUND"))</f>
        <v>Air Filter 150cc</v>
      </c>
      <c r="E910" s="7" t="n">
        <v>3</v>
      </c>
      <c r="F910" s="13" t="n">
        <v>340</v>
      </c>
      <c r="G910" s="13" t="n">
        <v>210</v>
      </c>
      <c r="H910" s="17" t="n">
        <f aca="false">IF(OR(E910="",F910=""),"",E910*F910)</f>
        <v>1020</v>
      </c>
      <c r="I910" s="17" t="n">
        <f aca="false">IF(OR(E910="",G910=""),"",E910*G910)</f>
        <v>630</v>
      </c>
      <c r="J910" s="17" t="n">
        <f aca="false">IF(H910="","",H910-I910)</f>
        <v>390</v>
      </c>
    </row>
    <row r="911" customFormat="false" ht="15" hidden="false" customHeight="true" outlineLevel="0" collapsed="false">
      <c r="A911" s="7" t="s">
        <v>1039</v>
      </c>
      <c r="B911" s="18" t="n">
        <f aca="false">IF(A911="","",IFERROR(INDEX(Sales_Memo!$B$2:$B$1001,MATCH(A911,Sales_Memo!$A$2:$A$1001,0)),""))</f>
        <v>46307</v>
      </c>
      <c r="C911" s="7" t="s">
        <v>102</v>
      </c>
      <c r="D911" s="16" t="str">
        <f aca="false">IF(C911="","",IFERROR(INDEX(Products!$B$2:$B$501,MATCH(C911,Products!$A$2:$A$501,0)),"CODE NOT FOUND"))</f>
        <v>Headlight Bulb H4</v>
      </c>
      <c r="E911" s="7" t="n">
        <v>2</v>
      </c>
      <c r="F911" s="13" t="n">
        <v>240</v>
      </c>
      <c r="G911" s="13" t="n">
        <v>140</v>
      </c>
      <c r="H911" s="17" t="n">
        <f aca="false">IF(OR(E911="",F911=""),"",E911*F911)</f>
        <v>480</v>
      </c>
      <c r="I911" s="17" t="n">
        <f aca="false">IF(OR(E911="",G911=""),"",E911*G911)</f>
        <v>280</v>
      </c>
      <c r="J911" s="17" t="n">
        <f aca="false">IF(H911="","",H911-I911)</f>
        <v>200</v>
      </c>
    </row>
    <row r="912" customFormat="false" ht="15" hidden="false" customHeight="true" outlineLevel="0" collapsed="false">
      <c r="A912" s="7" t="s">
        <v>1040</v>
      </c>
      <c r="B912" s="18" t="n">
        <f aca="false">IF(A912="","",IFERROR(INDEX(Sales_Memo!$B$2:$B$1001,MATCH(A912,Sales_Memo!$A$2:$A$1001,0)),""))</f>
        <v>46308</v>
      </c>
      <c r="C912" s="7" t="s">
        <v>82</v>
      </c>
      <c r="D912" s="16" t="str">
        <f aca="false">IF(C912="","",IFERROR(INDEX(Products!$B$2:$B$501,MATCH(C912,Products!$A$2:$A$501,0)),"CODE NOT FOUND"))</f>
        <v>Clutch Cable</v>
      </c>
      <c r="E912" s="7" t="n">
        <v>2</v>
      </c>
      <c r="F912" s="13" t="n">
        <v>190</v>
      </c>
      <c r="G912" s="13" t="n">
        <v>110</v>
      </c>
      <c r="H912" s="17" t="n">
        <f aca="false">IF(OR(E912="",F912=""),"",E912*F912)</f>
        <v>380</v>
      </c>
      <c r="I912" s="17" t="n">
        <f aca="false">IF(OR(E912="",G912=""),"",E912*G912)</f>
        <v>220</v>
      </c>
      <c r="J912" s="17" t="n">
        <f aca="false">IF(H912="","",H912-I912)</f>
        <v>160</v>
      </c>
    </row>
    <row r="913" customFormat="false" ht="15" hidden="false" customHeight="true" outlineLevel="0" collapsed="false">
      <c r="A913" s="7" t="s">
        <v>1040</v>
      </c>
      <c r="B913" s="18" t="n">
        <f aca="false">IF(A913="","",IFERROR(INDEX(Sales_Memo!$B$2:$B$1001,MATCH(A913,Sales_Memo!$A$2:$A$1001,0)),""))</f>
        <v>46308</v>
      </c>
      <c r="C913" s="7" t="s">
        <v>90</v>
      </c>
      <c r="D913" s="16" t="str">
        <f aca="false">IF(C913="","",IFERROR(INDEX(Products!$B$2:$B$501,MATCH(C913,Products!$A$2:$A$501,0)),"CODE NOT FOUND"))</f>
        <v>Air Filter 150cc</v>
      </c>
      <c r="E913" s="7" t="n">
        <v>2</v>
      </c>
      <c r="F913" s="13" t="n">
        <v>340</v>
      </c>
      <c r="G913" s="13" t="n">
        <v>210</v>
      </c>
      <c r="H913" s="17" t="n">
        <f aca="false">IF(OR(E913="",F913=""),"",E913*F913)</f>
        <v>680</v>
      </c>
      <c r="I913" s="17" t="n">
        <f aca="false">IF(OR(E913="",G913=""),"",E913*G913)</f>
        <v>420</v>
      </c>
      <c r="J913" s="17" t="n">
        <f aca="false">IF(H913="","",H913-I913)</f>
        <v>260</v>
      </c>
    </row>
    <row r="914" customFormat="false" ht="15" hidden="false" customHeight="true" outlineLevel="0" collapsed="false">
      <c r="A914" s="7" t="s">
        <v>1040</v>
      </c>
      <c r="B914" s="18" t="n">
        <f aca="false">IF(A914="","",IFERROR(INDEX(Sales_Memo!$B$2:$B$1001,MATCH(A914,Sales_Memo!$A$2:$A$1001,0)),""))</f>
        <v>46308</v>
      </c>
      <c r="C914" s="7" t="s">
        <v>86</v>
      </c>
      <c r="D914" s="16" t="str">
        <f aca="false">IF(C914="","",IFERROR(INDEX(Products!$B$2:$B$501,MATCH(C914,Products!$A$2:$A$501,0)),"CODE NOT FOUND"))</f>
        <v>Spark Plug CPR8EA-9</v>
      </c>
      <c r="E914" s="7" t="n">
        <v>2</v>
      </c>
      <c r="F914" s="13" t="n">
        <v>260</v>
      </c>
      <c r="G914" s="13" t="n">
        <v>175</v>
      </c>
      <c r="H914" s="17" t="n">
        <f aca="false">IF(OR(E914="",F914=""),"",E914*F914)</f>
        <v>520</v>
      </c>
      <c r="I914" s="17" t="n">
        <f aca="false">IF(OR(E914="",G914=""),"",E914*G914)</f>
        <v>350</v>
      </c>
      <c r="J914" s="17" t="n">
        <f aca="false">IF(H914="","",H914-I914)</f>
        <v>170</v>
      </c>
    </row>
    <row r="915" customFormat="false" ht="15" hidden="false" customHeight="true" outlineLevel="0" collapsed="false">
      <c r="A915" s="7" t="s">
        <v>1041</v>
      </c>
      <c r="B915" s="18" t="n">
        <f aca="false">IF(A915="","",IFERROR(INDEX(Sales_Memo!$B$2:$B$1001,MATCH(A915,Sales_Memo!$A$2:$A$1001,0)),""))</f>
        <v>46308</v>
      </c>
      <c r="C915" s="7" t="s">
        <v>86</v>
      </c>
      <c r="D915" s="16" t="str">
        <f aca="false">IF(C915="","",IFERROR(INDEX(Products!$B$2:$B$501,MATCH(C915,Products!$A$2:$A$501,0)),"CODE NOT FOUND"))</f>
        <v>Spark Plug CPR8EA-9</v>
      </c>
      <c r="E915" s="7" t="n">
        <v>2</v>
      </c>
      <c r="F915" s="13" t="n">
        <v>260</v>
      </c>
      <c r="G915" s="13" t="n">
        <v>175</v>
      </c>
      <c r="H915" s="17" t="n">
        <f aca="false">IF(OR(E915="",F915=""),"",E915*F915)</f>
        <v>520</v>
      </c>
      <c r="I915" s="17" t="n">
        <f aca="false">IF(OR(E915="",G915=""),"",E915*G915)</f>
        <v>350</v>
      </c>
      <c r="J915" s="17" t="n">
        <f aca="false">IF(H915="","",H915-I915)</f>
        <v>170</v>
      </c>
    </row>
    <row r="916" customFormat="false" ht="15" hidden="false" customHeight="true" outlineLevel="0" collapsed="false">
      <c r="A916" s="7" t="s">
        <v>1042</v>
      </c>
      <c r="B916" s="18" t="n">
        <f aca="false">IF(A916="","",IFERROR(INDEX(Sales_Memo!$B$2:$B$1001,MATCH(A916,Sales_Memo!$A$2:$A$1001,0)),""))</f>
        <v>46308</v>
      </c>
      <c r="C916" s="7" t="s">
        <v>114</v>
      </c>
      <c r="D916" s="16" t="str">
        <f aca="false">IF(C916="","",IFERROR(INDEX(Products!$B$2:$B$501,MATCH(C916,Products!$A$2:$A$501,0)),"CODE NOT FOUND"))</f>
        <v>Side Mirror (Pair)</v>
      </c>
      <c r="E916" s="7" t="n">
        <v>2</v>
      </c>
      <c r="F916" s="13" t="n">
        <v>620</v>
      </c>
      <c r="G916" s="13" t="n">
        <v>380</v>
      </c>
      <c r="H916" s="17" t="n">
        <f aca="false">IF(OR(E916="",F916=""),"",E916*F916)</f>
        <v>1240</v>
      </c>
      <c r="I916" s="17" t="n">
        <f aca="false">IF(OR(E916="",G916=""),"",E916*G916)</f>
        <v>760</v>
      </c>
      <c r="J916" s="17" t="n">
        <f aca="false">IF(H916="","",H916-I916)</f>
        <v>480</v>
      </c>
    </row>
    <row r="917" customFormat="false" ht="15" hidden="false" customHeight="true" outlineLevel="0" collapsed="false">
      <c r="A917" s="7" t="s">
        <v>1043</v>
      </c>
      <c r="B917" s="18" t="n">
        <f aca="false">IF(A917="","",IFERROR(INDEX(Sales_Memo!$B$2:$B$1001,MATCH(A917,Sales_Memo!$A$2:$A$1001,0)),""))</f>
        <v>46308</v>
      </c>
      <c r="C917" s="7" t="s">
        <v>90</v>
      </c>
      <c r="D917" s="16" t="str">
        <f aca="false">IF(C917="","",IFERROR(INDEX(Products!$B$2:$B$501,MATCH(C917,Products!$A$2:$A$501,0)),"CODE NOT FOUND"))</f>
        <v>Air Filter 150cc</v>
      </c>
      <c r="E917" s="7" t="n">
        <v>2</v>
      </c>
      <c r="F917" s="13" t="n">
        <v>340</v>
      </c>
      <c r="G917" s="13" t="n">
        <v>210</v>
      </c>
      <c r="H917" s="17" t="n">
        <f aca="false">IF(OR(E917="",F917=""),"",E917*F917)</f>
        <v>680</v>
      </c>
      <c r="I917" s="17" t="n">
        <f aca="false">IF(OR(E917="",G917=""),"",E917*G917)</f>
        <v>420</v>
      </c>
      <c r="J917" s="17" t="n">
        <f aca="false">IF(H917="","",H917-I917)</f>
        <v>260</v>
      </c>
    </row>
    <row r="918" customFormat="false" ht="15" hidden="false" customHeight="true" outlineLevel="0" collapsed="false">
      <c r="A918" s="7" t="s">
        <v>1044</v>
      </c>
      <c r="B918" s="18" t="n">
        <f aca="false">IF(A918="","",IFERROR(INDEX(Sales_Memo!$B$2:$B$1001,MATCH(A918,Sales_Memo!$A$2:$A$1001,0)),""))</f>
        <v>46308</v>
      </c>
      <c r="C918" s="7" t="s">
        <v>114</v>
      </c>
      <c r="D918" s="16" t="str">
        <f aca="false">IF(C918="","",IFERROR(INDEX(Products!$B$2:$B$501,MATCH(C918,Products!$A$2:$A$501,0)),"CODE NOT FOUND"))</f>
        <v>Side Mirror (Pair)</v>
      </c>
      <c r="E918" s="7" t="n">
        <v>1</v>
      </c>
      <c r="F918" s="13" t="n">
        <v>620</v>
      </c>
      <c r="G918" s="13" t="n">
        <v>380</v>
      </c>
      <c r="H918" s="17" t="n">
        <f aca="false">IF(OR(E918="",F918=""),"",E918*F918)</f>
        <v>620</v>
      </c>
      <c r="I918" s="17" t="n">
        <f aca="false">IF(OR(E918="",G918=""),"",E918*G918)</f>
        <v>380</v>
      </c>
      <c r="J918" s="17" t="n">
        <f aca="false">IF(H918="","",H918-I918)</f>
        <v>240</v>
      </c>
    </row>
    <row r="919" customFormat="false" ht="15" hidden="false" customHeight="true" outlineLevel="0" collapsed="false">
      <c r="A919" s="7" t="s">
        <v>1044</v>
      </c>
      <c r="B919" s="18" t="n">
        <f aca="false">IF(A919="","",IFERROR(INDEX(Sales_Memo!$B$2:$B$1001,MATCH(A919,Sales_Memo!$A$2:$A$1001,0)),""))</f>
        <v>46308</v>
      </c>
      <c r="C919" s="7" t="s">
        <v>102</v>
      </c>
      <c r="D919" s="16" t="str">
        <f aca="false">IF(C919="","",IFERROR(INDEX(Products!$B$2:$B$501,MATCH(C919,Products!$A$2:$A$501,0)),"CODE NOT FOUND"))</f>
        <v>Headlight Bulb H4</v>
      </c>
      <c r="E919" s="7" t="n">
        <v>1</v>
      </c>
      <c r="F919" s="13" t="n">
        <v>240</v>
      </c>
      <c r="G919" s="13" t="n">
        <v>140</v>
      </c>
      <c r="H919" s="17" t="n">
        <f aca="false">IF(OR(E919="",F919=""),"",E919*F919)</f>
        <v>240</v>
      </c>
      <c r="I919" s="17" t="n">
        <f aca="false">IF(OR(E919="",G919=""),"",E919*G919)</f>
        <v>140</v>
      </c>
      <c r="J919" s="17" t="n">
        <f aca="false">IF(H919="","",H919-I919)</f>
        <v>100</v>
      </c>
    </row>
    <row r="920" customFormat="false" ht="15" hidden="false" customHeight="true" outlineLevel="0" collapsed="false">
      <c r="A920" s="7" t="s">
        <v>1045</v>
      </c>
      <c r="B920" s="18" t="n">
        <f aca="false">IF(A920="","",IFERROR(INDEX(Sales_Memo!$B$2:$B$1001,MATCH(A920,Sales_Memo!$A$2:$A$1001,0)),""))</f>
        <v>46308</v>
      </c>
      <c r="C920" s="7" t="s">
        <v>102</v>
      </c>
      <c r="D920" s="16" t="str">
        <f aca="false">IF(C920="","",IFERROR(INDEX(Products!$B$2:$B$501,MATCH(C920,Products!$A$2:$A$501,0)),"CODE NOT FOUND"))</f>
        <v>Headlight Bulb H4</v>
      </c>
      <c r="E920" s="7" t="n">
        <v>2</v>
      </c>
      <c r="F920" s="13" t="n">
        <v>240</v>
      </c>
      <c r="G920" s="13" t="n">
        <v>140</v>
      </c>
      <c r="H920" s="17" t="n">
        <f aca="false">IF(OR(E920="",F920=""),"",E920*F920)</f>
        <v>480</v>
      </c>
      <c r="I920" s="17" t="n">
        <f aca="false">IF(OR(E920="",G920=""),"",E920*G920)</f>
        <v>280</v>
      </c>
      <c r="J920" s="17" t="n">
        <f aca="false">IF(H920="","",H920-I920)</f>
        <v>200</v>
      </c>
    </row>
    <row r="921" customFormat="false" ht="15" hidden="false" customHeight="true" outlineLevel="0" collapsed="false">
      <c r="A921" s="7" t="s">
        <v>1045</v>
      </c>
      <c r="B921" s="18" t="n">
        <f aca="false">IF(A921="","",IFERROR(INDEX(Sales_Memo!$B$2:$B$1001,MATCH(A921,Sales_Memo!$A$2:$A$1001,0)),""))</f>
        <v>46308</v>
      </c>
      <c r="C921" s="7" t="s">
        <v>86</v>
      </c>
      <c r="D921" s="16" t="str">
        <f aca="false">IF(C921="","",IFERROR(INDEX(Products!$B$2:$B$501,MATCH(C921,Products!$A$2:$A$501,0)),"CODE NOT FOUND"))</f>
        <v>Spark Plug CPR8EA-9</v>
      </c>
      <c r="E921" s="7" t="n">
        <v>2</v>
      </c>
      <c r="F921" s="13" t="n">
        <v>260</v>
      </c>
      <c r="G921" s="13" t="n">
        <v>175</v>
      </c>
      <c r="H921" s="17" t="n">
        <f aca="false">IF(OR(E921="",F921=""),"",E921*F921)</f>
        <v>520</v>
      </c>
      <c r="I921" s="17" t="n">
        <f aca="false">IF(OR(E921="",G921=""),"",E921*G921)</f>
        <v>350</v>
      </c>
      <c r="J921" s="17" t="n">
        <f aca="false">IF(H921="","",H921-I921)</f>
        <v>170</v>
      </c>
    </row>
    <row r="922" customFormat="false" ht="15" hidden="false" customHeight="true" outlineLevel="0" collapsed="false">
      <c r="A922" s="7" t="s">
        <v>1047</v>
      </c>
      <c r="B922" s="18" t="n">
        <f aca="false">IF(A922="","",IFERROR(INDEX(Sales_Memo!$B$2:$B$1001,MATCH(A922,Sales_Memo!$A$2:$A$1001,0)),""))</f>
        <v>46308</v>
      </c>
      <c r="C922" s="7" t="s">
        <v>119</v>
      </c>
      <c r="D922" s="16" t="str">
        <f aca="false">IF(C922="","",IFERROR(INDEX(Products!$B$2:$B$501,MATCH(C922,Products!$A$2:$A$501,0)),"CODE NOT FOUND"))</f>
        <v>Chain Lube Spray</v>
      </c>
      <c r="E922" s="7" t="n">
        <v>2</v>
      </c>
      <c r="F922" s="13" t="n">
        <v>270</v>
      </c>
      <c r="G922" s="13" t="n">
        <v>170</v>
      </c>
      <c r="H922" s="17" t="n">
        <f aca="false">IF(OR(E922="",F922=""),"",E922*F922)</f>
        <v>540</v>
      </c>
      <c r="I922" s="17" t="n">
        <f aca="false">IF(OR(E922="",G922=""),"",E922*G922)</f>
        <v>340</v>
      </c>
      <c r="J922" s="17" t="n">
        <f aca="false">IF(H922="","",H922-I922)</f>
        <v>200</v>
      </c>
    </row>
    <row r="923" customFormat="false" ht="15" hidden="false" customHeight="true" outlineLevel="0" collapsed="false">
      <c r="A923" s="7" t="s">
        <v>1048</v>
      </c>
      <c r="B923" s="18" t="n">
        <f aca="false">IF(A923="","",IFERROR(INDEX(Sales_Memo!$B$2:$B$1001,MATCH(A923,Sales_Memo!$A$2:$A$1001,0)),""))</f>
        <v>46308</v>
      </c>
      <c r="C923" s="7" t="s">
        <v>77</v>
      </c>
      <c r="D923" s="16" t="str">
        <f aca="false">IF(C923="","",IFERROR(INDEX(Products!$B$2:$B$501,MATCH(C923,Products!$A$2:$A$501,0)),"CODE NOT FOUND"))</f>
        <v>Brake Pad Set - Front</v>
      </c>
      <c r="E923" s="7" t="n">
        <v>1</v>
      </c>
      <c r="F923" s="13" t="n">
        <v>480</v>
      </c>
      <c r="G923" s="13" t="n">
        <v>320</v>
      </c>
      <c r="H923" s="17" t="n">
        <f aca="false">IF(OR(E923="",F923=""),"",E923*F923)</f>
        <v>480</v>
      </c>
      <c r="I923" s="17" t="n">
        <f aca="false">IF(OR(E923="",G923=""),"",E923*G923)</f>
        <v>320</v>
      </c>
      <c r="J923" s="17" t="n">
        <f aca="false">IF(H923="","",H923-I923)</f>
        <v>160</v>
      </c>
    </row>
    <row r="924" customFormat="false" ht="15" hidden="false" customHeight="true" outlineLevel="0" collapsed="false">
      <c r="A924" s="7" t="s">
        <v>1048</v>
      </c>
      <c r="B924" s="18" t="n">
        <f aca="false">IF(A924="","",IFERROR(INDEX(Sales_Memo!$B$2:$B$1001,MATCH(A924,Sales_Memo!$A$2:$A$1001,0)),""))</f>
        <v>46308</v>
      </c>
      <c r="C924" s="7" t="s">
        <v>90</v>
      </c>
      <c r="D924" s="16" t="str">
        <f aca="false">IF(C924="","",IFERROR(INDEX(Products!$B$2:$B$501,MATCH(C924,Products!$A$2:$A$501,0)),"CODE NOT FOUND"))</f>
        <v>Air Filter 150cc</v>
      </c>
      <c r="E924" s="7" t="n">
        <v>1</v>
      </c>
      <c r="F924" s="13" t="n">
        <v>340</v>
      </c>
      <c r="G924" s="13" t="n">
        <v>210</v>
      </c>
      <c r="H924" s="17" t="n">
        <f aca="false">IF(OR(E924="",F924=""),"",E924*F924)</f>
        <v>340</v>
      </c>
      <c r="I924" s="17" t="n">
        <f aca="false">IF(OR(E924="",G924=""),"",E924*G924)</f>
        <v>210</v>
      </c>
      <c r="J924" s="17" t="n">
        <f aca="false">IF(H924="","",H924-I924)</f>
        <v>130</v>
      </c>
    </row>
    <row r="925" customFormat="false" ht="15" hidden="false" customHeight="true" outlineLevel="0" collapsed="false">
      <c r="A925" s="7" t="s">
        <v>1049</v>
      </c>
      <c r="B925" s="18" t="n">
        <f aca="false">IF(A925="","",IFERROR(INDEX(Sales_Memo!$B$2:$B$1001,MATCH(A925,Sales_Memo!$A$2:$A$1001,0)),""))</f>
        <v>46309</v>
      </c>
      <c r="C925" s="7" t="s">
        <v>121</v>
      </c>
      <c r="D925" s="16" t="str">
        <f aca="false">IF(C925="","",IFERROR(INDEX(Products!$B$2:$B$501,MATCH(C925,Products!$A$2:$A$501,0)),"CODE NOT FOUND"))</f>
        <v>Handle Grip Set</v>
      </c>
      <c r="E925" s="7" t="n">
        <v>1</v>
      </c>
      <c r="F925" s="13" t="n">
        <v>280</v>
      </c>
      <c r="G925" s="13" t="n">
        <v>160</v>
      </c>
      <c r="H925" s="17" t="n">
        <f aca="false">IF(OR(E925="",F925=""),"",E925*F925)</f>
        <v>280</v>
      </c>
      <c r="I925" s="17" t="n">
        <f aca="false">IF(OR(E925="",G925=""),"",E925*G925)</f>
        <v>160</v>
      </c>
      <c r="J925" s="17" t="n">
        <f aca="false">IF(H925="","",H925-I925)</f>
        <v>120</v>
      </c>
    </row>
    <row r="926" customFormat="false" ht="15" hidden="false" customHeight="true" outlineLevel="0" collapsed="false">
      <c r="A926" s="7" t="s">
        <v>1050</v>
      </c>
      <c r="B926" s="18" t="n">
        <f aca="false">IF(A926="","",IFERROR(INDEX(Sales_Memo!$B$2:$B$1001,MATCH(A926,Sales_Memo!$A$2:$A$1001,0)),""))</f>
        <v>46309</v>
      </c>
      <c r="C926" s="7" t="s">
        <v>82</v>
      </c>
      <c r="D926" s="16" t="str">
        <f aca="false">IF(C926="","",IFERROR(INDEX(Products!$B$2:$B$501,MATCH(C926,Products!$A$2:$A$501,0)),"CODE NOT FOUND"))</f>
        <v>Clutch Cable</v>
      </c>
      <c r="E926" s="7" t="n">
        <v>2</v>
      </c>
      <c r="F926" s="13" t="n">
        <v>190</v>
      </c>
      <c r="G926" s="13" t="n">
        <v>110</v>
      </c>
      <c r="H926" s="17" t="n">
        <f aca="false">IF(OR(E926="",F926=""),"",E926*F926)</f>
        <v>380</v>
      </c>
      <c r="I926" s="17" t="n">
        <f aca="false">IF(OR(E926="",G926=""),"",E926*G926)</f>
        <v>220</v>
      </c>
      <c r="J926" s="17" t="n">
        <f aca="false">IF(H926="","",H926-I926)</f>
        <v>160</v>
      </c>
    </row>
    <row r="927" customFormat="false" ht="15" hidden="false" customHeight="true" outlineLevel="0" collapsed="false">
      <c r="A927" s="7" t="s">
        <v>1050</v>
      </c>
      <c r="B927" s="18" t="n">
        <f aca="false">IF(A927="","",IFERROR(INDEX(Sales_Memo!$B$2:$B$1001,MATCH(A927,Sales_Memo!$A$2:$A$1001,0)),""))</f>
        <v>46309</v>
      </c>
      <c r="C927" s="7" t="s">
        <v>119</v>
      </c>
      <c r="D927" s="16" t="str">
        <f aca="false">IF(C927="","",IFERROR(INDEX(Products!$B$2:$B$501,MATCH(C927,Products!$A$2:$A$501,0)),"CODE NOT FOUND"))</f>
        <v>Chain Lube Spray</v>
      </c>
      <c r="E927" s="7" t="n">
        <v>3</v>
      </c>
      <c r="F927" s="13" t="n">
        <v>270</v>
      </c>
      <c r="G927" s="13" t="n">
        <v>170</v>
      </c>
      <c r="H927" s="17" t="n">
        <f aca="false">IF(OR(E927="",F927=""),"",E927*F927)</f>
        <v>810</v>
      </c>
      <c r="I927" s="17" t="n">
        <f aca="false">IF(OR(E927="",G927=""),"",E927*G927)</f>
        <v>510</v>
      </c>
      <c r="J927" s="17" t="n">
        <f aca="false">IF(H927="","",H927-I927)</f>
        <v>300</v>
      </c>
    </row>
    <row r="928" customFormat="false" ht="15" hidden="false" customHeight="true" outlineLevel="0" collapsed="false">
      <c r="A928" s="7" t="s">
        <v>1051</v>
      </c>
      <c r="B928" s="18" t="n">
        <f aca="false">IF(A928="","",IFERROR(INDEX(Sales_Memo!$B$2:$B$1001,MATCH(A928,Sales_Memo!$A$2:$A$1001,0)),""))</f>
        <v>46309</v>
      </c>
      <c r="C928" s="7" t="s">
        <v>90</v>
      </c>
      <c r="D928" s="16" t="str">
        <f aca="false">IF(C928="","",IFERROR(INDEX(Products!$B$2:$B$501,MATCH(C928,Products!$A$2:$A$501,0)),"CODE NOT FOUND"))</f>
        <v>Air Filter 150cc</v>
      </c>
      <c r="E928" s="7" t="n">
        <v>1</v>
      </c>
      <c r="F928" s="13" t="n">
        <v>340</v>
      </c>
      <c r="G928" s="13" t="n">
        <v>210</v>
      </c>
      <c r="H928" s="17" t="n">
        <f aca="false">IF(OR(E928="",F928=""),"",E928*F928)</f>
        <v>340</v>
      </c>
      <c r="I928" s="17" t="n">
        <f aca="false">IF(OR(E928="",G928=""),"",E928*G928)</f>
        <v>210</v>
      </c>
      <c r="J928" s="17" t="n">
        <f aca="false">IF(H928="","",H928-I928)</f>
        <v>130</v>
      </c>
    </row>
    <row r="929" customFormat="false" ht="15" hidden="false" customHeight="true" outlineLevel="0" collapsed="false">
      <c r="A929" s="7" t="s">
        <v>1052</v>
      </c>
      <c r="B929" s="18" t="n">
        <f aca="false">IF(A929="","",IFERROR(INDEX(Sales_Memo!$B$2:$B$1001,MATCH(A929,Sales_Memo!$A$2:$A$1001,0)),""))</f>
        <v>46309</v>
      </c>
      <c r="C929" s="7" t="s">
        <v>82</v>
      </c>
      <c r="D929" s="16" t="str">
        <f aca="false">IF(C929="","",IFERROR(INDEX(Products!$B$2:$B$501,MATCH(C929,Products!$A$2:$A$501,0)),"CODE NOT FOUND"))</f>
        <v>Clutch Cable</v>
      </c>
      <c r="E929" s="7" t="n">
        <v>2</v>
      </c>
      <c r="F929" s="13" t="n">
        <v>190</v>
      </c>
      <c r="G929" s="13" t="n">
        <v>110</v>
      </c>
      <c r="H929" s="17" t="n">
        <f aca="false">IF(OR(E929="",F929=""),"",E929*F929)</f>
        <v>380</v>
      </c>
      <c r="I929" s="17" t="n">
        <f aca="false">IF(OR(E929="",G929=""),"",E929*G929)</f>
        <v>220</v>
      </c>
      <c r="J929" s="17" t="n">
        <f aca="false">IF(H929="","",H929-I929)</f>
        <v>160</v>
      </c>
    </row>
    <row r="930" customFormat="false" ht="15" hidden="false" customHeight="true" outlineLevel="0" collapsed="false">
      <c r="A930" s="7" t="s">
        <v>1052</v>
      </c>
      <c r="B930" s="18" t="n">
        <f aca="false">IF(A930="","",IFERROR(INDEX(Sales_Memo!$B$2:$B$1001,MATCH(A930,Sales_Memo!$A$2:$A$1001,0)),""))</f>
        <v>46309</v>
      </c>
      <c r="C930" s="7" t="s">
        <v>121</v>
      </c>
      <c r="D930" s="16" t="str">
        <f aca="false">IF(C930="","",IFERROR(INDEX(Products!$B$2:$B$501,MATCH(C930,Products!$A$2:$A$501,0)),"CODE NOT FOUND"))</f>
        <v>Handle Grip Set</v>
      </c>
      <c r="E930" s="7" t="n">
        <v>3</v>
      </c>
      <c r="F930" s="13" t="n">
        <v>280</v>
      </c>
      <c r="G930" s="13" t="n">
        <v>160</v>
      </c>
      <c r="H930" s="17" t="n">
        <f aca="false">IF(OR(E930="",F930=""),"",E930*F930)</f>
        <v>840</v>
      </c>
      <c r="I930" s="17" t="n">
        <f aca="false">IF(OR(E930="",G930=""),"",E930*G930)</f>
        <v>480</v>
      </c>
      <c r="J930" s="17" t="n">
        <f aca="false">IF(H930="","",H930-I930)</f>
        <v>360</v>
      </c>
    </row>
    <row r="931" customFormat="false" ht="15" hidden="false" customHeight="true" outlineLevel="0" collapsed="false">
      <c r="A931" s="7" t="s">
        <v>1052</v>
      </c>
      <c r="B931" s="18" t="n">
        <f aca="false">IF(A931="","",IFERROR(INDEX(Sales_Memo!$B$2:$B$1001,MATCH(A931,Sales_Memo!$A$2:$A$1001,0)),""))</f>
        <v>46309</v>
      </c>
      <c r="C931" s="7" t="s">
        <v>114</v>
      </c>
      <c r="D931" s="16" t="str">
        <f aca="false">IF(C931="","",IFERROR(INDEX(Products!$B$2:$B$501,MATCH(C931,Products!$A$2:$A$501,0)),"CODE NOT FOUND"))</f>
        <v>Side Mirror (Pair)</v>
      </c>
      <c r="E931" s="7" t="n">
        <v>3</v>
      </c>
      <c r="F931" s="13" t="n">
        <v>620</v>
      </c>
      <c r="G931" s="13" t="n">
        <v>380</v>
      </c>
      <c r="H931" s="17" t="n">
        <f aca="false">IF(OR(E931="",F931=""),"",E931*F931)</f>
        <v>1860</v>
      </c>
      <c r="I931" s="17" t="n">
        <f aca="false">IF(OR(E931="",G931=""),"",E931*G931)</f>
        <v>1140</v>
      </c>
      <c r="J931" s="17" t="n">
        <f aca="false">IF(H931="","",H931-I931)</f>
        <v>720</v>
      </c>
    </row>
    <row r="932" customFormat="false" ht="15" hidden="false" customHeight="true" outlineLevel="0" collapsed="false">
      <c r="A932" s="7" t="s">
        <v>1054</v>
      </c>
      <c r="B932" s="18" t="n">
        <f aca="false">IF(A932="","",IFERROR(INDEX(Sales_Memo!$B$2:$B$1001,MATCH(A932,Sales_Memo!$A$2:$A$1001,0)),""))</f>
        <v>46309</v>
      </c>
      <c r="C932" s="7" t="s">
        <v>121</v>
      </c>
      <c r="D932" s="16" t="str">
        <f aca="false">IF(C932="","",IFERROR(INDEX(Products!$B$2:$B$501,MATCH(C932,Products!$A$2:$A$501,0)),"CODE NOT FOUND"))</f>
        <v>Handle Grip Set</v>
      </c>
      <c r="E932" s="7" t="n">
        <v>3</v>
      </c>
      <c r="F932" s="13" t="n">
        <v>280</v>
      </c>
      <c r="G932" s="13" t="n">
        <v>160</v>
      </c>
      <c r="H932" s="17" t="n">
        <f aca="false">IF(OR(E932="",F932=""),"",E932*F932)</f>
        <v>840</v>
      </c>
      <c r="I932" s="17" t="n">
        <f aca="false">IF(OR(E932="",G932=""),"",E932*G932)</f>
        <v>480</v>
      </c>
      <c r="J932" s="17" t="n">
        <f aca="false">IF(H932="","",H932-I932)</f>
        <v>360</v>
      </c>
    </row>
    <row r="933" customFormat="false" ht="15" hidden="false" customHeight="true" outlineLevel="0" collapsed="false">
      <c r="A933" s="7" t="s">
        <v>1054</v>
      </c>
      <c r="B933" s="18" t="n">
        <f aca="false">IF(A933="","",IFERROR(INDEX(Sales_Memo!$B$2:$B$1001,MATCH(A933,Sales_Memo!$A$2:$A$1001,0)),""))</f>
        <v>46309</v>
      </c>
      <c r="C933" s="7" t="s">
        <v>77</v>
      </c>
      <c r="D933" s="16" t="str">
        <f aca="false">IF(C933="","",IFERROR(INDEX(Products!$B$2:$B$501,MATCH(C933,Products!$A$2:$A$501,0)),"CODE NOT FOUND"))</f>
        <v>Brake Pad Set - Front</v>
      </c>
      <c r="E933" s="7" t="n">
        <v>2</v>
      </c>
      <c r="F933" s="13" t="n">
        <v>480</v>
      </c>
      <c r="G933" s="13" t="n">
        <v>320</v>
      </c>
      <c r="H933" s="17" t="n">
        <f aca="false">IF(OR(E933="",F933=""),"",E933*F933)</f>
        <v>960</v>
      </c>
      <c r="I933" s="17" t="n">
        <f aca="false">IF(OR(E933="",G933=""),"",E933*G933)</f>
        <v>640</v>
      </c>
      <c r="J933" s="17" t="n">
        <f aca="false">IF(H933="","",H933-I933)</f>
        <v>320</v>
      </c>
    </row>
    <row r="934" customFormat="false" ht="15" hidden="false" customHeight="true" outlineLevel="0" collapsed="false">
      <c r="A934" s="7" t="s">
        <v>1055</v>
      </c>
      <c r="B934" s="18" t="n">
        <f aca="false">IF(A934="","",IFERROR(INDEX(Sales_Memo!$B$2:$B$1001,MATCH(A934,Sales_Memo!$A$2:$A$1001,0)),""))</f>
        <v>46309</v>
      </c>
      <c r="C934" s="7" t="s">
        <v>86</v>
      </c>
      <c r="D934" s="16" t="str">
        <f aca="false">IF(C934="","",IFERROR(INDEX(Products!$B$2:$B$501,MATCH(C934,Products!$A$2:$A$501,0)),"CODE NOT FOUND"))</f>
        <v>Spark Plug CPR8EA-9</v>
      </c>
      <c r="E934" s="7" t="n">
        <v>2</v>
      </c>
      <c r="F934" s="13" t="n">
        <v>260</v>
      </c>
      <c r="G934" s="13" t="n">
        <v>175</v>
      </c>
      <c r="H934" s="17" t="n">
        <f aca="false">IF(OR(E934="",F934=""),"",E934*F934)</f>
        <v>520</v>
      </c>
      <c r="I934" s="17" t="n">
        <f aca="false">IF(OR(E934="",G934=""),"",E934*G934)</f>
        <v>350</v>
      </c>
      <c r="J934" s="17" t="n">
        <f aca="false">IF(H934="","",H934-I934)</f>
        <v>170</v>
      </c>
    </row>
    <row r="935" customFormat="false" ht="15" hidden="false" customHeight="true" outlineLevel="0" collapsed="false">
      <c r="A935" s="7" t="s">
        <v>1056</v>
      </c>
      <c r="B935" s="18" t="n">
        <f aca="false">IF(A935="","",IFERROR(INDEX(Sales_Memo!$B$2:$B$1001,MATCH(A935,Sales_Memo!$A$2:$A$1001,0)),""))</f>
        <v>46309</v>
      </c>
      <c r="C935" s="7" t="s">
        <v>86</v>
      </c>
      <c r="D935" s="16" t="str">
        <f aca="false">IF(C935="","",IFERROR(INDEX(Products!$B$2:$B$501,MATCH(C935,Products!$A$2:$A$501,0)),"CODE NOT FOUND"))</f>
        <v>Spark Plug CPR8EA-9</v>
      </c>
      <c r="E935" s="7" t="n">
        <v>1</v>
      </c>
      <c r="F935" s="13" t="n">
        <v>260</v>
      </c>
      <c r="G935" s="13" t="n">
        <v>175</v>
      </c>
      <c r="H935" s="17" t="n">
        <f aca="false">IF(OR(E935="",F935=""),"",E935*F935)</f>
        <v>260</v>
      </c>
      <c r="I935" s="17" t="n">
        <f aca="false">IF(OR(E935="",G935=""),"",E935*G935)</f>
        <v>175</v>
      </c>
      <c r="J935" s="17" t="n">
        <f aca="false">IF(H935="","",H935-I935)</f>
        <v>85</v>
      </c>
    </row>
    <row r="936" customFormat="false" ht="15" hidden="false" customHeight="true" outlineLevel="0" collapsed="false">
      <c r="A936" s="7" t="s">
        <v>1057</v>
      </c>
      <c r="B936" s="18" t="n">
        <f aca="false">IF(A936="","",IFERROR(INDEX(Sales_Memo!$B$2:$B$1001,MATCH(A936,Sales_Memo!$A$2:$A$1001,0)),""))</f>
        <v>46310</v>
      </c>
      <c r="C936" s="7" t="s">
        <v>90</v>
      </c>
      <c r="D936" s="16" t="str">
        <f aca="false">IF(C936="","",IFERROR(INDEX(Products!$B$2:$B$501,MATCH(C936,Products!$A$2:$A$501,0)),"CODE NOT FOUND"))</f>
        <v>Air Filter 150cc</v>
      </c>
      <c r="E936" s="7" t="n">
        <v>3</v>
      </c>
      <c r="F936" s="13" t="n">
        <v>340</v>
      </c>
      <c r="G936" s="13" t="n">
        <v>210</v>
      </c>
      <c r="H936" s="17" t="n">
        <f aca="false">IF(OR(E936="",F936=""),"",E936*F936)</f>
        <v>1020</v>
      </c>
      <c r="I936" s="17" t="n">
        <f aca="false">IF(OR(E936="",G936=""),"",E936*G936)</f>
        <v>630</v>
      </c>
      <c r="J936" s="17" t="n">
        <f aca="false">IF(H936="","",H936-I936)</f>
        <v>390</v>
      </c>
    </row>
    <row r="937" customFormat="false" ht="15" hidden="false" customHeight="true" outlineLevel="0" collapsed="false">
      <c r="A937" s="7" t="s">
        <v>1057</v>
      </c>
      <c r="B937" s="18" t="n">
        <f aca="false">IF(A937="","",IFERROR(INDEX(Sales_Memo!$B$2:$B$1001,MATCH(A937,Sales_Memo!$A$2:$A$1001,0)),""))</f>
        <v>46310</v>
      </c>
      <c r="C937" s="7" t="s">
        <v>102</v>
      </c>
      <c r="D937" s="16" t="str">
        <f aca="false">IF(C937="","",IFERROR(INDEX(Products!$B$2:$B$501,MATCH(C937,Products!$A$2:$A$501,0)),"CODE NOT FOUND"))</f>
        <v>Headlight Bulb H4</v>
      </c>
      <c r="E937" s="7" t="n">
        <v>1</v>
      </c>
      <c r="F937" s="13" t="n">
        <v>240</v>
      </c>
      <c r="G937" s="13" t="n">
        <v>140</v>
      </c>
      <c r="H937" s="17" t="n">
        <f aca="false">IF(OR(E937="",F937=""),"",E937*F937)</f>
        <v>240</v>
      </c>
      <c r="I937" s="17" t="n">
        <f aca="false">IF(OR(E937="",G937=""),"",E937*G937)</f>
        <v>140</v>
      </c>
      <c r="J937" s="17" t="n">
        <f aca="false">IF(H937="","",H937-I937)</f>
        <v>100</v>
      </c>
    </row>
    <row r="938" customFormat="false" ht="15" hidden="false" customHeight="true" outlineLevel="0" collapsed="false">
      <c r="A938" s="7" t="s">
        <v>1058</v>
      </c>
      <c r="B938" s="18" t="n">
        <f aca="false">IF(A938="","",IFERROR(INDEX(Sales_Memo!$B$2:$B$1001,MATCH(A938,Sales_Memo!$A$2:$A$1001,0)),""))</f>
        <v>46310</v>
      </c>
      <c r="C938" s="7" t="s">
        <v>82</v>
      </c>
      <c r="D938" s="16" t="str">
        <f aca="false">IF(C938="","",IFERROR(INDEX(Products!$B$2:$B$501,MATCH(C938,Products!$A$2:$A$501,0)),"CODE NOT FOUND"))</f>
        <v>Clutch Cable</v>
      </c>
      <c r="E938" s="7" t="n">
        <v>1</v>
      </c>
      <c r="F938" s="13" t="n">
        <v>190</v>
      </c>
      <c r="G938" s="13" t="n">
        <v>110</v>
      </c>
      <c r="H938" s="17" t="n">
        <f aca="false">IF(OR(E938="",F938=""),"",E938*F938)</f>
        <v>190</v>
      </c>
      <c r="I938" s="17" t="n">
        <f aca="false">IF(OR(E938="",G938=""),"",E938*G938)</f>
        <v>110</v>
      </c>
      <c r="J938" s="17" t="n">
        <f aca="false">IF(H938="","",H938-I938)</f>
        <v>80</v>
      </c>
    </row>
    <row r="939" customFormat="false" ht="15" hidden="false" customHeight="true" outlineLevel="0" collapsed="false">
      <c r="A939" s="7" t="s">
        <v>1058</v>
      </c>
      <c r="B939" s="18" t="n">
        <f aca="false">IF(A939="","",IFERROR(INDEX(Sales_Memo!$B$2:$B$1001,MATCH(A939,Sales_Memo!$A$2:$A$1001,0)),""))</f>
        <v>46310</v>
      </c>
      <c r="C939" s="7" t="s">
        <v>114</v>
      </c>
      <c r="D939" s="16" t="str">
        <f aca="false">IF(C939="","",IFERROR(INDEX(Products!$B$2:$B$501,MATCH(C939,Products!$A$2:$A$501,0)),"CODE NOT FOUND"))</f>
        <v>Side Mirror (Pair)</v>
      </c>
      <c r="E939" s="7" t="n">
        <v>3</v>
      </c>
      <c r="F939" s="13" t="n">
        <v>620</v>
      </c>
      <c r="G939" s="13" t="n">
        <v>380</v>
      </c>
      <c r="H939" s="17" t="n">
        <f aca="false">IF(OR(E939="",F939=""),"",E939*F939)</f>
        <v>1860</v>
      </c>
      <c r="I939" s="17" t="n">
        <f aca="false">IF(OR(E939="",G939=""),"",E939*G939)</f>
        <v>1140</v>
      </c>
      <c r="J939" s="17" t="n">
        <f aca="false">IF(H939="","",H939-I939)</f>
        <v>720</v>
      </c>
    </row>
    <row r="940" customFormat="false" ht="15" hidden="false" customHeight="true" outlineLevel="0" collapsed="false">
      <c r="A940" s="7" t="s">
        <v>1059</v>
      </c>
      <c r="B940" s="18" t="n">
        <f aca="false">IF(A940="","",IFERROR(INDEX(Sales_Memo!$B$2:$B$1001,MATCH(A940,Sales_Memo!$A$2:$A$1001,0)),""))</f>
        <v>46310</v>
      </c>
      <c r="C940" s="7" t="s">
        <v>99</v>
      </c>
      <c r="D940" s="16" t="str">
        <f aca="false">IF(C940="","",IFERROR(INDEX(Products!$B$2:$B$501,MATCH(C940,Products!$A$2:$A$501,0)),"CODE NOT FOUND"))</f>
        <v>Engine Oil 20W-50 (1L)</v>
      </c>
      <c r="E940" s="7" t="n">
        <v>3</v>
      </c>
      <c r="F940" s="13" t="n">
        <v>990</v>
      </c>
      <c r="G940" s="13" t="n">
        <v>780</v>
      </c>
      <c r="H940" s="17" t="n">
        <f aca="false">IF(OR(E940="",F940=""),"",E940*F940)</f>
        <v>2970</v>
      </c>
      <c r="I940" s="17" t="n">
        <f aca="false">IF(OR(E940="",G940=""),"",E940*G940)</f>
        <v>2340</v>
      </c>
      <c r="J940" s="17" t="n">
        <f aca="false">IF(H940="","",H940-I940)</f>
        <v>630</v>
      </c>
    </row>
    <row r="941" customFormat="false" ht="15" hidden="false" customHeight="true" outlineLevel="0" collapsed="false">
      <c r="A941" s="7" t="s">
        <v>1059</v>
      </c>
      <c r="B941" s="18" t="n">
        <f aca="false">IF(A941="","",IFERROR(INDEX(Sales_Memo!$B$2:$B$1001,MATCH(A941,Sales_Memo!$A$2:$A$1001,0)),""))</f>
        <v>46310</v>
      </c>
      <c r="C941" s="7" t="s">
        <v>121</v>
      </c>
      <c r="D941" s="16" t="str">
        <f aca="false">IF(C941="","",IFERROR(INDEX(Products!$B$2:$B$501,MATCH(C941,Products!$A$2:$A$501,0)),"CODE NOT FOUND"))</f>
        <v>Handle Grip Set</v>
      </c>
      <c r="E941" s="7" t="n">
        <v>2</v>
      </c>
      <c r="F941" s="13" t="n">
        <v>280</v>
      </c>
      <c r="G941" s="13" t="n">
        <v>160</v>
      </c>
      <c r="H941" s="17" t="n">
        <f aca="false">IF(OR(E941="",F941=""),"",E941*F941)</f>
        <v>560</v>
      </c>
      <c r="I941" s="17" t="n">
        <f aca="false">IF(OR(E941="",G941=""),"",E941*G941)</f>
        <v>320</v>
      </c>
      <c r="J941" s="17" t="n">
        <f aca="false">IF(H941="","",H941-I941)</f>
        <v>240</v>
      </c>
    </row>
    <row r="942" customFormat="false" ht="15" hidden="false" customHeight="true" outlineLevel="0" collapsed="false">
      <c r="A942" s="7" t="s">
        <v>1059</v>
      </c>
      <c r="B942" s="18" t="n">
        <f aca="false">IF(A942="","",IFERROR(INDEX(Sales_Memo!$B$2:$B$1001,MATCH(A942,Sales_Memo!$A$2:$A$1001,0)),""))</f>
        <v>46310</v>
      </c>
      <c r="C942" s="7" t="s">
        <v>90</v>
      </c>
      <c r="D942" s="16" t="str">
        <f aca="false">IF(C942="","",IFERROR(INDEX(Products!$B$2:$B$501,MATCH(C942,Products!$A$2:$A$501,0)),"CODE NOT FOUND"))</f>
        <v>Air Filter 150cc</v>
      </c>
      <c r="E942" s="7" t="n">
        <v>2</v>
      </c>
      <c r="F942" s="13" t="n">
        <v>340</v>
      </c>
      <c r="G942" s="13" t="n">
        <v>210</v>
      </c>
      <c r="H942" s="17" t="n">
        <f aca="false">IF(OR(E942="",F942=""),"",E942*F942)</f>
        <v>680</v>
      </c>
      <c r="I942" s="17" t="n">
        <f aca="false">IF(OR(E942="",G942=""),"",E942*G942)</f>
        <v>420</v>
      </c>
      <c r="J942" s="17" t="n">
        <f aca="false">IF(H942="","",H942-I942)</f>
        <v>260</v>
      </c>
    </row>
    <row r="943" customFormat="false" ht="15" hidden="false" customHeight="true" outlineLevel="0" collapsed="false">
      <c r="A943" s="7" t="s">
        <v>1061</v>
      </c>
      <c r="B943" s="18" t="n">
        <f aca="false">IF(A943="","",IFERROR(INDEX(Sales_Memo!$B$2:$B$1001,MATCH(A943,Sales_Memo!$A$2:$A$1001,0)),""))</f>
        <v>46310</v>
      </c>
      <c r="C943" s="7" t="s">
        <v>114</v>
      </c>
      <c r="D943" s="16" t="str">
        <f aca="false">IF(C943="","",IFERROR(INDEX(Products!$B$2:$B$501,MATCH(C943,Products!$A$2:$A$501,0)),"CODE NOT FOUND"))</f>
        <v>Side Mirror (Pair)</v>
      </c>
      <c r="E943" s="7" t="n">
        <v>1</v>
      </c>
      <c r="F943" s="13" t="n">
        <v>620</v>
      </c>
      <c r="G943" s="13" t="n">
        <v>380</v>
      </c>
      <c r="H943" s="17" t="n">
        <f aca="false">IF(OR(E943="",F943=""),"",E943*F943)</f>
        <v>620</v>
      </c>
      <c r="I943" s="17" t="n">
        <f aca="false">IF(OR(E943="",G943=""),"",E943*G943)</f>
        <v>380</v>
      </c>
      <c r="J943" s="17" t="n">
        <f aca="false">IF(H943="","",H943-I943)</f>
        <v>240</v>
      </c>
    </row>
    <row r="944" customFormat="false" ht="15" hidden="false" customHeight="true" outlineLevel="0" collapsed="false">
      <c r="A944" s="7" t="s">
        <v>1061</v>
      </c>
      <c r="B944" s="18" t="n">
        <f aca="false">IF(A944="","",IFERROR(INDEX(Sales_Memo!$B$2:$B$1001,MATCH(A944,Sales_Memo!$A$2:$A$1001,0)),""))</f>
        <v>46310</v>
      </c>
      <c r="C944" s="7" t="s">
        <v>96</v>
      </c>
      <c r="D944" s="16" t="str">
        <f aca="false">IF(C944="","",IFERROR(INDEX(Products!$B$2:$B$501,MATCH(C944,Products!$A$2:$A$501,0)),"CODE NOT FOUND"))</f>
        <v>Engine Oil 10W-30 (1L)</v>
      </c>
      <c r="E944" s="7" t="n">
        <v>2</v>
      </c>
      <c r="F944" s="13" t="n">
        <v>780</v>
      </c>
      <c r="G944" s="13" t="n">
        <v>620</v>
      </c>
      <c r="H944" s="17" t="n">
        <f aca="false">IF(OR(E944="",F944=""),"",E944*F944)</f>
        <v>1560</v>
      </c>
      <c r="I944" s="17" t="n">
        <f aca="false">IF(OR(E944="",G944=""),"",E944*G944)</f>
        <v>1240</v>
      </c>
      <c r="J944" s="17" t="n">
        <f aca="false">IF(H944="","",H944-I944)</f>
        <v>320</v>
      </c>
    </row>
    <row r="945" customFormat="false" ht="15" hidden="false" customHeight="true" outlineLevel="0" collapsed="false">
      <c r="A945" s="7" t="s">
        <v>1061</v>
      </c>
      <c r="B945" s="18" t="n">
        <f aca="false">IF(A945="","",IFERROR(INDEX(Sales_Memo!$B$2:$B$1001,MATCH(A945,Sales_Memo!$A$2:$A$1001,0)),""))</f>
        <v>46310</v>
      </c>
      <c r="C945" s="7" t="s">
        <v>82</v>
      </c>
      <c r="D945" s="16" t="str">
        <f aca="false">IF(C945="","",IFERROR(INDEX(Products!$B$2:$B$501,MATCH(C945,Products!$A$2:$A$501,0)),"CODE NOT FOUND"))</f>
        <v>Clutch Cable</v>
      </c>
      <c r="E945" s="7" t="n">
        <v>1</v>
      </c>
      <c r="F945" s="13" t="n">
        <v>190</v>
      </c>
      <c r="G945" s="13" t="n">
        <v>110</v>
      </c>
      <c r="H945" s="17" t="n">
        <f aca="false">IF(OR(E945="",F945=""),"",E945*F945)</f>
        <v>190</v>
      </c>
      <c r="I945" s="17" t="n">
        <f aca="false">IF(OR(E945="",G945=""),"",E945*G945)</f>
        <v>110</v>
      </c>
      <c r="J945" s="17" t="n">
        <f aca="false">IF(H945="","",H945-I945)</f>
        <v>80</v>
      </c>
    </row>
    <row r="946" customFormat="false" ht="15" hidden="false" customHeight="true" outlineLevel="0" collapsed="false">
      <c r="A946" s="7" t="s">
        <v>1062</v>
      </c>
      <c r="B946" s="18" t="n">
        <f aca="false">IF(A946="","",IFERROR(INDEX(Sales_Memo!$B$2:$B$1001,MATCH(A946,Sales_Memo!$A$2:$A$1001,0)),""))</f>
        <v>46310</v>
      </c>
      <c r="C946" s="7" t="s">
        <v>90</v>
      </c>
      <c r="D946" s="16" t="str">
        <f aca="false">IF(C946="","",IFERROR(INDEX(Products!$B$2:$B$501,MATCH(C946,Products!$A$2:$A$501,0)),"CODE NOT FOUND"))</f>
        <v>Air Filter 150cc</v>
      </c>
      <c r="E946" s="7" t="n">
        <v>1</v>
      </c>
      <c r="F946" s="13" t="n">
        <v>340</v>
      </c>
      <c r="G946" s="13" t="n">
        <v>210</v>
      </c>
      <c r="H946" s="17" t="n">
        <f aca="false">IF(OR(E946="",F946=""),"",E946*F946)</f>
        <v>340</v>
      </c>
      <c r="I946" s="17" t="n">
        <f aca="false">IF(OR(E946="",G946=""),"",E946*G946)</f>
        <v>210</v>
      </c>
      <c r="J946" s="17" t="n">
        <f aca="false">IF(H946="","",H946-I946)</f>
        <v>130</v>
      </c>
    </row>
    <row r="947" customFormat="false" ht="15" hidden="false" customHeight="true" outlineLevel="0" collapsed="false">
      <c r="A947" s="7" t="s">
        <v>1063</v>
      </c>
      <c r="B947" s="18" t="n">
        <f aca="false">IF(A947="","",IFERROR(INDEX(Sales_Memo!$B$2:$B$1001,MATCH(A947,Sales_Memo!$A$2:$A$1001,0)),""))</f>
        <v>46310</v>
      </c>
      <c r="C947" s="7" t="s">
        <v>119</v>
      </c>
      <c r="D947" s="16" t="str">
        <f aca="false">IF(C947="","",IFERROR(INDEX(Products!$B$2:$B$501,MATCH(C947,Products!$A$2:$A$501,0)),"CODE NOT FOUND"))</f>
        <v>Chain Lube Spray</v>
      </c>
      <c r="E947" s="7" t="n">
        <v>2</v>
      </c>
      <c r="F947" s="13" t="n">
        <v>270</v>
      </c>
      <c r="G947" s="13" t="n">
        <v>170</v>
      </c>
      <c r="H947" s="17" t="n">
        <f aca="false">IF(OR(E947="",F947=""),"",E947*F947)</f>
        <v>540</v>
      </c>
      <c r="I947" s="17" t="n">
        <f aca="false">IF(OR(E947="",G947=""),"",E947*G947)</f>
        <v>340</v>
      </c>
      <c r="J947" s="17" t="n">
        <f aca="false">IF(H947="","",H947-I947)</f>
        <v>200</v>
      </c>
    </row>
    <row r="948" customFormat="false" ht="15" hidden="false" customHeight="true" outlineLevel="0" collapsed="false">
      <c r="A948" s="7" t="s">
        <v>1064</v>
      </c>
      <c r="B948" s="18" t="n">
        <f aca="false">IF(A948="","",IFERROR(INDEX(Sales_Memo!$B$2:$B$1001,MATCH(A948,Sales_Memo!$A$2:$A$1001,0)),""))</f>
        <v>46310</v>
      </c>
      <c r="C948" s="7" t="s">
        <v>90</v>
      </c>
      <c r="D948" s="16" t="str">
        <f aca="false">IF(C948="","",IFERROR(INDEX(Products!$B$2:$B$501,MATCH(C948,Products!$A$2:$A$501,0)),"CODE NOT FOUND"))</f>
        <v>Air Filter 150cc</v>
      </c>
      <c r="E948" s="7" t="n">
        <v>2</v>
      </c>
      <c r="F948" s="13" t="n">
        <v>340</v>
      </c>
      <c r="G948" s="13" t="n">
        <v>210</v>
      </c>
      <c r="H948" s="17" t="n">
        <f aca="false">IF(OR(E948="",F948=""),"",E948*F948)</f>
        <v>680</v>
      </c>
      <c r="I948" s="17" t="n">
        <f aca="false">IF(OR(E948="",G948=""),"",E948*G948)</f>
        <v>420</v>
      </c>
      <c r="J948" s="17" t="n">
        <f aca="false">IF(H948="","",H948-I948)</f>
        <v>260</v>
      </c>
    </row>
    <row r="949" customFormat="false" ht="15" hidden="false" customHeight="true" outlineLevel="0" collapsed="false">
      <c r="A949" s="7" t="s">
        <v>1065</v>
      </c>
      <c r="B949" s="18" t="n">
        <f aca="false">IF(A949="","",IFERROR(INDEX(Sales_Memo!$B$2:$B$1001,MATCH(A949,Sales_Memo!$A$2:$A$1001,0)),""))</f>
        <v>46310</v>
      </c>
      <c r="C949" s="7" t="s">
        <v>121</v>
      </c>
      <c r="D949" s="16" t="str">
        <f aca="false">IF(C949="","",IFERROR(INDEX(Products!$B$2:$B$501,MATCH(C949,Products!$A$2:$A$501,0)),"CODE NOT FOUND"))</f>
        <v>Handle Grip Set</v>
      </c>
      <c r="E949" s="7" t="n">
        <v>1</v>
      </c>
      <c r="F949" s="13" t="n">
        <v>280</v>
      </c>
      <c r="G949" s="13" t="n">
        <v>160</v>
      </c>
      <c r="H949" s="17" t="n">
        <f aca="false">IF(OR(E949="",F949=""),"",E949*F949)</f>
        <v>280</v>
      </c>
      <c r="I949" s="17" t="n">
        <f aca="false">IF(OR(E949="",G949=""),"",E949*G949)</f>
        <v>160</v>
      </c>
      <c r="J949" s="17" t="n">
        <f aca="false">IF(H949="","",H949-I949)</f>
        <v>120</v>
      </c>
    </row>
    <row r="950" customFormat="false" ht="15" hidden="false" customHeight="true" outlineLevel="0" collapsed="false">
      <c r="A950" s="7" t="s">
        <v>1066</v>
      </c>
      <c r="B950" s="18" t="n">
        <f aca="false">IF(A950="","",IFERROR(INDEX(Sales_Memo!$B$2:$B$1001,MATCH(A950,Sales_Memo!$A$2:$A$1001,0)),""))</f>
        <v>46310</v>
      </c>
      <c r="C950" s="7" t="s">
        <v>119</v>
      </c>
      <c r="D950" s="16" t="str">
        <f aca="false">IF(C950="","",IFERROR(INDEX(Products!$B$2:$B$501,MATCH(C950,Products!$A$2:$A$501,0)),"CODE NOT FOUND"))</f>
        <v>Chain Lube Spray</v>
      </c>
      <c r="E950" s="7" t="n">
        <v>1</v>
      </c>
      <c r="F950" s="13" t="n">
        <v>270</v>
      </c>
      <c r="G950" s="13" t="n">
        <v>170</v>
      </c>
      <c r="H950" s="17" t="n">
        <f aca="false">IF(OR(E950="",F950=""),"",E950*F950)</f>
        <v>270</v>
      </c>
      <c r="I950" s="17" t="n">
        <f aca="false">IF(OR(E950="",G950=""),"",E950*G950)</f>
        <v>170</v>
      </c>
      <c r="J950" s="17" t="n">
        <f aca="false">IF(H950="","",H950-I950)</f>
        <v>100</v>
      </c>
    </row>
    <row r="951" customFormat="false" ht="15" hidden="false" customHeight="true" outlineLevel="0" collapsed="false">
      <c r="A951" s="7" t="s">
        <v>1066</v>
      </c>
      <c r="B951" s="18" t="n">
        <f aca="false">IF(A951="","",IFERROR(INDEX(Sales_Memo!$B$2:$B$1001,MATCH(A951,Sales_Memo!$A$2:$A$1001,0)),""))</f>
        <v>46310</v>
      </c>
      <c r="C951" s="7" t="s">
        <v>86</v>
      </c>
      <c r="D951" s="16" t="str">
        <f aca="false">IF(C951="","",IFERROR(INDEX(Products!$B$2:$B$501,MATCH(C951,Products!$A$2:$A$501,0)),"CODE NOT FOUND"))</f>
        <v>Spark Plug CPR8EA-9</v>
      </c>
      <c r="E951" s="7" t="n">
        <v>1</v>
      </c>
      <c r="F951" s="13" t="n">
        <v>260</v>
      </c>
      <c r="G951" s="13" t="n">
        <v>175</v>
      </c>
      <c r="H951" s="17" t="n">
        <f aca="false">IF(OR(E951="",F951=""),"",E951*F951)</f>
        <v>260</v>
      </c>
      <c r="I951" s="17" t="n">
        <f aca="false">IF(OR(E951="",G951=""),"",E951*G951)</f>
        <v>175</v>
      </c>
      <c r="J951" s="17" t="n">
        <f aca="false">IF(H951="","",H951-I951)</f>
        <v>85</v>
      </c>
    </row>
    <row r="952" customFormat="false" ht="15" hidden="false" customHeight="true" outlineLevel="0" collapsed="false">
      <c r="A952" s="7" t="s">
        <v>1066</v>
      </c>
      <c r="B952" s="18" t="n">
        <f aca="false">IF(A952="","",IFERROR(INDEX(Sales_Memo!$B$2:$B$1001,MATCH(A952,Sales_Memo!$A$2:$A$1001,0)),""))</f>
        <v>46310</v>
      </c>
      <c r="C952" s="7" t="s">
        <v>114</v>
      </c>
      <c r="D952" s="16" t="str">
        <f aca="false">IF(C952="","",IFERROR(INDEX(Products!$B$2:$B$501,MATCH(C952,Products!$A$2:$A$501,0)),"CODE NOT FOUND"))</f>
        <v>Side Mirror (Pair)</v>
      </c>
      <c r="E952" s="7" t="n">
        <v>3</v>
      </c>
      <c r="F952" s="13" t="n">
        <v>620</v>
      </c>
      <c r="G952" s="13" t="n">
        <v>380</v>
      </c>
      <c r="H952" s="17" t="n">
        <f aca="false">IF(OR(E952="",F952=""),"",E952*F952)</f>
        <v>1860</v>
      </c>
      <c r="I952" s="17" t="n">
        <f aca="false">IF(OR(E952="",G952=""),"",E952*G952)</f>
        <v>1140</v>
      </c>
      <c r="J952" s="17" t="n">
        <f aca="false">IF(H952="","",H952-I952)</f>
        <v>720</v>
      </c>
    </row>
    <row r="953" customFormat="false" ht="15" hidden="false" customHeight="true" outlineLevel="0" collapsed="false">
      <c r="A953" s="7" t="s">
        <v>1067</v>
      </c>
      <c r="B953" s="18" t="n">
        <f aca="false">IF(A953="","",IFERROR(INDEX(Sales_Memo!$B$2:$B$1001,MATCH(A953,Sales_Memo!$A$2:$A$1001,0)),""))</f>
        <v>46310</v>
      </c>
      <c r="C953" s="7" t="s">
        <v>119</v>
      </c>
      <c r="D953" s="16" t="str">
        <f aca="false">IF(C953="","",IFERROR(INDEX(Products!$B$2:$B$501,MATCH(C953,Products!$A$2:$A$501,0)),"CODE NOT FOUND"))</f>
        <v>Chain Lube Spray</v>
      </c>
      <c r="E953" s="7" t="n">
        <v>3</v>
      </c>
      <c r="F953" s="13" t="n">
        <v>270</v>
      </c>
      <c r="G953" s="13" t="n">
        <v>170</v>
      </c>
      <c r="H953" s="17" t="n">
        <f aca="false">IF(OR(E953="",F953=""),"",E953*F953)</f>
        <v>810</v>
      </c>
      <c r="I953" s="17" t="n">
        <f aca="false">IF(OR(E953="",G953=""),"",E953*G953)</f>
        <v>510</v>
      </c>
      <c r="J953" s="17" t="n">
        <f aca="false">IF(H953="","",H953-I953)</f>
        <v>300</v>
      </c>
    </row>
    <row r="954" customFormat="false" ht="15" hidden="false" customHeight="true" outlineLevel="0" collapsed="false">
      <c r="A954" s="7" t="s">
        <v>1068</v>
      </c>
      <c r="B954" s="18" t="n">
        <f aca="false">IF(A954="","",IFERROR(INDEX(Sales_Memo!$B$2:$B$1001,MATCH(A954,Sales_Memo!$A$2:$A$1001,0)),""))</f>
        <v>46310</v>
      </c>
      <c r="C954" s="7" t="s">
        <v>114</v>
      </c>
      <c r="D954" s="16" t="str">
        <f aca="false">IF(C954="","",IFERROR(INDEX(Products!$B$2:$B$501,MATCH(C954,Products!$A$2:$A$501,0)),"CODE NOT FOUND"))</f>
        <v>Side Mirror (Pair)</v>
      </c>
      <c r="E954" s="7" t="n">
        <v>1</v>
      </c>
      <c r="F954" s="13" t="n">
        <v>620</v>
      </c>
      <c r="G954" s="13" t="n">
        <v>380</v>
      </c>
      <c r="H954" s="17" t="n">
        <f aca="false">IF(OR(E954="",F954=""),"",E954*F954)</f>
        <v>620</v>
      </c>
      <c r="I954" s="17" t="n">
        <f aca="false">IF(OR(E954="",G954=""),"",E954*G954)</f>
        <v>380</v>
      </c>
      <c r="J954" s="17" t="n">
        <f aca="false">IF(H954="","",H954-I954)</f>
        <v>240</v>
      </c>
    </row>
    <row r="955" customFormat="false" ht="15" hidden="false" customHeight="true" outlineLevel="0" collapsed="false">
      <c r="A955" s="7" t="s">
        <v>1068</v>
      </c>
      <c r="B955" s="18" t="n">
        <f aca="false">IF(A955="","",IFERROR(INDEX(Sales_Memo!$B$2:$B$1001,MATCH(A955,Sales_Memo!$A$2:$A$1001,0)),""))</f>
        <v>46310</v>
      </c>
      <c r="C955" s="7" t="s">
        <v>102</v>
      </c>
      <c r="D955" s="16" t="str">
        <f aca="false">IF(C955="","",IFERROR(INDEX(Products!$B$2:$B$501,MATCH(C955,Products!$A$2:$A$501,0)),"CODE NOT FOUND"))</f>
        <v>Headlight Bulb H4</v>
      </c>
      <c r="E955" s="7" t="n">
        <v>2</v>
      </c>
      <c r="F955" s="13" t="n">
        <v>240</v>
      </c>
      <c r="G955" s="13" t="n">
        <v>140</v>
      </c>
      <c r="H955" s="17" t="n">
        <f aca="false">IF(OR(E955="",F955=""),"",E955*F955)</f>
        <v>480</v>
      </c>
      <c r="I955" s="17" t="n">
        <f aca="false">IF(OR(E955="",G955=""),"",E955*G955)</f>
        <v>280</v>
      </c>
      <c r="J955" s="17" t="n">
        <f aca="false">IF(H955="","",H955-I955)</f>
        <v>200</v>
      </c>
    </row>
    <row r="956" customFormat="false" ht="15" hidden="false" customHeight="true" outlineLevel="0" collapsed="false">
      <c r="A956" s="7" t="s">
        <v>1068</v>
      </c>
      <c r="B956" s="18" t="n">
        <f aca="false">IF(A956="","",IFERROR(INDEX(Sales_Memo!$B$2:$B$1001,MATCH(A956,Sales_Memo!$A$2:$A$1001,0)),""))</f>
        <v>46310</v>
      </c>
      <c r="C956" s="7" t="s">
        <v>90</v>
      </c>
      <c r="D956" s="16" t="str">
        <f aca="false">IF(C956="","",IFERROR(INDEX(Products!$B$2:$B$501,MATCH(C956,Products!$A$2:$A$501,0)),"CODE NOT FOUND"))</f>
        <v>Air Filter 150cc</v>
      </c>
      <c r="E956" s="7" t="n">
        <v>1</v>
      </c>
      <c r="F956" s="13" t="n">
        <v>340</v>
      </c>
      <c r="G956" s="13" t="n">
        <v>210</v>
      </c>
      <c r="H956" s="17" t="n">
        <f aca="false">IF(OR(E956="",F956=""),"",E956*F956)</f>
        <v>340</v>
      </c>
      <c r="I956" s="17" t="n">
        <f aca="false">IF(OR(E956="",G956=""),"",E956*G956)</f>
        <v>210</v>
      </c>
      <c r="J956" s="17" t="n">
        <f aca="false">IF(H956="","",H956-I956)</f>
        <v>130</v>
      </c>
    </row>
    <row r="957" customFormat="false" ht="15" hidden="false" customHeight="true" outlineLevel="0" collapsed="false">
      <c r="A957" s="7" t="s">
        <v>1069</v>
      </c>
      <c r="B957" s="18" t="n">
        <f aca="false">IF(A957="","",IFERROR(INDEX(Sales_Memo!$B$2:$B$1001,MATCH(A957,Sales_Memo!$A$2:$A$1001,0)),""))</f>
        <v>46310</v>
      </c>
      <c r="C957" s="7" t="s">
        <v>119</v>
      </c>
      <c r="D957" s="16" t="str">
        <f aca="false">IF(C957="","",IFERROR(INDEX(Products!$B$2:$B$501,MATCH(C957,Products!$A$2:$A$501,0)),"CODE NOT FOUND"))</f>
        <v>Chain Lube Spray</v>
      </c>
      <c r="E957" s="7" t="n">
        <v>2</v>
      </c>
      <c r="F957" s="13" t="n">
        <v>270</v>
      </c>
      <c r="G957" s="13" t="n">
        <v>170</v>
      </c>
      <c r="H957" s="17" t="n">
        <f aca="false">IF(OR(E957="",F957=""),"",E957*F957)</f>
        <v>540</v>
      </c>
      <c r="I957" s="17" t="n">
        <f aca="false">IF(OR(E957="",G957=""),"",E957*G957)</f>
        <v>340</v>
      </c>
      <c r="J957" s="17" t="n">
        <f aca="false">IF(H957="","",H957-I957)</f>
        <v>200</v>
      </c>
    </row>
    <row r="958" customFormat="false" ht="15" hidden="false" customHeight="true" outlineLevel="0" collapsed="false">
      <c r="A958" s="7" t="s">
        <v>1069</v>
      </c>
      <c r="B958" s="18" t="n">
        <f aca="false">IF(A958="","",IFERROR(INDEX(Sales_Memo!$B$2:$B$1001,MATCH(A958,Sales_Memo!$A$2:$A$1001,0)),""))</f>
        <v>46310</v>
      </c>
      <c r="C958" s="7" t="s">
        <v>77</v>
      </c>
      <c r="D958" s="16" t="str">
        <f aca="false">IF(C958="","",IFERROR(INDEX(Products!$B$2:$B$501,MATCH(C958,Products!$A$2:$A$501,0)),"CODE NOT FOUND"))</f>
        <v>Brake Pad Set - Front</v>
      </c>
      <c r="E958" s="7" t="n">
        <v>1</v>
      </c>
      <c r="F958" s="13" t="n">
        <v>480</v>
      </c>
      <c r="G958" s="13" t="n">
        <v>320</v>
      </c>
      <c r="H958" s="17" t="n">
        <f aca="false">IF(OR(E958="",F958=""),"",E958*F958)</f>
        <v>480</v>
      </c>
      <c r="I958" s="17" t="n">
        <f aca="false">IF(OR(E958="",G958=""),"",E958*G958)</f>
        <v>320</v>
      </c>
      <c r="J958" s="17" t="n">
        <f aca="false">IF(H958="","",H958-I958)</f>
        <v>160</v>
      </c>
    </row>
    <row r="959" customFormat="false" ht="15" hidden="false" customHeight="true" outlineLevel="0" collapsed="false">
      <c r="A959" s="7" t="s">
        <v>1070</v>
      </c>
      <c r="B959" s="18" t="n">
        <f aca="false">IF(A959="","",IFERROR(INDEX(Sales_Memo!$B$2:$B$1001,MATCH(A959,Sales_Memo!$A$2:$A$1001,0)),""))</f>
        <v>46312</v>
      </c>
      <c r="C959" s="7" t="s">
        <v>82</v>
      </c>
      <c r="D959" s="16" t="str">
        <f aca="false">IF(C959="","",IFERROR(INDEX(Products!$B$2:$B$501,MATCH(C959,Products!$A$2:$A$501,0)),"CODE NOT FOUND"))</f>
        <v>Clutch Cable</v>
      </c>
      <c r="E959" s="7" t="n">
        <v>1</v>
      </c>
      <c r="F959" s="13" t="n">
        <v>190</v>
      </c>
      <c r="G959" s="13" t="n">
        <v>110</v>
      </c>
      <c r="H959" s="17" t="n">
        <f aca="false">IF(OR(E959="",F959=""),"",E959*F959)</f>
        <v>190</v>
      </c>
      <c r="I959" s="17" t="n">
        <f aca="false">IF(OR(E959="",G959=""),"",E959*G959)</f>
        <v>110</v>
      </c>
      <c r="J959" s="17" t="n">
        <f aca="false">IF(H959="","",H959-I959)</f>
        <v>80</v>
      </c>
    </row>
    <row r="960" customFormat="false" ht="15" hidden="false" customHeight="true" outlineLevel="0" collapsed="false">
      <c r="A960" s="7" t="s">
        <v>1071</v>
      </c>
      <c r="B960" s="18" t="n">
        <f aca="false">IF(A960="","",IFERROR(INDEX(Sales_Memo!$B$2:$B$1001,MATCH(A960,Sales_Memo!$A$2:$A$1001,0)),""))</f>
        <v>46312</v>
      </c>
      <c r="C960" s="7" t="s">
        <v>102</v>
      </c>
      <c r="D960" s="16" t="str">
        <f aca="false">IF(C960="","",IFERROR(INDEX(Products!$B$2:$B$501,MATCH(C960,Products!$A$2:$A$501,0)),"CODE NOT FOUND"))</f>
        <v>Headlight Bulb H4</v>
      </c>
      <c r="E960" s="7" t="n">
        <v>2</v>
      </c>
      <c r="F960" s="13" t="n">
        <v>240</v>
      </c>
      <c r="G960" s="13" t="n">
        <v>140</v>
      </c>
      <c r="H960" s="17" t="n">
        <f aca="false">IF(OR(E960="",F960=""),"",E960*F960)</f>
        <v>480</v>
      </c>
      <c r="I960" s="17" t="n">
        <f aca="false">IF(OR(E960="",G960=""),"",E960*G960)</f>
        <v>280</v>
      </c>
      <c r="J960" s="17" t="n">
        <f aca="false">IF(H960="","",H960-I960)</f>
        <v>200</v>
      </c>
    </row>
    <row r="961" customFormat="false" ht="15" hidden="false" customHeight="true" outlineLevel="0" collapsed="false">
      <c r="A961" s="7" t="s">
        <v>1071</v>
      </c>
      <c r="B961" s="18" t="n">
        <f aca="false">IF(A961="","",IFERROR(INDEX(Sales_Memo!$B$2:$B$1001,MATCH(A961,Sales_Memo!$A$2:$A$1001,0)),""))</f>
        <v>46312</v>
      </c>
      <c r="C961" s="7" t="s">
        <v>96</v>
      </c>
      <c r="D961" s="16" t="str">
        <f aca="false">IF(C961="","",IFERROR(INDEX(Products!$B$2:$B$501,MATCH(C961,Products!$A$2:$A$501,0)),"CODE NOT FOUND"))</f>
        <v>Engine Oil 10W-30 (1L)</v>
      </c>
      <c r="E961" s="7" t="n">
        <v>1</v>
      </c>
      <c r="F961" s="13" t="n">
        <v>780</v>
      </c>
      <c r="G961" s="13" t="n">
        <v>620</v>
      </c>
      <c r="H961" s="17" t="n">
        <f aca="false">IF(OR(E961="",F961=""),"",E961*F961)</f>
        <v>780</v>
      </c>
      <c r="I961" s="17" t="n">
        <f aca="false">IF(OR(E961="",G961=""),"",E961*G961)</f>
        <v>620</v>
      </c>
      <c r="J961" s="17" t="n">
        <f aca="false">IF(H961="","",H961-I961)</f>
        <v>160</v>
      </c>
    </row>
    <row r="962" customFormat="false" ht="15" hidden="false" customHeight="true" outlineLevel="0" collapsed="false">
      <c r="A962" s="7" t="s">
        <v>1071</v>
      </c>
      <c r="B962" s="18" t="n">
        <f aca="false">IF(A962="","",IFERROR(INDEX(Sales_Memo!$B$2:$B$1001,MATCH(A962,Sales_Memo!$A$2:$A$1001,0)),""))</f>
        <v>46312</v>
      </c>
      <c r="C962" s="7" t="s">
        <v>93</v>
      </c>
      <c r="D962" s="16" t="str">
        <f aca="false">IF(C962="","",IFERROR(INDEX(Products!$B$2:$B$501,MATCH(C962,Products!$A$2:$A$501,0)),"CODE NOT FOUND"))</f>
        <v>Chain &amp; Sprocket Kit</v>
      </c>
      <c r="E962" s="7" t="n">
        <v>1</v>
      </c>
      <c r="F962" s="13" t="n">
        <v>2350</v>
      </c>
      <c r="G962" s="13" t="n">
        <v>1750</v>
      </c>
      <c r="H962" s="17" t="n">
        <f aca="false">IF(OR(E962="",F962=""),"",E962*F962)</f>
        <v>2350</v>
      </c>
      <c r="I962" s="17" t="n">
        <f aca="false">IF(OR(E962="",G962=""),"",E962*G962)</f>
        <v>1750</v>
      </c>
      <c r="J962" s="17" t="n">
        <f aca="false">IF(H962="","",H962-I962)</f>
        <v>600</v>
      </c>
    </row>
    <row r="963" customFormat="false" ht="15" hidden="false" customHeight="true" outlineLevel="0" collapsed="false">
      <c r="A963" s="7" t="s">
        <v>1072</v>
      </c>
      <c r="B963" s="18" t="n">
        <f aca="false">IF(A963="","",IFERROR(INDEX(Sales_Memo!$B$2:$B$1001,MATCH(A963,Sales_Memo!$A$2:$A$1001,0)),""))</f>
        <v>46312</v>
      </c>
      <c r="C963" s="7" t="s">
        <v>90</v>
      </c>
      <c r="D963" s="16" t="str">
        <f aca="false">IF(C963="","",IFERROR(INDEX(Products!$B$2:$B$501,MATCH(C963,Products!$A$2:$A$501,0)),"CODE NOT FOUND"))</f>
        <v>Air Filter 150cc</v>
      </c>
      <c r="E963" s="7" t="n">
        <v>1</v>
      </c>
      <c r="F963" s="13" t="n">
        <v>340</v>
      </c>
      <c r="G963" s="13" t="n">
        <v>210</v>
      </c>
      <c r="H963" s="17" t="n">
        <f aca="false">IF(OR(E963="",F963=""),"",E963*F963)</f>
        <v>340</v>
      </c>
      <c r="I963" s="17" t="n">
        <f aca="false">IF(OR(E963="",G963=""),"",E963*G963)</f>
        <v>210</v>
      </c>
      <c r="J963" s="17" t="n">
        <f aca="false">IF(H963="","",H963-I963)</f>
        <v>130</v>
      </c>
    </row>
    <row r="964" customFormat="false" ht="15" hidden="false" customHeight="true" outlineLevel="0" collapsed="false">
      <c r="A964" s="7" t="s">
        <v>1072</v>
      </c>
      <c r="B964" s="18" t="n">
        <f aca="false">IF(A964="","",IFERROR(INDEX(Sales_Memo!$B$2:$B$1001,MATCH(A964,Sales_Memo!$A$2:$A$1001,0)),""))</f>
        <v>46312</v>
      </c>
      <c r="C964" s="7" t="s">
        <v>86</v>
      </c>
      <c r="D964" s="16" t="str">
        <f aca="false">IF(C964="","",IFERROR(INDEX(Products!$B$2:$B$501,MATCH(C964,Products!$A$2:$A$501,0)),"CODE NOT FOUND"))</f>
        <v>Spark Plug CPR8EA-9</v>
      </c>
      <c r="E964" s="7" t="n">
        <v>2</v>
      </c>
      <c r="F964" s="13" t="n">
        <v>260</v>
      </c>
      <c r="G964" s="13" t="n">
        <v>175</v>
      </c>
      <c r="H964" s="17" t="n">
        <f aca="false">IF(OR(E964="",F964=""),"",E964*F964)</f>
        <v>520</v>
      </c>
      <c r="I964" s="17" t="n">
        <f aca="false">IF(OR(E964="",G964=""),"",E964*G964)</f>
        <v>350</v>
      </c>
      <c r="J964" s="17" t="n">
        <f aca="false">IF(H964="","",H964-I964)</f>
        <v>170</v>
      </c>
    </row>
    <row r="965" customFormat="false" ht="15" hidden="false" customHeight="true" outlineLevel="0" collapsed="false">
      <c r="A965" s="7" t="s">
        <v>1074</v>
      </c>
      <c r="B965" s="18" t="n">
        <f aca="false">IF(A965="","",IFERROR(INDEX(Sales_Memo!$B$2:$B$1001,MATCH(A965,Sales_Memo!$A$2:$A$1001,0)),""))</f>
        <v>46312</v>
      </c>
      <c r="C965" s="7" t="s">
        <v>102</v>
      </c>
      <c r="D965" s="16" t="str">
        <f aca="false">IF(C965="","",IFERROR(INDEX(Products!$B$2:$B$501,MATCH(C965,Products!$A$2:$A$501,0)),"CODE NOT FOUND"))</f>
        <v>Headlight Bulb H4</v>
      </c>
      <c r="E965" s="7" t="n">
        <v>3</v>
      </c>
      <c r="F965" s="13" t="n">
        <v>240</v>
      </c>
      <c r="G965" s="13" t="n">
        <v>140</v>
      </c>
      <c r="H965" s="17" t="n">
        <f aca="false">IF(OR(E965="",F965=""),"",E965*F965)</f>
        <v>720</v>
      </c>
      <c r="I965" s="17" t="n">
        <f aca="false">IF(OR(E965="",G965=""),"",E965*G965)</f>
        <v>420</v>
      </c>
      <c r="J965" s="17" t="n">
        <f aca="false">IF(H965="","",H965-I965)</f>
        <v>300</v>
      </c>
    </row>
    <row r="966" customFormat="false" ht="15" hidden="false" customHeight="true" outlineLevel="0" collapsed="false">
      <c r="A966" s="7" t="s">
        <v>1074</v>
      </c>
      <c r="B966" s="18" t="n">
        <f aca="false">IF(A966="","",IFERROR(INDEX(Sales_Memo!$B$2:$B$1001,MATCH(A966,Sales_Memo!$A$2:$A$1001,0)),""))</f>
        <v>46312</v>
      </c>
      <c r="C966" s="7" t="s">
        <v>121</v>
      </c>
      <c r="D966" s="16" t="str">
        <f aca="false">IF(C966="","",IFERROR(INDEX(Products!$B$2:$B$501,MATCH(C966,Products!$A$2:$A$501,0)),"CODE NOT FOUND"))</f>
        <v>Handle Grip Set</v>
      </c>
      <c r="E966" s="7" t="n">
        <v>3</v>
      </c>
      <c r="F966" s="13" t="n">
        <v>280</v>
      </c>
      <c r="G966" s="13" t="n">
        <v>160</v>
      </c>
      <c r="H966" s="17" t="n">
        <f aca="false">IF(OR(E966="",F966=""),"",E966*F966)</f>
        <v>840</v>
      </c>
      <c r="I966" s="17" t="n">
        <f aca="false">IF(OR(E966="",G966=""),"",E966*G966)</f>
        <v>480</v>
      </c>
      <c r="J966" s="17" t="n">
        <f aca="false">IF(H966="","",H966-I966)</f>
        <v>360</v>
      </c>
    </row>
    <row r="967" customFormat="false" ht="15" hidden="false" customHeight="true" outlineLevel="0" collapsed="false">
      <c r="A967" s="7" t="s">
        <v>1075</v>
      </c>
      <c r="B967" s="18" t="n">
        <f aca="false">IF(A967="","",IFERROR(INDEX(Sales_Memo!$B$2:$B$1001,MATCH(A967,Sales_Memo!$A$2:$A$1001,0)),""))</f>
        <v>46312</v>
      </c>
      <c r="C967" s="7" t="s">
        <v>121</v>
      </c>
      <c r="D967" s="16" t="str">
        <f aca="false">IF(C967="","",IFERROR(INDEX(Products!$B$2:$B$501,MATCH(C967,Products!$A$2:$A$501,0)),"CODE NOT FOUND"))</f>
        <v>Handle Grip Set</v>
      </c>
      <c r="E967" s="7" t="n">
        <v>2</v>
      </c>
      <c r="F967" s="13" t="n">
        <v>280</v>
      </c>
      <c r="G967" s="13" t="n">
        <v>160</v>
      </c>
      <c r="H967" s="17" t="n">
        <f aca="false">IF(OR(E967="",F967=""),"",E967*F967)</f>
        <v>560</v>
      </c>
      <c r="I967" s="17" t="n">
        <f aca="false">IF(OR(E967="",G967=""),"",E967*G967)</f>
        <v>320</v>
      </c>
      <c r="J967" s="17" t="n">
        <f aca="false">IF(H967="","",H967-I967)</f>
        <v>240</v>
      </c>
    </row>
    <row r="968" customFormat="false" ht="15" hidden="false" customHeight="true" outlineLevel="0" collapsed="false">
      <c r="A968" s="7" t="s">
        <v>1076</v>
      </c>
      <c r="B968" s="18" t="n">
        <f aca="false">IF(A968="","",IFERROR(INDEX(Sales_Memo!$B$2:$B$1001,MATCH(A968,Sales_Memo!$A$2:$A$1001,0)),""))</f>
        <v>46312</v>
      </c>
      <c r="C968" s="7" t="s">
        <v>119</v>
      </c>
      <c r="D968" s="16" t="str">
        <f aca="false">IF(C968="","",IFERROR(INDEX(Products!$B$2:$B$501,MATCH(C968,Products!$A$2:$A$501,0)),"CODE NOT FOUND"))</f>
        <v>Chain Lube Spray</v>
      </c>
      <c r="E968" s="7" t="n">
        <v>1</v>
      </c>
      <c r="F968" s="13" t="n">
        <v>270</v>
      </c>
      <c r="G968" s="13" t="n">
        <v>170</v>
      </c>
      <c r="H968" s="17" t="n">
        <f aca="false">IF(OR(E968="",F968=""),"",E968*F968)</f>
        <v>270</v>
      </c>
      <c r="I968" s="17" t="n">
        <f aca="false">IF(OR(E968="",G968=""),"",E968*G968)</f>
        <v>170</v>
      </c>
      <c r="J968" s="17" t="n">
        <f aca="false">IF(H968="","",H968-I968)</f>
        <v>100</v>
      </c>
    </row>
    <row r="969" customFormat="false" ht="15" hidden="false" customHeight="true" outlineLevel="0" collapsed="false">
      <c r="A969" s="7" t="s">
        <v>1076</v>
      </c>
      <c r="B969" s="18" t="n">
        <f aca="false">IF(A969="","",IFERROR(INDEX(Sales_Memo!$B$2:$B$1001,MATCH(A969,Sales_Memo!$A$2:$A$1001,0)),""))</f>
        <v>46312</v>
      </c>
      <c r="C969" s="7" t="s">
        <v>102</v>
      </c>
      <c r="D969" s="16" t="str">
        <f aca="false">IF(C969="","",IFERROR(INDEX(Products!$B$2:$B$501,MATCH(C969,Products!$A$2:$A$501,0)),"CODE NOT FOUND"))</f>
        <v>Headlight Bulb H4</v>
      </c>
      <c r="E969" s="7" t="n">
        <v>2</v>
      </c>
      <c r="F969" s="13" t="n">
        <v>240</v>
      </c>
      <c r="G969" s="13" t="n">
        <v>140</v>
      </c>
      <c r="H969" s="17" t="n">
        <f aca="false">IF(OR(E969="",F969=""),"",E969*F969)</f>
        <v>480</v>
      </c>
      <c r="I969" s="17" t="n">
        <f aca="false">IF(OR(E969="",G969=""),"",E969*G969)</f>
        <v>280</v>
      </c>
      <c r="J969" s="17" t="n">
        <f aca="false">IF(H969="","",H969-I969)</f>
        <v>200</v>
      </c>
    </row>
    <row r="970" customFormat="false" ht="15" hidden="false" customHeight="true" outlineLevel="0" collapsed="false">
      <c r="A970" s="7" t="s">
        <v>1077</v>
      </c>
      <c r="B970" s="18" t="n">
        <f aca="false">IF(A970="","",IFERROR(INDEX(Sales_Memo!$B$2:$B$1001,MATCH(A970,Sales_Memo!$A$2:$A$1001,0)),""))</f>
        <v>46312</v>
      </c>
      <c r="C970" s="7" t="s">
        <v>77</v>
      </c>
      <c r="D970" s="16" t="str">
        <f aca="false">IF(C970="","",IFERROR(INDEX(Products!$B$2:$B$501,MATCH(C970,Products!$A$2:$A$501,0)),"CODE NOT FOUND"))</f>
        <v>Brake Pad Set - Front</v>
      </c>
      <c r="E970" s="7" t="n">
        <v>2</v>
      </c>
      <c r="F970" s="13" t="n">
        <v>480</v>
      </c>
      <c r="G970" s="13" t="n">
        <v>320</v>
      </c>
      <c r="H970" s="17" t="n">
        <f aca="false">IF(OR(E970="",F970=""),"",E970*F970)</f>
        <v>960</v>
      </c>
      <c r="I970" s="17" t="n">
        <f aca="false">IF(OR(E970="",G970=""),"",E970*G970)</f>
        <v>640</v>
      </c>
      <c r="J970" s="17" t="n">
        <f aca="false">IF(H970="","",H970-I970)</f>
        <v>320</v>
      </c>
    </row>
    <row r="971" customFormat="false" ht="15" hidden="false" customHeight="true" outlineLevel="0" collapsed="false">
      <c r="A971" s="7" t="s">
        <v>1077</v>
      </c>
      <c r="B971" s="18" t="n">
        <f aca="false">IF(A971="","",IFERROR(INDEX(Sales_Memo!$B$2:$B$1001,MATCH(A971,Sales_Memo!$A$2:$A$1001,0)),""))</f>
        <v>46312</v>
      </c>
      <c r="C971" s="7" t="s">
        <v>90</v>
      </c>
      <c r="D971" s="16" t="str">
        <f aca="false">IF(C971="","",IFERROR(INDEX(Products!$B$2:$B$501,MATCH(C971,Products!$A$2:$A$501,0)),"CODE NOT FOUND"))</f>
        <v>Air Filter 150cc</v>
      </c>
      <c r="E971" s="7" t="n">
        <v>1</v>
      </c>
      <c r="F971" s="13" t="n">
        <v>340</v>
      </c>
      <c r="G971" s="13" t="n">
        <v>210</v>
      </c>
      <c r="H971" s="17" t="n">
        <f aca="false">IF(OR(E971="",F971=""),"",E971*F971)</f>
        <v>340</v>
      </c>
      <c r="I971" s="17" t="n">
        <f aca="false">IF(OR(E971="",G971=""),"",E971*G971)</f>
        <v>210</v>
      </c>
      <c r="J971" s="17" t="n">
        <f aca="false">IF(H971="","",H971-I971)</f>
        <v>130</v>
      </c>
    </row>
    <row r="972" customFormat="false" ht="15" hidden="false" customHeight="true" outlineLevel="0" collapsed="false">
      <c r="A972" s="7" t="s">
        <v>1078</v>
      </c>
      <c r="B972" s="18" t="n">
        <f aca="false">IF(A972="","",IFERROR(INDEX(Sales_Memo!$B$2:$B$1001,MATCH(A972,Sales_Memo!$A$2:$A$1001,0)),""))</f>
        <v>46312</v>
      </c>
      <c r="C972" s="7" t="s">
        <v>102</v>
      </c>
      <c r="D972" s="16" t="str">
        <f aca="false">IF(C972="","",IFERROR(INDEX(Products!$B$2:$B$501,MATCH(C972,Products!$A$2:$A$501,0)),"CODE NOT FOUND"))</f>
        <v>Headlight Bulb H4</v>
      </c>
      <c r="E972" s="7" t="n">
        <v>3</v>
      </c>
      <c r="F972" s="13" t="n">
        <v>240</v>
      </c>
      <c r="G972" s="13" t="n">
        <v>140</v>
      </c>
      <c r="H972" s="17" t="n">
        <f aca="false">IF(OR(E972="",F972=""),"",E972*F972)</f>
        <v>720</v>
      </c>
      <c r="I972" s="17" t="n">
        <f aca="false">IF(OR(E972="",G972=""),"",E972*G972)</f>
        <v>420</v>
      </c>
      <c r="J972" s="17" t="n">
        <f aca="false">IF(H972="","",H972-I972)</f>
        <v>300</v>
      </c>
    </row>
    <row r="973" customFormat="false" ht="15" hidden="false" customHeight="true" outlineLevel="0" collapsed="false">
      <c r="A973" s="7" t="s">
        <v>1078</v>
      </c>
      <c r="B973" s="18" t="n">
        <f aca="false">IF(A973="","",IFERROR(INDEX(Sales_Memo!$B$2:$B$1001,MATCH(A973,Sales_Memo!$A$2:$A$1001,0)),""))</f>
        <v>46312</v>
      </c>
      <c r="C973" s="7" t="s">
        <v>82</v>
      </c>
      <c r="D973" s="16" t="str">
        <f aca="false">IF(C973="","",IFERROR(INDEX(Products!$B$2:$B$501,MATCH(C973,Products!$A$2:$A$501,0)),"CODE NOT FOUND"))</f>
        <v>Clutch Cable</v>
      </c>
      <c r="E973" s="7" t="n">
        <v>1</v>
      </c>
      <c r="F973" s="13" t="n">
        <v>190</v>
      </c>
      <c r="G973" s="13" t="n">
        <v>110</v>
      </c>
      <c r="H973" s="17" t="n">
        <f aca="false">IF(OR(E973="",F973=""),"",E973*F973)</f>
        <v>190</v>
      </c>
      <c r="I973" s="17" t="n">
        <f aca="false">IF(OR(E973="",G973=""),"",E973*G973)</f>
        <v>110</v>
      </c>
      <c r="J973" s="17" t="n">
        <f aca="false">IF(H973="","",H973-I973)</f>
        <v>80</v>
      </c>
    </row>
    <row r="974" customFormat="false" ht="15" hidden="false" customHeight="true" outlineLevel="0" collapsed="false">
      <c r="A974" s="7" t="s">
        <v>1079</v>
      </c>
      <c r="B974" s="18" t="n">
        <f aca="false">IF(A974="","",IFERROR(INDEX(Sales_Memo!$B$2:$B$1001,MATCH(A974,Sales_Memo!$A$2:$A$1001,0)),""))</f>
        <v>46312</v>
      </c>
      <c r="C974" s="7" t="s">
        <v>96</v>
      </c>
      <c r="D974" s="16" t="str">
        <f aca="false">IF(C974="","",IFERROR(INDEX(Products!$B$2:$B$501,MATCH(C974,Products!$A$2:$A$501,0)),"CODE NOT FOUND"))</f>
        <v>Engine Oil 10W-30 (1L)</v>
      </c>
      <c r="E974" s="7" t="n">
        <v>2</v>
      </c>
      <c r="F974" s="13" t="n">
        <v>780</v>
      </c>
      <c r="G974" s="13" t="n">
        <v>620</v>
      </c>
      <c r="H974" s="17" t="n">
        <f aca="false">IF(OR(E974="",F974=""),"",E974*F974)</f>
        <v>1560</v>
      </c>
      <c r="I974" s="17" t="n">
        <f aca="false">IF(OR(E974="",G974=""),"",E974*G974)</f>
        <v>1240</v>
      </c>
      <c r="J974" s="17" t="n">
        <f aca="false">IF(H974="","",H974-I974)</f>
        <v>320</v>
      </c>
    </row>
    <row r="975" customFormat="false" ht="15" hidden="false" customHeight="true" outlineLevel="0" collapsed="false">
      <c r="A975" s="7" t="s">
        <v>1080</v>
      </c>
      <c r="B975" s="18" t="n">
        <f aca="false">IF(A975="","",IFERROR(INDEX(Sales_Memo!$B$2:$B$1001,MATCH(A975,Sales_Memo!$A$2:$A$1001,0)),""))</f>
        <v>46313</v>
      </c>
      <c r="C975" s="7" t="s">
        <v>96</v>
      </c>
      <c r="D975" s="16" t="str">
        <f aca="false">IF(C975="","",IFERROR(INDEX(Products!$B$2:$B$501,MATCH(C975,Products!$A$2:$A$501,0)),"CODE NOT FOUND"))</f>
        <v>Engine Oil 10W-30 (1L)</v>
      </c>
      <c r="E975" s="7" t="n">
        <v>2</v>
      </c>
      <c r="F975" s="13" t="n">
        <v>780</v>
      </c>
      <c r="G975" s="13" t="n">
        <v>620</v>
      </c>
      <c r="H975" s="17" t="n">
        <f aca="false">IF(OR(E975="",F975=""),"",E975*F975)</f>
        <v>1560</v>
      </c>
      <c r="I975" s="17" t="n">
        <f aca="false">IF(OR(E975="",G975=""),"",E975*G975)</f>
        <v>1240</v>
      </c>
      <c r="J975" s="17" t="n">
        <f aca="false">IF(H975="","",H975-I975)</f>
        <v>320</v>
      </c>
    </row>
    <row r="976" customFormat="false" ht="15" hidden="false" customHeight="true" outlineLevel="0" collapsed="false">
      <c r="A976" s="7" t="s">
        <v>1080</v>
      </c>
      <c r="B976" s="18" t="n">
        <f aca="false">IF(A976="","",IFERROR(INDEX(Sales_Memo!$B$2:$B$1001,MATCH(A976,Sales_Memo!$A$2:$A$1001,0)),""))</f>
        <v>46313</v>
      </c>
      <c r="C976" s="7" t="s">
        <v>119</v>
      </c>
      <c r="D976" s="16" t="str">
        <f aca="false">IF(C976="","",IFERROR(INDEX(Products!$B$2:$B$501,MATCH(C976,Products!$A$2:$A$501,0)),"CODE NOT FOUND"))</f>
        <v>Chain Lube Spray</v>
      </c>
      <c r="E976" s="7" t="n">
        <v>3</v>
      </c>
      <c r="F976" s="13" t="n">
        <v>270</v>
      </c>
      <c r="G976" s="13" t="n">
        <v>170</v>
      </c>
      <c r="H976" s="17" t="n">
        <f aca="false">IF(OR(E976="",F976=""),"",E976*F976)</f>
        <v>810</v>
      </c>
      <c r="I976" s="17" t="n">
        <f aca="false">IF(OR(E976="",G976=""),"",E976*G976)</f>
        <v>510</v>
      </c>
      <c r="J976" s="17" t="n">
        <f aca="false">IF(H976="","",H976-I976)</f>
        <v>300</v>
      </c>
    </row>
    <row r="977" customFormat="false" ht="15" hidden="false" customHeight="true" outlineLevel="0" collapsed="false">
      <c r="A977" s="7" t="s">
        <v>1082</v>
      </c>
      <c r="B977" s="18" t="n">
        <f aca="false">IF(A977="","",IFERROR(INDEX(Sales_Memo!$B$2:$B$1001,MATCH(A977,Sales_Memo!$A$2:$A$1001,0)),""))</f>
        <v>46313</v>
      </c>
      <c r="C977" s="7" t="s">
        <v>86</v>
      </c>
      <c r="D977" s="16" t="str">
        <f aca="false">IF(C977="","",IFERROR(INDEX(Products!$B$2:$B$501,MATCH(C977,Products!$A$2:$A$501,0)),"CODE NOT FOUND"))</f>
        <v>Spark Plug CPR8EA-9</v>
      </c>
      <c r="E977" s="7" t="n">
        <v>1</v>
      </c>
      <c r="F977" s="13" t="n">
        <v>260</v>
      </c>
      <c r="G977" s="13" t="n">
        <v>175</v>
      </c>
      <c r="H977" s="17" t="n">
        <f aca="false">IF(OR(E977="",F977=""),"",E977*F977)</f>
        <v>260</v>
      </c>
      <c r="I977" s="17" t="n">
        <f aca="false">IF(OR(E977="",G977=""),"",E977*G977)</f>
        <v>175</v>
      </c>
      <c r="J977" s="17" t="n">
        <f aca="false">IF(H977="","",H977-I977)</f>
        <v>85</v>
      </c>
    </row>
    <row r="978" customFormat="false" ht="15" hidden="false" customHeight="true" outlineLevel="0" collapsed="false">
      <c r="A978" s="7" t="s">
        <v>1083</v>
      </c>
      <c r="B978" s="18" t="n">
        <f aca="false">IF(A978="","",IFERROR(INDEX(Sales_Memo!$B$2:$B$1001,MATCH(A978,Sales_Memo!$A$2:$A$1001,0)),""))</f>
        <v>46313</v>
      </c>
      <c r="C978" s="7" t="s">
        <v>121</v>
      </c>
      <c r="D978" s="16" t="str">
        <f aca="false">IF(C978="","",IFERROR(INDEX(Products!$B$2:$B$501,MATCH(C978,Products!$A$2:$A$501,0)),"CODE NOT FOUND"))</f>
        <v>Handle Grip Set</v>
      </c>
      <c r="E978" s="7" t="n">
        <v>3</v>
      </c>
      <c r="F978" s="13" t="n">
        <v>280</v>
      </c>
      <c r="G978" s="13" t="n">
        <v>160</v>
      </c>
      <c r="H978" s="17" t="n">
        <f aca="false">IF(OR(E978="",F978=""),"",E978*F978)</f>
        <v>840</v>
      </c>
      <c r="I978" s="17" t="n">
        <f aca="false">IF(OR(E978="",G978=""),"",E978*G978)</f>
        <v>480</v>
      </c>
      <c r="J978" s="17" t="n">
        <f aca="false">IF(H978="","",H978-I978)</f>
        <v>360</v>
      </c>
    </row>
    <row r="979" customFormat="false" ht="15" hidden="false" customHeight="true" outlineLevel="0" collapsed="false">
      <c r="A979" s="7" t="s">
        <v>1083</v>
      </c>
      <c r="B979" s="18" t="n">
        <f aca="false">IF(A979="","",IFERROR(INDEX(Sales_Memo!$B$2:$B$1001,MATCH(A979,Sales_Memo!$A$2:$A$1001,0)),""))</f>
        <v>46313</v>
      </c>
      <c r="C979" s="7" t="s">
        <v>119</v>
      </c>
      <c r="D979" s="16" t="str">
        <f aca="false">IF(C979="","",IFERROR(INDEX(Products!$B$2:$B$501,MATCH(C979,Products!$A$2:$A$501,0)),"CODE NOT FOUND"))</f>
        <v>Chain Lube Spray</v>
      </c>
      <c r="E979" s="7" t="n">
        <v>3</v>
      </c>
      <c r="F979" s="13" t="n">
        <v>270</v>
      </c>
      <c r="G979" s="13" t="n">
        <v>170</v>
      </c>
      <c r="H979" s="17" t="n">
        <f aca="false">IF(OR(E979="",F979=""),"",E979*F979)</f>
        <v>810</v>
      </c>
      <c r="I979" s="17" t="n">
        <f aca="false">IF(OR(E979="",G979=""),"",E979*G979)</f>
        <v>510</v>
      </c>
      <c r="J979" s="17" t="n">
        <f aca="false">IF(H979="","",H979-I979)</f>
        <v>300</v>
      </c>
    </row>
    <row r="980" customFormat="false" ht="15" hidden="false" customHeight="true" outlineLevel="0" collapsed="false">
      <c r="A980" s="7" t="s">
        <v>1083</v>
      </c>
      <c r="B980" s="18" t="n">
        <f aca="false">IF(A980="","",IFERROR(INDEX(Sales_Memo!$B$2:$B$1001,MATCH(A980,Sales_Memo!$A$2:$A$1001,0)),""))</f>
        <v>46313</v>
      </c>
      <c r="C980" s="7" t="s">
        <v>96</v>
      </c>
      <c r="D980" s="16" t="str">
        <f aca="false">IF(C980="","",IFERROR(INDEX(Products!$B$2:$B$501,MATCH(C980,Products!$A$2:$A$501,0)),"CODE NOT FOUND"))</f>
        <v>Engine Oil 10W-30 (1L)</v>
      </c>
      <c r="E980" s="7" t="n">
        <v>2</v>
      </c>
      <c r="F980" s="13" t="n">
        <v>780</v>
      </c>
      <c r="G980" s="13" t="n">
        <v>620</v>
      </c>
      <c r="H980" s="17" t="n">
        <f aca="false">IF(OR(E980="",F980=""),"",E980*F980)</f>
        <v>1560</v>
      </c>
      <c r="I980" s="17" t="n">
        <f aca="false">IF(OR(E980="",G980=""),"",E980*G980)</f>
        <v>1240</v>
      </c>
      <c r="J980" s="17" t="n">
        <f aca="false">IF(H980="","",H980-I980)</f>
        <v>320</v>
      </c>
    </row>
    <row r="981" customFormat="false" ht="15" hidden="false" customHeight="true" outlineLevel="0" collapsed="false">
      <c r="A981" s="7" t="s">
        <v>1084</v>
      </c>
      <c r="B981" s="18" t="n">
        <f aca="false">IF(A981="","",IFERROR(INDEX(Sales_Memo!$B$2:$B$1001,MATCH(A981,Sales_Memo!$A$2:$A$1001,0)),""))</f>
        <v>46313</v>
      </c>
      <c r="C981" s="7" t="s">
        <v>86</v>
      </c>
      <c r="D981" s="16" t="str">
        <f aca="false">IF(C981="","",IFERROR(INDEX(Products!$B$2:$B$501,MATCH(C981,Products!$A$2:$A$501,0)),"CODE NOT FOUND"))</f>
        <v>Spark Plug CPR8EA-9</v>
      </c>
      <c r="E981" s="7" t="n">
        <v>1</v>
      </c>
      <c r="F981" s="13" t="n">
        <v>260</v>
      </c>
      <c r="G981" s="13" t="n">
        <v>175</v>
      </c>
      <c r="H981" s="17" t="n">
        <f aca="false">IF(OR(E981="",F981=""),"",E981*F981)</f>
        <v>260</v>
      </c>
      <c r="I981" s="17" t="n">
        <f aca="false">IF(OR(E981="",G981=""),"",E981*G981)</f>
        <v>175</v>
      </c>
      <c r="J981" s="17" t="n">
        <f aca="false">IF(H981="","",H981-I981)</f>
        <v>85</v>
      </c>
    </row>
    <row r="982" customFormat="false" ht="15" hidden="false" customHeight="true" outlineLevel="0" collapsed="false">
      <c r="A982" s="7" t="s">
        <v>1085</v>
      </c>
      <c r="B982" s="18" t="n">
        <f aca="false">IF(A982="","",IFERROR(INDEX(Sales_Memo!$B$2:$B$1001,MATCH(A982,Sales_Memo!$A$2:$A$1001,0)),""))</f>
        <v>46313</v>
      </c>
      <c r="C982" s="7" t="s">
        <v>90</v>
      </c>
      <c r="D982" s="16" t="str">
        <f aca="false">IF(C982="","",IFERROR(INDEX(Products!$B$2:$B$501,MATCH(C982,Products!$A$2:$A$501,0)),"CODE NOT FOUND"))</f>
        <v>Air Filter 150cc</v>
      </c>
      <c r="E982" s="7" t="n">
        <v>1</v>
      </c>
      <c r="F982" s="13" t="n">
        <v>340</v>
      </c>
      <c r="G982" s="13" t="n">
        <v>210</v>
      </c>
      <c r="H982" s="17" t="n">
        <f aca="false">IF(OR(E982="",F982=""),"",E982*F982)</f>
        <v>340</v>
      </c>
      <c r="I982" s="17" t="n">
        <f aca="false">IF(OR(E982="",G982=""),"",E982*G982)</f>
        <v>210</v>
      </c>
      <c r="J982" s="17" t="n">
        <f aca="false">IF(H982="","",H982-I982)</f>
        <v>130</v>
      </c>
    </row>
    <row r="983" customFormat="false" ht="15" hidden="false" customHeight="true" outlineLevel="0" collapsed="false">
      <c r="A983" s="7" t="s">
        <v>1086</v>
      </c>
      <c r="B983" s="18" t="n">
        <f aca="false">IF(A983="","",IFERROR(INDEX(Sales_Memo!$B$2:$B$1001,MATCH(A983,Sales_Memo!$A$2:$A$1001,0)),""))</f>
        <v>46313</v>
      </c>
      <c r="C983" s="7" t="s">
        <v>82</v>
      </c>
      <c r="D983" s="16" t="str">
        <f aca="false">IF(C983="","",IFERROR(INDEX(Products!$B$2:$B$501,MATCH(C983,Products!$A$2:$A$501,0)),"CODE NOT FOUND"))</f>
        <v>Clutch Cable</v>
      </c>
      <c r="E983" s="7" t="n">
        <v>3</v>
      </c>
      <c r="F983" s="13" t="n">
        <v>190</v>
      </c>
      <c r="G983" s="13" t="n">
        <v>110</v>
      </c>
      <c r="H983" s="17" t="n">
        <f aca="false">IF(OR(E983="",F983=""),"",E983*F983)</f>
        <v>570</v>
      </c>
      <c r="I983" s="17" t="n">
        <f aca="false">IF(OR(E983="",G983=""),"",E983*G983)</f>
        <v>330</v>
      </c>
      <c r="J983" s="17" t="n">
        <f aca="false">IF(H983="","",H983-I983)</f>
        <v>240</v>
      </c>
    </row>
    <row r="984" customFormat="false" ht="15" hidden="false" customHeight="true" outlineLevel="0" collapsed="false">
      <c r="A984" s="7" t="s">
        <v>1087</v>
      </c>
      <c r="B984" s="18" t="n">
        <f aca="false">IF(A984="","",IFERROR(INDEX(Sales_Memo!$B$2:$B$1001,MATCH(A984,Sales_Memo!$A$2:$A$1001,0)),""))</f>
        <v>46313</v>
      </c>
      <c r="C984" s="7" t="s">
        <v>121</v>
      </c>
      <c r="D984" s="16" t="str">
        <f aca="false">IF(C984="","",IFERROR(INDEX(Products!$B$2:$B$501,MATCH(C984,Products!$A$2:$A$501,0)),"CODE NOT FOUND"))</f>
        <v>Handle Grip Set</v>
      </c>
      <c r="E984" s="7" t="n">
        <v>3</v>
      </c>
      <c r="F984" s="13" t="n">
        <v>280</v>
      </c>
      <c r="G984" s="13" t="n">
        <v>160</v>
      </c>
      <c r="H984" s="17" t="n">
        <f aca="false">IF(OR(E984="",F984=""),"",E984*F984)</f>
        <v>840</v>
      </c>
      <c r="I984" s="17" t="n">
        <f aca="false">IF(OR(E984="",G984=""),"",E984*G984)</f>
        <v>480</v>
      </c>
      <c r="J984" s="17" t="n">
        <f aca="false">IF(H984="","",H984-I984)</f>
        <v>360</v>
      </c>
    </row>
    <row r="985" customFormat="false" ht="15" hidden="false" customHeight="true" outlineLevel="0" collapsed="false">
      <c r="A985" s="7" t="s">
        <v>1088</v>
      </c>
      <c r="B985" s="18" t="n">
        <f aca="false">IF(A985="","",IFERROR(INDEX(Sales_Memo!$B$2:$B$1001,MATCH(A985,Sales_Memo!$A$2:$A$1001,0)),""))</f>
        <v>46313</v>
      </c>
      <c r="C985" s="7" t="s">
        <v>119</v>
      </c>
      <c r="D985" s="16" t="str">
        <f aca="false">IF(C985="","",IFERROR(INDEX(Products!$B$2:$B$501,MATCH(C985,Products!$A$2:$A$501,0)),"CODE NOT FOUND"))</f>
        <v>Chain Lube Spray</v>
      </c>
      <c r="E985" s="7" t="n">
        <v>2</v>
      </c>
      <c r="F985" s="13" t="n">
        <v>270</v>
      </c>
      <c r="G985" s="13" t="n">
        <v>170</v>
      </c>
      <c r="H985" s="17" t="n">
        <f aca="false">IF(OR(E985="",F985=""),"",E985*F985)</f>
        <v>540</v>
      </c>
      <c r="I985" s="17" t="n">
        <f aca="false">IF(OR(E985="",G985=""),"",E985*G985)</f>
        <v>340</v>
      </c>
      <c r="J985" s="17" t="n">
        <f aca="false">IF(H985="","",H985-I985)</f>
        <v>200</v>
      </c>
    </row>
    <row r="986" customFormat="false" ht="15" hidden="false" customHeight="true" outlineLevel="0" collapsed="false">
      <c r="A986" s="7" t="s">
        <v>1089</v>
      </c>
      <c r="B986" s="18" t="n">
        <f aca="false">IF(A986="","",IFERROR(INDEX(Sales_Memo!$B$2:$B$1001,MATCH(A986,Sales_Memo!$A$2:$A$1001,0)),""))</f>
        <v>46313</v>
      </c>
      <c r="C986" s="7" t="s">
        <v>90</v>
      </c>
      <c r="D986" s="16" t="str">
        <f aca="false">IF(C986="","",IFERROR(INDEX(Products!$B$2:$B$501,MATCH(C986,Products!$A$2:$A$501,0)),"CODE NOT FOUND"))</f>
        <v>Air Filter 150cc</v>
      </c>
      <c r="E986" s="7" t="n">
        <v>3</v>
      </c>
      <c r="F986" s="13" t="n">
        <v>340</v>
      </c>
      <c r="G986" s="13" t="n">
        <v>210</v>
      </c>
      <c r="H986" s="17" t="n">
        <f aca="false">IF(OR(E986="",F986=""),"",E986*F986)</f>
        <v>1020</v>
      </c>
      <c r="I986" s="17" t="n">
        <f aca="false">IF(OR(E986="",G986=""),"",E986*G986)</f>
        <v>630</v>
      </c>
      <c r="J986" s="17" t="n">
        <f aca="false">IF(H986="","",H986-I986)</f>
        <v>390</v>
      </c>
    </row>
    <row r="987" customFormat="false" ht="15" hidden="false" customHeight="true" outlineLevel="0" collapsed="false">
      <c r="A987" s="7" t="s">
        <v>1089</v>
      </c>
      <c r="B987" s="18" t="n">
        <f aca="false">IF(A987="","",IFERROR(INDEX(Sales_Memo!$B$2:$B$1001,MATCH(A987,Sales_Memo!$A$2:$A$1001,0)),""))</f>
        <v>46313</v>
      </c>
      <c r="C987" s="7" t="s">
        <v>77</v>
      </c>
      <c r="D987" s="16" t="str">
        <f aca="false">IF(C987="","",IFERROR(INDEX(Products!$B$2:$B$501,MATCH(C987,Products!$A$2:$A$501,0)),"CODE NOT FOUND"))</f>
        <v>Brake Pad Set - Front</v>
      </c>
      <c r="E987" s="7" t="n">
        <v>1</v>
      </c>
      <c r="F987" s="13" t="n">
        <v>480</v>
      </c>
      <c r="G987" s="13" t="n">
        <v>320</v>
      </c>
      <c r="H987" s="17" t="n">
        <f aca="false">IF(OR(E987="",F987=""),"",E987*F987)</f>
        <v>480</v>
      </c>
      <c r="I987" s="17" t="n">
        <f aca="false">IF(OR(E987="",G987=""),"",E987*G987)</f>
        <v>320</v>
      </c>
      <c r="J987" s="17" t="n">
        <f aca="false">IF(H987="","",H987-I987)</f>
        <v>160</v>
      </c>
    </row>
    <row r="988" customFormat="false" ht="15" hidden="false" customHeight="true" outlineLevel="0" collapsed="false">
      <c r="A988" s="7" t="s">
        <v>1091</v>
      </c>
      <c r="B988" s="18" t="n">
        <f aca="false">IF(A988="","",IFERROR(INDEX(Sales_Memo!$B$2:$B$1001,MATCH(A988,Sales_Memo!$A$2:$A$1001,0)),""))</f>
        <v>46313</v>
      </c>
      <c r="C988" s="7" t="s">
        <v>82</v>
      </c>
      <c r="D988" s="16" t="str">
        <f aca="false">IF(C988="","",IFERROR(INDEX(Products!$B$2:$B$501,MATCH(C988,Products!$A$2:$A$501,0)),"CODE NOT FOUND"))</f>
        <v>Clutch Cable</v>
      </c>
      <c r="E988" s="7" t="n">
        <v>3</v>
      </c>
      <c r="F988" s="13" t="n">
        <v>190</v>
      </c>
      <c r="G988" s="13" t="n">
        <v>110</v>
      </c>
      <c r="H988" s="17" t="n">
        <f aca="false">IF(OR(E988="",F988=""),"",E988*F988)</f>
        <v>570</v>
      </c>
      <c r="I988" s="17" t="n">
        <f aca="false">IF(OR(E988="",G988=""),"",E988*G988)</f>
        <v>330</v>
      </c>
      <c r="J988" s="17" t="n">
        <f aca="false">IF(H988="","",H988-I988)</f>
        <v>240</v>
      </c>
    </row>
    <row r="989" customFormat="false" ht="15" hidden="false" customHeight="true" outlineLevel="0" collapsed="false">
      <c r="A989" s="7" t="s">
        <v>1092</v>
      </c>
      <c r="B989" s="18" t="n">
        <f aca="false">IF(A989="","",IFERROR(INDEX(Sales_Memo!$B$2:$B$1001,MATCH(A989,Sales_Memo!$A$2:$A$1001,0)),""))</f>
        <v>46313</v>
      </c>
      <c r="C989" s="7" t="s">
        <v>111</v>
      </c>
      <c r="D989" s="16" t="str">
        <f aca="false">IF(C989="","",IFERROR(INDEX(Products!$B$2:$B$501,MATCH(C989,Products!$A$2:$A$501,0)),"CODE NOT FOUND"))</f>
        <v>Tyre 80/100-18 Front</v>
      </c>
      <c r="E989" s="7" t="n">
        <v>1</v>
      </c>
      <c r="F989" s="13" t="n">
        <v>2850</v>
      </c>
      <c r="G989" s="13" t="n">
        <v>2300</v>
      </c>
      <c r="H989" s="17" t="n">
        <f aca="false">IF(OR(E989="",F989=""),"",E989*F989)</f>
        <v>2850</v>
      </c>
      <c r="I989" s="17" t="n">
        <f aca="false">IF(OR(E989="",G989=""),"",E989*G989)</f>
        <v>2300</v>
      </c>
      <c r="J989" s="17" t="n">
        <f aca="false">IF(H989="","",H989-I989)</f>
        <v>550</v>
      </c>
    </row>
    <row r="990" customFormat="false" ht="15" hidden="false" customHeight="true" outlineLevel="0" collapsed="false">
      <c r="A990" s="7" t="s">
        <v>1092</v>
      </c>
      <c r="B990" s="18" t="n">
        <f aca="false">IF(A990="","",IFERROR(INDEX(Sales_Memo!$B$2:$B$1001,MATCH(A990,Sales_Memo!$A$2:$A$1001,0)),""))</f>
        <v>46313</v>
      </c>
      <c r="C990" s="7" t="s">
        <v>77</v>
      </c>
      <c r="D990" s="16" t="str">
        <f aca="false">IF(C990="","",IFERROR(INDEX(Products!$B$2:$B$501,MATCH(C990,Products!$A$2:$A$501,0)),"CODE NOT FOUND"))</f>
        <v>Brake Pad Set - Front</v>
      </c>
      <c r="E990" s="7" t="n">
        <v>2</v>
      </c>
      <c r="F990" s="13" t="n">
        <v>480</v>
      </c>
      <c r="G990" s="13" t="n">
        <v>320</v>
      </c>
      <c r="H990" s="17" t="n">
        <f aca="false">IF(OR(E990="",F990=""),"",E990*F990)</f>
        <v>960</v>
      </c>
      <c r="I990" s="17" t="n">
        <f aca="false">IF(OR(E990="",G990=""),"",E990*G990)</f>
        <v>640</v>
      </c>
      <c r="J990" s="17" t="n">
        <f aca="false">IF(H990="","",H990-I990)</f>
        <v>320</v>
      </c>
    </row>
    <row r="991" customFormat="false" ht="15" hidden="false" customHeight="true" outlineLevel="0" collapsed="false">
      <c r="A991" s="7" t="s">
        <v>1094</v>
      </c>
      <c r="B991" s="18" t="n">
        <f aca="false">IF(A991="","",IFERROR(INDEX(Sales_Memo!$B$2:$B$1001,MATCH(A991,Sales_Memo!$A$2:$A$1001,0)),""))</f>
        <v>46313</v>
      </c>
      <c r="C991" s="7" t="s">
        <v>77</v>
      </c>
      <c r="D991" s="16" t="str">
        <f aca="false">IF(C991="","",IFERROR(INDEX(Products!$B$2:$B$501,MATCH(C991,Products!$A$2:$A$501,0)),"CODE NOT FOUND"))</f>
        <v>Brake Pad Set - Front</v>
      </c>
      <c r="E991" s="7" t="n">
        <v>3</v>
      </c>
      <c r="F991" s="13" t="n">
        <v>480</v>
      </c>
      <c r="G991" s="13" t="n">
        <v>320</v>
      </c>
      <c r="H991" s="17" t="n">
        <f aca="false">IF(OR(E991="",F991=""),"",E991*F991)</f>
        <v>1440</v>
      </c>
      <c r="I991" s="17" t="n">
        <f aca="false">IF(OR(E991="",G991=""),"",E991*G991)</f>
        <v>960</v>
      </c>
      <c r="J991" s="17" t="n">
        <f aca="false">IF(H991="","",H991-I991)</f>
        <v>480</v>
      </c>
    </row>
    <row r="992" customFormat="false" ht="15" hidden="false" customHeight="true" outlineLevel="0" collapsed="false">
      <c r="A992" s="7" t="s">
        <v>1096</v>
      </c>
      <c r="B992" s="18" t="n">
        <f aca="false">IF(A992="","",IFERROR(INDEX(Sales_Memo!$B$2:$B$1001,MATCH(A992,Sales_Memo!$A$2:$A$1001,0)),""))</f>
        <v>46314</v>
      </c>
      <c r="C992" s="7" t="s">
        <v>99</v>
      </c>
      <c r="D992" s="16" t="str">
        <f aca="false">IF(C992="","",IFERROR(INDEX(Products!$B$2:$B$501,MATCH(C992,Products!$A$2:$A$501,0)),"CODE NOT FOUND"))</f>
        <v>Engine Oil 20W-50 (1L)</v>
      </c>
      <c r="E992" s="7" t="n">
        <v>1</v>
      </c>
      <c r="F992" s="13" t="n">
        <v>990</v>
      </c>
      <c r="G992" s="13" t="n">
        <v>780</v>
      </c>
      <c r="H992" s="17" t="n">
        <f aca="false">IF(OR(E992="",F992=""),"",E992*F992)</f>
        <v>990</v>
      </c>
      <c r="I992" s="17" t="n">
        <f aca="false">IF(OR(E992="",G992=""),"",E992*G992)</f>
        <v>780</v>
      </c>
      <c r="J992" s="17" t="n">
        <f aca="false">IF(H992="","",H992-I992)</f>
        <v>210</v>
      </c>
    </row>
    <row r="993" customFormat="false" ht="15" hidden="false" customHeight="true" outlineLevel="0" collapsed="false">
      <c r="A993" s="7" t="s">
        <v>1096</v>
      </c>
      <c r="B993" s="18" t="n">
        <f aca="false">IF(A993="","",IFERROR(INDEX(Sales_Memo!$B$2:$B$1001,MATCH(A993,Sales_Memo!$A$2:$A$1001,0)),""))</f>
        <v>46314</v>
      </c>
      <c r="C993" s="7" t="s">
        <v>82</v>
      </c>
      <c r="D993" s="16" t="str">
        <f aca="false">IF(C993="","",IFERROR(INDEX(Products!$B$2:$B$501,MATCH(C993,Products!$A$2:$A$501,0)),"CODE NOT FOUND"))</f>
        <v>Clutch Cable</v>
      </c>
      <c r="E993" s="7" t="n">
        <v>3</v>
      </c>
      <c r="F993" s="13" t="n">
        <v>190</v>
      </c>
      <c r="G993" s="13" t="n">
        <v>110</v>
      </c>
      <c r="H993" s="17" t="n">
        <f aca="false">IF(OR(E993="",F993=""),"",E993*F993)</f>
        <v>570</v>
      </c>
      <c r="I993" s="17" t="n">
        <f aca="false">IF(OR(E993="",G993=""),"",E993*G993)</f>
        <v>330</v>
      </c>
      <c r="J993" s="17" t="n">
        <f aca="false">IF(H993="","",H993-I993)</f>
        <v>240</v>
      </c>
    </row>
    <row r="994" customFormat="false" ht="15" hidden="false" customHeight="true" outlineLevel="0" collapsed="false">
      <c r="A994" s="7" t="s">
        <v>1096</v>
      </c>
      <c r="B994" s="18" t="n">
        <f aca="false">IF(A994="","",IFERROR(INDEX(Sales_Memo!$B$2:$B$1001,MATCH(A994,Sales_Memo!$A$2:$A$1001,0)),""))</f>
        <v>46314</v>
      </c>
      <c r="C994" s="7" t="s">
        <v>114</v>
      </c>
      <c r="D994" s="16" t="str">
        <f aca="false">IF(C994="","",IFERROR(INDEX(Products!$B$2:$B$501,MATCH(C994,Products!$A$2:$A$501,0)),"CODE NOT FOUND"))</f>
        <v>Side Mirror (Pair)</v>
      </c>
      <c r="E994" s="7" t="n">
        <v>3</v>
      </c>
      <c r="F994" s="13" t="n">
        <v>620</v>
      </c>
      <c r="G994" s="13" t="n">
        <v>380</v>
      </c>
      <c r="H994" s="17" t="n">
        <f aca="false">IF(OR(E994="",F994=""),"",E994*F994)</f>
        <v>1860</v>
      </c>
      <c r="I994" s="17" t="n">
        <f aca="false">IF(OR(E994="",G994=""),"",E994*G994)</f>
        <v>1140</v>
      </c>
      <c r="J994" s="17" t="n">
        <f aca="false">IF(H994="","",H994-I994)</f>
        <v>720</v>
      </c>
    </row>
    <row r="995" customFormat="false" ht="15" hidden="false" customHeight="true" outlineLevel="0" collapsed="false">
      <c r="A995" s="7" t="s">
        <v>1098</v>
      </c>
      <c r="B995" s="18" t="n">
        <f aca="false">IF(A995="","",IFERROR(INDEX(Sales_Memo!$B$2:$B$1001,MATCH(A995,Sales_Memo!$A$2:$A$1001,0)),""))</f>
        <v>46314</v>
      </c>
      <c r="C995" s="7" t="s">
        <v>121</v>
      </c>
      <c r="D995" s="16" t="str">
        <f aca="false">IF(C995="","",IFERROR(INDEX(Products!$B$2:$B$501,MATCH(C995,Products!$A$2:$A$501,0)),"CODE NOT FOUND"))</f>
        <v>Handle Grip Set</v>
      </c>
      <c r="E995" s="7" t="n">
        <v>2</v>
      </c>
      <c r="F995" s="13" t="n">
        <v>280</v>
      </c>
      <c r="G995" s="13" t="n">
        <v>160</v>
      </c>
      <c r="H995" s="17" t="n">
        <f aca="false">IF(OR(E995="",F995=""),"",E995*F995)</f>
        <v>560</v>
      </c>
      <c r="I995" s="17" t="n">
        <f aca="false">IF(OR(E995="",G995=""),"",E995*G995)</f>
        <v>320</v>
      </c>
      <c r="J995" s="17" t="n">
        <f aca="false">IF(H995="","",H995-I995)</f>
        <v>240</v>
      </c>
    </row>
    <row r="996" customFormat="false" ht="15" hidden="false" customHeight="true" outlineLevel="0" collapsed="false">
      <c r="A996" s="7" t="s">
        <v>1098</v>
      </c>
      <c r="B996" s="18" t="n">
        <f aca="false">IF(A996="","",IFERROR(INDEX(Sales_Memo!$B$2:$B$1001,MATCH(A996,Sales_Memo!$A$2:$A$1001,0)),""))</f>
        <v>46314</v>
      </c>
      <c r="C996" s="7" t="s">
        <v>119</v>
      </c>
      <c r="D996" s="16" t="str">
        <f aca="false">IF(C996="","",IFERROR(INDEX(Products!$B$2:$B$501,MATCH(C996,Products!$A$2:$A$501,0)),"CODE NOT FOUND"))</f>
        <v>Chain Lube Spray</v>
      </c>
      <c r="E996" s="7" t="n">
        <v>2</v>
      </c>
      <c r="F996" s="13" t="n">
        <v>270</v>
      </c>
      <c r="G996" s="13" t="n">
        <v>170</v>
      </c>
      <c r="H996" s="17" t="n">
        <f aca="false">IF(OR(E996="",F996=""),"",E996*F996)</f>
        <v>540</v>
      </c>
      <c r="I996" s="17" t="n">
        <f aca="false">IF(OR(E996="",G996=""),"",E996*G996)</f>
        <v>340</v>
      </c>
      <c r="J996" s="17" t="n">
        <f aca="false">IF(H996="","",H996-I996)</f>
        <v>200</v>
      </c>
    </row>
    <row r="997" customFormat="false" ht="15" hidden="false" customHeight="true" outlineLevel="0" collapsed="false">
      <c r="A997" s="7" t="s">
        <v>1098</v>
      </c>
      <c r="B997" s="18" t="n">
        <f aca="false">IF(A997="","",IFERROR(INDEX(Sales_Memo!$B$2:$B$1001,MATCH(A997,Sales_Memo!$A$2:$A$1001,0)),""))</f>
        <v>46314</v>
      </c>
      <c r="C997" s="7" t="s">
        <v>82</v>
      </c>
      <c r="D997" s="16" t="str">
        <f aca="false">IF(C997="","",IFERROR(INDEX(Products!$B$2:$B$501,MATCH(C997,Products!$A$2:$A$501,0)),"CODE NOT FOUND"))</f>
        <v>Clutch Cable</v>
      </c>
      <c r="E997" s="7" t="n">
        <v>2</v>
      </c>
      <c r="F997" s="13" t="n">
        <v>190</v>
      </c>
      <c r="G997" s="13" t="n">
        <v>110</v>
      </c>
      <c r="H997" s="17" t="n">
        <f aca="false">IF(OR(E997="",F997=""),"",E997*F997)</f>
        <v>380</v>
      </c>
      <c r="I997" s="17" t="n">
        <f aca="false">IF(OR(E997="",G997=""),"",E997*G997)</f>
        <v>220</v>
      </c>
      <c r="J997" s="17" t="n">
        <f aca="false">IF(H997="","",H997-I997)</f>
        <v>160</v>
      </c>
    </row>
    <row r="998" customFormat="false" ht="15" hidden="false" customHeight="true" outlineLevel="0" collapsed="false">
      <c r="A998" s="7" t="s">
        <v>1099</v>
      </c>
      <c r="B998" s="18" t="n">
        <f aca="false">IF(A998="","",IFERROR(INDEX(Sales_Memo!$B$2:$B$1001,MATCH(A998,Sales_Memo!$A$2:$A$1001,0)),""))</f>
        <v>46314</v>
      </c>
      <c r="C998" s="7" t="s">
        <v>82</v>
      </c>
      <c r="D998" s="16" t="str">
        <f aca="false">IF(C998="","",IFERROR(INDEX(Products!$B$2:$B$501,MATCH(C998,Products!$A$2:$A$501,0)),"CODE NOT FOUND"))</f>
        <v>Clutch Cable</v>
      </c>
      <c r="E998" s="7" t="n">
        <v>2</v>
      </c>
      <c r="F998" s="13" t="n">
        <v>190</v>
      </c>
      <c r="G998" s="13" t="n">
        <v>110</v>
      </c>
      <c r="H998" s="17" t="n">
        <f aca="false">IF(OR(E998="",F998=""),"",E998*F998)</f>
        <v>380</v>
      </c>
      <c r="I998" s="17" t="n">
        <f aca="false">IF(OR(E998="",G998=""),"",E998*G998)</f>
        <v>220</v>
      </c>
      <c r="J998" s="17" t="n">
        <f aca="false">IF(H998="","",H998-I998)</f>
        <v>160</v>
      </c>
    </row>
    <row r="999" customFormat="false" ht="15" hidden="false" customHeight="true" outlineLevel="0" collapsed="false">
      <c r="A999" s="7" t="s">
        <v>1099</v>
      </c>
      <c r="B999" s="18" t="n">
        <f aca="false">IF(A999="","",IFERROR(INDEX(Sales_Memo!$B$2:$B$1001,MATCH(A999,Sales_Memo!$A$2:$A$1001,0)),""))</f>
        <v>46314</v>
      </c>
      <c r="C999" s="7" t="s">
        <v>121</v>
      </c>
      <c r="D999" s="16" t="str">
        <f aca="false">IF(C999="","",IFERROR(INDEX(Products!$B$2:$B$501,MATCH(C999,Products!$A$2:$A$501,0)),"CODE NOT FOUND"))</f>
        <v>Handle Grip Set</v>
      </c>
      <c r="E999" s="7" t="n">
        <v>2</v>
      </c>
      <c r="F999" s="13" t="n">
        <v>280</v>
      </c>
      <c r="G999" s="13" t="n">
        <v>160</v>
      </c>
      <c r="H999" s="17" t="n">
        <f aca="false">IF(OR(E999="",F999=""),"",E999*F999)</f>
        <v>560</v>
      </c>
      <c r="I999" s="17" t="n">
        <f aca="false">IF(OR(E999="",G999=""),"",E999*G999)</f>
        <v>320</v>
      </c>
      <c r="J999" s="17" t="n">
        <f aca="false">IF(H999="","",H999-I999)</f>
        <v>240</v>
      </c>
    </row>
    <row r="1000" customFormat="false" ht="15" hidden="false" customHeight="true" outlineLevel="0" collapsed="false">
      <c r="A1000" s="7" t="s">
        <v>1101</v>
      </c>
      <c r="B1000" s="18" t="n">
        <f aca="false">IF(A1000="","",IFERROR(INDEX(Sales_Memo!$B$2:$B$1001,MATCH(A1000,Sales_Memo!$A$2:$A$1001,0)),""))</f>
        <v>46314</v>
      </c>
      <c r="C1000" s="7" t="s">
        <v>102</v>
      </c>
      <c r="D1000" s="16" t="str">
        <f aca="false">IF(C1000="","",IFERROR(INDEX(Products!$B$2:$B$501,MATCH(C1000,Products!$A$2:$A$501,0)),"CODE NOT FOUND"))</f>
        <v>Headlight Bulb H4</v>
      </c>
      <c r="E1000" s="7" t="n">
        <v>1</v>
      </c>
      <c r="F1000" s="13" t="n">
        <v>240</v>
      </c>
      <c r="G1000" s="13" t="n">
        <v>140</v>
      </c>
      <c r="H1000" s="17" t="n">
        <f aca="false">IF(OR(E1000="",F1000=""),"",E1000*F1000)</f>
        <v>240</v>
      </c>
      <c r="I1000" s="17" t="n">
        <f aca="false">IF(OR(E1000="",G1000=""),"",E1000*G1000)</f>
        <v>140</v>
      </c>
      <c r="J1000" s="17" t="n">
        <f aca="false">IF(H1000="","",H1000-I1000)</f>
        <v>100</v>
      </c>
    </row>
    <row r="1001" customFormat="false" ht="15" hidden="false" customHeight="true" outlineLevel="0" collapsed="false">
      <c r="A1001" s="7" t="s">
        <v>1102</v>
      </c>
      <c r="B1001" s="18" t="n">
        <f aca="false">IF(A1001="","",IFERROR(INDEX(Sales_Memo!$B$2:$B$1001,MATCH(A1001,Sales_Memo!$A$2:$A$1001,0)),""))</f>
        <v>46314</v>
      </c>
      <c r="C1001" s="7" t="s">
        <v>77</v>
      </c>
      <c r="D1001" s="16" t="str">
        <f aca="false">IF(C1001="","",IFERROR(INDEX(Products!$B$2:$B$501,MATCH(C1001,Products!$A$2:$A$501,0)),"CODE NOT FOUND"))</f>
        <v>Brake Pad Set - Front</v>
      </c>
      <c r="E1001" s="7" t="n">
        <v>1</v>
      </c>
      <c r="F1001" s="13" t="n">
        <v>480</v>
      </c>
      <c r="G1001" s="13" t="n">
        <v>320</v>
      </c>
      <c r="H1001" s="17" t="n">
        <f aca="false">IF(OR(E1001="",F1001=""),"",E1001*F1001)</f>
        <v>480</v>
      </c>
      <c r="I1001" s="17" t="n">
        <f aca="false">IF(OR(E1001="",G1001=""),"",E1001*G1001)</f>
        <v>320</v>
      </c>
      <c r="J1001" s="17" t="n">
        <f aca="false">IF(H1001="","",H1001-I1001)</f>
        <v>160</v>
      </c>
    </row>
    <row r="1002" customFormat="false" ht="15" hidden="false" customHeight="true" outlineLevel="0" collapsed="false">
      <c r="A1002" s="7" t="s">
        <v>1102</v>
      </c>
      <c r="B1002" s="18" t="n">
        <f aca="false">IF(A1002="","",IFERROR(INDEX(Sales_Memo!$B$2:$B$1001,MATCH(A1002,Sales_Memo!$A$2:$A$1001,0)),""))</f>
        <v>46314</v>
      </c>
      <c r="C1002" s="7" t="s">
        <v>119</v>
      </c>
      <c r="D1002" s="16" t="str">
        <f aca="false">IF(C1002="","",IFERROR(INDEX(Products!$B$2:$B$501,MATCH(C1002,Products!$A$2:$A$501,0)),"CODE NOT FOUND"))</f>
        <v>Chain Lube Spray</v>
      </c>
      <c r="E1002" s="7" t="n">
        <v>1</v>
      </c>
      <c r="F1002" s="13" t="n">
        <v>270</v>
      </c>
      <c r="G1002" s="13" t="n">
        <v>170</v>
      </c>
      <c r="H1002" s="17" t="n">
        <f aca="false">IF(OR(E1002="",F1002=""),"",E1002*F1002)</f>
        <v>270</v>
      </c>
      <c r="I1002" s="17" t="n">
        <f aca="false">IF(OR(E1002="",G1002=""),"",E1002*G1002)</f>
        <v>170</v>
      </c>
      <c r="J1002" s="17" t="n">
        <f aca="false">IF(H1002="","",H1002-I1002)</f>
        <v>100</v>
      </c>
    </row>
    <row r="1003" customFormat="false" ht="15" hidden="false" customHeight="true" outlineLevel="0" collapsed="false">
      <c r="A1003" s="7" t="s">
        <v>1103</v>
      </c>
      <c r="B1003" s="18" t="n">
        <f aca="false">IF(A1003="","",IFERROR(INDEX(Sales_Memo!$B$2:$B$1001,MATCH(A1003,Sales_Memo!$A$2:$A$1001,0)),""))</f>
        <v>46314</v>
      </c>
      <c r="C1003" s="7" t="s">
        <v>102</v>
      </c>
      <c r="D1003" s="16" t="str">
        <f aca="false">IF(C1003="","",IFERROR(INDEX(Products!$B$2:$B$501,MATCH(C1003,Products!$A$2:$A$501,0)),"CODE NOT FOUND"))</f>
        <v>Headlight Bulb H4</v>
      </c>
      <c r="E1003" s="7" t="n">
        <v>3</v>
      </c>
      <c r="F1003" s="13" t="n">
        <v>240</v>
      </c>
      <c r="G1003" s="13" t="n">
        <v>140</v>
      </c>
      <c r="H1003" s="17" t="n">
        <f aca="false">IF(OR(E1003="",F1003=""),"",E1003*F1003)</f>
        <v>720</v>
      </c>
      <c r="I1003" s="17" t="n">
        <f aca="false">IF(OR(E1003="",G1003=""),"",E1003*G1003)</f>
        <v>420</v>
      </c>
      <c r="J1003" s="17" t="n">
        <f aca="false">IF(H1003="","",H1003-I1003)</f>
        <v>300</v>
      </c>
    </row>
    <row r="1004" customFormat="false" ht="15" hidden="false" customHeight="true" outlineLevel="0" collapsed="false">
      <c r="A1004" s="7" t="s">
        <v>1103</v>
      </c>
      <c r="B1004" s="18" t="n">
        <f aca="false">IF(A1004="","",IFERROR(INDEX(Sales_Memo!$B$2:$B$1001,MATCH(A1004,Sales_Memo!$A$2:$A$1001,0)),""))</f>
        <v>46314</v>
      </c>
      <c r="C1004" s="7" t="s">
        <v>121</v>
      </c>
      <c r="D1004" s="16" t="str">
        <f aca="false">IF(C1004="","",IFERROR(INDEX(Products!$B$2:$B$501,MATCH(C1004,Products!$A$2:$A$501,0)),"CODE NOT FOUND"))</f>
        <v>Handle Grip Set</v>
      </c>
      <c r="E1004" s="7" t="n">
        <v>2</v>
      </c>
      <c r="F1004" s="13" t="n">
        <v>280</v>
      </c>
      <c r="G1004" s="13" t="n">
        <v>160</v>
      </c>
      <c r="H1004" s="17" t="n">
        <f aca="false">IF(OR(E1004="",F1004=""),"",E1004*F1004)</f>
        <v>560</v>
      </c>
      <c r="I1004" s="17" t="n">
        <f aca="false">IF(OR(E1004="",G1004=""),"",E1004*G1004)</f>
        <v>320</v>
      </c>
      <c r="J1004" s="17" t="n">
        <f aca="false">IF(H1004="","",H1004-I1004)</f>
        <v>240</v>
      </c>
    </row>
    <row r="1005" customFormat="false" ht="15" hidden="false" customHeight="true" outlineLevel="0" collapsed="false">
      <c r="A1005" s="7" t="s">
        <v>1104</v>
      </c>
      <c r="B1005" s="18" t="n">
        <f aca="false">IF(A1005="","",IFERROR(INDEX(Sales_Memo!$B$2:$B$1001,MATCH(A1005,Sales_Memo!$A$2:$A$1001,0)),""))</f>
        <v>46314</v>
      </c>
      <c r="C1005" s="7" t="s">
        <v>96</v>
      </c>
      <c r="D1005" s="16" t="str">
        <f aca="false">IF(C1005="","",IFERROR(INDEX(Products!$B$2:$B$501,MATCH(C1005,Products!$A$2:$A$501,0)),"CODE NOT FOUND"))</f>
        <v>Engine Oil 10W-30 (1L)</v>
      </c>
      <c r="E1005" s="7" t="n">
        <v>1</v>
      </c>
      <c r="F1005" s="13" t="n">
        <v>780</v>
      </c>
      <c r="G1005" s="13" t="n">
        <v>620</v>
      </c>
      <c r="H1005" s="17" t="n">
        <f aca="false">IF(OR(E1005="",F1005=""),"",E1005*F1005)</f>
        <v>780</v>
      </c>
      <c r="I1005" s="17" t="n">
        <f aca="false">IF(OR(E1005="",G1005=""),"",E1005*G1005)</f>
        <v>620</v>
      </c>
      <c r="J1005" s="17" t="n">
        <f aca="false">IF(H1005="","",H1005-I1005)</f>
        <v>160</v>
      </c>
    </row>
    <row r="1006" customFormat="false" ht="15" hidden="false" customHeight="true" outlineLevel="0" collapsed="false">
      <c r="A1006" s="7" t="s">
        <v>1104</v>
      </c>
      <c r="B1006" s="18" t="n">
        <f aca="false">IF(A1006="","",IFERROR(INDEX(Sales_Memo!$B$2:$B$1001,MATCH(A1006,Sales_Memo!$A$2:$A$1001,0)),""))</f>
        <v>46314</v>
      </c>
      <c r="C1006" s="7" t="s">
        <v>121</v>
      </c>
      <c r="D1006" s="16" t="str">
        <f aca="false">IF(C1006="","",IFERROR(INDEX(Products!$B$2:$B$501,MATCH(C1006,Products!$A$2:$A$501,0)),"CODE NOT FOUND"))</f>
        <v>Handle Grip Set</v>
      </c>
      <c r="E1006" s="7" t="n">
        <v>1</v>
      </c>
      <c r="F1006" s="13" t="n">
        <v>280</v>
      </c>
      <c r="G1006" s="13" t="n">
        <v>160</v>
      </c>
      <c r="H1006" s="17" t="n">
        <f aca="false">IF(OR(E1006="",F1006=""),"",E1006*F1006)</f>
        <v>280</v>
      </c>
      <c r="I1006" s="17" t="n">
        <f aca="false">IF(OR(E1006="",G1006=""),"",E1006*G1006)</f>
        <v>160</v>
      </c>
      <c r="J1006" s="17" t="n">
        <f aca="false">IF(H1006="","",H1006-I1006)</f>
        <v>120</v>
      </c>
    </row>
    <row r="1007" customFormat="false" ht="15" hidden="false" customHeight="true" outlineLevel="0" collapsed="false">
      <c r="A1007" s="7" t="s">
        <v>1105</v>
      </c>
      <c r="B1007" s="18" t="n">
        <f aca="false">IF(A1007="","",IFERROR(INDEX(Sales_Memo!$B$2:$B$1001,MATCH(A1007,Sales_Memo!$A$2:$A$1001,0)),""))</f>
        <v>46314</v>
      </c>
      <c r="C1007" s="7" t="s">
        <v>90</v>
      </c>
      <c r="D1007" s="16" t="str">
        <f aca="false">IF(C1007="","",IFERROR(INDEX(Products!$B$2:$B$501,MATCH(C1007,Products!$A$2:$A$501,0)),"CODE NOT FOUND"))</f>
        <v>Air Filter 150cc</v>
      </c>
      <c r="E1007" s="7" t="n">
        <v>2</v>
      </c>
      <c r="F1007" s="13" t="n">
        <v>340</v>
      </c>
      <c r="G1007" s="13" t="n">
        <v>210</v>
      </c>
      <c r="H1007" s="17" t="n">
        <f aca="false">IF(OR(E1007="",F1007=""),"",E1007*F1007)</f>
        <v>680</v>
      </c>
      <c r="I1007" s="17" t="n">
        <f aca="false">IF(OR(E1007="",G1007=""),"",E1007*G1007)</f>
        <v>420</v>
      </c>
      <c r="J1007" s="17" t="n">
        <f aca="false">IF(H1007="","",H1007-I1007)</f>
        <v>260</v>
      </c>
    </row>
    <row r="1008" customFormat="false" ht="15" hidden="false" customHeight="true" outlineLevel="0" collapsed="false">
      <c r="A1008" s="7" t="s">
        <v>1105</v>
      </c>
      <c r="B1008" s="18" t="n">
        <f aca="false">IF(A1008="","",IFERROR(INDEX(Sales_Memo!$B$2:$B$1001,MATCH(A1008,Sales_Memo!$A$2:$A$1001,0)),""))</f>
        <v>46314</v>
      </c>
      <c r="C1008" s="7" t="s">
        <v>82</v>
      </c>
      <c r="D1008" s="16" t="str">
        <f aca="false">IF(C1008="","",IFERROR(INDEX(Products!$B$2:$B$501,MATCH(C1008,Products!$A$2:$A$501,0)),"CODE NOT FOUND"))</f>
        <v>Clutch Cable</v>
      </c>
      <c r="E1008" s="7" t="n">
        <v>1</v>
      </c>
      <c r="F1008" s="13" t="n">
        <v>190</v>
      </c>
      <c r="G1008" s="13" t="n">
        <v>110</v>
      </c>
      <c r="H1008" s="17" t="n">
        <f aca="false">IF(OR(E1008="",F1008=""),"",E1008*F1008)</f>
        <v>190</v>
      </c>
      <c r="I1008" s="17" t="n">
        <f aca="false">IF(OR(E1008="",G1008=""),"",E1008*G1008)</f>
        <v>110</v>
      </c>
      <c r="J1008" s="17" t="n">
        <f aca="false">IF(H1008="","",H1008-I1008)</f>
        <v>80</v>
      </c>
    </row>
    <row r="1009" customFormat="false" ht="15" hidden="false" customHeight="true" outlineLevel="0" collapsed="false">
      <c r="A1009" s="7" t="s">
        <v>1106</v>
      </c>
      <c r="B1009" s="18" t="n">
        <f aca="false">IF(A1009="","",IFERROR(INDEX(Sales_Memo!$B$2:$B$1001,MATCH(A1009,Sales_Memo!$A$2:$A$1001,0)),""))</f>
        <v>46315</v>
      </c>
      <c r="C1009" s="7" t="s">
        <v>86</v>
      </c>
      <c r="D1009" s="16" t="str">
        <f aca="false">IF(C1009="","",IFERROR(INDEX(Products!$B$2:$B$501,MATCH(C1009,Products!$A$2:$A$501,0)),"CODE NOT FOUND"))</f>
        <v>Spark Plug CPR8EA-9</v>
      </c>
      <c r="E1009" s="7" t="n">
        <v>2</v>
      </c>
      <c r="F1009" s="13" t="n">
        <v>260</v>
      </c>
      <c r="G1009" s="13" t="n">
        <v>175</v>
      </c>
      <c r="H1009" s="17" t="n">
        <f aca="false">IF(OR(E1009="",F1009=""),"",E1009*F1009)</f>
        <v>520</v>
      </c>
      <c r="I1009" s="17" t="n">
        <f aca="false">IF(OR(E1009="",G1009=""),"",E1009*G1009)</f>
        <v>350</v>
      </c>
      <c r="J1009" s="17" t="n">
        <f aca="false">IF(H1009="","",H1009-I1009)</f>
        <v>170</v>
      </c>
    </row>
    <row r="1010" customFormat="false" ht="15" hidden="false" customHeight="true" outlineLevel="0" collapsed="false">
      <c r="A1010" s="7" t="s">
        <v>1106</v>
      </c>
      <c r="B1010" s="18" t="n">
        <f aca="false">IF(A1010="","",IFERROR(INDEX(Sales_Memo!$B$2:$B$1001,MATCH(A1010,Sales_Memo!$A$2:$A$1001,0)),""))</f>
        <v>46315</v>
      </c>
      <c r="C1010" s="7" t="s">
        <v>121</v>
      </c>
      <c r="D1010" s="16" t="str">
        <f aca="false">IF(C1010="","",IFERROR(INDEX(Products!$B$2:$B$501,MATCH(C1010,Products!$A$2:$A$501,0)),"CODE NOT FOUND"))</f>
        <v>Handle Grip Set</v>
      </c>
      <c r="E1010" s="7" t="n">
        <v>2</v>
      </c>
      <c r="F1010" s="13" t="n">
        <v>280</v>
      </c>
      <c r="G1010" s="13" t="n">
        <v>160</v>
      </c>
      <c r="H1010" s="17" t="n">
        <f aca="false">IF(OR(E1010="",F1010=""),"",E1010*F1010)</f>
        <v>560</v>
      </c>
      <c r="I1010" s="17" t="n">
        <f aca="false">IF(OR(E1010="",G1010=""),"",E1010*G1010)</f>
        <v>320</v>
      </c>
      <c r="J1010" s="17" t="n">
        <f aca="false">IF(H1010="","",H1010-I1010)</f>
        <v>240</v>
      </c>
    </row>
    <row r="1011" customFormat="false" ht="15" hidden="false" customHeight="true" outlineLevel="0" collapsed="false">
      <c r="A1011" s="7" t="s">
        <v>1107</v>
      </c>
      <c r="B1011" s="18" t="n">
        <f aca="false">IF(A1011="","",IFERROR(INDEX(Sales_Memo!$B$2:$B$1001,MATCH(A1011,Sales_Memo!$A$2:$A$1001,0)),""))</f>
        <v>46315</v>
      </c>
      <c r="C1011" s="7" t="s">
        <v>86</v>
      </c>
      <c r="D1011" s="16" t="str">
        <f aca="false">IF(C1011="","",IFERROR(INDEX(Products!$B$2:$B$501,MATCH(C1011,Products!$A$2:$A$501,0)),"CODE NOT FOUND"))</f>
        <v>Spark Plug CPR8EA-9</v>
      </c>
      <c r="E1011" s="7" t="n">
        <v>1</v>
      </c>
      <c r="F1011" s="13" t="n">
        <v>260</v>
      </c>
      <c r="G1011" s="13" t="n">
        <v>175</v>
      </c>
      <c r="H1011" s="17" t="n">
        <f aca="false">IF(OR(E1011="",F1011=""),"",E1011*F1011)</f>
        <v>260</v>
      </c>
      <c r="I1011" s="17" t="n">
        <f aca="false">IF(OR(E1011="",G1011=""),"",E1011*G1011)</f>
        <v>175</v>
      </c>
      <c r="J1011" s="17" t="n">
        <f aca="false">IF(H1011="","",H1011-I1011)</f>
        <v>85</v>
      </c>
    </row>
    <row r="1012" customFormat="false" ht="15" hidden="false" customHeight="true" outlineLevel="0" collapsed="false">
      <c r="A1012" s="7" t="s">
        <v>1108</v>
      </c>
      <c r="B1012" s="18" t="n">
        <f aca="false">IF(A1012="","",IFERROR(INDEX(Sales_Memo!$B$2:$B$1001,MATCH(A1012,Sales_Memo!$A$2:$A$1001,0)),""))</f>
        <v>46315</v>
      </c>
      <c r="C1012" s="7" t="s">
        <v>77</v>
      </c>
      <c r="D1012" s="16" t="str">
        <f aca="false">IF(C1012="","",IFERROR(INDEX(Products!$B$2:$B$501,MATCH(C1012,Products!$A$2:$A$501,0)),"CODE NOT FOUND"))</f>
        <v>Brake Pad Set - Front</v>
      </c>
      <c r="E1012" s="7" t="n">
        <v>2</v>
      </c>
      <c r="F1012" s="13" t="n">
        <v>480</v>
      </c>
      <c r="G1012" s="13" t="n">
        <v>320</v>
      </c>
      <c r="H1012" s="17" t="n">
        <f aca="false">IF(OR(E1012="",F1012=""),"",E1012*F1012)</f>
        <v>960</v>
      </c>
      <c r="I1012" s="17" t="n">
        <f aca="false">IF(OR(E1012="",G1012=""),"",E1012*G1012)</f>
        <v>640</v>
      </c>
      <c r="J1012" s="17" t="n">
        <f aca="false">IF(H1012="","",H1012-I1012)</f>
        <v>320</v>
      </c>
    </row>
    <row r="1013" customFormat="false" ht="15" hidden="false" customHeight="true" outlineLevel="0" collapsed="false">
      <c r="A1013" s="7" t="s">
        <v>1108</v>
      </c>
      <c r="B1013" s="18" t="n">
        <f aca="false">IF(A1013="","",IFERROR(INDEX(Sales_Memo!$B$2:$B$1001,MATCH(A1013,Sales_Memo!$A$2:$A$1001,0)),""))</f>
        <v>46315</v>
      </c>
      <c r="C1013" s="7" t="s">
        <v>119</v>
      </c>
      <c r="D1013" s="16" t="str">
        <f aca="false">IF(C1013="","",IFERROR(INDEX(Products!$B$2:$B$501,MATCH(C1013,Products!$A$2:$A$501,0)),"CODE NOT FOUND"))</f>
        <v>Chain Lube Spray</v>
      </c>
      <c r="E1013" s="7" t="n">
        <v>1</v>
      </c>
      <c r="F1013" s="13" t="n">
        <v>270</v>
      </c>
      <c r="G1013" s="13" t="n">
        <v>170</v>
      </c>
      <c r="H1013" s="17" t="n">
        <f aca="false">IF(OR(E1013="",F1013=""),"",E1013*F1013)</f>
        <v>270</v>
      </c>
      <c r="I1013" s="17" t="n">
        <f aca="false">IF(OR(E1013="",G1013=""),"",E1013*G1013)</f>
        <v>170</v>
      </c>
      <c r="J1013" s="17" t="n">
        <f aca="false">IF(H1013="","",H1013-I1013)</f>
        <v>100</v>
      </c>
    </row>
    <row r="1014" customFormat="false" ht="15" hidden="false" customHeight="true" outlineLevel="0" collapsed="false">
      <c r="A1014" s="7" t="s">
        <v>1108</v>
      </c>
      <c r="B1014" s="18" t="n">
        <f aca="false">IF(A1014="","",IFERROR(INDEX(Sales_Memo!$B$2:$B$1001,MATCH(A1014,Sales_Memo!$A$2:$A$1001,0)),""))</f>
        <v>46315</v>
      </c>
      <c r="C1014" s="7" t="s">
        <v>102</v>
      </c>
      <c r="D1014" s="16" t="str">
        <f aca="false">IF(C1014="","",IFERROR(INDEX(Products!$B$2:$B$501,MATCH(C1014,Products!$A$2:$A$501,0)),"CODE NOT FOUND"))</f>
        <v>Headlight Bulb H4</v>
      </c>
      <c r="E1014" s="7" t="n">
        <v>1</v>
      </c>
      <c r="F1014" s="13" t="n">
        <v>240</v>
      </c>
      <c r="G1014" s="13" t="n">
        <v>140</v>
      </c>
      <c r="H1014" s="17" t="n">
        <f aca="false">IF(OR(E1014="",F1014=""),"",E1014*F1014)</f>
        <v>240</v>
      </c>
      <c r="I1014" s="17" t="n">
        <f aca="false">IF(OR(E1014="",G1014=""),"",E1014*G1014)</f>
        <v>140</v>
      </c>
      <c r="J1014" s="17" t="n">
        <f aca="false">IF(H1014="","",H1014-I1014)</f>
        <v>100</v>
      </c>
    </row>
    <row r="1015" customFormat="false" ht="15" hidden="false" customHeight="true" outlineLevel="0" collapsed="false">
      <c r="A1015" s="7" t="s">
        <v>1109</v>
      </c>
      <c r="B1015" s="18" t="n">
        <f aca="false">IF(A1015="","",IFERROR(INDEX(Sales_Memo!$B$2:$B$1001,MATCH(A1015,Sales_Memo!$A$2:$A$1001,0)),""))</f>
        <v>46315</v>
      </c>
      <c r="C1015" s="7" t="s">
        <v>96</v>
      </c>
      <c r="D1015" s="16" t="str">
        <f aca="false">IF(C1015="","",IFERROR(INDEX(Products!$B$2:$B$501,MATCH(C1015,Products!$A$2:$A$501,0)),"CODE NOT FOUND"))</f>
        <v>Engine Oil 10W-30 (1L)</v>
      </c>
      <c r="E1015" s="7" t="n">
        <v>3</v>
      </c>
      <c r="F1015" s="13" t="n">
        <v>780</v>
      </c>
      <c r="G1015" s="13" t="n">
        <v>620</v>
      </c>
      <c r="H1015" s="17" t="n">
        <f aca="false">IF(OR(E1015="",F1015=""),"",E1015*F1015)</f>
        <v>2340</v>
      </c>
      <c r="I1015" s="17" t="n">
        <f aca="false">IF(OR(E1015="",G1015=""),"",E1015*G1015)</f>
        <v>1860</v>
      </c>
      <c r="J1015" s="17" t="n">
        <f aca="false">IF(H1015="","",H1015-I1015)</f>
        <v>480</v>
      </c>
    </row>
    <row r="1016" customFormat="false" ht="15" hidden="false" customHeight="true" outlineLevel="0" collapsed="false">
      <c r="A1016" s="7" t="s">
        <v>1109</v>
      </c>
      <c r="B1016" s="18" t="n">
        <f aca="false">IF(A1016="","",IFERROR(INDEX(Sales_Memo!$B$2:$B$1001,MATCH(A1016,Sales_Memo!$A$2:$A$1001,0)),""))</f>
        <v>46315</v>
      </c>
      <c r="C1016" s="7" t="s">
        <v>119</v>
      </c>
      <c r="D1016" s="16" t="str">
        <f aca="false">IF(C1016="","",IFERROR(INDEX(Products!$B$2:$B$501,MATCH(C1016,Products!$A$2:$A$501,0)),"CODE NOT FOUND"))</f>
        <v>Chain Lube Spray</v>
      </c>
      <c r="E1016" s="7" t="n">
        <v>3</v>
      </c>
      <c r="F1016" s="13" t="n">
        <v>270</v>
      </c>
      <c r="G1016" s="13" t="n">
        <v>170</v>
      </c>
      <c r="H1016" s="17" t="n">
        <f aca="false">IF(OR(E1016="",F1016=""),"",E1016*F1016)</f>
        <v>810</v>
      </c>
      <c r="I1016" s="17" t="n">
        <f aca="false">IF(OR(E1016="",G1016=""),"",E1016*G1016)</f>
        <v>510</v>
      </c>
      <c r="J1016" s="17" t="n">
        <f aca="false">IF(H1016="","",H1016-I1016)</f>
        <v>300</v>
      </c>
    </row>
    <row r="1017" customFormat="false" ht="15" hidden="false" customHeight="true" outlineLevel="0" collapsed="false">
      <c r="A1017" s="7" t="s">
        <v>1109</v>
      </c>
      <c r="B1017" s="18" t="n">
        <f aca="false">IF(A1017="","",IFERROR(INDEX(Sales_Memo!$B$2:$B$1001,MATCH(A1017,Sales_Memo!$A$2:$A$1001,0)),""))</f>
        <v>46315</v>
      </c>
      <c r="C1017" s="7" t="s">
        <v>99</v>
      </c>
      <c r="D1017" s="16" t="str">
        <f aca="false">IF(C1017="","",IFERROR(INDEX(Products!$B$2:$B$501,MATCH(C1017,Products!$A$2:$A$501,0)),"CODE NOT FOUND"))</f>
        <v>Engine Oil 20W-50 (1L)</v>
      </c>
      <c r="E1017" s="7" t="n">
        <v>3</v>
      </c>
      <c r="F1017" s="13" t="n">
        <v>990</v>
      </c>
      <c r="G1017" s="13" t="n">
        <v>780</v>
      </c>
      <c r="H1017" s="17" t="n">
        <f aca="false">IF(OR(E1017="",F1017=""),"",E1017*F1017)</f>
        <v>2970</v>
      </c>
      <c r="I1017" s="17" t="n">
        <f aca="false">IF(OR(E1017="",G1017=""),"",E1017*G1017)</f>
        <v>2340</v>
      </c>
      <c r="J1017" s="17" t="n">
        <f aca="false">IF(H1017="","",H1017-I1017)</f>
        <v>630</v>
      </c>
    </row>
    <row r="1018" customFormat="false" ht="15" hidden="false" customHeight="true" outlineLevel="0" collapsed="false">
      <c r="A1018" s="7" t="s">
        <v>1111</v>
      </c>
      <c r="B1018" s="18" t="n">
        <f aca="false">IF(A1018="","",IFERROR(INDEX(Sales_Memo!$B$2:$B$1001,MATCH(A1018,Sales_Memo!$A$2:$A$1001,0)),""))</f>
        <v>46315</v>
      </c>
      <c r="C1018" s="7" t="s">
        <v>82</v>
      </c>
      <c r="D1018" s="16" t="str">
        <f aca="false">IF(C1018="","",IFERROR(INDEX(Products!$B$2:$B$501,MATCH(C1018,Products!$A$2:$A$501,0)),"CODE NOT FOUND"))</f>
        <v>Clutch Cable</v>
      </c>
      <c r="E1018" s="7" t="n">
        <v>2</v>
      </c>
      <c r="F1018" s="13" t="n">
        <v>190</v>
      </c>
      <c r="G1018" s="13" t="n">
        <v>110</v>
      </c>
      <c r="H1018" s="17" t="n">
        <f aca="false">IF(OR(E1018="",F1018=""),"",E1018*F1018)</f>
        <v>380</v>
      </c>
      <c r="I1018" s="17" t="n">
        <f aca="false">IF(OR(E1018="",G1018=""),"",E1018*G1018)</f>
        <v>220</v>
      </c>
      <c r="J1018" s="17" t="n">
        <f aca="false">IF(H1018="","",H1018-I1018)</f>
        <v>160</v>
      </c>
    </row>
    <row r="1019" customFormat="false" ht="15" hidden="false" customHeight="true" outlineLevel="0" collapsed="false">
      <c r="A1019" s="7" t="s">
        <v>1112</v>
      </c>
      <c r="B1019" s="18" t="n">
        <f aca="false">IF(A1019="","",IFERROR(INDEX(Sales_Memo!$B$2:$B$1001,MATCH(A1019,Sales_Memo!$A$2:$A$1001,0)),""))</f>
        <v>46315</v>
      </c>
      <c r="C1019" s="7" t="s">
        <v>119</v>
      </c>
      <c r="D1019" s="16" t="str">
        <f aca="false">IF(C1019="","",IFERROR(INDEX(Products!$B$2:$B$501,MATCH(C1019,Products!$A$2:$A$501,0)),"CODE NOT FOUND"))</f>
        <v>Chain Lube Spray</v>
      </c>
      <c r="E1019" s="7" t="n">
        <v>2</v>
      </c>
      <c r="F1019" s="13" t="n">
        <v>270</v>
      </c>
      <c r="G1019" s="13" t="n">
        <v>170</v>
      </c>
      <c r="H1019" s="17" t="n">
        <f aca="false">IF(OR(E1019="",F1019=""),"",E1019*F1019)</f>
        <v>540</v>
      </c>
      <c r="I1019" s="17" t="n">
        <f aca="false">IF(OR(E1019="",G1019=""),"",E1019*G1019)</f>
        <v>340</v>
      </c>
      <c r="J1019" s="17" t="n">
        <f aca="false">IF(H1019="","",H1019-I1019)</f>
        <v>200</v>
      </c>
    </row>
    <row r="1020" customFormat="false" ht="15" hidden="false" customHeight="true" outlineLevel="0" collapsed="false">
      <c r="A1020" s="7" t="s">
        <v>1113</v>
      </c>
      <c r="B1020" s="18" t="n">
        <f aca="false">IF(A1020="","",IFERROR(INDEX(Sales_Memo!$B$2:$B$1001,MATCH(A1020,Sales_Memo!$A$2:$A$1001,0)),""))</f>
        <v>46315</v>
      </c>
      <c r="C1020" s="7" t="s">
        <v>82</v>
      </c>
      <c r="D1020" s="16" t="str">
        <f aca="false">IF(C1020="","",IFERROR(INDEX(Products!$B$2:$B$501,MATCH(C1020,Products!$A$2:$A$501,0)),"CODE NOT FOUND"))</f>
        <v>Clutch Cable</v>
      </c>
      <c r="E1020" s="7" t="n">
        <v>3</v>
      </c>
      <c r="F1020" s="13" t="n">
        <v>190</v>
      </c>
      <c r="G1020" s="13" t="n">
        <v>110</v>
      </c>
      <c r="H1020" s="17" t="n">
        <f aca="false">IF(OR(E1020="",F1020=""),"",E1020*F1020)</f>
        <v>570</v>
      </c>
      <c r="I1020" s="17" t="n">
        <f aca="false">IF(OR(E1020="",G1020=""),"",E1020*G1020)</f>
        <v>330</v>
      </c>
      <c r="J1020" s="17" t="n">
        <f aca="false">IF(H1020="","",H1020-I1020)</f>
        <v>240</v>
      </c>
    </row>
    <row r="1021" customFormat="false" ht="15" hidden="false" customHeight="true" outlineLevel="0" collapsed="false">
      <c r="A1021" s="7" t="s">
        <v>1114</v>
      </c>
      <c r="B1021" s="18" t="n">
        <f aca="false">IF(A1021="","",IFERROR(INDEX(Sales_Memo!$B$2:$B$1001,MATCH(A1021,Sales_Memo!$A$2:$A$1001,0)),""))</f>
        <v>46315</v>
      </c>
      <c r="C1021" s="7" t="s">
        <v>96</v>
      </c>
      <c r="D1021" s="16" t="str">
        <f aca="false">IF(C1021="","",IFERROR(INDEX(Products!$B$2:$B$501,MATCH(C1021,Products!$A$2:$A$501,0)),"CODE NOT FOUND"))</f>
        <v>Engine Oil 10W-30 (1L)</v>
      </c>
      <c r="E1021" s="7" t="n">
        <v>2</v>
      </c>
      <c r="F1021" s="13" t="n">
        <v>780</v>
      </c>
      <c r="G1021" s="13" t="n">
        <v>620</v>
      </c>
      <c r="H1021" s="17" t="n">
        <f aca="false">IF(OR(E1021="",F1021=""),"",E1021*F1021)</f>
        <v>1560</v>
      </c>
      <c r="I1021" s="17" t="n">
        <f aca="false">IF(OR(E1021="",G1021=""),"",E1021*G1021)</f>
        <v>1240</v>
      </c>
      <c r="J1021" s="17" t="n">
        <f aca="false">IF(H1021="","",H1021-I1021)</f>
        <v>320</v>
      </c>
    </row>
    <row r="1022" customFormat="false" ht="15" hidden="false" customHeight="true" outlineLevel="0" collapsed="false">
      <c r="A1022" s="7" t="s">
        <v>1114</v>
      </c>
      <c r="B1022" s="18" t="n">
        <f aca="false">IF(A1022="","",IFERROR(INDEX(Sales_Memo!$B$2:$B$1001,MATCH(A1022,Sales_Memo!$A$2:$A$1001,0)),""))</f>
        <v>46315</v>
      </c>
      <c r="C1022" s="7" t="s">
        <v>86</v>
      </c>
      <c r="D1022" s="16" t="str">
        <f aca="false">IF(C1022="","",IFERROR(INDEX(Products!$B$2:$B$501,MATCH(C1022,Products!$A$2:$A$501,0)),"CODE NOT FOUND"))</f>
        <v>Spark Plug CPR8EA-9</v>
      </c>
      <c r="E1022" s="7" t="n">
        <v>2</v>
      </c>
      <c r="F1022" s="13" t="n">
        <v>260</v>
      </c>
      <c r="G1022" s="13" t="n">
        <v>175</v>
      </c>
      <c r="H1022" s="17" t="n">
        <f aca="false">IF(OR(E1022="",F1022=""),"",E1022*F1022)</f>
        <v>520</v>
      </c>
      <c r="I1022" s="17" t="n">
        <f aca="false">IF(OR(E1022="",G1022=""),"",E1022*G1022)</f>
        <v>350</v>
      </c>
      <c r="J1022" s="17" t="n">
        <f aca="false">IF(H1022="","",H1022-I1022)</f>
        <v>170</v>
      </c>
    </row>
    <row r="1023" customFormat="false" ht="15" hidden="false" customHeight="true" outlineLevel="0" collapsed="false">
      <c r="A1023" s="7" t="s">
        <v>1114</v>
      </c>
      <c r="B1023" s="18" t="n">
        <f aca="false">IF(A1023="","",IFERROR(INDEX(Sales_Memo!$B$2:$B$1001,MATCH(A1023,Sales_Memo!$A$2:$A$1001,0)),""))</f>
        <v>46315</v>
      </c>
      <c r="C1023" s="7" t="s">
        <v>121</v>
      </c>
      <c r="D1023" s="16" t="str">
        <f aca="false">IF(C1023="","",IFERROR(INDEX(Products!$B$2:$B$501,MATCH(C1023,Products!$A$2:$A$501,0)),"CODE NOT FOUND"))</f>
        <v>Handle Grip Set</v>
      </c>
      <c r="E1023" s="7" t="n">
        <v>1</v>
      </c>
      <c r="F1023" s="13" t="n">
        <v>280</v>
      </c>
      <c r="G1023" s="13" t="n">
        <v>160</v>
      </c>
      <c r="H1023" s="17" t="n">
        <f aca="false">IF(OR(E1023="",F1023=""),"",E1023*F1023)</f>
        <v>280</v>
      </c>
      <c r="I1023" s="17" t="n">
        <f aca="false">IF(OR(E1023="",G1023=""),"",E1023*G1023)</f>
        <v>160</v>
      </c>
      <c r="J1023" s="17" t="n">
        <f aca="false">IF(H1023="","",H1023-I1023)</f>
        <v>120</v>
      </c>
    </row>
    <row r="1024" customFormat="false" ht="15" hidden="false" customHeight="true" outlineLevel="0" collapsed="false">
      <c r="A1024" s="7" t="s">
        <v>1116</v>
      </c>
      <c r="B1024" s="18" t="n">
        <f aca="false">IF(A1024="","",IFERROR(INDEX(Sales_Memo!$B$2:$B$1001,MATCH(A1024,Sales_Memo!$A$2:$A$1001,0)),""))</f>
        <v>46315</v>
      </c>
      <c r="C1024" s="7" t="s">
        <v>102</v>
      </c>
      <c r="D1024" s="16" t="str">
        <f aca="false">IF(C1024="","",IFERROR(INDEX(Products!$B$2:$B$501,MATCH(C1024,Products!$A$2:$A$501,0)),"CODE NOT FOUND"))</f>
        <v>Headlight Bulb H4</v>
      </c>
      <c r="E1024" s="7" t="n">
        <v>1</v>
      </c>
      <c r="F1024" s="13" t="n">
        <v>240</v>
      </c>
      <c r="G1024" s="13" t="n">
        <v>140</v>
      </c>
      <c r="H1024" s="17" t="n">
        <f aca="false">IF(OR(E1024="",F1024=""),"",E1024*F1024)</f>
        <v>240</v>
      </c>
      <c r="I1024" s="17" t="n">
        <f aca="false">IF(OR(E1024="",G1024=""),"",E1024*G1024)</f>
        <v>140</v>
      </c>
      <c r="J1024" s="17" t="n">
        <f aca="false">IF(H1024="","",H1024-I1024)</f>
        <v>100</v>
      </c>
    </row>
    <row r="1025" customFormat="false" ht="15" hidden="false" customHeight="true" outlineLevel="0" collapsed="false">
      <c r="A1025" s="7" t="s">
        <v>1117</v>
      </c>
      <c r="B1025" s="18" t="n">
        <f aca="false">IF(A1025="","",IFERROR(INDEX(Sales_Memo!$B$2:$B$1001,MATCH(A1025,Sales_Memo!$A$2:$A$1001,0)),""))</f>
        <v>46315</v>
      </c>
      <c r="C1025" s="7" t="s">
        <v>82</v>
      </c>
      <c r="D1025" s="16" t="str">
        <f aca="false">IF(C1025="","",IFERROR(INDEX(Products!$B$2:$B$501,MATCH(C1025,Products!$A$2:$A$501,0)),"CODE NOT FOUND"))</f>
        <v>Clutch Cable</v>
      </c>
      <c r="E1025" s="7" t="n">
        <v>1</v>
      </c>
      <c r="F1025" s="13" t="n">
        <v>190</v>
      </c>
      <c r="G1025" s="13" t="n">
        <v>110</v>
      </c>
      <c r="H1025" s="17" t="n">
        <f aca="false">IF(OR(E1025="",F1025=""),"",E1025*F1025)</f>
        <v>190</v>
      </c>
      <c r="I1025" s="17" t="n">
        <f aca="false">IF(OR(E1025="",G1025=""),"",E1025*G1025)</f>
        <v>110</v>
      </c>
      <c r="J1025" s="17" t="n">
        <f aca="false">IF(H1025="","",H1025-I1025)</f>
        <v>80</v>
      </c>
    </row>
    <row r="1026" customFormat="false" ht="15" hidden="false" customHeight="true" outlineLevel="0" collapsed="false">
      <c r="A1026" s="7" t="s">
        <v>1117</v>
      </c>
      <c r="B1026" s="18" t="n">
        <f aca="false">IF(A1026="","",IFERROR(INDEX(Sales_Memo!$B$2:$B$1001,MATCH(A1026,Sales_Memo!$A$2:$A$1001,0)),""))</f>
        <v>46315</v>
      </c>
      <c r="C1026" s="7" t="s">
        <v>86</v>
      </c>
      <c r="D1026" s="16" t="str">
        <f aca="false">IF(C1026="","",IFERROR(INDEX(Products!$B$2:$B$501,MATCH(C1026,Products!$A$2:$A$501,0)),"CODE NOT FOUND"))</f>
        <v>Spark Plug CPR8EA-9</v>
      </c>
      <c r="E1026" s="7" t="n">
        <v>3</v>
      </c>
      <c r="F1026" s="13" t="n">
        <v>260</v>
      </c>
      <c r="G1026" s="13" t="n">
        <v>175</v>
      </c>
      <c r="H1026" s="17" t="n">
        <f aca="false">IF(OR(E1026="",F1026=""),"",E1026*F1026)</f>
        <v>780</v>
      </c>
      <c r="I1026" s="17" t="n">
        <f aca="false">IF(OR(E1026="",G1026=""),"",E1026*G1026)</f>
        <v>525</v>
      </c>
      <c r="J1026" s="17" t="n">
        <f aca="false">IF(H1026="","",H1026-I1026)</f>
        <v>255</v>
      </c>
    </row>
    <row r="1027" customFormat="false" ht="15" hidden="false" customHeight="true" outlineLevel="0" collapsed="false">
      <c r="A1027" s="7" t="s">
        <v>1117</v>
      </c>
      <c r="B1027" s="18" t="n">
        <f aca="false">IF(A1027="","",IFERROR(INDEX(Sales_Memo!$B$2:$B$1001,MATCH(A1027,Sales_Memo!$A$2:$A$1001,0)),""))</f>
        <v>46315</v>
      </c>
      <c r="C1027" s="7" t="s">
        <v>77</v>
      </c>
      <c r="D1027" s="16" t="str">
        <f aca="false">IF(C1027="","",IFERROR(INDEX(Products!$B$2:$B$501,MATCH(C1027,Products!$A$2:$A$501,0)),"CODE NOT FOUND"))</f>
        <v>Brake Pad Set - Front</v>
      </c>
      <c r="E1027" s="7" t="n">
        <v>2</v>
      </c>
      <c r="F1027" s="13" t="n">
        <v>480</v>
      </c>
      <c r="G1027" s="13" t="n">
        <v>320</v>
      </c>
      <c r="H1027" s="17" t="n">
        <f aca="false">IF(OR(E1027="",F1027=""),"",E1027*F1027)</f>
        <v>960</v>
      </c>
      <c r="I1027" s="17" t="n">
        <f aca="false">IF(OR(E1027="",G1027=""),"",E1027*G1027)</f>
        <v>640</v>
      </c>
      <c r="J1027" s="17" t="n">
        <f aca="false">IF(H1027="","",H1027-I1027)</f>
        <v>320</v>
      </c>
    </row>
    <row r="1028" customFormat="false" ht="15" hidden="false" customHeight="true" outlineLevel="0" collapsed="false">
      <c r="A1028" s="7" t="s">
        <v>1118</v>
      </c>
      <c r="B1028" s="18" t="n">
        <f aca="false">IF(A1028="","",IFERROR(INDEX(Sales_Memo!$B$2:$B$1001,MATCH(A1028,Sales_Memo!$A$2:$A$1001,0)),""))</f>
        <v>46316</v>
      </c>
      <c r="C1028" s="7" t="s">
        <v>82</v>
      </c>
      <c r="D1028" s="16" t="str">
        <f aca="false">IF(C1028="","",IFERROR(INDEX(Products!$B$2:$B$501,MATCH(C1028,Products!$A$2:$A$501,0)),"CODE NOT FOUND"))</f>
        <v>Clutch Cable</v>
      </c>
      <c r="E1028" s="7" t="n">
        <v>2</v>
      </c>
      <c r="F1028" s="13" t="n">
        <v>190</v>
      </c>
      <c r="G1028" s="13" t="n">
        <v>110</v>
      </c>
      <c r="H1028" s="17" t="n">
        <f aca="false">IF(OR(E1028="",F1028=""),"",E1028*F1028)</f>
        <v>380</v>
      </c>
      <c r="I1028" s="17" t="n">
        <f aca="false">IF(OR(E1028="",G1028=""),"",E1028*G1028)</f>
        <v>220</v>
      </c>
      <c r="J1028" s="17" t="n">
        <f aca="false">IF(H1028="","",H1028-I1028)</f>
        <v>160</v>
      </c>
    </row>
    <row r="1029" customFormat="false" ht="15" hidden="false" customHeight="true" outlineLevel="0" collapsed="false">
      <c r="A1029" s="7" t="s">
        <v>1118</v>
      </c>
      <c r="B1029" s="18" t="n">
        <f aca="false">IF(A1029="","",IFERROR(INDEX(Sales_Memo!$B$2:$B$1001,MATCH(A1029,Sales_Memo!$A$2:$A$1001,0)),""))</f>
        <v>46316</v>
      </c>
      <c r="C1029" s="7" t="s">
        <v>114</v>
      </c>
      <c r="D1029" s="16" t="str">
        <f aca="false">IF(C1029="","",IFERROR(INDEX(Products!$B$2:$B$501,MATCH(C1029,Products!$A$2:$A$501,0)),"CODE NOT FOUND"))</f>
        <v>Side Mirror (Pair)</v>
      </c>
      <c r="E1029" s="7" t="n">
        <v>3</v>
      </c>
      <c r="F1029" s="13" t="n">
        <v>620</v>
      </c>
      <c r="G1029" s="13" t="n">
        <v>380</v>
      </c>
      <c r="H1029" s="17" t="n">
        <f aca="false">IF(OR(E1029="",F1029=""),"",E1029*F1029)</f>
        <v>1860</v>
      </c>
      <c r="I1029" s="17" t="n">
        <f aca="false">IF(OR(E1029="",G1029=""),"",E1029*G1029)</f>
        <v>1140</v>
      </c>
      <c r="J1029" s="17" t="n">
        <f aca="false">IF(H1029="","",H1029-I1029)</f>
        <v>720</v>
      </c>
    </row>
    <row r="1030" customFormat="false" ht="15" hidden="false" customHeight="true" outlineLevel="0" collapsed="false">
      <c r="A1030" s="7" t="s">
        <v>1120</v>
      </c>
      <c r="B1030" s="18" t="n">
        <f aca="false">IF(A1030="","",IFERROR(INDEX(Sales_Memo!$B$2:$B$1001,MATCH(A1030,Sales_Memo!$A$2:$A$1001,0)),""))</f>
        <v>46316</v>
      </c>
      <c r="C1030" s="7" t="s">
        <v>86</v>
      </c>
      <c r="D1030" s="16" t="str">
        <f aca="false">IF(C1030="","",IFERROR(INDEX(Products!$B$2:$B$501,MATCH(C1030,Products!$A$2:$A$501,0)),"CODE NOT FOUND"))</f>
        <v>Spark Plug CPR8EA-9</v>
      </c>
      <c r="E1030" s="7" t="n">
        <v>3</v>
      </c>
      <c r="F1030" s="13" t="n">
        <v>260</v>
      </c>
      <c r="G1030" s="13" t="n">
        <v>175</v>
      </c>
      <c r="H1030" s="17" t="n">
        <f aca="false">IF(OR(E1030="",F1030=""),"",E1030*F1030)</f>
        <v>780</v>
      </c>
      <c r="I1030" s="17" t="n">
        <f aca="false">IF(OR(E1030="",G1030=""),"",E1030*G1030)</f>
        <v>525</v>
      </c>
      <c r="J1030" s="17" t="n">
        <f aca="false">IF(H1030="","",H1030-I1030)</f>
        <v>255</v>
      </c>
    </row>
    <row r="1031" customFormat="false" ht="15" hidden="false" customHeight="true" outlineLevel="0" collapsed="false">
      <c r="A1031" s="7" t="s">
        <v>1121</v>
      </c>
      <c r="B1031" s="18" t="n">
        <f aca="false">IF(A1031="","",IFERROR(INDEX(Sales_Memo!$B$2:$B$1001,MATCH(A1031,Sales_Memo!$A$2:$A$1001,0)),""))</f>
        <v>46316</v>
      </c>
      <c r="C1031" s="7" t="s">
        <v>108</v>
      </c>
      <c r="D1031" s="16" t="str">
        <f aca="false">IF(C1031="","",IFERROR(INDEX(Products!$B$2:$B$501,MATCH(C1031,Products!$A$2:$A$501,0)),"CODE NOT FOUND"))</f>
        <v>Tyre 90/90-17 Rear</v>
      </c>
      <c r="E1031" s="7" t="n">
        <v>1</v>
      </c>
      <c r="F1031" s="13" t="n">
        <v>3350</v>
      </c>
      <c r="G1031" s="13" t="n">
        <v>2750</v>
      </c>
      <c r="H1031" s="17" t="n">
        <f aca="false">IF(OR(E1031="",F1031=""),"",E1031*F1031)</f>
        <v>3350</v>
      </c>
      <c r="I1031" s="17" t="n">
        <f aca="false">IF(OR(E1031="",G1031=""),"",E1031*G1031)</f>
        <v>2750</v>
      </c>
      <c r="J1031" s="17" t="n">
        <f aca="false">IF(H1031="","",H1031-I1031)</f>
        <v>600</v>
      </c>
    </row>
    <row r="1032" customFormat="false" ht="15" hidden="false" customHeight="true" outlineLevel="0" collapsed="false">
      <c r="A1032" s="7" t="s">
        <v>1121</v>
      </c>
      <c r="B1032" s="18" t="n">
        <f aca="false">IF(A1032="","",IFERROR(INDEX(Sales_Memo!$B$2:$B$1001,MATCH(A1032,Sales_Memo!$A$2:$A$1001,0)),""))</f>
        <v>46316</v>
      </c>
      <c r="C1032" s="7" t="s">
        <v>119</v>
      </c>
      <c r="D1032" s="16" t="str">
        <f aca="false">IF(C1032="","",IFERROR(INDEX(Products!$B$2:$B$501,MATCH(C1032,Products!$A$2:$A$501,0)),"CODE NOT FOUND"))</f>
        <v>Chain Lube Spray</v>
      </c>
      <c r="E1032" s="7" t="n">
        <v>1</v>
      </c>
      <c r="F1032" s="13" t="n">
        <v>270</v>
      </c>
      <c r="G1032" s="13" t="n">
        <v>170</v>
      </c>
      <c r="H1032" s="17" t="n">
        <f aca="false">IF(OR(E1032="",F1032=""),"",E1032*F1032)</f>
        <v>270</v>
      </c>
      <c r="I1032" s="17" t="n">
        <f aca="false">IF(OR(E1032="",G1032=""),"",E1032*G1032)</f>
        <v>170</v>
      </c>
      <c r="J1032" s="17" t="n">
        <f aca="false">IF(H1032="","",H1032-I1032)</f>
        <v>100</v>
      </c>
    </row>
    <row r="1033" customFormat="false" ht="15" hidden="false" customHeight="true" outlineLevel="0" collapsed="false">
      <c r="A1033" s="7" t="s">
        <v>1122</v>
      </c>
      <c r="B1033" s="18" t="n">
        <f aca="false">IF(A1033="","",IFERROR(INDEX(Sales_Memo!$B$2:$B$1001,MATCH(A1033,Sales_Memo!$A$2:$A$1001,0)),""))</f>
        <v>46316</v>
      </c>
      <c r="C1033" s="7" t="s">
        <v>99</v>
      </c>
      <c r="D1033" s="16" t="str">
        <f aca="false">IF(C1033="","",IFERROR(INDEX(Products!$B$2:$B$501,MATCH(C1033,Products!$A$2:$A$501,0)),"CODE NOT FOUND"))</f>
        <v>Engine Oil 20W-50 (1L)</v>
      </c>
      <c r="E1033" s="7" t="n">
        <v>1</v>
      </c>
      <c r="F1033" s="13" t="n">
        <v>990</v>
      </c>
      <c r="G1033" s="13" t="n">
        <v>780</v>
      </c>
      <c r="H1033" s="17" t="n">
        <f aca="false">IF(OR(E1033="",F1033=""),"",E1033*F1033)</f>
        <v>990</v>
      </c>
      <c r="I1033" s="17" t="n">
        <f aca="false">IF(OR(E1033="",G1033=""),"",E1033*G1033)</f>
        <v>780</v>
      </c>
      <c r="J1033" s="17" t="n">
        <f aca="false">IF(H1033="","",H1033-I1033)</f>
        <v>210</v>
      </c>
    </row>
    <row r="1034" customFormat="false" ht="15" hidden="false" customHeight="true" outlineLevel="0" collapsed="false">
      <c r="A1034" s="7" t="s">
        <v>1123</v>
      </c>
      <c r="B1034" s="18" t="n">
        <f aca="false">IF(A1034="","",IFERROR(INDEX(Sales_Memo!$B$2:$B$1001,MATCH(A1034,Sales_Memo!$A$2:$A$1001,0)),""))</f>
        <v>46316</v>
      </c>
      <c r="C1034" s="7" t="s">
        <v>119</v>
      </c>
      <c r="D1034" s="16" t="str">
        <f aca="false">IF(C1034="","",IFERROR(INDEX(Products!$B$2:$B$501,MATCH(C1034,Products!$A$2:$A$501,0)),"CODE NOT FOUND"))</f>
        <v>Chain Lube Spray</v>
      </c>
      <c r="E1034" s="7" t="n">
        <v>1</v>
      </c>
      <c r="F1034" s="13" t="n">
        <v>270</v>
      </c>
      <c r="G1034" s="13" t="n">
        <v>170</v>
      </c>
      <c r="H1034" s="17" t="n">
        <f aca="false">IF(OR(E1034="",F1034=""),"",E1034*F1034)</f>
        <v>270</v>
      </c>
      <c r="I1034" s="17" t="n">
        <f aca="false">IF(OR(E1034="",G1034=""),"",E1034*G1034)</f>
        <v>170</v>
      </c>
      <c r="J1034" s="17" t="n">
        <f aca="false">IF(H1034="","",H1034-I1034)</f>
        <v>100</v>
      </c>
    </row>
    <row r="1035" customFormat="false" ht="15" hidden="false" customHeight="true" outlineLevel="0" collapsed="false">
      <c r="A1035" s="7" t="s">
        <v>1123</v>
      </c>
      <c r="B1035" s="18" t="n">
        <f aca="false">IF(A1035="","",IFERROR(INDEX(Sales_Memo!$B$2:$B$1001,MATCH(A1035,Sales_Memo!$A$2:$A$1001,0)),""))</f>
        <v>46316</v>
      </c>
      <c r="C1035" s="7" t="s">
        <v>96</v>
      </c>
      <c r="D1035" s="16" t="str">
        <f aca="false">IF(C1035="","",IFERROR(INDEX(Products!$B$2:$B$501,MATCH(C1035,Products!$A$2:$A$501,0)),"CODE NOT FOUND"))</f>
        <v>Engine Oil 10W-30 (1L)</v>
      </c>
      <c r="E1035" s="7" t="n">
        <v>3</v>
      </c>
      <c r="F1035" s="13" t="n">
        <v>780</v>
      </c>
      <c r="G1035" s="13" t="n">
        <v>620</v>
      </c>
      <c r="H1035" s="17" t="n">
        <f aca="false">IF(OR(E1035="",F1035=""),"",E1035*F1035)</f>
        <v>2340</v>
      </c>
      <c r="I1035" s="17" t="n">
        <f aca="false">IF(OR(E1035="",G1035=""),"",E1035*G1035)</f>
        <v>1860</v>
      </c>
      <c r="J1035" s="17" t="n">
        <f aca="false">IF(H1035="","",H1035-I1035)</f>
        <v>480</v>
      </c>
    </row>
    <row r="1036" customFormat="false" ht="15" hidden="false" customHeight="true" outlineLevel="0" collapsed="false">
      <c r="A1036" s="7" t="s">
        <v>1123</v>
      </c>
      <c r="B1036" s="18" t="n">
        <f aca="false">IF(A1036="","",IFERROR(INDEX(Sales_Memo!$B$2:$B$1001,MATCH(A1036,Sales_Memo!$A$2:$A$1001,0)),""))</f>
        <v>46316</v>
      </c>
      <c r="C1036" s="7" t="s">
        <v>77</v>
      </c>
      <c r="D1036" s="16" t="str">
        <f aca="false">IF(C1036="","",IFERROR(INDEX(Products!$B$2:$B$501,MATCH(C1036,Products!$A$2:$A$501,0)),"CODE NOT FOUND"))</f>
        <v>Brake Pad Set - Front</v>
      </c>
      <c r="E1036" s="7" t="n">
        <v>1</v>
      </c>
      <c r="F1036" s="13" t="n">
        <v>480</v>
      </c>
      <c r="G1036" s="13" t="n">
        <v>320</v>
      </c>
      <c r="H1036" s="17" t="n">
        <f aca="false">IF(OR(E1036="",F1036=""),"",E1036*F1036)</f>
        <v>480</v>
      </c>
      <c r="I1036" s="17" t="n">
        <f aca="false">IF(OR(E1036="",G1036=""),"",E1036*G1036)</f>
        <v>320</v>
      </c>
      <c r="J1036" s="17" t="n">
        <f aca="false">IF(H1036="","",H1036-I1036)</f>
        <v>160</v>
      </c>
    </row>
    <row r="1037" customFormat="false" ht="15" hidden="false" customHeight="true" outlineLevel="0" collapsed="false">
      <c r="A1037" s="7" t="s">
        <v>1125</v>
      </c>
      <c r="B1037" s="18" t="n">
        <f aca="false">IF(A1037="","",IFERROR(INDEX(Sales_Memo!$B$2:$B$1001,MATCH(A1037,Sales_Memo!$A$2:$A$1001,0)),""))</f>
        <v>46316</v>
      </c>
      <c r="C1037" s="7" t="s">
        <v>82</v>
      </c>
      <c r="D1037" s="16" t="str">
        <f aca="false">IF(C1037="","",IFERROR(INDEX(Products!$B$2:$B$501,MATCH(C1037,Products!$A$2:$A$501,0)),"CODE NOT FOUND"))</f>
        <v>Clutch Cable</v>
      </c>
      <c r="E1037" s="7" t="n">
        <v>2</v>
      </c>
      <c r="F1037" s="13" t="n">
        <v>190</v>
      </c>
      <c r="G1037" s="13" t="n">
        <v>110</v>
      </c>
      <c r="H1037" s="17" t="n">
        <f aca="false">IF(OR(E1037="",F1037=""),"",E1037*F1037)</f>
        <v>380</v>
      </c>
      <c r="I1037" s="17" t="n">
        <f aca="false">IF(OR(E1037="",G1037=""),"",E1037*G1037)</f>
        <v>220</v>
      </c>
      <c r="J1037" s="17" t="n">
        <f aca="false">IF(H1037="","",H1037-I1037)</f>
        <v>160</v>
      </c>
    </row>
    <row r="1038" customFormat="false" ht="15" hidden="false" customHeight="true" outlineLevel="0" collapsed="false">
      <c r="A1038" s="7" t="s">
        <v>1125</v>
      </c>
      <c r="B1038" s="18" t="n">
        <f aca="false">IF(A1038="","",IFERROR(INDEX(Sales_Memo!$B$2:$B$1001,MATCH(A1038,Sales_Memo!$A$2:$A$1001,0)),""))</f>
        <v>46316</v>
      </c>
      <c r="C1038" s="7" t="s">
        <v>77</v>
      </c>
      <c r="D1038" s="16" t="str">
        <f aca="false">IF(C1038="","",IFERROR(INDEX(Products!$B$2:$B$501,MATCH(C1038,Products!$A$2:$A$501,0)),"CODE NOT FOUND"))</f>
        <v>Brake Pad Set - Front</v>
      </c>
      <c r="E1038" s="7" t="n">
        <v>1</v>
      </c>
      <c r="F1038" s="13" t="n">
        <v>480</v>
      </c>
      <c r="G1038" s="13" t="n">
        <v>320</v>
      </c>
      <c r="H1038" s="17" t="n">
        <f aca="false">IF(OR(E1038="",F1038=""),"",E1038*F1038)</f>
        <v>480</v>
      </c>
      <c r="I1038" s="17" t="n">
        <f aca="false">IF(OR(E1038="",G1038=""),"",E1038*G1038)</f>
        <v>320</v>
      </c>
      <c r="J1038" s="17" t="n">
        <f aca="false">IF(H1038="","",H1038-I1038)</f>
        <v>160</v>
      </c>
    </row>
    <row r="1039" customFormat="false" ht="15" hidden="false" customHeight="true" outlineLevel="0" collapsed="false">
      <c r="A1039" s="7" t="s">
        <v>1126</v>
      </c>
      <c r="B1039" s="18" t="n">
        <f aca="false">IF(A1039="","",IFERROR(INDEX(Sales_Memo!$B$2:$B$1001,MATCH(A1039,Sales_Memo!$A$2:$A$1001,0)),""))</f>
        <v>46316</v>
      </c>
      <c r="C1039" s="7" t="s">
        <v>82</v>
      </c>
      <c r="D1039" s="16" t="str">
        <f aca="false">IF(C1039="","",IFERROR(INDEX(Products!$B$2:$B$501,MATCH(C1039,Products!$A$2:$A$501,0)),"CODE NOT FOUND"))</f>
        <v>Clutch Cable</v>
      </c>
      <c r="E1039" s="7" t="n">
        <v>2</v>
      </c>
      <c r="F1039" s="13" t="n">
        <v>190</v>
      </c>
      <c r="G1039" s="13" t="n">
        <v>110</v>
      </c>
      <c r="H1039" s="17" t="n">
        <f aca="false">IF(OR(E1039="",F1039=""),"",E1039*F1039)</f>
        <v>380</v>
      </c>
      <c r="I1039" s="17" t="n">
        <f aca="false">IF(OR(E1039="",G1039=""),"",E1039*G1039)</f>
        <v>220</v>
      </c>
      <c r="J1039" s="17" t="n">
        <f aca="false">IF(H1039="","",H1039-I1039)</f>
        <v>160</v>
      </c>
    </row>
    <row r="1040" customFormat="false" ht="15" hidden="false" customHeight="true" outlineLevel="0" collapsed="false">
      <c r="A1040" s="7" t="s">
        <v>1127</v>
      </c>
      <c r="B1040" s="18" t="n">
        <f aca="false">IF(A1040="","",IFERROR(INDEX(Sales_Memo!$B$2:$B$1001,MATCH(A1040,Sales_Memo!$A$2:$A$1001,0)),""))</f>
        <v>46316</v>
      </c>
      <c r="C1040" s="7" t="s">
        <v>90</v>
      </c>
      <c r="D1040" s="16" t="str">
        <f aca="false">IF(C1040="","",IFERROR(INDEX(Products!$B$2:$B$501,MATCH(C1040,Products!$A$2:$A$501,0)),"CODE NOT FOUND"))</f>
        <v>Air Filter 150cc</v>
      </c>
      <c r="E1040" s="7" t="n">
        <v>2</v>
      </c>
      <c r="F1040" s="13" t="n">
        <v>340</v>
      </c>
      <c r="G1040" s="13" t="n">
        <v>210</v>
      </c>
      <c r="H1040" s="17" t="n">
        <f aca="false">IF(OR(E1040="",F1040=""),"",E1040*F1040)</f>
        <v>680</v>
      </c>
      <c r="I1040" s="17" t="n">
        <f aca="false">IF(OR(E1040="",G1040=""),"",E1040*G1040)</f>
        <v>420</v>
      </c>
      <c r="J1040" s="17" t="n">
        <f aca="false">IF(H1040="","",H1040-I1040)</f>
        <v>260</v>
      </c>
    </row>
    <row r="1041" customFormat="false" ht="15" hidden="false" customHeight="true" outlineLevel="0" collapsed="false">
      <c r="A1041" s="7" t="s">
        <v>1128</v>
      </c>
      <c r="B1041" s="18" t="n">
        <f aca="false">IF(A1041="","",IFERROR(INDEX(Sales_Memo!$B$2:$B$1001,MATCH(A1041,Sales_Memo!$A$2:$A$1001,0)),""))</f>
        <v>46317</v>
      </c>
      <c r="C1041" s="7" t="s">
        <v>102</v>
      </c>
      <c r="D1041" s="16" t="str">
        <f aca="false">IF(C1041="","",IFERROR(INDEX(Products!$B$2:$B$501,MATCH(C1041,Products!$A$2:$A$501,0)),"CODE NOT FOUND"))</f>
        <v>Headlight Bulb H4</v>
      </c>
      <c r="E1041" s="7" t="n">
        <v>1</v>
      </c>
      <c r="F1041" s="13" t="n">
        <v>240</v>
      </c>
      <c r="G1041" s="13" t="n">
        <v>140</v>
      </c>
      <c r="H1041" s="17" t="n">
        <f aca="false">IF(OR(E1041="",F1041=""),"",E1041*F1041)</f>
        <v>240</v>
      </c>
      <c r="I1041" s="17" t="n">
        <f aca="false">IF(OR(E1041="",G1041=""),"",E1041*G1041)</f>
        <v>140</v>
      </c>
      <c r="J1041" s="17" t="n">
        <f aca="false">IF(H1041="","",H1041-I1041)</f>
        <v>100</v>
      </c>
    </row>
    <row r="1042" customFormat="false" ht="15" hidden="false" customHeight="true" outlineLevel="0" collapsed="false">
      <c r="A1042" s="7" t="s">
        <v>1128</v>
      </c>
      <c r="B1042" s="18" t="n">
        <f aca="false">IF(A1042="","",IFERROR(INDEX(Sales_Memo!$B$2:$B$1001,MATCH(A1042,Sales_Memo!$A$2:$A$1001,0)),""))</f>
        <v>46317</v>
      </c>
      <c r="C1042" s="7" t="s">
        <v>99</v>
      </c>
      <c r="D1042" s="16" t="str">
        <f aca="false">IF(C1042="","",IFERROR(INDEX(Products!$B$2:$B$501,MATCH(C1042,Products!$A$2:$A$501,0)),"CODE NOT FOUND"))</f>
        <v>Engine Oil 20W-50 (1L)</v>
      </c>
      <c r="E1042" s="7" t="n">
        <v>2</v>
      </c>
      <c r="F1042" s="13" t="n">
        <v>990</v>
      </c>
      <c r="G1042" s="13" t="n">
        <v>780</v>
      </c>
      <c r="H1042" s="17" t="n">
        <f aca="false">IF(OR(E1042="",F1042=""),"",E1042*F1042)</f>
        <v>1980</v>
      </c>
      <c r="I1042" s="17" t="n">
        <f aca="false">IF(OR(E1042="",G1042=""),"",E1042*G1042)</f>
        <v>1560</v>
      </c>
      <c r="J1042" s="17" t="n">
        <f aca="false">IF(H1042="","",H1042-I1042)</f>
        <v>420</v>
      </c>
    </row>
    <row r="1043" customFormat="false" ht="15" hidden="false" customHeight="true" outlineLevel="0" collapsed="false">
      <c r="A1043" s="7" t="s">
        <v>1128</v>
      </c>
      <c r="B1043" s="18" t="n">
        <f aca="false">IF(A1043="","",IFERROR(INDEX(Sales_Memo!$B$2:$B$1001,MATCH(A1043,Sales_Memo!$A$2:$A$1001,0)),""))</f>
        <v>46317</v>
      </c>
      <c r="C1043" s="7" t="s">
        <v>82</v>
      </c>
      <c r="D1043" s="16" t="str">
        <f aca="false">IF(C1043="","",IFERROR(INDEX(Products!$B$2:$B$501,MATCH(C1043,Products!$A$2:$A$501,0)),"CODE NOT FOUND"))</f>
        <v>Clutch Cable</v>
      </c>
      <c r="E1043" s="7" t="n">
        <v>3</v>
      </c>
      <c r="F1043" s="13" t="n">
        <v>190</v>
      </c>
      <c r="G1043" s="13" t="n">
        <v>110</v>
      </c>
      <c r="H1043" s="17" t="n">
        <f aca="false">IF(OR(E1043="",F1043=""),"",E1043*F1043)</f>
        <v>570</v>
      </c>
      <c r="I1043" s="17" t="n">
        <f aca="false">IF(OR(E1043="",G1043=""),"",E1043*G1043)</f>
        <v>330</v>
      </c>
      <c r="J1043" s="17" t="n">
        <f aca="false">IF(H1043="","",H1043-I1043)</f>
        <v>240</v>
      </c>
    </row>
    <row r="1044" customFormat="false" ht="15" hidden="false" customHeight="true" outlineLevel="0" collapsed="false">
      <c r="A1044" s="7" t="s">
        <v>1130</v>
      </c>
      <c r="B1044" s="18" t="n">
        <f aca="false">IF(A1044="","",IFERROR(INDEX(Sales_Memo!$B$2:$B$1001,MATCH(A1044,Sales_Memo!$A$2:$A$1001,0)),""))</f>
        <v>46317</v>
      </c>
      <c r="C1044" s="7" t="s">
        <v>82</v>
      </c>
      <c r="D1044" s="16" t="str">
        <f aca="false">IF(C1044="","",IFERROR(INDEX(Products!$B$2:$B$501,MATCH(C1044,Products!$A$2:$A$501,0)),"CODE NOT FOUND"))</f>
        <v>Clutch Cable</v>
      </c>
      <c r="E1044" s="7" t="n">
        <v>1</v>
      </c>
      <c r="F1044" s="13" t="n">
        <v>190</v>
      </c>
      <c r="G1044" s="13" t="n">
        <v>110</v>
      </c>
      <c r="H1044" s="17" t="n">
        <f aca="false">IF(OR(E1044="",F1044=""),"",E1044*F1044)</f>
        <v>190</v>
      </c>
      <c r="I1044" s="17" t="n">
        <f aca="false">IF(OR(E1044="",G1044=""),"",E1044*G1044)</f>
        <v>110</v>
      </c>
      <c r="J1044" s="17" t="n">
        <f aca="false">IF(H1044="","",H1044-I1044)</f>
        <v>80</v>
      </c>
    </row>
    <row r="1045" customFormat="false" ht="15" hidden="false" customHeight="true" outlineLevel="0" collapsed="false">
      <c r="A1045" s="7" t="s">
        <v>1131</v>
      </c>
      <c r="B1045" s="18" t="n">
        <f aca="false">IF(A1045="","",IFERROR(INDEX(Sales_Memo!$B$2:$B$1001,MATCH(A1045,Sales_Memo!$A$2:$A$1001,0)),""))</f>
        <v>46317</v>
      </c>
      <c r="C1045" s="7" t="s">
        <v>119</v>
      </c>
      <c r="D1045" s="16" t="str">
        <f aca="false">IF(C1045="","",IFERROR(INDEX(Products!$B$2:$B$501,MATCH(C1045,Products!$A$2:$A$501,0)),"CODE NOT FOUND"))</f>
        <v>Chain Lube Spray</v>
      </c>
      <c r="E1045" s="7" t="n">
        <v>1</v>
      </c>
      <c r="F1045" s="13" t="n">
        <v>270</v>
      </c>
      <c r="G1045" s="13" t="n">
        <v>170</v>
      </c>
      <c r="H1045" s="17" t="n">
        <f aca="false">IF(OR(E1045="",F1045=""),"",E1045*F1045)</f>
        <v>270</v>
      </c>
      <c r="I1045" s="17" t="n">
        <f aca="false">IF(OR(E1045="",G1045=""),"",E1045*G1045)</f>
        <v>170</v>
      </c>
      <c r="J1045" s="17" t="n">
        <f aca="false">IF(H1045="","",H1045-I1045)</f>
        <v>100</v>
      </c>
    </row>
    <row r="1046" customFormat="false" ht="15" hidden="false" customHeight="true" outlineLevel="0" collapsed="false">
      <c r="A1046" s="7" t="s">
        <v>1131</v>
      </c>
      <c r="B1046" s="18" t="n">
        <f aca="false">IF(A1046="","",IFERROR(INDEX(Sales_Memo!$B$2:$B$1001,MATCH(A1046,Sales_Memo!$A$2:$A$1001,0)),""))</f>
        <v>46317</v>
      </c>
      <c r="C1046" s="7" t="s">
        <v>90</v>
      </c>
      <c r="D1046" s="16" t="str">
        <f aca="false">IF(C1046="","",IFERROR(INDEX(Products!$B$2:$B$501,MATCH(C1046,Products!$A$2:$A$501,0)),"CODE NOT FOUND"))</f>
        <v>Air Filter 150cc</v>
      </c>
      <c r="E1046" s="7" t="n">
        <v>3</v>
      </c>
      <c r="F1046" s="13" t="n">
        <v>340</v>
      </c>
      <c r="G1046" s="13" t="n">
        <v>210</v>
      </c>
      <c r="H1046" s="17" t="n">
        <f aca="false">IF(OR(E1046="",F1046=""),"",E1046*F1046)</f>
        <v>1020</v>
      </c>
      <c r="I1046" s="17" t="n">
        <f aca="false">IF(OR(E1046="",G1046=""),"",E1046*G1046)</f>
        <v>630</v>
      </c>
      <c r="J1046" s="17" t="n">
        <f aca="false">IF(H1046="","",H1046-I1046)</f>
        <v>390</v>
      </c>
    </row>
    <row r="1047" customFormat="false" ht="15" hidden="false" customHeight="true" outlineLevel="0" collapsed="false">
      <c r="A1047" s="7" t="s">
        <v>1131</v>
      </c>
      <c r="B1047" s="18" t="n">
        <f aca="false">IF(A1047="","",IFERROR(INDEX(Sales_Memo!$B$2:$B$1001,MATCH(A1047,Sales_Memo!$A$2:$A$1001,0)),""))</f>
        <v>46317</v>
      </c>
      <c r="C1047" s="7" t="s">
        <v>82</v>
      </c>
      <c r="D1047" s="16" t="str">
        <f aca="false">IF(C1047="","",IFERROR(INDEX(Products!$B$2:$B$501,MATCH(C1047,Products!$A$2:$A$501,0)),"CODE NOT FOUND"))</f>
        <v>Clutch Cable</v>
      </c>
      <c r="E1047" s="7" t="n">
        <v>2</v>
      </c>
      <c r="F1047" s="13" t="n">
        <v>190</v>
      </c>
      <c r="G1047" s="13" t="n">
        <v>110</v>
      </c>
      <c r="H1047" s="17" t="n">
        <f aca="false">IF(OR(E1047="",F1047=""),"",E1047*F1047)</f>
        <v>380</v>
      </c>
      <c r="I1047" s="17" t="n">
        <f aca="false">IF(OR(E1047="",G1047=""),"",E1047*G1047)</f>
        <v>220</v>
      </c>
      <c r="J1047" s="17" t="n">
        <f aca="false">IF(H1047="","",H1047-I1047)</f>
        <v>160</v>
      </c>
    </row>
    <row r="1048" customFormat="false" ht="15" hidden="false" customHeight="true" outlineLevel="0" collapsed="false">
      <c r="A1048" s="7" t="s">
        <v>1132</v>
      </c>
      <c r="B1048" s="18" t="n">
        <f aca="false">IF(A1048="","",IFERROR(INDEX(Sales_Memo!$B$2:$B$1001,MATCH(A1048,Sales_Memo!$A$2:$A$1001,0)),""))</f>
        <v>46317</v>
      </c>
      <c r="C1048" s="7" t="s">
        <v>114</v>
      </c>
      <c r="D1048" s="16" t="str">
        <f aca="false">IF(C1048="","",IFERROR(INDEX(Products!$B$2:$B$501,MATCH(C1048,Products!$A$2:$A$501,0)),"CODE NOT FOUND"))</f>
        <v>Side Mirror (Pair)</v>
      </c>
      <c r="E1048" s="7" t="n">
        <v>1</v>
      </c>
      <c r="F1048" s="13" t="n">
        <v>620</v>
      </c>
      <c r="G1048" s="13" t="n">
        <v>380</v>
      </c>
      <c r="H1048" s="17" t="n">
        <f aca="false">IF(OR(E1048="",F1048=""),"",E1048*F1048)</f>
        <v>620</v>
      </c>
      <c r="I1048" s="17" t="n">
        <f aca="false">IF(OR(E1048="",G1048=""),"",E1048*G1048)</f>
        <v>380</v>
      </c>
      <c r="J1048" s="17" t="n">
        <f aca="false">IF(H1048="","",H1048-I1048)</f>
        <v>240</v>
      </c>
    </row>
    <row r="1049" customFormat="false" ht="15" hidden="false" customHeight="true" outlineLevel="0" collapsed="false">
      <c r="A1049" s="7" t="s">
        <v>1132</v>
      </c>
      <c r="B1049" s="18" t="n">
        <f aca="false">IF(A1049="","",IFERROR(INDEX(Sales_Memo!$B$2:$B$1001,MATCH(A1049,Sales_Memo!$A$2:$A$1001,0)),""))</f>
        <v>46317</v>
      </c>
      <c r="C1049" s="7" t="s">
        <v>121</v>
      </c>
      <c r="D1049" s="16" t="str">
        <f aca="false">IF(C1049="","",IFERROR(INDEX(Products!$B$2:$B$501,MATCH(C1049,Products!$A$2:$A$501,0)),"CODE NOT FOUND"))</f>
        <v>Handle Grip Set</v>
      </c>
      <c r="E1049" s="7" t="n">
        <v>2</v>
      </c>
      <c r="F1049" s="13" t="n">
        <v>280</v>
      </c>
      <c r="G1049" s="13" t="n">
        <v>160</v>
      </c>
      <c r="H1049" s="17" t="n">
        <f aca="false">IF(OR(E1049="",F1049=""),"",E1049*F1049)</f>
        <v>560</v>
      </c>
      <c r="I1049" s="17" t="n">
        <f aca="false">IF(OR(E1049="",G1049=""),"",E1049*G1049)</f>
        <v>320</v>
      </c>
      <c r="J1049" s="17" t="n">
        <f aca="false">IF(H1049="","",H1049-I1049)</f>
        <v>240</v>
      </c>
    </row>
    <row r="1050" customFormat="false" ht="15" hidden="false" customHeight="true" outlineLevel="0" collapsed="false">
      <c r="A1050" s="7" t="s">
        <v>1132</v>
      </c>
      <c r="B1050" s="18" t="n">
        <f aca="false">IF(A1050="","",IFERROR(INDEX(Sales_Memo!$B$2:$B$1001,MATCH(A1050,Sales_Memo!$A$2:$A$1001,0)),""))</f>
        <v>46317</v>
      </c>
      <c r="C1050" s="7" t="s">
        <v>82</v>
      </c>
      <c r="D1050" s="16" t="str">
        <f aca="false">IF(C1050="","",IFERROR(INDEX(Products!$B$2:$B$501,MATCH(C1050,Products!$A$2:$A$501,0)),"CODE NOT FOUND"))</f>
        <v>Clutch Cable</v>
      </c>
      <c r="E1050" s="7" t="n">
        <v>3</v>
      </c>
      <c r="F1050" s="13" t="n">
        <v>190</v>
      </c>
      <c r="G1050" s="13" t="n">
        <v>110</v>
      </c>
      <c r="H1050" s="17" t="n">
        <f aca="false">IF(OR(E1050="",F1050=""),"",E1050*F1050)</f>
        <v>570</v>
      </c>
      <c r="I1050" s="17" t="n">
        <f aca="false">IF(OR(E1050="",G1050=""),"",E1050*G1050)</f>
        <v>330</v>
      </c>
      <c r="J1050" s="17" t="n">
        <f aca="false">IF(H1050="","",H1050-I1050)</f>
        <v>240</v>
      </c>
    </row>
    <row r="1051" customFormat="false" ht="15" hidden="false" customHeight="true" outlineLevel="0" collapsed="false">
      <c r="A1051" s="7" t="s">
        <v>1134</v>
      </c>
      <c r="B1051" s="18" t="n">
        <f aca="false">IF(A1051="","",IFERROR(INDEX(Sales_Memo!$B$2:$B$1001,MATCH(A1051,Sales_Memo!$A$2:$A$1001,0)),""))</f>
        <v>46317</v>
      </c>
      <c r="C1051" s="7" t="s">
        <v>102</v>
      </c>
      <c r="D1051" s="16" t="str">
        <f aca="false">IF(C1051="","",IFERROR(INDEX(Products!$B$2:$B$501,MATCH(C1051,Products!$A$2:$A$501,0)),"CODE NOT FOUND"))</f>
        <v>Headlight Bulb H4</v>
      </c>
      <c r="E1051" s="7" t="n">
        <v>2</v>
      </c>
      <c r="F1051" s="13" t="n">
        <v>240</v>
      </c>
      <c r="G1051" s="13" t="n">
        <v>140</v>
      </c>
      <c r="H1051" s="17" t="n">
        <f aca="false">IF(OR(E1051="",F1051=""),"",E1051*F1051)</f>
        <v>480</v>
      </c>
      <c r="I1051" s="17" t="n">
        <f aca="false">IF(OR(E1051="",G1051=""),"",E1051*G1051)</f>
        <v>280</v>
      </c>
      <c r="J1051" s="17" t="n">
        <f aca="false">IF(H1051="","",H1051-I1051)</f>
        <v>200</v>
      </c>
    </row>
    <row r="1052" customFormat="false" ht="15" hidden="false" customHeight="true" outlineLevel="0" collapsed="false">
      <c r="A1052" s="7" t="s">
        <v>1134</v>
      </c>
      <c r="B1052" s="18" t="n">
        <f aca="false">IF(A1052="","",IFERROR(INDEX(Sales_Memo!$B$2:$B$1001,MATCH(A1052,Sales_Memo!$A$2:$A$1001,0)),""))</f>
        <v>46317</v>
      </c>
      <c r="C1052" s="7" t="s">
        <v>86</v>
      </c>
      <c r="D1052" s="16" t="str">
        <f aca="false">IF(C1052="","",IFERROR(INDEX(Products!$B$2:$B$501,MATCH(C1052,Products!$A$2:$A$501,0)),"CODE NOT FOUND"))</f>
        <v>Spark Plug CPR8EA-9</v>
      </c>
      <c r="E1052" s="7" t="n">
        <v>2</v>
      </c>
      <c r="F1052" s="13" t="n">
        <v>260</v>
      </c>
      <c r="G1052" s="13" t="n">
        <v>175</v>
      </c>
      <c r="H1052" s="17" t="n">
        <f aca="false">IF(OR(E1052="",F1052=""),"",E1052*F1052)</f>
        <v>520</v>
      </c>
      <c r="I1052" s="17" t="n">
        <f aca="false">IF(OR(E1052="",G1052=""),"",E1052*G1052)</f>
        <v>350</v>
      </c>
      <c r="J1052" s="17" t="n">
        <f aca="false">IF(H1052="","",H1052-I1052)</f>
        <v>170</v>
      </c>
    </row>
    <row r="1053" customFormat="false" ht="15" hidden="false" customHeight="true" outlineLevel="0" collapsed="false">
      <c r="A1053" s="7" t="s">
        <v>1135</v>
      </c>
      <c r="B1053" s="18" t="n">
        <f aca="false">IF(A1053="","",IFERROR(INDEX(Sales_Memo!$B$2:$B$1001,MATCH(A1053,Sales_Memo!$A$2:$A$1001,0)),""))</f>
        <v>46317</v>
      </c>
      <c r="C1053" s="7" t="s">
        <v>82</v>
      </c>
      <c r="D1053" s="16" t="str">
        <f aca="false">IF(C1053="","",IFERROR(INDEX(Products!$B$2:$B$501,MATCH(C1053,Products!$A$2:$A$501,0)),"CODE NOT FOUND"))</f>
        <v>Clutch Cable</v>
      </c>
      <c r="E1053" s="7" t="n">
        <v>1</v>
      </c>
      <c r="F1053" s="13" t="n">
        <v>190</v>
      </c>
      <c r="G1053" s="13" t="n">
        <v>110</v>
      </c>
      <c r="H1053" s="17" t="n">
        <f aca="false">IF(OR(E1053="",F1053=""),"",E1053*F1053)</f>
        <v>190</v>
      </c>
      <c r="I1053" s="17" t="n">
        <f aca="false">IF(OR(E1053="",G1053=""),"",E1053*G1053)</f>
        <v>110</v>
      </c>
      <c r="J1053" s="17" t="n">
        <f aca="false">IF(H1053="","",H1053-I1053)</f>
        <v>80</v>
      </c>
    </row>
    <row r="1054" customFormat="false" ht="15" hidden="false" customHeight="true" outlineLevel="0" collapsed="false">
      <c r="A1054" s="7" t="s">
        <v>1136</v>
      </c>
      <c r="B1054" s="18" t="n">
        <f aca="false">IF(A1054="","",IFERROR(INDEX(Sales_Memo!$B$2:$B$1001,MATCH(A1054,Sales_Memo!$A$2:$A$1001,0)),""))</f>
        <v>46317</v>
      </c>
      <c r="C1054" s="7" t="s">
        <v>119</v>
      </c>
      <c r="D1054" s="16" t="str">
        <f aca="false">IF(C1054="","",IFERROR(INDEX(Products!$B$2:$B$501,MATCH(C1054,Products!$A$2:$A$501,0)),"CODE NOT FOUND"))</f>
        <v>Chain Lube Spray</v>
      </c>
      <c r="E1054" s="7" t="n">
        <v>2</v>
      </c>
      <c r="F1054" s="13" t="n">
        <v>270</v>
      </c>
      <c r="G1054" s="13" t="n">
        <v>170</v>
      </c>
      <c r="H1054" s="17" t="n">
        <f aca="false">IF(OR(E1054="",F1054=""),"",E1054*F1054)</f>
        <v>540</v>
      </c>
      <c r="I1054" s="17" t="n">
        <f aca="false">IF(OR(E1054="",G1054=""),"",E1054*G1054)</f>
        <v>340</v>
      </c>
      <c r="J1054" s="17" t="n">
        <f aca="false">IF(H1054="","",H1054-I1054)</f>
        <v>200</v>
      </c>
    </row>
    <row r="1055" customFormat="false" ht="15" hidden="false" customHeight="true" outlineLevel="0" collapsed="false">
      <c r="A1055" s="7" t="s">
        <v>1136</v>
      </c>
      <c r="B1055" s="18" t="n">
        <f aca="false">IF(A1055="","",IFERROR(INDEX(Sales_Memo!$B$2:$B$1001,MATCH(A1055,Sales_Memo!$A$2:$A$1001,0)),""))</f>
        <v>46317</v>
      </c>
      <c r="C1055" s="7" t="s">
        <v>82</v>
      </c>
      <c r="D1055" s="16" t="str">
        <f aca="false">IF(C1055="","",IFERROR(INDEX(Products!$B$2:$B$501,MATCH(C1055,Products!$A$2:$A$501,0)),"CODE NOT FOUND"))</f>
        <v>Clutch Cable</v>
      </c>
      <c r="E1055" s="7" t="n">
        <v>2</v>
      </c>
      <c r="F1055" s="13" t="n">
        <v>190</v>
      </c>
      <c r="G1055" s="13" t="n">
        <v>110</v>
      </c>
      <c r="H1055" s="17" t="n">
        <f aca="false">IF(OR(E1055="",F1055=""),"",E1055*F1055)</f>
        <v>380</v>
      </c>
      <c r="I1055" s="17" t="n">
        <f aca="false">IF(OR(E1055="",G1055=""),"",E1055*G1055)</f>
        <v>220</v>
      </c>
      <c r="J1055" s="17" t="n">
        <f aca="false">IF(H1055="","",H1055-I1055)</f>
        <v>160</v>
      </c>
    </row>
    <row r="1056" customFormat="false" ht="15" hidden="false" customHeight="true" outlineLevel="0" collapsed="false">
      <c r="A1056" s="7" t="s">
        <v>1137</v>
      </c>
      <c r="B1056" s="18" t="n">
        <f aca="false">IF(A1056="","",IFERROR(INDEX(Sales_Memo!$B$2:$B$1001,MATCH(A1056,Sales_Memo!$A$2:$A$1001,0)),""))</f>
        <v>46317</v>
      </c>
      <c r="C1056" s="7" t="s">
        <v>90</v>
      </c>
      <c r="D1056" s="16" t="str">
        <f aca="false">IF(C1056="","",IFERROR(INDEX(Products!$B$2:$B$501,MATCH(C1056,Products!$A$2:$A$501,0)),"CODE NOT FOUND"))</f>
        <v>Air Filter 150cc</v>
      </c>
      <c r="E1056" s="7" t="n">
        <v>2</v>
      </c>
      <c r="F1056" s="13" t="n">
        <v>340</v>
      </c>
      <c r="G1056" s="13" t="n">
        <v>210</v>
      </c>
      <c r="H1056" s="17" t="n">
        <f aca="false">IF(OR(E1056="",F1056=""),"",E1056*F1056)</f>
        <v>680</v>
      </c>
      <c r="I1056" s="17" t="n">
        <f aca="false">IF(OR(E1056="",G1056=""),"",E1056*G1056)</f>
        <v>420</v>
      </c>
      <c r="J1056" s="17" t="n">
        <f aca="false">IF(H1056="","",H1056-I1056)</f>
        <v>260</v>
      </c>
    </row>
    <row r="1057" customFormat="false" ht="15" hidden="false" customHeight="true" outlineLevel="0" collapsed="false">
      <c r="A1057" s="7" t="s">
        <v>1137</v>
      </c>
      <c r="B1057" s="18" t="n">
        <f aca="false">IF(A1057="","",IFERROR(INDEX(Sales_Memo!$B$2:$B$1001,MATCH(A1057,Sales_Memo!$A$2:$A$1001,0)),""))</f>
        <v>46317</v>
      </c>
      <c r="C1057" s="7" t="s">
        <v>82</v>
      </c>
      <c r="D1057" s="16" t="str">
        <f aca="false">IF(C1057="","",IFERROR(INDEX(Products!$B$2:$B$501,MATCH(C1057,Products!$A$2:$A$501,0)),"CODE NOT FOUND"))</f>
        <v>Clutch Cable</v>
      </c>
      <c r="E1057" s="7" t="n">
        <v>1</v>
      </c>
      <c r="F1057" s="13" t="n">
        <v>190</v>
      </c>
      <c r="G1057" s="13" t="n">
        <v>110</v>
      </c>
      <c r="H1057" s="17" t="n">
        <f aca="false">IF(OR(E1057="",F1057=""),"",E1057*F1057)</f>
        <v>190</v>
      </c>
      <c r="I1057" s="17" t="n">
        <f aca="false">IF(OR(E1057="",G1057=""),"",E1057*G1057)</f>
        <v>110</v>
      </c>
      <c r="J1057" s="17" t="n">
        <f aca="false">IF(H1057="","",H1057-I1057)</f>
        <v>80</v>
      </c>
    </row>
    <row r="1058" customFormat="false" ht="15" hidden="false" customHeight="true" outlineLevel="0" collapsed="false">
      <c r="A1058" s="7" t="s">
        <v>1137</v>
      </c>
      <c r="B1058" s="18" t="n">
        <f aca="false">IF(A1058="","",IFERROR(INDEX(Sales_Memo!$B$2:$B$1001,MATCH(A1058,Sales_Memo!$A$2:$A$1001,0)),""))</f>
        <v>46317</v>
      </c>
      <c r="C1058" s="7" t="s">
        <v>86</v>
      </c>
      <c r="D1058" s="16" t="str">
        <f aca="false">IF(C1058="","",IFERROR(INDEX(Products!$B$2:$B$501,MATCH(C1058,Products!$A$2:$A$501,0)),"CODE NOT FOUND"))</f>
        <v>Spark Plug CPR8EA-9</v>
      </c>
      <c r="E1058" s="7" t="n">
        <v>1</v>
      </c>
      <c r="F1058" s="13" t="n">
        <v>260</v>
      </c>
      <c r="G1058" s="13" t="n">
        <v>175</v>
      </c>
      <c r="H1058" s="17" t="n">
        <f aca="false">IF(OR(E1058="",F1058=""),"",E1058*F1058)</f>
        <v>260</v>
      </c>
      <c r="I1058" s="17" t="n">
        <f aca="false">IF(OR(E1058="",G1058=""),"",E1058*G1058)</f>
        <v>175</v>
      </c>
      <c r="J1058" s="17" t="n">
        <f aca="false">IF(H1058="","",H1058-I1058)</f>
        <v>85</v>
      </c>
    </row>
    <row r="1059" customFormat="false" ht="15" hidden="false" customHeight="true" outlineLevel="0" collapsed="false">
      <c r="A1059" s="7" t="s">
        <v>1138</v>
      </c>
      <c r="B1059" s="18" t="n">
        <f aca="false">IF(A1059="","",IFERROR(INDEX(Sales_Memo!$B$2:$B$1001,MATCH(A1059,Sales_Memo!$A$2:$A$1001,0)),""))</f>
        <v>46317</v>
      </c>
      <c r="C1059" s="7" t="s">
        <v>108</v>
      </c>
      <c r="D1059" s="16" t="str">
        <f aca="false">IF(C1059="","",IFERROR(INDEX(Products!$B$2:$B$501,MATCH(C1059,Products!$A$2:$A$501,0)),"CODE NOT FOUND"))</f>
        <v>Tyre 90/90-17 Rear</v>
      </c>
      <c r="E1059" s="7" t="n">
        <v>1</v>
      </c>
      <c r="F1059" s="13" t="n">
        <v>3350</v>
      </c>
      <c r="G1059" s="13" t="n">
        <v>2750</v>
      </c>
      <c r="H1059" s="17" t="n">
        <f aca="false">IF(OR(E1059="",F1059=""),"",E1059*F1059)</f>
        <v>3350</v>
      </c>
      <c r="I1059" s="17" t="n">
        <f aca="false">IF(OR(E1059="",G1059=""),"",E1059*G1059)</f>
        <v>2750</v>
      </c>
      <c r="J1059" s="17" t="n">
        <f aca="false">IF(H1059="","",H1059-I1059)</f>
        <v>600</v>
      </c>
    </row>
    <row r="1060" customFormat="false" ht="15" hidden="false" customHeight="true" outlineLevel="0" collapsed="false">
      <c r="A1060" s="7" t="s">
        <v>1139</v>
      </c>
      <c r="B1060" s="18" t="n">
        <f aca="false">IF(A1060="","",IFERROR(INDEX(Sales_Memo!$B$2:$B$1001,MATCH(A1060,Sales_Memo!$A$2:$A$1001,0)),""))</f>
        <v>46317</v>
      </c>
      <c r="C1060" s="7" t="s">
        <v>99</v>
      </c>
      <c r="D1060" s="16" t="str">
        <f aca="false">IF(C1060="","",IFERROR(INDEX(Products!$B$2:$B$501,MATCH(C1060,Products!$A$2:$A$501,0)),"CODE NOT FOUND"))</f>
        <v>Engine Oil 20W-50 (1L)</v>
      </c>
      <c r="E1060" s="7" t="n">
        <v>1</v>
      </c>
      <c r="F1060" s="13" t="n">
        <v>990</v>
      </c>
      <c r="G1060" s="13" t="n">
        <v>780</v>
      </c>
      <c r="H1060" s="17" t="n">
        <f aca="false">IF(OR(E1060="",F1060=""),"",E1060*F1060)</f>
        <v>990</v>
      </c>
      <c r="I1060" s="17" t="n">
        <f aca="false">IF(OR(E1060="",G1060=""),"",E1060*G1060)</f>
        <v>780</v>
      </c>
      <c r="J1060" s="17" t="n">
        <f aca="false">IF(H1060="","",H1060-I1060)</f>
        <v>210</v>
      </c>
    </row>
    <row r="1061" customFormat="false" ht="15" hidden="false" customHeight="true" outlineLevel="0" collapsed="false">
      <c r="A1061" s="7" t="s">
        <v>1139</v>
      </c>
      <c r="B1061" s="18" t="n">
        <f aca="false">IF(A1061="","",IFERROR(INDEX(Sales_Memo!$B$2:$B$1001,MATCH(A1061,Sales_Memo!$A$2:$A$1001,0)),""))</f>
        <v>46317</v>
      </c>
      <c r="C1061" s="7" t="s">
        <v>119</v>
      </c>
      <c r="D1061" s="16" t="str">
        <f aca="false">IF(C1061="","",IFERROR(INDEX(Products!$B$2:$B$501,MATCH(C1061,Products!$A$2:$A$501,0)),"CODE NOT FOUND"))</f>
        <v>Chain Lube Spray</v>
      </c>
      <c r="E1061" s="7" t="n">
        <v>1</v>
      </c>
      <c r="F1061" s="13" t="n">
        <v>270</v>
      </c>
      <c r="G1061" s="13" t="n">
        <v>170</v>
      </c>
      <c r="H1061" s="17" t="n">
        <f aca="false">IF(OR(E1061="",F1061=""),"",E1061*F1061)</f>
        <v>270</v>
      </c>
      <c r="I1061" s="17" t="n">
        <f aca="false">IF(OR(E1061="",G1061=""),"",E1061*G1061)</f>
        <v>170</v>
      </c>
      <c r="J1061" s="17" t="n">
        <f aca="false">IF(H1061="","",H1061-I1061)</f>
        <v>100</v>
      </c>
    </row>
    <row r="1062" customFormat="false" ht="15" hidden="false" customHeight="true" outlineLevel="0" collapsed="false">
      <c r="A1062" s="7" t="s">
        <v>1140</v>
      </c>
      <c r="B1062" s="18" t="n">
        <f aca="false">IF(A1062="","",IFERROR(INDEX(Sales_Memo!$B$2:$B$1001,MATCH(A1062,Sales_Memo!$A$2:$A$1001,0)),""))</f>
        <v>46317</v>
      </c>
      <c r="C1062" s="7" t="s">
        <v>86</v>
      </c>
      <c r="D1062" s="16" t="str">
        <f aca="false">IF(C1062="","",IFERROR(INDEX(Products!$B$2:$B$501,MATCH(C1062,Products!$A$2:$A$501,0)),"CODE NOT FOUND"))</f>
        <v>Spark Plug CPR8EA-9</v>
      </c>
      <c r="E1062" s="7" t="n">
        <v>2</v>
      </c>
      <c r="F1062" s="13" t="n">
        <v>260</v>
      </c>
      <c r="G1062" s="13" t="n">
        <v>175</v>
      </c>
      <c r="H1062" s="17" t="n">
        <f aca="false">IF(OR(E1062="",F1062=""),"",E1062*F1062)</f>
        <v>520</v>
      </c>
      <c r="I1062" s="17" t="n">
        <f aca="false">IF(OR(E1062="",G1062=""),"",E1062*G1062)</f>
        <v>350</v>
      </c>
      <c r="J1062" s="17" t="n">
        <f aca="false">IF(H1062="","",H1062-I1062)</f>
        <v>170</v>
      </c>
    </row>
    <row r="1063" customFormat="false" ht="15" hidden="false" customHeight="true" outlineLevel="0" collapsed="false">
      <c r="A1063" s="7"/>
      <c r="B1063" s="18" t="str">
        <f aca="false">IF(A1063="","",IFERROR(INDEX(Sales_Memo!$B$2:$B$1001,MATCH(A1063,Sales_Memo!$A$2:$A$1001,0)),""))</f>
        <v/>
      </c>
      <c r="C1063" s="7"/>
      <c r="D1063" s="16" t="str">
        <f aca="false">IF(C1063="","",IFERROR(INDEX(Products!$B$2:$B$501,MATCH(C1063,Products!$A$2:$A$501,0)),"CODE NOT FOUND"))</f>
        <v/>
      </c>
      <c r="E1063" s="7"/>
      <c r="F1063" s="13"/>
      <c r="G1063" s="13"/>
      <c r="H1063" s="17" t="str">
        <f aca="false">IF(OR(E1063="",F1063=""),"",E1063*F1063)</f>
        <v/>
      </c>
      <c r="I1063" s="17" t="str">
        <f aca="false">IF(OR(E1063="",G1063=""),"",E1063*G1063)</f>
        <v/>
      </c>
      <c r="J1063" s="17" t="str">
        <f aca="false">IF(H1063="","",H1063-I1063)</f>
        <v/>
      </c>
    </row>
    <row r="1064" customFormat="false" ht="15" hidden="false" customHeight="true" outlineLevel="0" collapsed="false">
      <c r="A1064" s="7"/>
      <c r="B1064" s="18" t="str">
        <f aca="false">IF(A1064="","",IFERROR(INDEX(Sales_Memo!$B$2:$B$1001,MATCH(A1064,Sales_Memo!$A$2:$A$1001,0)),""))</f>
        <v/>
      </c>
      <c r="C1064" s="7"/>
      <c r="D1064" s="16" t="str">
        <f aca="false">IF(C1064="","",IFERROR(INDEX(Products!$B$2:$B$501,MATCH(C1064,Products!$A$2:$A$501,0)),"CODE NOT FOUND"))</f>
        <v/>
      </c>
      <c r="E1064" s="7"/>
      <c r="F1064" s="13"/>
      <c r="G1064" s="13"/>
      <c r="H1064" s="17" t="str">
        <f aca="false">IF(OR(E1064="",F1064=""),"",E1064*F1064)</f>
        <v/>
      </c>
      <c r="I1064" s="17" t="str">
        <f aca="false">IF(OR(E1064="",G1064=""),"",E1064*G1064)</f>
        <v/>
      </c>
      <c r="J1064" s="17" t="str">
        <f aca="false">IF(H1064="","",H1064-I1064)</f>
        <v/>
      </c>
    </row>
    <row r="1065" customFormat="false" ht="15" hidden="false" customHeight="true" outlineLevel="0" collapsed="false">
      <c r="A1065" s="7"/>
      <c r="B1065" s="18" t="str">
        <f aca="false">IF(A1065="","",IFERROR(INDEX(Sales_Memo!$B$2:$B$1001,MATCH(A1065,Sales_Memo!$A$2:$A$1001,0)),""))</f>
        <v/>
      </c>
      <c r="C1065" s="7"/>
      <c r="D1065" s="16" t="str">
        <f aca="false">IF(C1065="","",IFERROR(INDEX(Products!$B$2:$B$501,MATCH(C1065,Products!$A$2:$A$501,0)),"CODE NOT FOUND"))</f>
        <v/>
      </c>
      <c r="E1065" s="7"/>
      <c r="F1065" s="13"/>
      <c r="G1065" s="13"/>
      <c r="H1065" s="17" t="str">
        <f aca="false">IF(OR(E1065="",F1065=""),"",E1065*F1065)</f>
        <v/>
      </c>
      <c r="I1065" s="17" t="str">
        <f aca="false">IF(OR(E1065="",G1065=""),"",E1065*G1065)</f>
        <v/>
      </c>
      <c r="J1065" s="17" t="str">
        <f aca="false">IF(H1065="","",H1065-I1065)</f>
        <v/>
      </c>
    </row>
    <row r="1066" customFormat="false" ht="15" hidden="false" customHeight="true" outlineLevel="0" collapsed="false">
      <c r="A1066" s="7"/>
      <c r="B1066" s="18" t="str">
        <f aca="false">IF(A1066="","",IFERROR(INDEX(Sales_Memo!$B$2:$B$1001,MATCH(A1066,Sales_Memo!$A$2:$A$1001,0)),""))</f>
        <v/>
      </c>
      <c r="C1066" s="7"/>
      <c r="D1066" s="16" t="str">
        <f aca="false">IF(C1066="","",IFERROR(INDEX(Products!$B$2:$B$501,MATCH(C1066,Products!$A$2:$A$501,0)),"CODE NOT FOUND"))</f>
        <v/>
      </c>
      <c r="E1066" s="7"/>
      <c r="F1066" s="13"/>
      <c r="G1066" s="13"/>
      <c r="H1066" s="17" t="str">
        <f aca="false">IF(OR(E1066="",F1066=""),"",E1066*F1066)</f>
        <v/>
      </c>
      <c r="I1066" s="17" t="str">
        <f aca="false">IF(OR(E1066="",G1066=""),"",E1066*G1066)</f>
        <v/>
      </c>
      <c r="J1066" s="17" t="str">
        <f aca="false">IF(H1066="","",H1066-I1066)</f>
        <v/>
      </c>
    </row>
    <row r="1067" customFormat="false" ht="15" hidden="false" customHeight="true" outlineLevel="0" collapsed="false">
      <c r="A1067" s="7"/>
      <c r="B1067" s="18" t="str">
        <f aca="false">IF(A1067="","",IFERROR(INDEX(Sales_Memo!$B$2:$B$1001,MATCH(A1067,Sales_Memo!$A$2:$A$1001,0)),""))</f>
        <v/>
      </c>
      <c r="C1067" s="7"/>
      <c r="D1067" s="16" t="str">
        <f aca="false">IF(C1067="","",IFERROR(INDEX(Products!$B$2:$B$501,MATCH(C1067,Products!$A$2:$A$501,0)),"CODE NOT FOUND"))</f>
        <v/>
      </c>
      <c r="E1067" s="7"/>
      <c r="F1067" s="13"/>
      <c r="G1067" s="13"/>
      <c r="H1067" s="17" t="str">
        <f aca="false">IF(OR(E1067="",F1067=""),"",E1067*F1067)</f>
        <v/>
      </c>
      <c r="I1067" s="17" t="str">
        <f aca="false">IF(OR(E1067="",G1067=""),"",E1067*G1067)</f>
        <v/>
      </c>
      <c r="J1067" s="17" t="str">
        <f aca="false">IF(H1067="","",H1067-I1067)</f>
        <v/>
      </c>
    </row>
    <row r="1068" customFormat="false" ht="15" hidden="false" customHeight="true" outlineLevel="0" collapsed="false">
      <c r="A1068" s="7"/>
      <c r="B1068" s="18" t="str">
        <f aca="false">IF(A1068="","",IFERROR(INDEX(Sales_Memo!$B$2:$B$1001,MATCH(A1068,Sales_Memo!$A$2:$A$1001,0)),""))</f>
        <v/>
      </c>
      <c r="C1068" s="7"/>
      <c r="D1068" s="16" t="str">
        <f aca="false">IF(C1068="","",IFERROR(INDEX(Products!$B$2:$B$501,MATCH(C1068,Products!$A$2:$A$501,0)),"CODE NOT FOUND"))</f>
        <v/>
      </c>
      <c r="E1068" s="7"/>
      <c r="F1068" s="13"/>
      <c r="G1068" s="13"/>
      <c r="H1068" s="17" t="str">
        <f aca="false">IF(OR(E1068="",F1068=""),"",E1068*F1068)</f>
        <v/>
      </c>
      <c r="I1068" s="17" t="str">
        <f aca="false">IF(OR(E1068="",G1068=""),"",E1068*G1068)</f>
        <v/>
      </c>
      <c r="J1068" s="17" t="str">
        <f aca="false">IF(H1068="","",H1068-I1068)</f>
        <v/>
      </c>
    </row>
    <row r="1069" customFormat="false" ht="15" hidden="false" customHeight="true" outlineLevel="0" collapsed="false">
      <c r="A1069" s="7"/>
      <c r="B1069" s="18" t="str">
        <f aca="false">IF(A1069="","",IFERROR(INDEX(Sales_Memo!$B$2:$B$1001,MATCH(A1069,Sales_Memo!$A$2:$A$1001,0)),""))</f>
        <v/>
      </c>
      <c r="C1069" s="7"/>
      <c r="D1069" s="16" t="str">
        <f aca="false">IF(C1069="","",IFERROR(INDEX(Products!$B$2:$B$501,MATCH(C1069,Products!$A$2:$A$501,0)),"CODE NOT FOUND"))</f>
        <v/>
      </c>
      <c r="E1069" s="7"/>
      <c r="F1069" s="13"/>
      <c r="G1069" s="13"/>
      <c r="H1069" s="17" t="str">
        <f aca="false">IF(OR(E1069="",F1069=""),"",E1069*F1069)</f>
        <v/>
      </c>
      <c r="I1069" s="17" t="str">
        <f aca="false">IF(OR(E1069="",G1069=""),"",E1069*G1069)</f>
        <v/>
      </c>
      <c r="J1069" s="17" t="str">
        <f aca="false">IF(H1069="","",H1069-I1069)</f>
        <v/>
      </c>
    </row>
    <row r="1070" customFormat="false" ht="15" hidden="false" customHeight="true" outlineLevel="0" collapsed="false">
      <c r="A1070" s="7"/>
      <c r="B1070" s="18" t="str">
        <f aca="false">IF(A1070="","",IFERROR(INDEX(Sales_Memo!$B$2:$B$1001,MATCH(A1070,Sales_Memo!$A$2:$A$1001,0)),""))</f>
        <v/>
      </c>
      <c r="C1070" s="7"/>
      <c r="D1070" s="16" t="str">
        <f aca="false">IF(C1070="","",IFERROR(INDEX(Products!$B$2:$B$501,MATCH(C1070,Products!$A$2:$A$501,0)),"CODE NOT FOUND"))</f>
        <v/>
      </c>
      <c r="E1070" s="7"/>
      <c r="F1070" s="13"/>
      <c r="G1070" s="13"/>
      <c r="H1070" s="17" t="str">
        <f aca="false">IF(OR(E1070="",F1070=""),"",E1070*F1070)</f>
        <v/>
      </c>
      <c r="I1070" s="17" t="str">
        <f aca="false">IF(OR(E1070="",G1070=""),"",E1070*G1070)</f>
        <v/>
      </c>
      <c r="J1070" s="17" t="str">
        <f aca="false">IF(H1070="","",H1070-I1070)</f>
        <v/>
      </c>
    </row>
    <row r="1071" customFormat="false" ht="15" hidden="false" customHeight="true" outlineLevel="0" collapsed="false">
      <c r="A1071" s="7"/>
      <c r="B1071" s="18" t="str">
        <f aca="false">IF(A1071="","",IFERROR(INDEX(Sales_Memo!$B$2:$B$1001,MATCH(A1071,Sales_Memo!$A$2:$A$1001,0)),""))</f>
        <v/>
      </c>
      <c r="C1071" s="7"/>
      <c r="D1071" s="16" t="str">
        <f aca="false">IF(C1071="","",IFERROR(INDEX(Products!$B$2:$B$501,MATCH(C1071,Products!$A$2:$A$501,0)),"CODE NOT FOUND"))</f>
        <v/>
      </c>
      <c r="E1071" s="7"/>
      <c r="F1071" s="13"/>
      <c r="G1071" s="13"/>
      <c r="H1071" s="17" t="str">
        <f aca="false">IF(OR(E1071="",F1071=""),"",E1071*F1071)</f>
        <v/>
      </c>
      <c r="I1071" s="17" t="str">
        <f aca="false">IF(OR(E1071="",G1071=""),"",E1071*G1071)</f>
        <v/>
      </c>
      <c r="J1071" s="17" t="str">
        <f aca="false">IF(H1071="","",H1071-I1071)</f>
        <v/>
      </c>
    </row>
    <row r="1072" customFormat="false" ht="15" hidden="false" customHeight="true" outlineLevel="0" collapsed="false">
      <c r="A1072" s="7"/>
      <c r="B1072" s="18" t="str">
        <f aca="false">IF(A1072="","",IFERROR(INDEX(Sales_Memo!$B$2:$B$1001,MATCH(A1072,Sales_Memo!$A$2:$A$1001,0)),""))</f>
        <v/>
      </c>
      <c r="C1072" s="7"/>
      <c r="D1072" s="16" t="str">
        <f aca="false">IF(C1072="","",IFERROR(INDEX(Products!$B$2:$B$501,MATCH(C1072,Products!$A$2:$A$501,0)),"CODE NOT FOUND"))</f>
        <v/>
      </c>
      <c r="E1072" s="7"/>
      <c r="F1072" s="13"/>
      <c r="G1072" s="13"/>
      <c r="H1072" s="17" t="str">
        <f aca="false">IF(OR(E1072="",F1072=""),"",E1072*F1072)</f>
        <v/>
      </c>
      <c r="I1072" s="17" t="str">
        <f aca="false">IF(OR(E1072="",G1072=""),"",E1072*G1072)</f>
        <v/>
      </c>
      <c r="J1072" s="17" t="str">
        <f aca="false">IF(H1072="","",H1072-I1072)</f>
        <v/>
      </c>
    </row>
    <row r="1073" customFormat="false" ht="15" hidden="false" customHeight="true" outlineLevel="0" collapsed="false">
      <c r="A1073" s="7"/>
      <c r="B1073" s="18" t="str">
        <f aca="false">IF(A1073="","",IFERROR(INDEX(Sales_Memo!$B$2:$B$1001,MATCH(A1073,Sales_Memo!$A$2:$A$1001,0)),""))</f>
        <v/>
      </c>
      <c r="C1073" s="7"/>
      <c r="D1073" s="16" t="str">
        <f aca="false">IF(C1073="","",IFERROR(INDEX(Products!$B$2:$B$501,MATCH(C1073,Products!$A$2:$A$501,0)),"CODE NOT FOUND"))</f>
        <v/>
      </c>
      <c r="E1073" s="7"/>
      <c r="F1073" s="13"/>
      <c r="G1073" s="13"/>
      <c r="H1073" s="17" t="str">
        <f aca="false">IF(OR(E1073="",F1073=""),"",E1073*F1073)</f>
        <v/>
      </c>
      <c r="I1073" s="17" t="str">
        <f aca="false">IF(OR(E1073="",G1073=""),"",E1073*G1073)</f>
        <v/>
      </c>
      <c r="J1073" s="17" t="str">
        <f aca="false">IF(H1073="","",H1073-I1073)</f>
        <v/>
      </c>
    </row>
    <row r="1074" customFormat="false" ht="15" hidden="false" customHeight="true" outlineLevel="0" collapsed="false">
      <c r="A1074" s="7"/>
      <c r="B1074" s="18" t="str">
        <f aca="false">IF(A1074="","",IFERROR(INDEX(Sales_Memo!$B$2:$B$1001,MATCH(A1074,Sales_Memo!$A$2:$A$1001,0)),""))</f>
        <v/>
      </c>
      <c r="C1074" s="7"/>
      <c r="D1074" s="16" t="str">
        <f aca="false">IF(C1074="","",IFERROR(INDEX(Products!$B$2:$B$501,MATCH(C1074,Products!$A$2:$A$501,0)),"CODE NOT FOUND"))</f>
        <v/>
      </c>
      <c r="E1074" s="7"/>
      <c r="F1074" s="13"/>
      <c r="G1074" s="13"/>
      <c r="H1074" s="17" t="str">
        <f aca="false">IF(OR(E1074="",F1074=""),"",E1074*F1074)</f>
        <v/>
      </c>
      <c r="I1074" s="17" t="str">
        <f aca="false">IF(OR(E1074="",G1074=""),"",E1074*G1074)</f>
        <v/>
      </c>
      <c r="J1074" s="17" t="str">
        <f aca="false">IF(H1074="","",H1074-I1074)</f>
        <v/>
      </c>
    </row>
    <row r="1075" customFormat="false" ht="15" hidden="false" customHeight="true" outlineLevel="0" collapsed="false">
      <c r="A1075" s="7"/>
      <c r="B1075" s="18" t="str">
        <f aca="false">IF(A1075="","",IFERROR(INDEX(Sales_Memo!$B$2:$B$1001,MATCH(A1075,Sales_Memo!$A$2:$A$1001,0)),""))</f>
        <v/>
      </c>
      <c r="C1075" s="7"/>
      <c r="D1075" s="16" t="str">
        <f aca="false">IF(C1075="","",IFERROR(INDEX(Products!$B$2:$B$501,MATCH(C1075,Products!$A$2:$A$501,0)),"CODE NOT FOUND"))</f>
        <v/>
      </c>
      <c r="E1075" s="7"/>
      <c r="F1075" s="13"/>
      <c r="G1075" s="13"/>
      <c r="H1075" s="17" t="str">
        <f aca="false">IF(OR(E1075="",F1075=""),"",E1075*F1075)</f>
        <v/>
      </c>
      <c r="I1075" s="17" t="str">
        <f aca="false">IF(OR(E1075="",G1075=""),"",E1075*G1075)</f>
        <v/>
      </c>
      <c r="J1075" s="17" t="str">
        <f aca="false">IF(H1075="","",H1075-I1075)</f>
        <v/>
      </c>
    </row>
    <row r="1076" customFormat="false" ht="15" hidden="false" customHeight="true" outlineLevel="0" collapsed="false">
      <c r="A1076" s="7"/>
      <c r="B1076" s="18" t="str">
        <f aca="false">IF(A1076="","",IFERROR(INDEX(Sales_Memo!$B$2:$B$1001,MATCH(A1076,Sales_Memo!$A$2:$A$1001,0)),""))</f>
        <v/>
      </c>
      <c r="C1076" s="7"/>
      <c r="D1076" s="16" t="str">
        <f aca="false">IF(C1076="","",IFERROR(INDEX(Products!$B$2:$B$501,MATCH(C1076,Products!$A$2:$A$501,0)),"CODE NOT FOUND"))</f>
        <v/>
      </c>
      <c r="E1076" s="7"/>
      <c r="F1076" s="13"/>
      <c r="G1076" s="13"/>
      <c r="H1076" s="17" t="str">
        <f aca="false">IF(OR(E1076="",F1076=""),"",E1076*F1076)</f>
        <v/>
      </c>
      <c r="I1076" s="17" t="str">
        <f aca="false">IF(OR(E1076="",G1076=""),"",E1076*G1076)</f>
        <v/>
      </c>
      <c r="J1076" s="17" t="str">
        <f aca="false">IF(H1076="","",H1076-I1076)</f>
        <v/>
      </c>
    </row>
    <row r="1077" customFormat="false" ht="15" hidden="false" customHeight="true" outlineLevel="0" collapsed="false">
      <c r="A1077" s="7"/>
      <c r="B1077" s="18" t="str">
        <f aca="false">IF(A1077="","",IFERROR(INDEX(Sales_Memo!$B$2:$B$1001,MATCH(A1077,Sales_Memo!$A$2:$A$1001,0)),""))</f>
        <v/>
      </c>
      <c r="C1077" s="7"/>
      <c r="D1077" s="16" t="str">
        <f aca="false">IF(C1077="","",IFERROR(INDEX(Products!$B$2:$B$501,MATCH(C1077,Products!$A$2:$A$501,0)),"CODE NOT FOUND"))</f>
        <v/>
      </c>
      <c r="E1077" s="7"/>
      <c r="F1077" s="13"/>
      <c r="G1077" s="13"/>
      <c r="H1077" s="17" t="str">
        <f aca="false">IF(OR(E1077="",F1077=""),"",E1077*F1077)</f>
        <v/>
      </c>
      <c r="I1077" s="17" t="str">
        <f aca="false">IF(OR(E1077="",G1077=""),"",E1077*G1077)</f>
        <v/>
      </c>
      <c r="J1077" s="17" t="str">
        <f aca="false">IF(H1077="","",H1077-I1077)</f>
        <v/>
      </c>
    </row>
    <row r="1078" customFormat="false" ht="15" hidden="false" customHeight="true" outlineLevel="0" collapsed="false">
      <c r="A1078" s="7"/>
      <c r="B1078" s="18" t="str">
        <f aca="false">IF(A1078="","",IFERROR(INDEX(Sales_Memo!$B$2:$B$1001,MATCH(A1078,Sales_Memo!$A$2:$A$1001,0)),""))</f>
        <v/>
      </c>
      <c r="C1078" s="7"/>
      <c r="D1078" s="16" t="str">
        <f aca="false">IF(C1078="","",IFERROR(INDEX(Products!$B$2:$B$501,MATCH(C1078,Products!$A$2:$A$501,0)),"CODE NOT FOUND"))</f>
        <v/>
      </c>
      <c r="E1078" s="7"/>
      <c r="F1078" s="13"/>
      <c r="G1078" s="13"/>
      <c r="H1078" s="17" t="str">
        <f aca="false">IF(OR(E1078="",F1078=""),"",E1078*F1078)</f>
        <v/>
      </c>
      <c r="I1078" s="17" t="str">
        <f aca="false">IF(OR(E1078="",G1078=""),"",E1078*G1078)</f>
        <v/>
      </c>
      <c r="J1078" s="17" t="str">
        <f aca="false">IF(H1078="","",H1078-I1078)</f>
        <v/>
      </c>
    </row>
    <row r="1079" customFormat="false" ht="15" hidden="false" customHeight="true" outlineLevel="0" collapsed="false">
      <c r="A1079" s="7"/>
      <c r="B1079" s="18" t="str">
        <f aca="false">IF(A1079="","",IFERROR(INDEX(Sales_Memo!$B$2:$B$1001,MATCH(A1079,Sales_Memo!$A$2:$A$1001,0)),""))</f>
        <v/>
      </c>
      <c r="C1079" s="7"/>
      <c r="D1079" s="16" t="str">
        <f aca="false">IF(C1079="","",IFERROR(INDEX(Products!$B$2:$B$501,MATCH(C1079,Products!$A$2:$A$501,0)),"CODE NOT FOUND"))</f>
        <v/>
      </c>
      <c r="E1079" s="7"/>
      <c r="F1079" s="13"/>
      <c r="G1079" s="13"/>
      <c r="H1079" s="17" t="str">
        <f aca="false">IF(OR(E1079="",F1079=""),"",E1079*F1079)</f>
        <v/>
      </c>
      <c r="I1079" s="17" t="str">
        <f aca="false">IF(OR(E1079="",G1079=""),"",E1079*G1079)</f>
        <v/>
      </c>
      <c r="J1079" s="17" t="str">
        <f aca="false">IF(H1079="","",H1079-I1079)</f>
        <v/>
      </c>
    </row>
    <row r="1080" customFormat="false" ht="15" hidden="false" customHeight="true" outlineLevel="0" collapsed="false">
      <c r="A1080" s="7"/>
      <c r="B1080" s="18" t="str">
        <f aca="false">IF(A1080="","",IFERROR(INDEX(Sales_Memo!$B$2:$B$1001,MATCH(A1080,Sales_Memo!$A$2:$A$1001,0)),""))</f>
        <v/>
      </c>
      <c r="C1080" s="7"/>
      <c r="D1080" s="16" t="str">
        <f aca="false">IF(C1080="","",IFERROR(INDEX(Products!$B$2:$B$501,MATCH(C1080,Products!$A$2:$A$501,0)),"CODE NOT FOUND"))</f>
        <v/>
      </c>
      <c r="E1080" s="7"/>
      <c r="F1080" s="13"/>
      <c r="G1080" s="13"/>
      <c r="H1080" s="17" t="str">
        <f aca="false">IF(OR(E1080="",F1080=""),"",E1080*F1080)</f>
        <v/>
      </c>
      <c r="I1080" s="17" t="str">
        <f aca="false">IF(OR(E1080="",G1080=""),"",E1080*G1080)</f>
        <v/>
      </c>
      <c r="J1080" s="17" t="str">
        <f aca="false">IF(H1080="","",H1080-I1080)</f>
        <v/>
      </c>
    </row>
    <row r="1081" customFormat="false" ht="15" hidden="false" customHeight="true" outlineLevel="0" collapsed="false">
      <c r="A1081" s="7"/>
      <c r="B1081" s="18" t="str">
        <f aca="false">IF(A1081="","",IFERROR(INDEX(Sales_Memo!$B$2:$B$1001,MATCH(A1081,Sales_Memo!$A$2:$A$1001,0)),""))</f>
        <v/>
      </c>
      <c r="C1081" s="7"/>
      <c r="D1081" s="16" t="str">
        <f aca="false">IF(C1081="","",IFERROR(INDEX(Products!$B$2:$B$501,MATCH(C1081,Products!$A$2:$A$501,0)),"CODE NOT FOUND"))</f>
        <v/>
      </c>
      <c r="E1081" s="7"/>
      <c r="F1081" s="13"/>
      <c r="G1081" s="13"/>
      <c r="H1081" s="17" t="str">
        <f aca="false">IF(OR(E1081="",F1081=""),"",E1081*F1081)</f>
        <v/>
      </c>
      <c r="I1081" s="17" t="str">
        <f aca="false">IF(OR(E1081="",G1081=""),"",E1081*G1081)</f>
        <v/>
      </c>
      <c r="J1081" s="17" t="str">
        <f aca="false">IF(H1081="","",H1081-I1081)</f>
        <v/>
      </c>
    </row>
    <row r="1082" customFormat="false" ht="15" hidden="false" customHeight="true" outlineLevel="0" collapsed="false">
      <c r="A1082" s="7"/>
      <c r="B1082" s="18" t="str">
        <f aca="false">IF(A1082="","",IFERROR(INDEX(Sales_Memo!$B$2:$B$1001,MATCH(A1082,Sales_Memo!$A$2:$A$1001,0)),""))</f>
        <v/>
      </c>
      <c r="C1082" s="7"/>
      <c r="D1082" s="16" t="str">
        <f aca="false">IF(C1082="","",IFERROR(INDEX(Products!$B$2:$B$501,MATCH(C1082,Products!$A$2:$A$501,0)),"CODE NOT FOUND"))</f>
        <v/>
      </c>
      <c r="E1082" s="7"/>
      <c r="F1082" s="13"/>
      <c r="G1082" s="13"/>
      <c r="H1082" s="17" t="str">
        <f aca="false">IF(OR(E1082="",F1082=""),"",E1082*F1082)</f>
        <v/>
      </c>
      <c r="I1082" s="17" t="str">
        <f aca="false">IF(OR(E1082="",G1082=""),"",E1082*G1082)</f>
        <v/>
      </c>
      <c r="J1082" s="17" t="str">
        <f aca="false">IF(H1082="","",H1082-I1082)</f>
        <v/>
      </c>
    </row>
    <row r="1083" customFormat="false" ht="15" hidden="false" customHeight="true" outlineLevel="0" collapsed="false">
      <c r="A1083" s="7"/>
      <c r="B1083" s="18" t="str">
        <f aca="false">IF(A1083="","",IFERROR(INDEX(Sales_Memo!$B$2:$B$1001,MATCH(A1083,Sales_Memo!$A$2:$A$1001,0)),""))</f>
        <v/>
      </c>
      <c r="C1083" s="7"/>
      <c r="D1083" s="16" t="str">
        <f aca="false">IF(C1083="","",IFERROR(INDEX(Products!$B$2:$B$501,MATCH(C1083,Products!$A$2:$A$501,0)),"CODE NOT FOUND"))</f>
        <v/>
      </c>
      <c r="E1083" s="7"/>
      <c r="F1083" s="13"/>
      <c r="G1083" s="13"/>
      <c r="H1083" s="17" t="str">
        <f aca="false">IF(OR(E1083="",F1083=""),"",E1083*F1083)</f>
        <v/>
      </c>
      <c r="I1083" s="17" t="str">
        <f aca="false">IF(OR(E1083="",G1083=""),"",E1083*G1083)</f>
        <v/>
      </c>
      <c r="J1083" s="17" t="str">
        <f aca="false">IF(H1083="","",H1083-I1083)</f>
        <v/>
      </c>
    </row>
    <row r="1084" customFormat="false" ht="15" hidden="false" customHeight="true" outlineLevel="0" collapsed="false">
      <c r="A1084" s="7"/>
      <c r="B1084" s="18" t="str">
        <f aca="false">IF(A1084="","",IFERROR(INDEX(Sales_Memo!$B$2:$B$1001,MATCH(A1084,Sales_Memo!$A$2:$A$1001,0)),""))</f>
        <v/>
      </c>
      <c r="C1084" s="7"/>
      <c r="D1084" s="16" t="str">
        <f aca="false">IF(C1084="","",IFERROR(INDEX(Products!$B$2:$B$501,MATCH(C1084,Products!$A$2:$A$501,0)),"CODE NOT FOUND"))</f>
        <v/>
      </c>
      <c r="E1084" s="7"/>
      <c r="F1084" s="13"/>
      <c r="G1084" s="13"/>
      <c r="H1084" s="17" t="str">
        <f aca="false">IF(OR(E1084="",F1084=""),"",E1084*F1084)</f>
        <v/>
      </c>
      <c r="I1084" s="17" t="str">
        <f aca="false">IF(OR(E1084="",G1084=""),"",E1084*G1084)</f>
        <v/>
      </c>
      <c r="J1084" s="17" t="str">
        <f aca="false">IF(H1084="","",H1084-I1084)</f>
        <v/>
      </c>
    </row>
    <row r="1085" customFormat="false" ht="15" hidden="false" customHeight="true" outlineLevel="0" collapsed="false">
      <c r="A1085" s="7"/>
      <c r="B1085" s="18" t="str">
        <f aca="false">IF(A1085="","",IFERROR(INDEX(Sales_Memo!$B$2:$B$1001,MATCH(A1085,Sales_Memo!$A$2:$A$1001,0)),""))</f>
        <v/>
      </c>
      <c r="C1085" s="7"/>
      <c r="D1085" s="16" t="str">
        <f aca="false">IF(C1085="","",IFERROR(INDEX(Products!$B$2:$B$501,MATCH(C1085,Products!$A$2:$A$501,0)),"CODE NOT FOUND"))</f>
        <v/>
      </c>
      <c r="E1085" s="7"/>
      <c r="F1085" s="13"/>
      <c r="G1085" s="13"/>
      <c r="H1085" s="17" t="str">
        <f aca="false">IF(OR(E1085="",F1085=""),"",E1085*F1085)</f>
        <v/>
      </c>
      <c r="I1085" s="17" t="str">
        <f aca="false">IF(OR(E1085="",G1085=""),"",E1085*G1085)</f>
        <v/>
      </c>
      <c r="J1085" s="17" t="str">
        <f aca="false">IF(H1085="","",H1085-I1085)</f>
        <v/>
      </c>
    </row>
    <row r="1086" customFormat="false" ht="15" hidden="false" customHeight="true" outlineLevel="0" collapsed="false">
      <c r="A1086" s="7"/>
      <c r="B1086" s="18" t="str">
        <f aca="false">IF(A1086="","",IFERROR(INDEX(Sales_Memo!$B$2:$B$1001,MATCH(A1086,Sales_Memo!$A$2:$A$1001,0)),""))</f>
        <v/>
      </c>
      <c r="C1086" s="7"/>
      <c r="D1086" s="16" t="str">
        <f aca="false">IF(C1086="","",IFERROR(INDEX(Products!$B$2:$B$501,MATCH(C1086,Products!$A$2:$A$501,0)),"CODE NOT FOUND"))</f>
        <v/>
      </c>
      <c r="E1086" s="7"/>
      <c r="F1086" s="13"/>
      <c r="G1086" s="13"/>
      <c r="H1086" s="17" t="str">
        <f aca="false">IF(OR(E1086="",F1086=""),"",E1086*F1086)</f>
        <v/>
      </c>
      <c r="I1086" s="17" t="str">
        <f aca="false">IF(OR(E1086="",G1086=""),"",E1086*G1086)</f>
        <v/>
      </c>
      <c r="J1086" s="17" t="str">
        <f aca="false">IF(H1086="","",H1086-I1086)</f>
        <v/>
      </c>
    </row>
    <row r="1087" customFormat="false" ht="15" hidden="false" customHeight="true" outlineLevel="0" collapsed="false">
      <c r="A1087" s="7"/>
      <c r="B1087" s="18" t="str">
        <f aca="false">IF(A1087="","",IFERROR(INDEX(Sales_Memo!$B$2:$B$1001,MATCH(A1087,Sales_Memo!$A$2:$A$1001,0)),""))</f>
        <v/>
      </c>
      <c r="C1087" s="7"/>
      <c r="D1087" s="16" t="str">
        <f aca="false">IF(C1087="","",IFERROR(INDEX(Products!$B$2:$B$501,MATCH(C1087,Products!$A$2:$A$501,0)),"CODE NOT FOUND"))</f>
        <v/>
      </c>
      <c r="E1087" s="7"/>
      <c r="F1087" s="13"/>
      <c r="G1087" s="13"/>
      <c r="H1087" s="17" t="str">
        <f aca="false">IF(OR(E1087="",F1087=""),"",E1087*F1087)</f>
        <v/>
      </c>
      <c r="I1087" s="17" t="str">
        <f aca="false">IF(OR(E1087="",G1087=""),"",E1087*G1087)</f>
        <v/>
      </c>
      <c r="J1087" s="17" t="str">
        <f aca="false">IF(H1087="","",H1087-I1087)</f>
        <v/>
      </c>
    </row>
    <row r="1088" customFormat="false" ht="15" hidden="false" customHeight="true" outlineLevel="0" collapsed="false">
      <c r="A1088" s="7"/>
      <c r="B1088" s="18" t="str">
        <f aca="false">IF(A1088="","",IFERROR(INDEX(Sales_Memo!$B$2:$B$1001,MATCH(A1088,Sales_Memo!$A$2:$A$1001,0)),""))</f>
        <v/>
      </c>
      <c r="C1088" s="7"/>
      <c r="D1088" s="16" t="str">
        <f aca="false">IF(C1088="","",IFERROR(INDEX(Products!$B$2:$B$501,MATCH(C1088,Products!$A$2:$A$501,0)),"CODE NOT FOUND"))</f>
        <v/>
      </c>
      <c r="E1088" s="7"/>
      <c r="F1088" s="13"/>
      <c r="G1088" s="13"/>
      <c r="H1088" s="17" t="str">
        <f aca="false">IF(OR(E1088="",F1088=""),"",E1088*F1088)</f>
        <v/>
      </c>
      <c r="I1088" s="17" t="str">
        <f aca="false">IF(OR(E1088="",G1088=""),"",E1088*G1088)</f>
        <v/>
      </c>
      <c r="J1088" s="17" t="str">
        <f aca="false">IF(H1088="","",H1088-I1088)</f>
        <v/>
      </c>
    </row>
    <row r="1089" customFormat="false" ht="15" hidden="false" customHeight="true" outlineLevel="0" collapsed="false">
      <c r="A1089" s="7"/>
      <c r="B1089" s="18" t="str">
        <f aca="false">IF(A1089="","",IFERROR(INDEX(Sales_Memo!$B$2:$B$1001,MATCH(A1089,Sales_Memo!$A$2:$A$1001,0)),""))</f>
        <v/>
      </c>
      <c r="C1089" s="7"/>
      <c r="D1089" s="16" t="str">
        <f aca="false">IF(C1089="","",IFERROR(INDEX(Products!$B$2:$B$501,MATCH(C1089,Products!$A$2:$A$501,0)),"CODE NOT FOUND"))</f>
        <v/>
      </c>
      <c r="E1089" s="7"/>
      <c r="F1089" s="13"/>
      <c r="G1089" s="13"/>
      <c r="H1089" s="17" t="str">
        <f aca="false">IF(OR(E1089="",F1089=""),"",E1089*F1089)</f>
        <v/>
      </c>
      <c r="I1089" s="17" t="str">
        <f aca="false">IF(OR(E1089="",G1089=""),"",E1089*G1089)</f>
        <v/>
      </c>
      <c r="J1089" s="17" t="str">
        <f aca="false">IF(H1089="","",H1089-I1089)</f>
        <v/>
      </c>
    </row>
    <row r="1090" customFormat="false" ht="15" hidden="false" customHeight="true" outlineLevel="0" collapsed="false">
      <c r="A1090" s="7"/>
      <c r="B1090" s="18" t="str">
        <f aca="false">IF(A1090="","",IFERROR(INDEX(Sales_Memo!$B$2:$B$1001,MATCH(A1090,Sales_Memo!$A$2:$A$1001,0)),""))</f>
        <v/>
      </c>
      <c r="C1090" s="7"/>
      <c r="D1090" s="16" t="str">
        <f aca="false">IF(C1090="","",IFERROR(INDEX(Products!$B$2:$B$501,MATCH(C1090,Products!$A$2:$A$501,0)),"CODE NOT FOUND"))</f>
        <v/>
      </c>
      <c r="E1090" s="7"/>
      <c r="F1090" s="13"/>
      <c r="G1090" s="13"/>
      <c r="H1090" s="17" t="str">
        <f aca="false">IF(OR(E1090="",F1090=""),"",E1090*F1090)</f>
        <v/>
      </c>
      <c r="I1090" s="17" t="str">
        <f aca="false">IF(OR(E1090="",G1090=""),"",E1090*G1090)</f>
        <v/>
      </c>
      <c r="J1090" s="17" t="str">
        <f aca="false">IF(H1090="","",H1090-I1090)</f>
        <v/>
      </c>
    </row>
    <row r="1091" customFormat="false" ht="15" hidden="false" customHeight="true" outlineLevel="0" collapsed="false">
      <c r="A1091" s="7"/>
      <c r="B1091" s="18" t="str">
        <f aca="false">IF(A1091="","",IFERROR(INDEX(Sales_Memo!$B$2:$B$1001,MATCH(A1091,Sales_Memo!$A$2:$A$1001,0)),""))</f>
        <v/>
      </c>
      <c r="C1091" s="7"/>
      <c r="D1091" s="16" t="str">
        <f aca="false">IF(C1091="","",IFERROR(INDEX(Products!$B$2:$B$501,MATCH(C1091,Products!$A$2:$A$501,0)),"CODE NOT FOUND"))</f>
        <v/>
      </c>
      <c r="E1091" s="7"/>
      <c r="F1091" s="13"/>
      <c r="G1091" s="13"/>
      <c r="H1091" s="17" t="str">
        <f aca="false">IF(OR(E1091="",F1091=""),"",E1091*F1091)</f>
        <v/>
      </c>
      <c r="I1091" s="17" t="str">
        <f aca="false">IF(OR(E1091="",G1091=""),"",E1091*G1091)</f>
        <v/>
      </c>
      <c r="J1091" s="17" t="str">
        <f aca="false">IF(H1091="","",H1091-I1091)</f>
        <v/>
      </c>
    </row>
    <row r="1092" customFormat="false" ht="15" hidden="false" customHeight="true" outlineLevel="0" collapsed="false">
      <c r="A1092" s="7"/>
      <c r="B1092" s="18" t="str">
        <f aca="false">IF(A1092="","",IFERROR(INDEX(Sales_Memo!$B$2:$B$1001,MATCH(A1092,Sales_Memo!$A$2:$A$1001,0)),""))</f>
        <v/>
      </c>
      <c r="C1092" s="7"/>
      <c r="D1092" s="16" t="str">
        <f aca="false">IF(C1092="","",IFERROR(INDEX(Products!$B$2:$B$501,MATCH(C1092,Products!$A$2:$A$501,0)),"CODE NOT FOUND"))</f>
        <v/>
      </c>
      <c r="E1092" s="7"/>
      <c r="F1092" s="13"/>
      <c r="G1092" s="13"/>
      <c r="H1092" s="17" t="str">
        <f aca="false">IF(OR(E1092="",F1092=""),"",E1092*F1092)</f>
        <v/>
      </c>
      <c r="I1092" s="17" t="str">
        <f aca="false">IF(OR(E1092="",G1092=""),"",E1092*G1092)</f>
        <v/>
      </c>
      <c r="J1092" s="17" t="str">
        <f aca="false">IF(H1092="","",H1092-I1092)</f>
        <v/>
      </c>
    </row>
    <row r="1093" customFormat="false" ht="15" hidden="false" customHeight="true" outlineLevel="0" collapsed="false">
      <c r="A1093" s="7"/>
      <c r="B1093" s="18" t="str">
        <f aca="false">IF(A1093="","",IFERROR(INDEX(Sales_Memo!$B$2:$B$1001,MATCH(A1093,Sales_Memo!$A$2:$A$1001,0)),""))</f>
        <v/>
      </c>
      <c r="C1093" s="7"/>
      <c r="D1093" s="16" t="str">
        <f aca="false">IF(C1093="","",IFERROR(INDEX(Products!$B$2:$B$501,MATCH(C1093,Products!$A$2:$A$501,0)),"CODE NOT FOUND"))</f>
        <v/>
      </c>
      <c r="E1093" s="7"/>
      <c r="F1093" s="13"/>
      <c r="G1093" s="13"/>
      <c r="H1093" s="17" t="str">
        <f aca="false">IF(OR(E1093="",F1093=""),"",E1093*F1093)</f>
        <v/>
      </c>
      <c r="I1093" s="17" t="str">
        <f aca="false">IF(OR(E1093="",G1093=""),"",E1093*G1093)</f>
        <v/>
      </c>
      <c r="J1093" s="17" t="str">
        <f aca="false">IF(H1093="","",H1093-I1093)</f>
        <v/>
      </c>
    </row>
    <row r="1094" customFormat="false" ht="15" hidden="false" customHeight="true" outlineLevel="0" collapsed="false">
      <c r="A1094" s="7"/>
      <c r="B1094" s="18" t="str">
        <f aca="false">IF(A1094="","",IFERROR(INDEX(Sales_Memo!$B$2:$B$1001,MATCH(A1094,Sales_Memo!$A$2:$A$1001,0)),""))</f>
        <v/>
      </c>
      <c r="C1094" s="7"/>
      <c r="D1094" s="16" t="str">
        <f aca="false">IF(C1094="","",IFERROR(INDEX(Products!$B$2:$B$501,MATCH(C1094,Products!$A$2:$A$501,0)),"CODE NOT FOUND"))</f>
        <v/>
      </c>
      <c r="E1094" s="7"/>
      <c r="F1094" s="13"/>
      <c r="G1094" s="13"/>
      <c r="H1094" s="17" t="str">
        <f aca="false">IF(OR(E1094="",F1094=""),"",E1094*F1094)</f>
        <v/>
      </c>
      <c r="I1094" s="17" t="str">
        <f aca="false">IF(OR(E1094="",G1094=""),"",E1094*G1094)</f>
        <v/>
      </c>
      <c r="J1094" s="17" t="str">
        <f aca="false">IF(H1094="","",H1094-I1094)</f>
        <v/>
      </c>
    </row>
    <row r="1095" customFormat="false" ht="15" hidden="false" customHeight="true" outlineLevel="0" collapsed="false">
      <c r="A1095" s="7"/>
      <c r="B1095" s="18" t="str">
        <f aca="false">IF(A1095="","",IFERROR(INDEX(Sales_Memo!$B$2:$B$1001,MATCH(A1095,Sales_Memo!$A$2:$A$1001,0)),""))</f>
        <v/>
      </c>
      <c r="C1095" s="7"/>
      <c r="D1095" s="16" t="str">
        <f aca="false">IF(C1095="","",IFERROR(INDEX(Products!$B$2:$B$501,MATCH(C1095,Products!$A$2:$A$501,0)),"CODE NOT FOUND"))</f>
        <v/>
      </c>
      <c r="E1095" s="7"/>
      <c r="F1095" s="13"/>
      <c r="G1095" s="13"/>
      <c r="H1095" s="17" t="str">
        <f aca="false">IF(OR(E1095="",F1095=""),"",E1095*F1095)</f>
        <v/>
      </c>
      <c r="I1095" s="17" t="str">
        <f aca="false">IF(OR(E1095="",G1095=""),"",E1095*G1095)</f>
        <v/>
      </c>
      <c r="J1095" s="17" t="str">
        <f aca="false">IF(H1095="","",H1095-I1095)</f>
        <v/>
      </c>
    </row>
    <row r="1096" customFormat="false" ht="15" hidden="false" customHeight="true" outlineLevel="0" collapsed="false">
      <c r="A1096" s="7"/>
      <c r="B1096" s="18" t="str">
        <f aca="false">IF(A1096="","",IFERROR(INDEX(Sales_Memo!$B$2:$B$1001,MATCH(A1096,Sales_Memo!$A$2:$A$1001,0)),""))</f>
        <v/>
      </c>
      <c r="C1096" s="7"/>
      <c r="D1096" s="16" t="str">
        <f aca="false">IF(C1096="","",IFERROR(INDEX(Products!$B$2:$B$501,MATCH(C1096,Products!$A$2:$A$501,0)),"CODE NOT FOUND"))</f>
        <v/>
      </c>
      <c r="E1096" s="7"/>
      <c r="F1096" s="13"/>
      <c r="G1096" s="13"/>
      <c r="H1096" s="17" t="str">
        <f aca="false">IF(OR(E1096="",F1096=""),"",E1096*F1096)</f>
        <v/>
      </c>
      <c r="I1096" s="17" t="str">
        <f aca="false">IF(OR(E1096="",G1096=""),"",E1096*G1096)</f>
        <v/>
      </c>
      <c r="J1096" s="17" t="str">
        <f aca="false">IF(H1096="","",H1096-I1096)</f>
        <v/>
      </c>
    </row>
    <row r="1097" customFormat="false" ht="15" hidden="false" customHeight="true" outlineLevel="0" collapsed="false">
      <c r="A1097" s="7"/>
      <c r="B1097" s="18" t="str">
        <f aca="false">IF(A1097="","",IFERROR(INDEX(Sales_Memo!$B$2:$B$1001,MATCH(A1097,Sales_Memo!$A$2:$A$1001,0)),""))</f>
        <v/>
      </c>
      <c r="C1097" s="7"/>
      <c r="D1097" s="16" t="str">
        <f aca="false">IF(C1097="","",IFERROR(INDEX(Products!$B$2:$B$501,MATCH(C1097,Products!$A$2:$A$501,0)),"CODE NOT FOUND"))</f>
        <v/>
      </c>
      <c r="E1097" s="7"/>
      <c r="F1097" s="13"/>
      <c r="G1097" s="13"/>
      <c r="H1097" s="17" t="str">
        <f aca="false">IF(OR(E1097="",F1097=""),"",E1097*F1097)</f>
        <v/>
      </c>
      <c r="I1097" s="17" t="str">
        <f aca="false">IF(OR(E1097="",G1097=""),"",E1097*G1097)</f>
        <v/>
      </c>
      <c r="J1097" s="17" t="str">
        <f aca="false">IF(H1097="","",H1097-I1097)</f>
        <v/>
      </c>
    </row>
    <row r="1098" customFormat="false" ht="15" hidden="false" customHeight="true" outlineLevel="0" collapsed="false">
      <c r="A1098" s="7"/>
      <c r="B1098" s="18" t="str">
        <f aca="false">IF(A1098="","",IFERROR(INDEX(Sales_Memo!$B$2:$B$1001,MATCH(A1098,Sales_Memo!$A$2:$A$1001,0)),""))</f>
        <v/>
      </c>
      <c r="C1098" s="7"/>
      <c r="D1098" s="16" t="str">
        <f aca="false">IF(C1098="","",IFERROR(INDEX(Products!$B$2:$B$501,MATCH(C1098,Products!$A$2:$A$501,0)),"CODE NOT FOUND"))</f>
        <v/>
      </c>
      <c r="E1098" s="7"/>
      <c r="F1098" s="13"/>
      <c r="G1098" s="13"/>
      <c r="H1098" s="17" t="str">
        <f aca="false">IF(OR(E1098="",F1098=""),"",E1098*F1098)</f>
        <v/>
      </c>
      <c r="I1098" s="17" t="str">
        <f aca="false">IF(OR(E1098="",G1098=""),"",E1098*G1098)</f>
        <v/>
      </c>
      <c r="J1098" s="17" t="str">
        <f aca="false">IF(H1098="","",H1098-I1098)</f>
        <v/>
      </c>
    </row>
    <row r="1099" customFormat="false" ht="15" hidden="false" customHeight="true" outlineLevel="0" collapsed="false">
      <c r="A1099" s="7"/>
      <c r="B1099" s="18" t="str">
        <f aca="false">IF(A1099="","",IFERROR(INDEX(Sales_Memo!$B$2:$B$1001,MATCH(A1099,Sales_Memo!$A$2:$A$1001,0)),""))</f>
        <v/>
      </c>
      <c r="C1099" s="7"/>
      <c r="D1099" s="16" t="str">
        <f aca="false">IF(C1099="","",IFERROR(INDEX(Products!$B$2:$B$501,MATCH(C1099,Products!$A$2:$A$501,0)),"CODE NOT FOUND"))</f>
        <v/>
      </c>
      <c r="E1099" s="7"/>
      <c r="F1099" s="13"/>
      <c r="G1099" s="13"/>
      <c r="H1099" s="17" t="str">
        <f aca="false">IF(OR(E1099="",F1099=""),"",E1099*F1099)</f>
        <v/>
      </c>
      <c r="I1099" s="17" t="str">
        <f aca="false">IF(OR(E1099="",G1099=""),"",E1099*G1099)</f>
        <v/>
      </c>
      <c r="J1099" s="17" t="str">
        <f aca="false">IF(H1099="","",H1099-I1099)</f>
        <v/>
      </c>
    </row>
    <row r="1100" customFormat="false" ht="15" hidden="false" customHeight="true" outlineLevel="0" collapsed="false">
      <c r="A1100" s="7"/>
      <c r="B1100" s="18" t="str">
        <f aca="false">IF(A1100="","",IFERROR(INDEX(Sales_Memo!$B$2:$B$1001,MATCH(A1100,Sales_Memo!$A$2:$A$1001,0)),""))</f>
        <v/>
      </c>
      <c r="C1100" s="7"/>
      <c r="D1100" s="16" t="str">
        <f aca="false">IF(C1100="","",IFERROR(INDEX(Products!$B$2:$B$501,MATCH(C1100,Products!$A$2:$A$501,0)),"CODE NOT FOUND"))</f>
        <v/>
      </c>
      <c r="E1100" s="7"/>
      <c r="F1100" s="13"/>
      <c r="G1100" s="13"/>
      <c r="H1100" s="17" t="str">
        <f aca="false">IF(OR(E1100="",F1100=""),"",E1100*F1100)</f>
        <v/>
      </c>
      <c r="I1100" s="17" t="str">
        <f aca="false">IF(OR(E1100="",G1100=""),"",E1100*G1100)</f>
        <v/>
      </c>
      <c r="J1100" s="17" t="str">
        <f aca="false">IF(H1100="","",H1100-I1100)</f>
        <v/>
      </c>
    </row>
    <row r="1101" customFormat="false" ht="15" hidden="false" customHeight="true" outlineLevel="0" collapsed="false">
      <c r="A1101" s="7"/>
      <c r="B1101" s="18" t="str">
        <f aca="false">IF(A1101="","",IFERROR(INDEX(Sales_Memo!$B$2:$B$1001,MATCH(A1101,Sales_Memo!$A$2:$A$1001,0)),""))</f>
        <v/>
      </c>
      <c r="C1101" s="7"/>
      <c r="D1101" s="16" t="str">
        <f aca="false">IF(C1101="","",IFERROR(INDEX(Products!$B$2:$B$501,MATCH(C1101,Products!$A$2:$A$501,0)),"CODE NOT FOUND"))</f>
        <v/>
      </c>
      <c r="E1101" s="7"/>
      <c r="F1101" s="13"/>
      <c r="G1101" s="13"/>
      <c r="H1101" s="17" t="str">
        <f aca="false">IF(OR(E1101="",F1101=""),"",E1101*F1101)</f>
        <v/>
      </c>
      <c r="I1101" s="17" t="str">
        <f aca="false">IF(OR(E1101="",G1101=""),"",E1101*G1101)</f>
        <v/>
      </c>
      <c r="J1101" s="17" t="str">
        <f aca="false">IF(H1101="","",H1101-I1101)</f>
        <v/>
      </c>
    </row>
    <row r="1102" customFormat="false" ht="15" hidden="false" customHeight="true" outlineLevel="0" collapsed="false">
      <c r="A1102" s="7"/>
      <c r="B1102" s="18" t="str">
        <f aca="false">IF(A1102="","",IFERROR(INDEX(Sales_Memo!$B$2:$B$1001,MATCH(A1102,Sales_Memo!$A$2:$A$1001,0)),""))</f>
        <v/>
      </c>
      <c r="C1102" s="7"/>
      <c r="D1102" s="16" t="str">
        <f aca="false">IF(C1102="","",IFERROR(INDEX(Products!$B$2:$B$501,MATCH(C1102,Products!$A$2:$A$501,0)),"CODE NOT FOUND"))</f>
        <v/>
      </c>
      <c r="E1102" s="7"/>
      <c r="F1102" s="13"/>
      <c r="G1102" s="13"/>
      <c r="H1102" s="17" t="str">
        <f aca="false">IF(OR(E1102="",F1102=""),"",E1102*F1102)</f>
        <v/>
      </c>
      <c r="I1102" s="17" t="str">
        <f aca="false">IF(OR(E1102="",G1102=""),"",E1102*G1102)</f>
        <v/>
      </c>
      <c r="J1102" s="17" t="str">
        <f aca="false">IF(H1102="","",H1102-I1102)</f>
        <v/>
      </c>
    </row>
    <row r="1103" customFormat="false" ht="15" hidden="false" customHeight="true" outlineLevel="0" collapsed="false">
      <c r="A1103" s="7"/>
      <c r="B1103" s="18" t="str">
        <f aca="false">IF(A1103="","",IFERROR(INDEX(Sales_Memo!$B$2:$B$1001,MATCH(A1103,Sales_Memo!$A$2:$A$1001,0)),""))</f>
        <v/>
      </c>
      <c r="C1103" s="7"/>
      <c r="D1103" s="16" t="str">
        <f aca="false">IF(C1103="","",IFERROR(INDEX(Products!$B$2:$B$501,MATCH(C1103,Products!$A$2:$A$501,0)),"CODE NOT FOUND"))</f>
        <v/>
      </c>
      <c r="E1103" s="7"/>
      <c r="F1103" s="13"/>
      <c r="G1103" s="13"/>
      <c r="H1103" s="17" t="str">
        <f aca="false">IF(OR(E1103="",F1103=""),"",E1103*F1103)</f>
        <v/>
      </c>
      <c r="I1103" s="17" t="str">
        <f aca="false">IF(OR(E1103="",G1103=""),"",E1103*G1103)</f>
        <v/>
      </c>
      <c r="J1103" s="17" t="str">
        <f aca="false">IF(H1103="","",H1103-I1103)</f>
        <v/>
      </c>
    </row>
    <row r="1104" customFormat="false" ht="15" hidden="false" customHeight="true" outlineLevel="0" collapsed="false">
      <c r="A1104" s="7"/>
      <c r="B1104" s="18" t="str">
        <f aca="false">IF(A1104="","",IFERROR(INDEX(Sales_Memo!$B$2:$B$1001,MATCH(A1104,Sales_Memo!$A$2:$A$1001,0)),""))</f>
        <v/>
      </c>
      <c r="C1104" s="7"/>
      <c r="D1104" s="16" t="str">
        <f aca="false">IF(C1104="","",IFERROR(INDEX(Products!$B$2:$B$501,MATCH(C1104,Products!$A$2:$A$501,0)),"CODE NOT FOUND"))</f>
        <v/>
      </c>
      <c r="E1104" s="7"/>
      <c r="F1104" s="13"/>
      <c r="G1104" s="13"/>
      <c r="H1104" s="17" t="str">
        <f aca="false">IF(OR(E1104="",F1104=""),"",E1104*F1104)</f>
        <v/>
      </c>
      <c r="I1104" s="17" t="str">
        <f aca="false">IF(OR(E1104="",G1104=""),"",E1104*G1104)</f>
        <v/>
      </c>
      <c r="J1104" s="17" t="str">
        <f aca="false">IF(H1104="","",H1104-I1104)</f>
        <v/>
      </c>
    </row>
    <row r="1105" customFormat="false" ht="15" hidden="false" customHeight="true" outlineLevel="0" collapsed="false">
      <c r="A1105" s="7"/>
      <c r="B1105" s="18" t="str">
        <f aca="false">IF(A1105="","",IFERROR(INDEX(Sales_Memo!$B$2:$B$1001,MATCH(A1105,Sales_Memo!$A$2:$A$1001,0)),""))</f>
        <v/>
      </c>
      <c r="C1105" s="7"/>
      <c r="D1105" s="16" t="str">
        <f aca="false">IF(C1105="","",IFERROR(INDEX(Products!$B$2:$B$501,MATCH(C1105,Products!$A$2:$A$501,0)),"CODE NOT FOUND"))</f>
        <v/>
      </c>
      <c r="E1105" s="7"/>
      <c r="F1105" s="13"/>
      <c r="G1105" s="13"/>
      <c r="H1105" s="17" t="str">
        <f aca="false">IF(OR(E1105="",F1105=""),"",E1105*F1105)</f>
        <v/>
      </c>
      <c r="I1105" s="17" t="str">
        <f aca="false">IF(OR(E1105="",G1105=""),"",E1105*G1105)</f>
        <v/>
      </c>
      <c r="J1105" s="17" t="str">
        <f aca="false">IF(H1105="","",H1105-I1105)</f>
        <v/>
      </c>
    </row>
    <row r="1106" customFormat="false" ht="15" hidden="false" customHeight="true" outlineLevel="0" collapsed="false">
      <c r="A1106" s="7"/>
      <c r="B1106" s="18" t="str">
        <f aca="false">IF(A1106="","",IFERROR(INDEX(Sales_Memo!$B$2:$B$1001,MATCH(A1106,Sales_Memo!$A$2:$A$1001,0)),""))</f>
        <v/>
      </c>
      <c r="C1106" s="7"/>
      <c r="D1106" s="16" t="str">
        <f aca="false">IF(C1106="","",IFERROR(INDEX(Products!$B$2:$B$501,MATCH(C1106,Products!$A$2:$A$501,0)),"CODE NOT FOUND"))</f>
        <v/>
      </c>
      <c r="E1106" s="7"/>
      <c r="F1106" s="13"/>
      <c r="G1106" s="13"/>
      <c r="H1106" s="17" t="str">
        <f aca="false">IF(OR(E1106="",F1106=""),"",E1106*F1106)</f>
        <v/>
      </c>
      <c r="I1106" s="17" t="str">
        <f aca="false">IF(OR(E1106="",G1106=""),"",E1106*G1106)</f>
        <v/>
      </c>
      <c r="J1106" s="17" t="str">
        <f aca="false">IF(H1106="","",H1106-I1106)</f>
        <v/>
      </c>
    </row>
    <row r="1107" customFormat="false" ht="15" hidden="false" customHeight="true" outlineLevel="0" collapsed="false">
      <c r="A1107" s="7"/>
      <c r="B1107" s="18" t="str">
        <f aca="false">IF(A1107="","",IFERROR(INDEX(Sales_Memo!$B$2:$B$1001,MATCH(A1107,Sales_Memo!$A$2:$A$1001,0)),""))</f>
        <v/>
      </c>
      <c r="C1107" s="7"/>
      <c r="D1107" s="16" t="str">
        <f aca="false">IF(C1107="","",IFERROR(INDEX(Products!$B$2:$B$501,MATCH(C1107,Products!$A$2:$A$501,0)),"CODE NOT FOUND"))</f>
        <v/>
      </c>
      <c r="E1107" s="7"/>
      <c r="F1107" s="13"/>
      <c r="G1107" s="13"/>
      <c r="H1107" s="17" t="str">
        <f aca="false">IF(OR(E1107="",F1107=""),"",E1107*F1107)</f>
        <v/>
      </c>
      <c r="I1107" s="17" t="str">
        <f aca="false">IF(OR(E1107="",G1107=""),"",E1107*G1107)</f>
        <v/>
      </c>
      <c r="J1107" s="17" t="str">
        <f aca="false">IF(H1107="","",H1107-I1107)</f>
        <v/>
      </c>
    </row>
    <row r="1108" customFormat="false" ht="15" hidden="false" customHeight="true" outlineLevel="0" collapsed="false">
      <c r="A1108" s="7"/>
      <c r="B1108" s="18" t="str">
        <f aca="false">IF(A1108="","",IFERROR(INDEX(Sales_Memo!$B$2:$B$1001,MATCH(A1108,Sales_Memo!$A$2:$A$1001,0)),""))</f>
        <v/>
      </c>
      <c r="C1108" s="7"/>
      <c r="D1108" s="16" t="str">
        <f aca="false">IF(C1108="","",IFERROR(INDEX(Products!$B$2:$B$501,MATCH(C1108,Products!$A$2:$A$501,0)),"CODE NOT FOUND"))</f>
        <v/>
      </c>
      <c r="E1108" s="7"/>
      <c r="F1108" s="13"/>
      <c r="G1108" s="13"/>
      <c r="H1108" s="17" t="str">
        <f aca="false">IF(OR(E1108="",F1108=""),"",E1108*F1108)</f>
        <v/>
      </c>
      <c r="I1108" s="17" t="str">
        <f aca="false">IF(OR(E1108="",G1108=""),"",E1108*G1108)</f>
        <v/>
      </c>
      <c r="J1108" s="17" t="str">
        <f aca="false">IF(H1108="","",H1108-I1108)</f>
        <v/>
      </c>
    </row>
    <row r="1109" customFormat="false" ht="15" hidden="false" customHeight="true" outlineLevel="0" collapsed="false">
      <c r="A1109" s="7"/>
      <c r="B1109" s="18" t="str">
        <f aca="false">IF(A1109="","",IFERROR(INDEX(Sales_Memo!$B$2:$B$1001,MATCH(A1109,Sales_Memo!$A$2:$A$1001,0)),""))</f>
        <v/>
      </c>
      <c r="C1109" s="7"/>
      <c r="D1109" s="16" t="str">
        <f aca="false">IF(C1109="","",IFERROR(INDEX(Products!$B$2:$B$501,MATCH(C1109,Products!$A$2:$A$501,0)),"CODE NOT FOUND"))</f>
        <v/>
      </c>
      <c r="E1109" s="7"/>
      <c r="F1109" s="13"/>
      <c r="G1109" s="13"/>
      <c r="H1109" s="17" t="str">
        <f aca="false">IF(OR(E1109="",F1109=""),"",E1109*F1109)</f>
        <v/>
      </c>
      <c r="I1109" s="17" t="str">
        <f aca="false">IF(OR(E1109="",G1109=""),"",E1109*G1109)</f>
        <v/>
      </c>
      <c r="J1109" s="17" t="str">
        <f aca="false">IF(H1109="","",H1109-I1109)</f>
        <v/>
      </c>
    </row>
    <row r="1110" customFormat="false" ht="15" hidden="false" customHeight="true" outlineLevel="0" collapsed="false">
      <c r="A1110" s="7"/>
      <c r="B1110" s="18" t="str">
        <f aca="false">IF(A1110="","",IFERROR(INDEX(Sales_Memo!$B$2:$B$1001,MATCH(A1110,Sales_Memo!$A$2:$A$1001,0)),""))</f>
        <v/>
      </c>
      <c r="C1110" s="7"/>
      <c r="D1110" s="16" t="str">
        <f aca="false">IF(C1110="","",IFERROR(INDEX(Products!$B$2:$B$501,MATCH(C1110,Products!$A$2:$A$501,0)),"CODE NOT FOUND"))</f>
        <v/>
      </c>
      <c r="E1110" s="7"/>
      <c r="F1110" s="13"/>
      <c r="G1110" s="13"/>
      <c r="H1110" s="17" t="str">
        <f aca="false">IF(OR(E1110="",F1110=""),"",E1110*F1110)</f>
        <v/>
      </c>
      <c r="I1110" s="17" t="str">
        <f aca="false">IF(OR(E1110="",G1110=""),"",E1110*G1110)</f>
        <v/>
      </c>
      <c r="J1110" s="17" t="str">
        <f aca="false">IF(H1110="","",H1110-I1110)</f>
        <v/>
      </c>
    </row>
    <row r="1111" customFormat="false" ht="15" hidden="false" customHeight="true" outlineLevel="0" collapsed="false">
      <c r="A1111" s="7"/>
      <c r="B1111" s="18" t="str">
        <f aca="false">IF(A1111="","",IFERROR(INDEX(Sales_Memo!$B$2:$B$1001,MATCH(A1111,Sales_Memo!$A$2:$A$1001,0)),""))</f>
        <v/>
      </c>
      <c r="C1111" s="7"/>
      <c r="D1111" s="16" t="str">
        <f aca="false">IF(C1111="","",IFERROR(INDEX(Products!$B$2:$B$501,MATCH(C1111,Products!$A$2:$A$501,0)),"CODE NOT FOUND"))</f>
        <v/>
      </c>
      <c r="E1111" s="7"/>
      <c r="F1111" s="13"/>
      <c r="G1111" s="13"/>
      <c r="H1111" s="17" t="str">
        <f aca="false">IF(OR(E1111="",F1111=""),"",E1111*F1111)</f>
        <v/>
      </c>
      <c r="I1111" s="17" t="str">
        <f aca="false">IF(OR(E1111="",G1111=""),"",E1111*G1111)</f>
        <v/>
      </c>
      <c r="J1111" s="17" t="str">
        <f aca="false">IF(H1111="","",H1111-I1111)</f>
        <v/>
      </c>
    </row>
    <row r="1112" customFormat="false" ht="15" hidden="false" customHeight="true" outlineLevel="0" collapsed="false">
      <c r="A1112" s="7"/>
      <c r="B1112" s="18" t="str">
        <f aca="false">IF(A1112="","",IFERROR(INDEX(Sales_Memo!$B$2:$B$1001,MATCH(A1112,Sales_Memo!$A$2:$A$1001,0)),""))</f>
        <v/>
      </c>
      <c r="C1112" s="7"/>
      <c r="D1112" s="16" t="str">
        <f aca="false">IF(C1112="","",IFERROR(INDEX(Products!$B$2:$B$501,MATCH(C1112,Products!$A$2:$A$501,0)),"CODE NOT FOUND"))</f>
        <v/>
      </c>
      <c r="E1112" s="7"/>
      <c r="F1112" s="13"/>
      <c r="G1112" s="13"/>
      <c r="H1112" s="17" t="str">
        <f aca="false">IF(OR(E1112="",F1112=""),"",E1112*F1112)</f>
        <v/>
      </c>
      <c r="I1112" s="17" t="str">
        <f aca="false">IF(OR(E1112="",G1112=""),"",E1112*G1112)</f>
        <v/>
      </c>
      <c r="J1112" s="17" t="str">
        <f aca="false">IF(H1112="","",H1112-I1112)</f>
        <v/>
      </c>
    </row>
    <row r="1113" customFormat="false" ht="15" hidden="false" customHeight="true" outlineLevel="0" collapsed="false">
      <c r="A1113" s="7"/>
      <c r="B1113" s="18" t="str">
        <f aca="false">IF(A1113="","",IFERROR(INDEX(Sales_Memo!$B$2:$B$1001,MATCH(A1113,Sales_Memo!$A$2:$A$1001,0)),""))</f>
        <v/>
      </c>
      <c r="C1113" s="7"/>
      <c r="D1113" s="16" t="str">
        <f aca="false">IF(C1113="","",IFERROR(INDEX(Products!$B$2:$B$501,MATCH(C1113,Products!$A$2:$A$501,0)),"CODE NOT FOUND"))</f>
        <v/>
      </c>
      <c r="E1113" s="7"/>
      <c r="F1113" s="13"/>
      <c r="G1113" s="13"/>
      <c r="H1113" s="17" t="str">
        <f aca="false">IF(OR(E1113="",F1113=""),"",E1113*F1113)</f>
        <v/>
      </c>
      <c r="I1113" s="17" t="str">
        <f aca="false">IF(OR(E1113="",G1113=""),"",E1113*G1113)</f>
        <v/>
      </c>
      <c r="J1113" s="17" t="str">
        <f aca="false">IF(H1113="","",H1113-I1113)</f>
        <v/>
      </c>
    </row>
    <row r="1114" customFormat="false" ht="15" hidden="false" customHeight="true" outlineLevel="0" collapsed="false">
      <c r="A1114" s="7"/>
      <c r="B1114" s="18" t="str">
        <f aca="false">IF(A1114="","",IFERROR(INDEX(Sales_Memo!$B$2:$B$1001,MATCH(A1114,Sales_Memo!$A$2:$A$1001,0)),""))</f>
        <v/>
      </c>
      <c r="C1114" s="7"/>
      <c r="D1114" s="16" t="str">
        <f aca="false">IF(C1114="","",IFERROR(INDEX(Products!$B$2:$B$501,MATCH(C1114,Products!$A$2:$A$501,0)),"CODE NOT FOUND"))</f>
        <v/>
      </c>
      <c r="E1114" s="7"/>
      <c r="F1114" s="13"/>
      <c r="G1114" s="13"/>
      <c r="H1114" s="17" t="str">
        <f aca="false">IF(OR(E1114="",F1114=""),"",E1114*F1114)</f>
        <v/>
      </c>
      <c r="I1114" s="17" t="str">
        <f aca="false">IF(OR(E1114="",G1114=""),"",E1114*G1114)</f>
        <v/>
      </c>
      <c r="J1114" s="17" t="str">
        <f aca="false">IF(H1114="","",H1114-I1114)</f>
        <v/>
      </c>
    </row>
    <row r="1115" customFormat="false" ht="15" hidden="false" customHeight="true" outlineLevel="0" collapsed="false">
      <c r="A1115" s="7"/>
      <c r="B1115" s="18" t="str">
        <f aca="false">IF(A1115="","",IFERROR(INDEX(Sales_Memo!$B$2:$B$1001,MATCH(A1115,Sales_Memo!$A$2:$A$1001,0)),""))</f>
        <v/>
      </c>
      <c r="C1115" s="7"/>
      <c r="D1115" s="16" t="str">
        <f aca="false">IF(C1115="","",IFERROR(INDEX(Products!$B$2:$B$501,MATCH(C1115,Products!$A$2:$A$501,0)),"CODE NOT FOUND"))</f>
        <v/>
      </c>
      <c r="E1115" s="7"/>
      <c r="F1115" s="13"/>
      <c r="G1115" s="13"/>
      <c r="H1115" s="17" t="str">
        <f aca="false">IF(OR(E1115="",F1115=""),"",E1115*F1115)</f>
        <v/>
      </c>
      <c r="I1115" s="17" t="str">
        <f aca="false">IF(OR(E1115="",G1115=""),"",E1115*G1115)</f>
        <v/>
      </c>
      <c r="J1115" s="17" t="str">
        <f aca="false">IF(H1115="","",H1115-I1115)</f>
        <v/>
      </c>
    </row>
    <row r="1116" customFormat="false" ht="15" hidden="false" customHeight="true" outlineLevel="0" collapsed="false">
      <c r="A1116" s="7"/>
      <c r="B1116" s="18" t="str">
        <f aca="false">IF(A1116="","",IFERROR(INDEX(Sales_Memo!$B$2:$B$1001,MATCH(A1116,Sales_Memo!$A$2:$A$1001,0)),""))</f>
        <v/>
      </c>
      <c r="C1116" s="7"/>
      <c r="D1116" s="16" t="str">
        <f aca="false">IF(C1116="","",IFERROR(INDEX(Products!$B$2:$B$501,MATCH(C1116,Products!$A$2:$A$501,0)),"CODE NOT FOUND"))</f>
        <v/>
      </c>
      <c r="E1116" s="7"/>
      <c r="F1116" s="13"/>
      <c r="G1116" s="13"/>
      <c r="H1116" s="17" t="str">
        <f aca="false">IF(OR(E1116="",F1116=""),"",E1116*F1116)</f>
        <v/>
      </c>
      <c r="I1116" s="17" t="str">
        <f aca="false">IF(OR(E1116="",G1116=""),"",E1116*G1116)</f>
        <v/>
      </c>
      <c r="J1116" s="17" t="str">
        <f aca="false">IF(H1116="","",H1116-I1116)</f>
        <v/>
      </c>
    </row>
    <row r="1117" customFormat="false" ht="15" hidden="false" customHeight="true" outlineLevel="0" collapsed="false">
      <c r="A1117" s="7"/>
      <c r="B1117" s="18" t="str">
        <f aca="false">IF(A1117="","",IFERROR(INDEX(Sales_Memo!$B$2:$B$1001,MATCH(A1117,Sales_Memo!$A$2:$A$1001,0)),""))</f>
        <v/>
      </c>
      <c r="C1117" s="7"/>
      <c r="D1117" s="16" t="str">
        <f aca="false">IF(C1117="","",IFERROR(INDEX(Products!$B$2:$B$501,MATCH(C1117,Products!$A$2:$A$501,0)),"CODE NOT FOUND"))</f>
        <v/>
      </c>
      <c r="E1117" s="7"/>
      <c r="F1117" s="13"/>
      <c r="G1117" s="13"/>
      <c r="H1117" s="17" t="str">
        <f aca="false">IF(OR(E1117="",F1117=""),"",E1117*F1117)</f>
        <v/>
      </c>
      <c r="I1117" s="17" t="str">
        <f aca="false">IF(OR(E1117="",G1117=""),"",E1117*G1117)</f>
        <v/>
      </c>
      <c r="J1117" s="17" t="str">
        <f aca="false">IF(H1117="","",H1117-I1117)</f>
        <v/>
      </c>
    </row>
    <row r="1118" customFormat="false" ht="15" hidden="false" customHeight="true" outlineLevel="0" collapsed="false">
      <c r="A1118" s="7"/>
      <c r="B1118" s="18" t="str">
        <f aca="false">IF(A1118="","",IFERROR(INDEX(Sales_Memo!$B$2:$B$1001,MATCH(A1118,Sales_Memo!$A$2:$A$1001,0)),""))</f>
        <v/>
      </c>
      <c r="C1118" s="7"/>
      <c r="D1118" s="16" t="str">
        <f aca="false">IF(C1118="","",IFERROR(INDEX(Products!$B$2:$B$501,MATCH(C1118,Products!$A$2:$A$501,0)),"CODE NOT FOUND"))</f>
        <v/>
      </c>
      <c r="E1118" s="7"/>
      <c r="F1118" s="13"/>
      <c r="G1118" s="13"/>
      <c r="H1118" s="17" t="str">
        <f aca="false">IF(OR(E1118="",F1118=""),"",E1118*F1118)</f>
        <v/>
      </c>
      <c r="I1118" s="17" t="str">
        <f aca="false">IF(OR(E1118="",G1118=""),"",E1118*G1118)</f>
        <v/>
      </c>
      <c r="J1118" s="17" t="str">
        <f aca="false">IF(H1118="","",H1118-I1118)</f>
        <v/>
      </c>
    </row>
    <row r="1119" customFormat="false" ht="15" hidden="false" customHeight="true" outlineLevel="0" collapsed="false">
      <c r="A1119" s="7"/>
      <c r="B1119" s="18" t="str">
        <f aca="false">IF(A1119="","",IFERROR(INDEX(Sales_Memo!$B$2:$B$1001,MATCH(A1119,Sales_Memo!$A$2:$A$1001,0)),""))</f>
        <v/>
      </c>
      <c r="C1119" s="7"/>
      <c r="D1119" s="16" t="str">
        <f aca="false">IF(C1119="","",IFERROR(INDEX(Products!$B$2:$B$501,MATCH(C1119,Products!$A$2:$A$501,0)),"CODE NOT FOUND"))</f>
        <v/>
      </c>
      <c r="E1119" s="7"/>
      <c r="F1119" s="13"/>
      <c r="G1119" s="13"/>
      <c r="H1119" s="17" t="str">
        <f aca="false">IF(OR(E1119="",F1119=""),"",E1119*F1119)</f>
        <v/>
      </c>
      <c r="I1119" s="17" t="str">
        <f aca="false">IF(OR(E1119="",G1119=""),"",E1119*G1119)</f>
        <v/>
      </c>
      <c r="J1119" s="17" t="str">
        <f aca="false">IF(H1119="","",H1119-I1119)</f>
        <v/>
      </c>
    </row>
    <row r="1120" customFormat="false" ht="15" hidden="false" customHeight="true" outlineLevel="0" collapsed="false">
      <c r="A1120" s="7"/>
      <c r="B1120" s="18" t="str">
        <f aca="false">IF(A1120="","",IFERROR(INDEX(Sales_Memo!$B$2:$B$1001,MATCH(A1120,Sales_Memo!$A$2:$A$1001,0)),""))</f>
        <v/>
      </c>
      <c r="C1120" s="7"/>
      <c r="D1120" s="16" t="str">
        <f aca="false">IF(C1120="","",IFERROR(INDEX(Products!$B$2:$B$501,MATCH(C1120,Products!$A$2:$A$501,0)),"CODE NOT FOUND"))</f>
        <v/>
      </c>
      <c r="E1120" s="7"/>
      <c r="F1120" s="13"/>
      <c r="G1120" s="13"/>
      <c r="H1120" s="17" t="str">
        <f aca="false">IF(OR(E1120="",F1120=""),"",E1120*F1120)</f>
        <v/>
      </c>
      <c r="I1120" s="17" t="str">
        <f aca="false">IF(OR(E1120="",G1120=""),"",E1120*G1120)</f>
        <v/>
      </c>
      <c r="J1120" s="17" t="str">
        <f aca="false">IF(H1120="","",H1120-I1120)</f>
        <v/>
      </c>
    </row>
    <row r="1121" customFormat="false" ht="15" hidden="false" customHeight="true" outlineLevel="0" collapsed="false">
      <c r="A1121" s="7"/>
      <c r="B1121" s="18" t="str">
        <f aca="false">IF(A1121="","",IFERROR(INDEX(Sales_Memo!$B$2:$B$1001,MATCH(A1121,Sales_Memo!$A$2:$A$1001,0)),""))</f>
        <v/>
      </c>
      <c r="C1121" s="7"/>
      <c r="D1121" s="16" t="str">
        <f aca="false">IF(C1121="","",IFERROR(INDEX(Products!$B$2:$B$501,MATCH(C1121,Products!$A$2:$A$501,0)),"CODE NOT FOUND"))</f>
        <v/>
      </c>
      <c r="E1121" s="7"/>
      <c r="F1121" s="13"/>
      <c r="G1121" s="13"/>
      <c r="H1121" s="17" t="str">
        <f aca="false">IF(OR(E1121="",F1121=""),"",E1121*F1121)</f>
        <v/>
      </c>
      <c r="I1121" s="17" t="str">
        <f aca="false">IF(OR(E1121="",G1121=""),"",E1121*G1121)</f>
        <v/>
      </c>
      <c r="J1121" s="17" t="str">
        <f aca="false">IF(H1121="","",H1121-I1121)</f>
        <v/>
      </c>
    </row>
    <row r="1122" customFormat="false" ht="15" hidden="false" customHeight="true" outlineLevel="0" collapsed="false">
      <c r="A1122" s="7"/>
      <c r="B1122" s="18" t="str">
        <f aca="false">IF(A1122="","",IFERROR(INDEX(Sales_Memo!$B$2:$B$1001,MATCH(A1122,Sales_Memo!$A$2:$A$1001,0)),""))</f>
        <v/>
      </c>
      <c r="C1122" s="7"/>
      <c r="D1122" s="16" t="str">
        <f aca="false">IF(C1122="","",IFERROR(INDEX(Products!$B$2:$B$501,MATCH(C1122,Products!$A$2:$A$501,0)),"CODE NOT FOUND"))</f>
        <v/>
      </c>
      <c r="E1122" s="7"/>
      <c r="F1122" s="13"/>
      <c r="G1122" s="13"/>
      <c r="H1122" s="17" t="str">
        <f aca="false">IF(OR(E1122="",F1122=""),"",E1122*F1122)</f>
        <v/>
      </c>
      <c r="I1122" s="17" t="str">
        <f aca="false">IF(OR(E1122="",G1122=""),"",E1122*G1122)</f>
        <v/>
      </c>
      <c r="J1122" s="17" t="str">
        <f aca="false">IF(H1122="","",H1122-I1122)</f>
        <v/>
      </c>
    </row>
    <row r="1123" customFormat="false" ht="15" hidden="false" customHeight="true" outlineLevel="0" collapsed="false">
      <c r="A1123" s="7"/>
      <c r="B1123" s="18" t="str">
        <f aca="false">IF(A1123="","",IFERROR(INDEX(Sales_Memo!$B$2:$B$1001,MATCH(A1123,Sales_Memo!$A$2:$A$1001,0)),""))</f>
        <v/>
      </c>
      <c r="C1123" s="7"/>
      <c r="D1123" s="16" t="str">
        <f aca="false">IF(C1123="","",IFERROR(INDEX(Products!$B$2:$B$501,MATCH(C1123,Products!$A$2:$A$501,0)),"CODE NOT FOUND"))</f>
        <v/>
      </c>
      <c r="E1123" s="7"/>
      <c r="F1123" s="13"/>
      <c r="G1123" s="13"/>
      <c r="H1123" s="17" t="str">
        <f aca="false">IF(OR(E1123="",F1123=""),"",E1123*F1123)</f>
        <v/>
      </c>
      <c r="I1123" s="17" t="str">
        <f aca="false">IF(OR(E1123="",G1123=""),"",E1123*G1123)</f>
        <v/>
      </c>
      <c r="J1123" s="17" t="str">
        <f aca="false">IF(H1123="","",H1123-I1123)</f>
        <v/>
      </c>
    </row>
    <row r="1124" customFormat="false" ht="15" hidden="false" customHeight="true" outlineLevel="0" collapsed="false">
      <c r="A1124" s="7"/>
      <c r="B1124" s="18" t="str">
        <f aca="false">IF(A1124="","",IFERROR(INDEX(Sales_Memo!$B$2:$B$1001,MATCH(A1124,Sales_Memo!$A$2:$A$1001,0)),""))</f>
        <v/>
      </c>
      <c r="C1124" s="7"/>
      <c r="D1124" s="16" t="str">
        <f aca="false">IF(C1124="","",IFERROR(INDEX(Products!$B$2:$B$501,MATCH(C1124,Products!$A$2:$A$501,0)),"CODE NOT FOUND"))</f>
        <v/>
      </c>
      <c r="E1124" s="7"/>
      <c r="F1124" s="13"/>
      <c r="G1124" s="13"/>
      <c r="H1124" s="17" t="str">
        <f aca="false">IF(OR(E1124="",F1124=""),"",E1124*F1124)</f>
        <v/>
      </c>
      <c r="I1124" s="17" t="str">
        <f aca="false">IF(OR(E1124="",G1124=""),"",E1124*G1124)</f>
        <v/>
      </c>
      <c r="J1124" s="17" t="str">
        <f aca="false">IF(H1124="","",H1124-I1124)</f>
        <v/>
      </c>
    </row>
    <row r="1125" customFormat="false" ht="15" hidden="false" customHeight="true" outlineLevel="0" collapsed="false">
      <c r="A1125" s="7"/>
      <c r="B1125" s="18" t="str">
        <f aca="false">IF(A1125="","",IFERROR(INDEX(Sales_Memo!$B$2:$B$1001,MATCH(A1125,Sales_Memo!$A$2:$A$1001,0)),""))</f>
        <v/>
      </c>
      <c r="C1125" s="7"/>
      <c r="D1125" s="16" t="str">
        <f aca="false">IF(C1125="","",IFERROR(INDEX(Products!$B$2:$B$501,MATCH(C1125,Products!$A$2:$A$501,0)),"CODE NOT FOUND"))</f>
        <v/>
      </c>
      <c r="E1125" s="7"/>
      <c r="F1125" s="13"/>
      <c r="G1125" s="13"/>
      <c r="H1125" s="17" t="str">
        <f aca="false">IF(OR(E1125="",F1125=""),"",E1125*F1125)</f>
        <v/>
      </c>
      <c r="I1125" s="17" t="str">
        <f aca="false">IF(OR(E1125="",G1125=""),"",E1125*G1125)</f>
        <v/>
      </c>
      <c r="J1125" s="17" t="str">
        <f aca="false">IF(H1125="","",H1125-I1125)</f>
        <v/>
      </c>
    </row>
    <row r="1126" customFormat="false" ht="15" hidden="false" customHeight="true" outlineLevel="0" collapsed="false">
      <c r="A1126" s="7"/>
      <c r="B1126" s="18" t="str">
        <f aca="false">IF(A1126="","",IFERROR(INDEX(Sales_Memo!$B$2:$B$1001,MATCH(A1126,Sales_Memo!$A$2:$A$1001,0)),""))</f>
        <v/>
      </c>
      <c r="C1126" s="7"/>
      <c r="D1126" s="16" t="str">
        <f aca="false">IF(C1126="","",IFERROR(INDEX(Products!$B$2:$B$501,MATCH(C1126,Products!$A$2:$A$501,0)),"CODE NOT FOUND"))</f>
        <v/>
      </c>
      <c r="E1126" s="7"/>
      <c r="F1126" s="13"/>
      <c r="G1126" s="13"/>
      <c r="H1126" s="17" t="str">
        <f aca="false">IF(OR(E1126="",F1126=""),"",E1126*F1126)</f>
        <v/>
      </c>
      <c r="I1126" s="17" t="str">
        <f aca="false">IF(OR(E1126="",G1126=""),"",E1126*G1126)</f>
        <v/>
      </c>
      <c r="J1126" s="17" t="str">
        <f aca="false">IF(H1126="","",H1126-I1126)</f>
        <v/>
      </c>
    </row>
    <row r="1127" customFormat="false" ht="15" hidden="false" customHeight="true" outlineLevel="0" collapsed="false">
      <c r="A1127" s="7"/>
      <c r="B1127" s="18" t="str">
        <f aca="false">IF(A1127="","",IFERROR(INDEX(Sales_Memo!$B$2:$B$1001,MATCH(A1127,Sales_Memo!$A$2:$A$1001,0)),""))</f>
        <v/>
      </c>
      <c r="C1127" s="7"/>
      <c r="D1127" s="16" t="str">
        <f aca="false">IF(C1127="","",IFERROR(INDEX(Products!$B$2:$B$501,MATCH(C1127,Products!$A$2:$A$501,0)),"CODE NOT FOUND"))</f>
        <v/>
      </c>
      <c r="E1127" s="7"/>
      <c r="F1127" s="13"/>
      <c r="G1127" s="13"/>
      <c r="H1127" s="17" t="str">
        <f aca="false">IF(OR(E1127="",F1127=""),"",E1127*F1127)</f>
        <v/>
      </c>
      <c r="I1127" s="17" t="str">
        <f aca="false">IF(OR(E1127="",G1127=""),"",E1127*G1127)</f>
        <v/>
      </c>
      <c r="J1127" s="17" t="str">
        <f aca="false">IF(H1127="","",H1127-I1127)</f>
        <v/>
      </c>
    </row>
    <row r="1128" customFormat="false" ht="15" hidden="false" customHeight="true" outlineLevel="0" collapsed="false">
      <c r="A1128" s="7"/>
      <c r="B1128" s="18" t="str">
        <f aca="false">IF(A1128="","",IFERROR(INDEX(Sales_Memo!$B$2:$B$1001,MATCH(A1128,Sales_Memo!$A$2:$A$1001,0)),""))</f>
        <v/>
      </c>
      <c r="C1128" s="7"/>
      <c r="D1128" s="16" t="str">
        <f aca="false">IF(C1128="","",IFERROR(INDEX(Products!$B$2:$B$501,MATCH(C1128,Products!$A$2:$A$501,0)),"CODE NOT FOUND"))</f>
        <v/>
      </c>
      <c r="E1128" s="7"/>
      <c r="F1128" s="13"/>
      <c r="G1128" s="13"/>
      <c r="H1128" s="17" t="str">
        <f aca="false">IF(OR(E1128="",F1128=""),"",E1128*F1128)</f>
        <v/>
      </c>
      <c r="I1128" s="17" t="str">
        <f aca="false">IF(OR(E1128="",G1128=""),"",E1128*G1128)</f>
        <v/>
      </c>
      <c r="J1128" s="17" t="str">
        <f aca="false">IF(H1128="","",H1128-I1128)</f>
        <v/>
      </c>
    </row>
    <row r="1129" customFormat="false" ht="15" hidden="false" customHeight="true" outlineLevel="0" collapsed="false">
      <c r="A1129" s="7"/>
      <c r="B1129" s="18" t="str">
        <f aca="false">IF(A1129="","",IFERROR(INDEX(Sales_Memo!$B$2:$B$1001,MATCH(A1129,Sales_Memo!$A$2:$A$1001,0)),""))</f>
        <v/>
      </c>
      <c r="C1129" s="7"/>
      <c r="D1129" s="16" t="str">
        <f aca="false">IF(C1129="","",IFERROR(INDEX(Products!$B$2:$B$501,MATCH(C1129,Products!$A$2:$A$501,0)),"CODE NOT FOUND"))</f>
        <v/>
      </c>
      <c r="E1129" s="7"/>
      <c r="F1129" s="13"/>
      <c r="G1129" s="13"/>
      <c r="H1129" s="17" t="str">
        <f aca="false">IF(OR(E1129="",F1129=""),"",E1129*F1129)</f>
        <v/>
      </c>
      <c r="I1129" s="17" t="str">
        <f aca="false">IF(OR(E1129="",G1129=""),"",E1129*G1129)</f>
        <v/>
      </c>
      <c r="J1129" s="17" t="str">
        <f aca="false">IF(H1129="","",H1129-I1129)</f>
        <v/>
      </c>
    </row>
    <row r="1130" customFormat="false" ht="15" hidden="false" customHeight="true" outlineLevel="0" collapsed="false">
      <c r="A1130" s="7"/>
      <c r="B1130" s="18" t="str">
        <f aca="false">IF(A1130="","",IFERROR(INDEX(Sales_Memo!$B$2:$B$1001,MATCH(A1130,Sales_Memo!$A$2:$A$1001,0)),""))</f>
        <v/>
      </c>
      <c r="C1130" s="7"/>
      <c r="D1130" s="16" t="str">
        <f aca="false">IF(C1130="","",IFERROR(INDEX(Products!$B$2:$B$501,MATCH(C1130,Products!$A$2:$A$501,0)),"CODE NOT FOUND"))</f>
        <v/>
      </c>
      <c r="E1130" s="7"/>
      <c r="F1130" s="13"/>
      <c r="G1130" s="13"/>
      <c r="H1130" s="17" t="str">
        <f aca="false">IF(OR(E1130="",F1130=""),"",E1130*F1130)</f>
        <v/>
      </c>
      <c r="I1130" s="17" t="str">
        <f aca="false">IF(OR(E1130="",G1130=""),"",E1130*G1130)</f>
        <v/>
      </c>
      <c r="J1130" s="17" t="str">
        <f aca="false">IF(H1130="","",H1130-I1130)</f>
        <v/>
      </c>
    </row>
    <row r="1131" customFormat="false" ht="15" hidden="false" customHeight="true" outlineLevel="0" collapsed="false">
      <c r="A1131" s="7"/>
      <c r="B1131" s="18" t="str">
        <f aca="false">IF(A1131="","",IFERROR(INDEX(Sales_Memo!$B$2:$B$1001,MATCH(A1131,Sales_Memo!$A$2:$A$1001,0)),""))</f>
        <v/>
      </c>
      <c r="C1131" s="7"/>
      <c r="D1131" s="16" t="str">
        <f aca="false">IF(C1131="","",IFERROR(INDEX(Products!$B$2:$B$501,MATCH(C1131,Products!$A$2:$A$501,0)),"CODE NOT FOUND"))</f>
        <v/>
      </c>
      <c r="E1131" s="7"/>
      <c r="F1131" s="13"/>
      <c r="G1131" s="13"/>
      <c r="H1131" s="17" t="str">
        <f aca="false">IF(OR(E1131="",F1131=""),"",E1131*F1131)</f>
        <v/>
      </c>
      <c r="I1131" s="17" t="str">
        <f aca="false">IF(OR(E1131="",G1131=""),"",E1131*G1131)</f>
        <v/>
      </c>
      <c r="J1131" s="17" t="str">
        <f aca="false">IF(H1131="","",H1131-I1131)</f>
        <v/>
      </c>
    </row>
    <row r="1132" customFormat="false" ht="15" hidden="false" customHeight="true" outlineLevel="0" collapsed="false">
      <c r="A1132" s="7"/>
      <c r="B1132" s="18" t="str">
        <f aca="false">IF(A1132="","",IFERROR(INDEX(Sales_Memo!$B$2:$B$1001,MATCH(A1132,Sales_Memo!$A$2:$A$1001,0)),""))</f>
        <v/>
      </c>
      <c r="C1132" s="7"/>
      <c r="D1132" s="16" t="str">
        <f aca="false">IF(C1132="","",IFERROR(INDEX(Products!$B$2:$B$501,MATCH(C1132,Products!$A$2:$A$501,0)),"CODE NOT FOUND"))</f>
        <v/>
      </c>
      <c r="E1132" s="7"/>
      <c r="F1132" s="13"/>
      <c r="G1132" s="13"/>
      <c r="H1132" s="17" t="str">
        <f aca="false">IF(OR(E1132="",F1132=""),"",E1132*F1132)</f>
        <v/>
      </c>
      <c r="I1132" s="17" t="str">
        <f aca="false">IF(OR(E1132="",G1132=""),"",E1132*G1132)</f>
        <v/>
      </c>
      <c r="J1132" s="17" t="str">
        <f aca="false">IF(H1132="","",H1132-I1132)</f>
        <v/>
      </c>
    </row>
    <row r="1133" customFormat="false" ht="15" hidden="false" customHeight="true" outlineLevel="0" collapsed="false">
      <c r="A1133" s="7"/>
      <c r="B1133" s="18" t="str">
        <f aca="false">IF(A1133="","",IFERROR(INDEX(Sales_Memo!$B$2:$B$1001,MATCH(A1133,Sales_Memo!$A$2:$A$1001,0)),""))</f>
        <v/>
      </c>
      <c r="C1133" s="7"/>
      <c r="D1133" s="16" t="str">
        <f aca="false">IF(C1133="","",IFERROR(INDEX(Products!$B$2:$B$501,MATCH(C1133,Products!$A$2:$A$501,0)),"CODE NOT FOUND"))</f>
        <v/>
      </c>
      <c r="E1133" s="7"/>
      <c r="F1133" s="13"/>
      <c r="G1133" s="13"/>
      <c r="H1133" s="17" t="str">
        <f aca="false">IF(OR(E1133="",F1133=""),"",E1133*F1133)</f>
        <v/>
      </c>
      <c r="I1133" s="17" t="str">
        <f aca="false">IF(OR(E1133="",G1133=""),"",E1133*G1133)</f>
        <v/>
      </c>
      <c r="J1133" s="17" t="str">
        <f aca="false">IF(H1133="","",H1133-I1133)</f>
        <v/>
      </c>
    </row>
    <row r="1134" customFormat="false" ht="15" hidden="false" customHeight="true" outlineLevel="0" collapsed="false">
      <c r="A1134" s="7"/>
      <c r="B1134" s="18" t="str">
        <f aca="false">IF(A1134="","",IFERROR(INDEX(Sales_Memo!$B$2:$B$1001,MATCH(A1134,Sales_Memo!$A$2:$A$1001,0)),""))</f>
        <v/>
      </c>
      <c r="C1134" s="7"/>
      <c r="D1134" s="16" t="str">
        <f aca="false">IF(C1134="","",IFERROR(INDEX(Products!$B$2:$B$501,MATCH(C1134,Products!$A$2:$A$501,0)),"CODE NOT FOUND"))</f>
        <v/>
      </c>
      <c r="E1134" s="7"/>
      <c r="F1134" s="13"/>
      <c r="G1134" s="13"/>
      <c r="H1134" s="17" t="str">
        <f aca="false">IF(OR(E1134="",F1134=""),"",E1134*F1134)</f>
        <v/>
      </c>
      <c r="I1134" s="17" t="str">
        <f aca="false">IF(OR(E1134="",G1134=""),"",E1134*G1134)</f>
        <v/>
      </c>
      <c r="J1134" s="17" t="str">
        <f aca="false">IF(H1134="","",H1134-I1134)</f>
        <v/>
      </c>
    </row>
    <row r="1135" customFormat="false" ht="15" hidden="false" customHeight="true" outlineLevel="0" collapsed="false">
      <c r="A1135" s="7"/>
      <c r="B1135" s="18" t="str">
        <f aca="false">IF(A1135="","",IFERROR(INDEX(Sales_Memo!$B$2:$B$1001,MATCH(A1135,Sales_Memo!$A$2:$A$1001,0)),""))</f>
        <v/>
      </c>
      <c r="C1135" s="7"/>
      <c r="D1135" s="16" t="str">
        <f aca="false">IF(C1135="","",IFERROR(INDEX(Products!$B$2:$B$501,MATCH(C1135,Products!$A$2:$A$501,0)),"CODE NOT FOUND"))</f>
        <v/>
      </c>
      <c r="E1135" s="7"/>
      <c r="F1135" s="13"/>
      <c r="G1135" s="13"/>
      <c r="H1135" s="17" t="str">
        <f aca="false">IF(OR(E1135="",F1135=""),"",E1135*F1135)</f>
        <v/>
      </c>
      <c r="I1135" s="17" t="str">
        <f aca="false">IF(OR(E1135="",G1135=""),"",E1135*G1135)</f>
        <v/>
      </c>
      <c r="J1135" s="17" t="str">
        <f aca="false">IF(H1135="","",H1135-I1135)</f>
        <v/>
      </c>
    </row>
    <row r="1136" customFormat="false" ht="15" hidden="false" customHeight="true" outlineLevel="0" collapsed="false">
      <c r="A1136" s="7"/>
      <c r="B1136" s="18" t="str">
        <f aca="false">IF(A1136="","",IFERROR(INDEX(Sales_Memo!$B$2:$B$1001,MATCH(A1136,Sales_Memo!$A$2:$A$1001,0)),""))</f>
        <v/>
      </c>
      <c r="C1136" s="7"/>
      <c r="D1136" s="16" t="str">
        <f aca="false">IF(C1136="","",IFERROR(INDEX(Products!$B$2:$B$501,MATCH(C1136,Products!$A$2:$A$501,0)),"CODE NOT FOUND"))</f>
        <v/>
      </c>
      <c r="E1136" s="7"/>
      <c r="F1136" s="13"/>
      <c r="G1136" s="13"/>
      <c r="H1136" s="17" t="str">
        <f aca="false">IF(OR(E1136="",F1136=""),"",E1136*F1136)</f>
        <v/>
      </c>
      <c r="I1136" s="17" t="str">
        <f aca="false">IF(OR(E1136="",G1136=""),"",E1136*G1136)</f>
        <v/>
      </c>
      <c r="J1136" s="17" t="str">
        <f aca="false">IF(H1136="","",H1136-I1136)</f>
        <v/>
      </c>
    </row>
    <row r="1137" customFormat="false" ht="15" hidden="false" customHeight="true" outlineLevel="0" collapsed="false">
      <c r="A1137" s="7"/>
      <c r="B1137" s="18" t="str">
        <f aca="false">IF(A1137="","",IFERROR(INDEX(Sales_Memo!$B$2:$B$1001,MATCH(A1137,Sales_Memo!$A$2:$A$1001,0)),""))</f>
        <v/>
      </c>
      <c r="C1137" s="7"/>
      <c r="D1137" s="16" t="str">
        <f aca="false">IF(C1137="","",IFERROR(INDEX(Products!$B$2:$B$501,MATCH(C1137,Products!$A$2:$A$501,0)),"CODE NOT FOUND"))</f>
        <v/>
      </c>
      <c r="E1137" s="7"/>
      <c r="F1137" s="13"/>
      <c r="G1137" s="13"/>
      <c r="H1137" s="17" t="str">
        <f aca="false">IF(OR(E1137="",F1137=""),"",E1137*F1137)</f>
        <v/>
      </c>
      <c r="I1137" s="17" t="str">
        <f aca="false">IF(OR(E1137="",G1137=""),"",E1137*G1137)</f>
        <v/>
      </c>
      <c r="J1137" s="17" t="str">
        <f aca="false">IF(H1137="","",H1137-I1137)</f>
        <v/>
      </c>
    </row>
    <row r="1138" customFormat="false" ht="15" hidden="false" customHeight="true" outlineLevel="0" collapsed="false">
      <c r="A1138" s="7"/>
      <c r="B1138" s="18" t="str">
        <f aca="false">IF(A1138="","",IFERROR(INDEX(Sales_Memo!$B$2:$B$1001,MATCH(A1138,Sales_Memo!$A$2:$A$1001,0)),""))</f>
        <v/>
      </c>
      <c r="C1138" s="7"/>
      <c r="D1138" s="16" t="str">
        <f aca="false">IF(C1138="","",IFERROR(INDEX(Products!$B$2:$B$501,MATCH(C1138,Products!$A$2:$A$501,0)),"CODE NOT FOUND"))</f>
        <v/>
      </c>
      <c r="E1138" s="7"/>
      <c r="F1138" s="13"/>
      <c r="G1138" s="13"/>
      <c r="H1138" s="17" t="str">
        <f aca="false">IF(OR(E1138="",F1138=""),"",E1138*F1138)</f>
        <v/>
      </c>
      <c r="I1138" s="17" t="str">
        <f aca="false">IF(OR(E1138="",G1138=""),"",E1138*G1138)</f>
        <v/>
      </c>
      <c r="J1138" s="17" t="str">
        <f aca="false">IF(H1138="","",H1138-I1138)</f>
        <v/>
      </c>
    </row>
    <row r="1139" customFormat="false" ht="15" hidden="false" customHeight="true" outlineLevel="0" collapsed="false">
      <c r="A1139" s="7"/>
      <c r="B1139" s="18" t="str">
        <f aca="false">IF(A1139="","",IFERROR(INDEX(Sales_Memo!$B$2:$B$1001,MATCH(A1139,Sales_Memo!$A$2:$A$1001,0)),""))</f>
        <v/>
      </c>
      <c r="C1139" s="7"/>
      <c r="D1139" s="16" t="str">
        <f aca="false">IF(C1139="","",IFERROR(INDEX(Products!$B$2:$B$501,MATCH(C1139,Products!$A$2:$A$501,0)),"CODE NOT FOUND"))</f>
        <v/>
      </c>
      <c r="E1139" s="7"/>
      <c r="F1139" s="13"/>
      <c r="G1139" s="13"/>
      <c r="H1139" s="17" t="str">
        <f aca="false">IF(OR(E1139="",F1139=""),"",E1139*F1139)</f>
        <v/>
      </c>
      <c r="I1139" s="17" t="str">
        <f aca="false">IF(OR(E1139="",G1139=""),"",E1139*G1139)</f>
        <v/>
      </c>
      <c r="J1139" s="17" t="str">
        <f aca="false">IF(H1139="","",H1139-I1139)</f>
        <v/>
      </c>
    </row>
    <row r="1140" customFormat="false" ht="15" hidden="false" customHeight="true" outlineLevel="0" collapsed="false">
      <c r="A1140" s="7"/>
      <c r="B1140" s="18" t="str">
        <f aca="false">IF(A1140="","",IFERROR(INDEX(Sales_Memo!$B$2:$B$1001,MATCH(A1140,Sales_Memo!$A$2:$A$1001,0)),""))</f>
        <v/>
      </c>
      <c r="C1140" s="7"/>
      <c r="D1140" s="16" t="str">
        <f aca="false">IF(C1140="","",IFERROR(INDEX(Products!$B$2:$B$501,MATCH(C1140,Products!$A$2:$A$501,0)),"CODE NOT FOUND"))</f>
        <v/>
      </c>
      <c r="E1140" s="7"/>
      <c r="F1140" s="13"/>
      <c r="G1140" s="13"/>
      <c r="H1140" s="17" t="str">
        <f aca="false">IF(OR(E1140="",F1140=""),"",E1140*F1140)</f>
        <v/>
      </c>
      <c r="I1140" s="17" t="str">
        <f aca="false">IF(OR(E1140="",G1140=""),"",E1140*G1140)</f>
        <v/>
      </c>
      <c r="J1140" s="17" t="str">
        <f aca="false">IF(H1140="","",H1140-I1140)</f>
        <v/>
      </c>
    </row>
    <row r="1141" customFormat="false" ht="15" hidden="false" customHeight="true" outlineLevel="0" collapsed="false">
      <c r="A1141" s="7"/>
      <c r="B1141" s="18" t="str">
        <f aca="false">IF(A1141="","",IFERROR(INDEX(Sales_Memo!$B$2:$B$1001,MATCH(A1141,Sales_Memo!$A$2:$A$1001,0)),""))</f>
        <v/>
      </c>
      <c r="C1141" s="7"/>
      <c r="D1141" s="16" t="str">
        <f aca="false">IF(C1141="","",IFERROR(INDEX(Products!$B$2:$B$501,MATCH(C1141,Products!$A$2:$A$501,0)),"CODE NOT FOUND"))</f>
        <v/>
      </c>
      <c r="E1141" s="7"/>
      <c r="F1141" s="13"/>
      <c r="G1141" s="13"/>
      <c r="H1141" s="17" t="str">
        <f aca="false">IF(OR(E1141="",F1141=""),"",E1141*F1141)</f>
        <v/>
      </c>
      <c r="I1141" s="17" t="str">
        <f aca="false">IF(OR(E1141="",G1141=""),"",E1141*G1141)</f>
        <v/>
      </c>
      <c r="J1141" s="17" t="str">
        <f aca="false">IF(H1141="","",H1141-I1141)</f>
        <v/>
      </c>
    </row>
    <row r="1142" customFormat="false" ht="15" hidden="false" customHeight="true" outlineLevel="0" collapsed="false">
      <c r="A1142" s="7"/>
      <c r="B1142" s="18" t="str">
        <f aca="false">IF(A1142="","",IFERROR(INDEX(Sales_Memo!$B$2:$B$1001,MATCH(A1142,Sales_Memo!$A$2:$A$1001,0)),""))</f>
        <v/>
      </c>
      <c r="C1142" s="7"/>
      <c r="D1142" s="16" t="str">
        <f aca="false">IF(C1142="","",IFERROR(INDEX(Products!$B$2:$B$501,MATCH(C1142,Products!$A$2:$A$501,0)),"CODE NOT FOUND"))</f>
        <v/>
      </c>
      <c r="E1142" s="7"/>
      <c r="F1142" s="13"/>
      <c r="G1142" s="13"/>
      <c r="H1142" s="17" t="str">
        <f aca="false">IF(OR(E1142="",F1142=""),"",E1142*F1142)</f>
        <v/>
      </c>
      <c r="I1142" s="17" t="str">
        <f aca="false">IF(OR(E1142="",G1142=""),"",E1142*G1142)</f>
        <v/>
      </c>
      <c r="J1142" s="17" t="str">
        <f aca="false">IF(H1142="","",H1142-I1142)</f>
        <v/>
      </c>
    </row>
    <row r="1143" customFormat="false" ht="15" hidden="false" customHeight="true" outlineLevel="0" collapsed="false">
      <c r="A1143" s="7"/>
      <c r="B1143" s="18" t="str">
        <f aca="false">IF(A1143="","",IFERROR(INDEX(Sales_Memo!$B$2:$B$1001,MATCH(A1143,Sales_Memo!$A$2:$A$1001,0)),""))</f>
        <v/>
      </c>
      <c r="C1143" s="7"/>
      <c r="D1143" s="16" t="str">
        <f aca="false">IF(C1143="","",IFERROR(INDEX(Products!$B$2:$B$501,MATCH(C1143,Products!$A$2:$A$501,0)),"CODE NOT FOUND"))</f>
        <v/>
      </c>
      <c r="E1143" s="7"/>
      <c r="F1143" s="13"/>
      <c r="G1143" s="13"/>
      <c r="H1143" s="17" t="str">
        <f aca="false">IF(OR(E1143="",F1143=""),"",E1143*F1143)</f>
        <v/>
      </c>
      <c r="I1143" s="17" t="str">
        <f aca="false">IF(OR(E1143="",G1143=""),"",E1143*G1143)</f>
        <v/>
      </c>
      <c r="J1143" s="17" t="str">
        <f aca="false">IF(H1143="","",H1143-I1143)</f>
        <v/>
      </c>
    </row>
    <row r="1144" customFormat="false" ht="15" hidden="false" customHeight="true" outlineLevel="0" collapsed="false">
      <c r="A1144" s="7"/>
      <c r="B1144" s="18" t="str">
        <f aca="false">IF(A1144="","",IFERROR(INDEX(Sales_Memo!$B$2:$B$1001,MATCH(A1144,Sales_Memo!$A$2:$A$1001,0)),""))</f>
        <v/>
      </c>
      <c r="C1144" s="7"/>
      <c r="D1144" s="16" t="str">
        <f aca="false">IF(C1144="","",IFERROR(INDEX(Products!$B$2:$B$501,MATCH(C1144,Products!$A$2:$A$501,0)),"CODE NOT FOUND"))</f>
        <v/>
      </c>
      <c r="E1144" s="7"/>
      <c r="F1144" s="13"/>
      <c r="G1144" s="13"/>
      <c r="H1144" s="17" t="str">
        <f aca="false">IF(OR(E1144="",F1144=""),"",E1144*F1144)</f>
        <v/>
      </c>
      <c r="I1144" s="17" t="str">
        <f aca="false">IF(OR(E1144="",G1144=""),"",E1144*G1144)</f>
        <v/>
      </c>
      <c r="J1144" s="17" t="str">
        <f aca="false">IF(H1144="","",H1144-I1144)</f>
        <v/>
      </c>
    </row>
    <row r="1145" customFormat="false" ht="15" hidden="false" customHeight="true" outlineLevel="0" collapsed="false">
      <c r="A1145" s="7"/>
      <c r="B1145" s="18" t="str">
        <f aca="false">IF(A1145="","",IFERROR(INDEX(Sales_Memo!$B$2:$B$1001,MATCH(A1145,Sales_Memo!$A$2:$A$1001,0)),""))</f>
        <v/>
      </c>
      <c r="C1145" s="7"/>
      <c r="D1145" s="16" t="str">
        <f aca="false">IF(C1145="","",IFERROR(INDEX(Products!$B$2:$B$501,MATCH(C1145,Products!$A$2:$A$501,0)),"CODE NOT FOUND"))</f>
        <v/>
      </c>
      <c r="E1145" s="7"/>
      <c r="F1145" s="13"/>
      <c r="G1145" s="13"/>
      <c r="H1145" s="17" t="str">
        <f aca="false">IF(OR(E1145="",F1145=""),"",E1145*F1145)</f>
        <v/>
      </c>
      <c r="I1145" s="17" t="str">
        <f aca="false">IF(OR(E1145="",G1145=""),"",E1145*G1145)</f>
        <v/>
      </c>
      <c r="J1145" s="17" t="str">
        <f aca="false">IF(H1145="","",H1145-I1145)</f>
        <v/>
      </c>
    </row>
    <row r="1146" customFormat="false" ht="15" hidden="false" customHeight="true" outlineLevel="0" collapsed="false">
      <c r="A1146" s="7"/>
      <c r="B1146" s="18" t="str">
        <f aca="false">IF(A1146="","",IFERROR(INDEX(Sales_Memo!$B$2:$B$1001,MATCH(A1146,Sales_Memo!$A$2:$A$1001,0)),""))</f>
        <v/>
      </c>
      <c r="C1146" s="7"/>
      <c r="D1146" s="16" t="str">
        <f aca="false">IF(C1146="","",IFERROR(INDEX(Products!$B$2:$B$501,MATCH(C1146,Products!$A$2:$A$501,0)),"CODE NOT FOUND"))</f>
        <v/>
      </c>
      <c r="E1146" s="7"/>
      <c r="F1146" s="13"/>
      <c r="G1146" s="13"/>
      <c r="H1146" s="17" t="str">
        <f aca="false">IF(OR(E1146="",F1146=""),"",E1146*F1146)</f>
        <v/>
      </c>
      <c r="I1146" s="17" t="str">
        <f aca="false">IF(OR(E1146="",G1146=""),"",E1146*G1146)</f>
        <v/>
      </c>
      <c r="J1146" s="17" t="str">
        <f aca="false">IF(H1146="","",H1146-I1146)</f>
        <v/>
      </c>
    </row>
    <row r="1147" customFormat="false" ht="15" hidden="false" customHeight="true" outlineLevel="0" collapsed="false">
      <c r="A1147" s="7"/>
      <c r="B1147" s="18" t="str">
        <f aca="false">IF(A1147="","",IFERROR(INDEX(Sales_Memo!$B$2:$B$1001,MATCH(A1147,Sales_Memo!$A$2:$A$1001,0)),""))</f>
        <v/>
      </c>
      <c r="C1147" s="7"/>
      <c r="D1147" s="16" t="str">
        <f aca="false">IF(C1147="","",IFERROR(INDEX(Products!$B$2:$B$501,MATCH(C1147,Products!$A$2:$A$501,0)),"CODE NOT FOUND"))</f>
        <v/>
      </c>
      <c r="E1147" s="7"/>
      <c r="F1147" s="13"/>
      <c r="G1147" s="13"/>
      <c r="H1147" s="17" t="str">
        <f aca="false">IF(OR(E1147="",F1147=""),"",E1147*F1147)</f>
        <v/>
      </c>
      <c r="I1147" s="17" t="str">
        <f aca="false">IF(OR(E1147="",G1147=""),"",E1147*G1147)</f>
        <v/>
      </c>
      <c r="J1147" s="17" t="str">
        <f aca="false">IF(H1147="","",H1147-I1147)</f>
        <v/>
      </c>
    </row>
    <row r="1148" customFormat="false" ht="15" hidden="false" customHeight="true" outlineLevel="0" collapsed="false">
      <c r="A1148" s="7"/>
      <c r="B1148" s="18" t="str">
        <f aca="false">IF(A1148="","",IFERROR(INDEX(Sales_Memo!$B$2:$B$1001,MATCH(A1148,Sales_Memo!$A$2:$A$1001,0)),""))</f>
        <v/>
      </c>
      <c r="C1148" s="7"/>
      <c r="D1148" s="16" t="str">
        <f aca="false">IF(C1148="","",IFERROR(INDEX(Products!$B$2:$B$501,MATCH(C1148,Products!$A$2:$A$501,0)),"CODE NOT FOUND"))</f>
        <v/>
      </c>
      <c r="E1148" s="7"/>
      <c r="F1148" s="13"/>
      <c r="G1148" s="13"/>
      <c r="H1148" s="17" t="str">
        <f aca="false">IF(OR(E1148="",F1148=""),"",E1148*F1148)</f>
        <v/>
      </c>
      <c r="I1148" s="17" t="str">
        <f aca="false">IF(OR(E1148="",G1148=""),"",E1148*G1148)</f>
        <v/>
      </c>
      <c r="J1148" s="17" t="str">
        <f aca="false">IF(H1148="","",H1148-I1148)</f>
        <v/>
      </c>
    </row>
    <row r="1149" customFormat="false" ht="15" hidden="false" customHeight="true" outlineLevel="0" collapsed="false">
      <c r="A1149" s="7"/>
      <c r="B1149" s="18" t="str">
        <f aca="false">IF(A1149="","",IFERROR(INDEX(Sales_Memo!$B$2:$B$1001,MATCH(A1149,Sales_Memo!$A$2:$A$1001,0)),""))</f>
        <v/>
      </c>
      <c r="C1149" s="7"/>
      <c r="D1149" s="16" t="str">
        <f aca="false">IF(C1149="","",IFERROR(INDEX(Products!$B$2:$B$501,MATCH(C1149,Products!$A$2:$A$501,0)),"CODE NOT FOUND"))</f>
        <v/>
      </c>
      <c r="E1149" s="7"/>
      <c r="F1149" s="13"/>
      <c r="G1149" s="13"/>
      <c r="H1149" s="17" t="str">
        <f aca="false">IF(OR(E1149="",F1149=""),"",E1149*F1149)</f>
        <v/>
      </c>
      <c r="I1149" s="17" t="str">
        <f aca="false">IF(OR(E1149="",G1149=""),"",E1149*G1149)</f>
        <v/>
      </c>
      <c r="J1149" s="17" t="str">
        <f aca="false">IF(H1149="","",H1149-I1149)</f>
        <v/>
      </c>
    </row>
    <row r="1150" customFormat="false" ht="15" hidden="false" customHeight="true" outlineLevel="0" collapsed="false">
      <c r="A1150" s="7"/>
      <c r="B1150" s="18" t="str">
        <f aca="false">IF(A1150="","",IFERROR(INDEX(Sales_Memo!$B$2:$B$1001,MATCH(A1150,Sales_Memo!$A$2:$A$1001,0)),""))</f>
        <v/>
      </c>
      <c r="C1150" s="7"/>
      <c r="D1150" s="16" t="str">
        <f aca="false">IF(C1150="","",IFERROR(INDEX(Products!$B$2:$B$501,MATCH(C1150,Products!$A$2:$A$501,0)),"CODE NOT FOUND"))</f>
        <v/>
      </c>
      <c r="E1150" s="7"/>
      <c r="F1150" s="13"/>
      <c r="G1150" s="13"/>
      <c r="H1150" s="17" t="str">
        <f aca="false">IF(OR(E1150="",F1150=""),"",E1150*F1150)</f>
        <v/>
      </c>
      <c r="I1150" s="17" t="str">
        <f aca="false">IF(OR(E1150="",G1150=""),"",E1150*G1150)</f>
        <v/>
      </c>
      <c r="J1150" s="17" t="str">
        <f aca="false">IF(H1150="","",H1150-I1150)</f>
        <v/>
      </c>
    </row>
    <row r="1151" customFormat="false" ht="15" hidden="false" customHeight="true" outlineLevel="0" collapsed="false">
      <c r="A1151" s="7"/>
      <c r="B1151" s="18" t="str">
        <f aca="false">IF(A1151="","",IFERROR(INDEX(Sales_Memo!$B$2:$B$1001,MATCH(A1151,Sales_Memo!$A$2:$A$1001,0)),""))</f>
        <v/>
      </c>
      <c r="C1151" s="7"/>
      <c r="D1151" s="16" t="str">
        <f aca="false">IF(C1151="","",IFERROR(INDEX(Products!$B$2:$B$501,MATCH(C1151,Products!$A$2:$A$501,0)),"CODE NOT FOUND"))</f>
        <v/>
      </c>
      <c r="E1151" s="7"/>
      <c r="F1151" s="13"/>
      <c r="G1151" s="13"/>
      <c r="H1151" s="17" t="str">
        <f aca="false">IF(OR(E1151="",F1151=""),"",E1151*F1151)</f>
        <v/>
      </c>
      <c r="I1151" s="17" t="str">
        <f aca="false">IF(OR(E1151="",G1151=""),"",E1151*G1151)</f>
        <v/>
      </c>
      <c r="J1151" s="17" t="str">
        <f aca="false">IF(H1151="","",H1151-I1151)</f>
        <v/>
      </c>
    </row>
    <row r="1152" customFormat="false" ht="15" hidden="false" customHeight="true" outlineLevel="0" collapsed="false">
      <c r="A1152" s="7"/>
      <c r="B1152" s="18" t="str">
        <f aca="false">IF(A1152="","",IFERROR(INDEX(Sales_Memo!$B$2:$B$1001,MATCH(A1152,Sales_Memo!$A$2:$A$1001,0)),""))</f>
        <v/>
      </c>
      <c r="C1152" s="7"/>
      <c r="D1152" s="16" t="str">
        <f aca="false">IF(C1152="","",IFERROR(INDEX(Products!$B$2:$B$501,MATCH(C1152,Products!$A$2:$A$501,0)),"CODE NOT FOUND"))</f>
        <v/>
      </c>
      <c r="E1152" s="7"/>
      <c r="F1152" s="13"/>
      <c r="G1152" s="13"/>
      <c r="H1152" s="17" t="str">
        <f aca="false">IF(OR(E1152="",F1152=""),"",E1152*F1152)</f>
        <v/>
      </c>
      <c r="I1152" s="17" t="str">
        <f aca="false">IF(OR(E1152="",G1152=""),"",E1152*G1152)</f>
        <v/>
      </c>
      <c r="J1152" s="17" t="str">
        <f aca="false">IF(H1152="","",H1152-I1152)</f>
        <v/>
      </c>
    </row>
    <row r="1153" customFormat="false" ht="15" hidden="false" customHeight="true" outlineLevel="0" collapsed="false">
      <c r="A1153" s="7"/>
      <c r="B1153" s="18" t="str">
        <f aca="false">IF(A1153="","",IFERROR(INDEX(Sales_Memo!$B$2:$B$1001,MATCH(A1153,Sales_Memo!$A$2:$A$1001,0)),""))</f>
        <v/>
      </c>
      <c r="C1153" s="7"/>
      <c r="D1153" s="16" t="str">
        <f aca="false">IF(C1153="","",IFERROR(INDEX(Products!$B$2:$B$501,MATCH(C1153,Products!$A$2:$A$501,0)),"CODE NOT FOUND"))</f>
        <v/>
      </c>
      <c r="E1153" s="7"/>
      <c r="F1153" s="13"/>
      <c r="G1153" s="13"/>
      <c r="H1153" s="17" t="str">
        <f aca="false">IF(OR(E1153="",F1153=""),"",E1153*F1153)</f>
        <v/>
      </c>
      <c r="I1153" s="17" t="str">
        <f aca="false">IF(OR(E1153="",G1153=""),"",E1153*G1153)</f>
        <v/>
      </c>
      <c r="J1153" s="17" t="str">
        <f aca="false">IF(H1153="","",H1153-I1153)</f>
        <v/>
      </c>
    </row>
    <row r="1154" customFormat="false" ht="15" hidden="false" customHeight="true" outlineLevel="0" collapsed="false">
      <c r="A1154" s="7"/>
      <c r="B1154" s="18" t="str">
        <f aca="false">IF(A1154="","",IFERROR(INDEX(Sales_Memo!$B$2:$B$1001,MATCH(A1154,Sales_Memo!$A$2:$A$1001,0)),""))</f>
        <v/>
      </c>
      <c r="C1154" s="7"/>
      <c r="D1154" s="16" t="str">
        <f aca="false">IF(C1154="","",IFERROR(INDEX(Products!$B$2:$B$501,MATCH(C1154,Products!$A$2:$A$501,0)),"CODE NOT FOUND"))</f>
        <v/>
      </c>
      <c r="E1154" s="7"/>
      <c r="F1154" s="13"/>
      <c r="G1154" s="13"/>
      <c r="H1154" s="17" t="str">
        <f aca="false">IF(OR(E1154="",F1154=""),"",E1154*F1154)</f>
        <v/>
      </c>
      <c r="I1154" s="17" t="str">
        <f aca="false">IF(OR(E1154="",G1154=""),"",E1154*G1154)</f>
        <v/>
      </c>
      <c r="J1154" s="17" t="str">
        <f aca="false">IF(H1154="","",H1154-I1154)</f>
        <v/>
      </c>
    </row>
    <row r="1155" customFormat="false" ht="15" hidden="false" customHeight="true" outlineLevel="0" collapsed="false">
      <c r="A1155" s="7"/>
      <c r="B1155" s="18" t="str">
        <f aca="false">IF(A1155="","",IFERROR(INDEX(Sales_Memo!$B$2:$B$1001,MATCH(A1155,Sales_Memo!$A$2:$A$1001,0)),""))</f>
        <v/>
      </c>
      <c r="C1155" s="7"/>
      <c r="D1155" s="16" t="str">
        <f aca="false">IF(C1155="","",IFERROR(INDEX(Products!$B$2:$B$501,MATCH(C1155,Products!$A$2:$A$501,0)),"CODE NOT FOUND"))</f>
        <v/>
      </c>
      <c r="E1155" s="7"/>
      <c r="F1155" s="13"/>
      <c r="G1155" s="13"/>
      <c r="H1155" s="17" t="str">
        <f aca="false">IF(OR(E1155="",F1155=""),"",E1155*F1155)</f>
        <v/>
      </c>
      <c r="I1155" s="17" t="str">
        <f aca="false">IF(OR(E1155="",G1155=""),"",E1155*G1155)</f>
        <v/>
      </c>
      <c r="J1155" s="17" t="str">
        <f aca="false">IF(H1155="","",H1155-I1155)</f>
        <v/>
      </c>
    </row>
    <row r="1156" customFormat="false" ht="15" hidden="false" customHeight="true" outlineLevel="0" collapsed="false">
      <c r="A1156" s="7"/>
      <c r="B1156" s="18" t="str">
        <f aca="false">IF(A1156="","",IFERROR(INDEX(Sales_Memo!$B$2:$B$1001,MATCH(A1156,Sales_Memo!$A$2:$A$1001,0)),""))</f>
        <v/>
      </c>
      <c r="C1156" s="7"/>
      <c r="D1156" s="16" t="str">
        <f aca="false">IF(C1156="","",IFERROR(INDEX(Products!$B$2:$B$501,MATCH(C1156,Products!$A$2:$A$501,0)),"CODE NOT FOUND"))</f>
        <v/>
      </c>
      <c r="E1156" s="7"/>
      <c r="F1156" s="13"/>
      <c r="G1156" s="13"/>
      <c r="H1156" s="17" t="str">
        <f aca="false">IF(OR(E1156="",F1156=""),"",E1156*F1156)</f>
        <v/>
      </c>
      <c r="I1156" s="17" t="str">
        <f aca="false">IF(OR(E1156="",G1156=""),"",E1156*G1156)</f>
        <v/>
      </c>
      <c r="J1156" s="17" t="str">
        <f aca="false">IF(H1156="","",H1156-I1156)</f>
        <v/>
      </c>
    </row>
    <row r="1157" customFormat="false" ht="15" hidden="false" customHeight="true" outlineLevel="0" collapsed="false">
      <c r="A1157" s="7"/>
      <c r="B1157" s="18" t="str">
        <f aca="false">IF(A1157="","",IFERROR(INDEX(Sales_Memo!$B$2:$B$1001,MATCH(A1157,Sales_Memo!$A$2:$A$1001,0)),""))</f>
        <v/>
      </c>
      <c r="C1157" s="7"/>
      <c r="D1157" s="16" t="str">
        <f aca="false">IF(C1157="","",IFERROR(INDEX(Products!$B$2:$B$501,MATCH(C1157,Products!$A$2:$A$501,0)),"CODE NOT FOUND"))</f>
        <v/>
      </c>
      <c r="E1157" s="7"/>
      <c r="F1157" s="13"/>
      <c r="G1157" s="13"/>
      <c r="H1157" s="17" t="str">
        <f aca="false">IF(OR(E1157="",F1157=""),"",E1157*F1157)</f>
        <v/>
      </c>
      <c r="I1157" s="17" t="str">
        <f aca="false">IF(OR(E1157="",G1157=""),"",E1157*G1157)</f>
        <v/>
      </c>
      <c r="J1157" s="17" t="str">
        <f aca="false">IF(H1157="","",H1157-I1157)</f>
        <v/>
      </c>
    </row>
    <row r="1158" customFormat="false" ht="15" hidden="false" customHeight="true" outlineLevel="0" collapsed="false">
      <c r="A1158" s="7"/>
      <c r="B1158" s="18" t="str">
        <f aca="false">IF(A1158="","",IFERROR(INDEX(Sales_Memo!$B$2:$B$1001,MATCH(A1158,Sales_Memo!$A$2:$A$1001,0)),""))</f>
        <v/>
      </c>
      <c r="C1158" s="7"/>
      <c r="D1158" s="16" t="str">
        <f aca="false">IF(C1158="","",IFERROR(INDEX(Products!$B$2:$B$501,MATCH(C1158,Products!$A$2:$A$501,0)),"CODE NOT FOUND"))</f>
        <v/>
      </c>
      <c r="E1158" s="7"/>
      <c r="F1158" s="13"/>
      <c r="G1158" s="13"/>
      <c r="H1158" s="17" t="str">
        <f aca="false">IF(OR(E1158="",F1158=""),"",E1158*F1158)</f>
        <v/>
      </c>
      <c r="I1158" s="17" t="str">
        <f aca="false">IF(OR(E1158="",G1158=""),"",E1158*G1158)</f>
        <v/>
      </c>
      <c r="J1158" s="17" t="str">
        <f aca="false">IF(H1158="","",H1158-I1158)</f>
        <v/>
      </c>
    </row>
    <row r="1159" customFormat="false" ht="15" hidden="false" customHeight="true" outlineLevel="0" collapsed="false">
      <c r="A1159" s="7"/>
      <c r="B1159" s="18" t="str">
        <f aca="false">IF(A1159="","",IFERROR(INDEX(Sales_Memo!$B$2:$B$1001,MATCH(A1159,Sales_Memo!$A$2:$A$1001,0)),""))</f>
        <v/>
      </c>
      <c r="C1159" s="7"/>
      <c r="D1159" s="16" t="str">
        <f aca="false">IF(C1159="","",IFERROR(INDEX(Products!$B$2:$B$501,MATCH(C1159,Products!$A$2:$A$501,0)),"CODE NOT FOUND"))</f>
        <v/>
      </c>
      <c r="E1159" s="7"/>
      <c r="F1159" s="13"/>
      <c r="G1159" s="13"/>
      <c r="H1159" s="17" t="str">
        <f aca="false">IF(OR(E1159="",F1159=""),"",E1159*F1159)</f>
        <v/>
      </c>
      <c r="I1159" s="17" t="str">
        <f aca="false">IF(OR(E1159="",G1159=""),"",E1159*G1159)</f>
        <v/>
      </c>
      <c r="J1159" s="17" t="str">
        <f aca="false">IF(H1159="","",H1159-I1159)</f>
        <v/>
      </c>
    </row>
    <row r="1160" customFormat="false" ht="15" hidden="false" customHeight="true" outlineLevel="0" collapsed="false">
      <c r="A1160" s="7"/>
      <c r="B1160" s="18" t="str">
        <f aca="false">IF(A1160="","",IFERROR(INDEX(Sales_Memo!$B$2:$B$1001,MATCH(A1160,Sales_Memo!$A$2:$A$1001,0)),""))</f>
        <v/>
      </c>
      <c r="C1160" s="7"/>
      <c r="D1160" s="16" t="str">
        <f aca="false">IF(C1160="","",IFERROR(INDEX(Products!$B$2:$B$501,MATCH(C1160,Products!$A$2:$A$501,0)),"CODE NOT FOUND"))</f>
        <v/>
      </c>
      <c r="E1160" s="7"/>
      <c r="F1160" s="13"/>
      <c r="G1160" s="13"/>
      <c r="H1160" s="17" t="str">
        <f aca="false">IF(OR(E1160="",F1160=""),"",E1160*F1160)</f>
        <v/>
      </c>
      <c r="I1160" s="17" t="str">
        <f aca="false">IF(OR(E1160="",G1160=""),"",E1160*G1160)</f>
        <v/>
      </c>
      <c r="J1160" s="17" t="str">
        <f aca="false">IF(H1160="","",H1160-I1160)</f>
        <v/>
      </c>
    </row>
    <row r="1161" customFormat="false" ht="15" hidden="false" customHeight="true" outlineLevel="0" collapsed="false">
      <c r="A1161" s="7"/>
      <c r="B1161" s="18" t="str">
        <f aca="false">IF(A1161="","",IFERROR(INDEX(Sales_Memo!$B$2:$B$1001,MATCH(A1161,Sales_Memo!$A$2:$A$1001,0)),""))</f>
        <v/>
      </c>
      <c r="C1161" s="7"/>
      <c r="D1161" s="16" t="str">
        <f aca="false">IF(C1161="","",IFERROR(INDEX(Products!$B$2:$B$501,MATCH(C1161,Products!$A$2:$A$501,0)),"CODE NOT FOUND"))</f>
        <v/>
      </c>
      <c r="E1161" s="7"/>
      <c r="F1161" s="13"/>
      <c r="G1161" s="13"/>
      <c r="H1161" s="17" t="str">
        <f aca="false">IF(OR(E1161="",F1161=""),"",E1161*F1161)</f>
        <v/>
      </c>
      <c r="I1161" s="17" t="str">
        <f aca="false">IF(OR(E1161="",G1161=""),"",E1161*G1161)</f>
        <v/>
      </c>
      <c r="J1161" s="17" t="str">
        <f aca="false">IF(H1161="","",H1161-I1161)</f>
        <v/>
      </c>
    </row>
    <row r="1162" customFormat="false" ht="15" hidden="false" customHeight="true" outlineLevel="0" collapsed="false">
      <c r="A1162" s="7"/>
      <c r="B1162" s="18" t="str">
        <f aca="false">IF(A1162="","",IFERROR(INDEX(Sales_Memo!$B$2:$B$1001,MATCH(A1162,Sales_Memo!$A$2:$A$1001,0)),""))</f>
        <v/>
      </c>
      <c r="C1162" s="7"/>
      <c r="D1162" s="16" t="str">
        <f aca="false">IF(C1162="","",IFERROR(INDEX(Products!$B$2:$B$501,MATCH(C1162,Products!$A$2:$A$501,0)),"CODE NOT FOUND"))</f>
        <v/>
      </c>
      <c r="E1162" s="7"/>
      <c r="F1162" s="13"/>
      <c r="G1162" s="13"/>
      <c r="H1162" s="17" t="str">
        <f aca="false">IF(OR(E1162="",F1162=""),"",E1162*F1162)</f>
        <v/>
      </c>
      <c r="I1162" s="17" t="str">
        <f aca="false">IF(OR(E1162="",G1162=""),"",E1162*G1162)</f>
        <v/>
      </c>
      <c r="J1162" s="17" t="str">
        <f aca="false">IF(H1162="","",H1162-I1162)</f>
        <v/>
      </c>
    </row>
    <row r="1163" customFormat="false" ht="15" hidden="false" customHeight="true" outlineLevel="0" collapsed="false">
      <c r="A1163" s="7"/>
      <c r="B1163" s="18" t="str">
        <f aca="false">IF(A1163="","",IFERROR(INDEX(Sales_Memo!$B$2:$B$1001,MATCH(A1163,Sales_Memo!$A$2:$A$1001,0)),""))</f>
        <v/>
      </c>
      <c r="C1163" s="7"/>
      <c r="D1163" s="16" t="str">
        <f aca="false">IF(C1163="","",IFERROR(INDEX(Products!$B$2:$B$501,MATCH(C1163,Products!$A$2:$A$501,0)),"CODE NOT FOUND"))</f>
        <v/>
      </c>
      <c r="E1163" s="7"/>
      <c r="F1163" s="13"/>
      <c r="G1163" s="13"/>
      <c r="H1163" s="17" t="str">
        <f aca="false">IF(OR(E1163="",F1163=""),"",E1163*F1163)</f>
        <v/>
      </c>
      <c r="I1163" s="17" t="str">
        <f aca="false">IF(OR(E1163="",G1163=""),"",E1163*G1163)</f>
        <v/>
      </c>
      <c r="J1163" s="17" t="str">
        <f aca="false">IF(H1163="","",H1163-I1163)</f>
        <v/>
      </c>
    </row>
    <row r="1164" customFormat="false" ht="15" hidden="false" customHeight="true" outlineLevel="0" collapsed="false">
      <c r="A1164" s="7"/>
      <c r="B1164" s="18" t="str">
        <f aca="false">IF(A1164="","",IFERROR(INDEX(Sales_Memo!$B$2:$B$1001,MATCH(A1164,Sales_Memo!$A$2:$A$1001,0)),""))</f>
        <v/>
      </c>
      <c r="C1164" s="7"/>
      <c r="D1164" s="16" t="str">
        <f aca="false">IF(C1164="","",IFERROR(INDEX(Products!$B$2:$B$501,MATCH(C1164,Products!$A$2:$A$501,0)),"CODE NOT FOUND"))</f>
        <v/>
      </c>
      <c r="E1164" s="7"/>
      <c r="F1164" s="13"/>
      <c r="G1164" s="13"/>
      <c r="H1164" s="17" t="str">
        <f aca="false">IF(OR(E1164="",F1164=""),"",E1164*F1164)</f>
        <v/>
      </c>
      <c r="I1164" s="17" t="str">
        <f aca="false">IF(OR(E1164="",G1164=""),"",E1164*G1164)</f>
        <v/>
      </c>
      <c r="J1164" s="17" t="str">
        <f aca="false">IF(H1164="","",H1164-I1164)</f>
        <v/>
      </c>
    </row>
    <row r="1165" customFormat="false" ht="15" hidden="false" customHeight="true" outlineLevel="0" collapsed="false">
      <c r="A1165" s="7"/>
      <c r="B1165" s="18" t="str">
        <f aca="false">IF(A1165="","",IFERROR(INDEX(Sales_Memo!$B$2:$B$1001,MATCH(A1165,Sales_Memo!$A$2:$A$1001,0)),""))</f>
        <v/>
      </c>
      <c r="C1165" s="7"/>
      <c r="D1165" s="16" t="str">
        <f aca="false">IF(C1165="","",IFERROR(INDEX(Products!$B$2:$B$501,MATCH(C1165,Products!$A$2:$A$501,0)),"CODE NOT FOUND"))</f>
        <v/>
      </c>
      <c r="E1165" s="7"/>
      <c r="F1165" s="13"/>
      <c r="G1165" s="13"/>
      <c r="H1165" s="17" t="str">
        <f aca="false">IF(OR(E1165="",F1165=""),"",E1165*F1165)</f>
        <v/>
      </c>
      <c r="I1165" s="17" t="str">
        <f aca="false">IF(OR(E1165="",G1165=""),"",E1165*G1165)</f>
        <v/>
      </c>
      <c r="J1165" s="17" t="str">
        <f aca="false">IF(H1165="","",H1165-I1165)</f>
        <v/>
      </c>
    </row>
    <row r="1166" customFormat="false" ht="15" hidden="false" customHeight="true" outlineLevel="0" collapsed="false">
      <c r="A1166" s="7"/>
      <c r="B1166" s="18" t="str">
        <f aca="false">IF(A1166="","",IFERROR(INDEX(Sales_Memo!$B$2:$B$1001,MATCH(A1166,Sales_Memo!$A$2:$A$1001,0)),""))</f>
        <v/>
      </c>
      <c r="C1166" s="7"/>
      <c r="D1166" s="16" t="str">
        <f aca="false">IF(C1166="","",IFERROR(INDEX(Products!$B$2:$B$501,MATCH(C1166,Products!$A$2:$A$501,0)),"CODE NOT FOUND"))</f>
        <v/>
      </c>
      <c r="E1166" s="7"/>
      <c r="F1166" s="13"/>
      <c r="G1166" s="13"/>
      <c r="H1166" s="17" t="str">
        <f aca="false">IF(OR(E1166="",F1166=""),"",E1166*F1166)</f>
        <v/>
      </c>
      <c r="I1166" s="17" t="str">
        <f aca="false">IF(OR(E1166="",G1166=""),"",E1166*G1166)</f>
        <v/>
      </c>
      <c r="J1166" s="17" t="str">
        <f aca="false">IF(H1166="","",H1166-I1166)</f>
        <v/>
      </c>
    </row>
    <row r="1167" customFormat="false" ht="15" hidden="false" customHeight="true" outlineLevel="0" collapsed="false">
      <c r="A1167" s="7"/>
      <c r="B1167" s="18" t="str">
        <f aca="false">IF(A1167="","",IFERROR(INDEX(Sales_Memo!$B$2:$B$1001,MATCH(A1167,Sales_Memo!$A$2:$A$1001,0)),""))</f>
        <v/>
      </c>
      <c r="C1167" s="7"/>
      <c r="D1167" s="16" t="str">
        <f aca="false">IF(C1167="","",IFERROR(INDEX(Products!$B$2:$B$501,MATCH(C1167,Products!$A$2:$A$501,0)),"CODE NOT FOUND"))</f>
        <v/>
      </c>
      <c r="E1167" s="7"/>
      <c r="F1167" s="13"/>
      <c r="G1167" s="13"/>
      <c r="H1167" s="17" t="str">
        <f aca="false">IF(OR(E1167="",F1167=""),"",E1167*F1167)</f>
        <v/>
      </c>
      <c r="I1167" s="17" t="str">
        <f aca="false">IF(OR(E1167="",G1167=""),"",E1167*G1167)</f>
        <v/>
      </c>
      <c r="J1167" s="17" t="str">
        <f aca="false">IF(H1167="","",H1167-I1167)</f>
        <v/>
      </c>
    </row>
    <row r="1168" customFormat="false" ht="15" hidden="false" customHeight="true" outlineLevel="0" collapsed="false">
      <c r="A1168" s="7"/>
      <c r="B1168" s="18" t="str">
        <f aca="false">IF(A1168="","",IFERROR(INDEX(Sales_Memo!$B$2:$B$1001,MATCH(A1168,Sales_Memo!$A$2:$A$1001,0)),""))</f>
        <v/>
      </c>
      <c r="C1168" s="7"/>
      <c r="D1168" s="16" t="str">
        <f aca="false">IF(C1168="","",IFERROR(INDEX(Products!$B$2:$B$501,MATCH(C1168,Products!$A$2:$A$501,0)),"CODE NOT FOUND"))</f>
        <v/>
      </c>
      <c r="E1168" s="7"/>
      <c r="F1168" s="13"/>
      <c r="G1168" s="13"/>
      <c r="H1168" s="17" t="str">
        <f aca="false">IF(OR(E1168="",F1168=""),"",E1168*F1168)</f>
        <v/>
      </c>
      <c r="I1168" s="17" t="str">
        <f aca="false">IF(OR(E1168="",G1168=""),"",E1168*G1168)</f>
        <v/>
      </c>
      <c r="J1168" s="17" t="str">
        <f aca="false">IF(H1168="","",H1168-I1168)</f>
        <v/>
      </c>
    </row>
    <row r="1169" customFormat="false" ht="15" hidden="false" customHeight="true" outlineLevel="0" collapsed="false">
      <c r="A1169" s="7"/>
      <c r="B1169" s="18" t="str">
        <f aca="false">IF(A1169="","",IFERROR(INDEX(Sales_Memo!$B$2:$B$1001,MATCH(A1169,Sales_Memo!$A$2:$A$1001,0)),""))</f>
        <v/>
      </c>
      <c r="C1169" s="7"/>
      <c r="D1169" s="16" t="str">
        <f aca="false">IF(C1169="","",IFERROR(INDEX(Products!$B$2:$B$501,MATCH(C1169,Products!$A$2:$A$501,0)),"CODE NOT FOUND"))</f>
        <v/>
      </c>
      <c r="E1169" s="7"/>
      <c r="F1169" s="13"/>
      <c r="G1169" s="13"/>
      <c r="H1169" s="17" t="str">
        <f aca="false">IF(OR(E1169="",F1169=""),"",E1169*F1169)</f>
        <v/>
      </c>
      <c r="I1169" s="17" t="str">
        <f aca="false">IF(OR(E1169="",G1169=""),"",E1169*G1169)</f>
        <v/>
      </c>
      <c r="J1169" s="17" t="str">
        <f aca="false">IF(H1169="","",H1169-I1169)</f>
        <v/>
      </c>
    </row>
    <row r="1170" customFormat="false" ht="15" hidden="false" customHeight="true" outlineLevel="0" collapsed="false">
      <c r="A1170" s="7"/>
      <c r="B1170" s="18" t="str">
        <f aca="false">IF(A1170="","",IFERROR(INDEX(Sales_Memo!$B$2:$B$1001,MATCH(A1170,Sales_Memo!$A$2:$A$1001,0)),""))</f>
        <v/>
      </c>
      <c r="C1170" s="7"/>
      <c r="D1170" s="16" t="str">
        <f aca="false">IF(C1170="","",IFERROR(INDEX(Products!$B$2:$B$501,MATCH(C1170,Products!$A$2:$A$501,0)),"CODE NOT FOUND"))</f>
        <v/>
      </c>
      <c r="E1170" s="7"/>
      <c r="F1170" s="13"/>
      <c r="G1170" s="13"/>
      <c r="H1170" s="17" t="str">
        <f aca="false">IF(OR(E1170="",F1170=""),"",E1170*F1170)</f>
        <v/>
      </c>
      <c r="I1170" s="17" t="str">
        <f aca="false">IF(OR(E1170="",G1170=""),"",E1170*G1170)</f>
        <v/>
      </c>
      <c r="J1170" s="17" t="str">
        <f aca="false">IF(H1170="","",H1170-I1170)</f>
        <v/>
      </c>
    </row>
    <row r="1171" customFormat="false" ht="15" hidden="false" customHeight="true" outlineLevel="0" collapsed="false">
      <c r="A1171" s="7"/>
      <c r="B1171" s="18" t="str">
        <f aca="false">IF(A1171="","",IFERROR(INDEX(Sales_Memo!$B$2:$B$1001,MATCH(A1171,Sales_Memo!$A$2:$A$1001,0)),""))</f>
        <v/>
      </c>
      <c r="C1171" s="7"/>
      <c r="D1171" s="16" t="str">
        <f aca="false">IF(C1171="","",IFERROR(INDEX(Products!$B$2:$B$501,MATCH(C1171,Products!$A$2:$A$501,0)),"CODE NOT FOUND"))</f>
        <v/>
      </c>
      <c r="E1171" s="7"/>
      <c r="F1171" s="13"/>
      <c r="G1171" s="13"/>
      <c r="H1171" s="17" t="str">
        <f aca="false">IF(OR(E1171="",F1171=""),"",E1171*F1171)</f>
        <v/>
      </c>
      <c r="I1171" s="17" t="str">
        <f aca="false">IF(OR(E1171="",G1171=""),"",E1171*G1171)</f>
        <v/>
      </c>
      <c r="J1171" s="17" t="str">
        <f aca="false">IF(H1171="","",H1171-I1171)</f>
        <v/>
      </c>
    </row>
    <row r="1172" customFormat="false" ht="15" hidden="false" customHeight="true" outlineLevel="0" collapsed="false">
      <c r="A1172" s="7"/>
      <c r="B1172" s="18" t="str">
        <f aca="false">IF(A1172="","",IFERROR(INDEX(Sales_Memo!$B$2:$B$1001,MATCH(A1172,Sales_Memo!$A$2:$A$1001,0)),""))</f>
        <v/>
      </c>
      <c r="C1172" s="7"/>
      <c r="D1172" s="16" t="str">
        <f aca="false">IF(C1172="","",IFERROR(INDEX(Products!$B$2:$B$501,MATCH(C1172,Products!$A$2:$A$501,0)),"CODE NOT FOUND"))</f>
        <v/>
      </c>
      <c r="E1172" s="7"/>
      <c r="F1172" s="13"/>
      <c r="G1172" s="13"/>
      <c r="H1172" s="17" t="str">
        <f aca="false">IF(OR(E1172="",F1172=""),"",E1172*F1172)</f>
        <v/>
      </c>
      <c r="I1172" s="17" t="str">
        <f aca="false">IF(OR(E1172="",G1172=""),"",E1172*G1172)</f>
        <v/>
      </c>
      <c r="J1172" s="17" t="str">
        <f aca="false">IF(H1172="","",H1172-I1172)</f>
        <v/>
      </c>
    </row>
    <row r="1173" customFormat="false" ht="15" hidden="false" customHeight="true" outlineLevel="0" collapsed="false">
      <c r="A1173" s="7"/>
      <c r="B1173" s="18" t="str">
        <f aca="false">IF(A1173="","",IFERROR(INDEX(Sales_Memo!$B$2:$B$1001,MATCH(A1173,Sales_Memo!$A$2:$A$1001,0)),""))</f>
        <v/>
      </c>
      <c r="C1173" s="7"/>
      <c r="D1173" s="16" t="str">
        <f aca="false">IF(C1173="","",IFERROR(INDEX(Products!$B$2:$B$501,MATCH(C1173,Products!$A$2:$A$501,0)),"CODE NOT FOUND"))</f>
        <v/>
      </c>
      <c r="E1173" s="7"/>
      <c r="F1173" s="13"/>
      <c r="G1173" s="13"/>
      <c r="H1173" s="17" t="str">
        <f aca="false">IF(OR(E1173="",F1173=""),"",E1173*F1173)</f>
        <v/>
      </c>
      <c r="I1173" s="17" t="str">
        <f aca="false">IF(OR(E1173="",G1173=""),"",E1173*G1173)</f>
        <v/>
      </c>
      <c r="J1173" s="17" t="str">
        <f aca="false">IF(H1173="","",H1173-I1173)</f>
        <v/>
      </c>
    </row>
    <row r="1174" customFormat="false" ht="15" hidden="false" customHeight="true" outlineLevel="0" collapsed="false">
      <c r="A1174" s="7"/>
      <c r="B1174" s="18" t="str">
        <f aca="false">IF(A1174="","",IFERROR(INDEX(Sales_Memo!$B$2:$B$1001,MATCH(A1174,Sales_Memo!$A$2:$A$1001,0)),""))</f>
        <v/>
      </c>
      <c r="C1174" s="7"/>
      <c r="D1174" s="16" t="str">
        <f aca="false">IF(C1174="","",IFERROR(INDEX(Products!$B$2:$B$501,MATCH(C1174,Products!$A$2:$A$501,0)),"CODE NOT FOUND"))</f>
        <v/>
      </c>
      <c r="E1174" s="7"/>
      <c r="F1174" s="13"/>
      <c r="G1174" s="13"/>
      <c r="H1174" s="17" t="str">
        <f aca="false">IF(OR(E1174="",F1174=""),"",E1174*F1174)</f>
        <v/>
      </c>
      <c r="I1174" s="17" t="str">
        <f aca="false">IF(OR(E1174="",G1174=""),"",E1174*G1174)</f>
        <v/>
      </c>
      <c r="J1174" s="17" t="str">
        <f aca="false">IF(H1174="","",H1174-I1174)</f>
        <v/>
      </c>
    </row>
    <row r="1175" customFormat="false" ht="15" hidden="false" customHeight="true" outlineLevel="0" collapsed="false">
      <c r="A1175" s="7"/>
      <c r="B1175" s="18" t="str">
        <f aca="false">IF(A1175="","",IFERROR(INDEX(Sales_Memo!$B$2:$B$1001,MATCH(A1175,Sales_Memo!$A$2:$A$1001,0)),""))</f>
        <v/>
      </c>
      <c r="C1175" s="7"/>
      <c r="D1175" s="16" t="str">
        <f aca="false">IF(C1175="","",IFERROR(INDEX(Products!$B$2:$B$501,MATCH(C1175,Products!$A$2:$A$501,0)),"CODE NOT FOUND"))</f>
        <v/>
      </c>
      <c r="E1175" s="7"/>
      <c r="F1175" s="13"/>
      <c r="G1175" s="13"/>
      <c r="H1175" s="17" t="str">
        <f aca="false">IF(OR(E1175="",F1175=""),"",E1175*F1175)</f>
        <v/>
      </c>
      <c r="I1175" s="17" t="str">
        <f aca="false">IF(OR(E1175="",G1175=""),"",E1175*G1175)</f>
        <v/>
      </c>
      <c r="J1175" s="17" t="str">
        <f aca="false">IF(H1175="","",H1175-I1175)</f>
        <v/>
      </c>
    </row>
    <row r="1176" customFormat="false" ht="15" hidden="false" customHeight="true" outlineLevel="0" collapsed="false">
      <c r="A1176" s="7"/>
      <c r="B1176" s="18" t="str">
        <f aca="false">IF(A1176="","",IFERROR(INDEX(Sales_Memo!$B$2:$B$1001,MATCH(A1176,Sales_Memo!$A$2:$A$1001,0)),""))</f>
        <v/>
      </c>
      <c r="C1176" s="7"/>
      <c r="D1176" s="16" t="str">
        <f aca="false">IF(C1176="","",IFERROR(INDEX(Products!$B$2:$B$501,MATCH(C1176,Products!$A$2:$A$501,0)),"CODE NOT FOUND"))</f>
        <v/>
      </c>
      <c r="E1176" s="7"/>
      <c r="F1176" s="13"/>
      <c r="G1176" s="13"/>
      <c r="H1176" s="17" t="str">
        <f aca="false">IF(OR(E1176="",F1176=""),"",E1176*F1176)</f>
        <v/>
      </c>
      <c r="I1176" s="17" t="str">
        <f aca="false">IF(OR(E1176="",G1176=""),"",E1176*G1176)</f>
        <v/>
      </c>
      <c r="J1176" s="17" t="str">
        <f aca="false">IF(H1176="","",H1176-I1176)</f>
        <v/>
      </c>
    </row>
    <row r="1177" customFormat="false" ht="15" hidden="false" customHeight="true" outlineLevel="0" collapsed="false">
      <c r="A1177" s="7"/>
      <c r="B1177" s="18" t="str">
        <f aca="false">IF(A1177="","",IFERROR(INDEX(Sales_Memo!$B$2:$B$1001,MATCH(A1177,Sales_Memo!$A$2:$A$1001,0)),""))</f>
        <v/>
      </c>
      <c r="C1177" s="7"/>
      <c r="D1177" s="16" t="str">
        <f aca="false">IF(C1177="","",IFERROR(INDEX(Products!$B$2:$B$501,MATCH(C1177,Products!$A$2:$A$501,0)),"CODE NOT FOUND"))</f>
        <v/>
      </c>
      <c r="E1177" s="7"/>
      <c r="F1177" s="13"/>
      <c r="G1177" s="13"/>
      <c r="H1177" s="17" t="str">
        <f aca="false">IF(OR(E1177="",F1177=""),"",E1177*F1177)</f>
        <v/>
      </c>
      <c r="I1177" s="17" t="str">
        <f aca="false">IF(OR(E1177="",G1177=""),"",E1177*G1177)</f>
        <v/>
      </c>
      <c r="J1177" s="17" t="str">
        <f aca="false">IF(H1177="","",H1177-I1177)</f>
        <v/>
      </c>
    </row>
    <row r="1178" customFormat="false" ht="15" hidden="false" customHeight="true" outlineLevel="0" collapsed="false">
      <c r="A1178" s="7"/>
      <c r="B1178" s="18" t="str">
        <f aca="false">IF(A1178="","",IFERROR(INDEX(Sales_Memo!$B$2:$B$1001,MATCH(A1178,Sales_Memo!$A$2:$A$1001,0)),""))</f>
        <v/>
      </c>
      <c r="C1178" s="7"/>
      <c r="D1178" s="16" t="str">
        <f aca="false">IF(C1178="","",IFERROR(INDEX(Products!$B$2:$B$501,MATCH(C1178,Products!$A$2:$A$501,0)),"CODE NOT FOUND"))</f>
        <v/>
      </c>
      <c r="E1178" s="7"/>
      <c r="F1178" s="13"/>
      <c r="G1178" s="13"/>
      <c r="H1178" s="17" t="str">
        <f aca="false">IF(OR(E1178="",F1178=""),"",E1178*F1178)</f>
        <v/>
      </c>
      <c r="I1178" s="17" t="str">
        <f aca="false">IF(OR(E1178="",G1178=""),"",E1178*G1178)</f>
        <v/>
      </c>
      <c r="J1178" s="17" t="str">
        <f aca="false">IF(H1178="","",H1178-I1178)</f>
        <v/>
      </c>
    </row>
    <row r="1179" customFormat="false" ht="15" hidden="false" customHeight="true" outlineLevel="0" collapsed="false">
      <c r="A1179" s="7"/>
      <c r="B1179" s="18" t="str">
        <f aca="false">IF(A1179="","",IFERROR(INDEX(Sales_Memo!$B$2:$B$1001,MATCH(A1179,Sales_Memo!$A$2:$A$1001,0)),""))</f>
        <v/>
      </c>
      <c r="C1179" s="7"/>
      <c r="D1179" s="16" t="str">
        <f aca="false">IF(C1179="","",IFERROR(INDEX(Products!$B$2:$B$501,MATCH(C1179,Products!$A$2:$A$501,0)),"CODE NOT FOUND"))</f>
        <v/>
      </c>
      <c r="E1179" s="7"/>
      <c r="F1179" s="13"/>
      <c r="G1179" s="13"/>
      <c r="H1179" s="17" t="str">
        <f aca="false">IF(OR(E1179="",F1179=""),"",E1179*F1179)</f>
        <v/>
      </c>
      <c r="I1179" s="17" t="str">
        <f aca="false">IF(OR(E1179="",G1179=""),"",E1179*G1179)</f>
        <v/>
      </c>
      <c r="J1179" s="17" t="str">
        <f aca="false">IF(H1179="","",H1179-I1179)</f>
        <v/>
      </c>
    </row>
    <row r="1180" customFormat="false" ht="15" hidden="false" customHeight="true" outlineLevel="0" collapsed="false">
      <c r="A1180" s="7"/>
      <c r="B1180" s="18" t="str">
        <f aca="false">IF(A1180="","",IFERROR(INDEX(Sales_Memo!$B$2:$B$1001,MATCH(A1180,Sales_Memo!$A$2:$A$1001,0)),""))</f>
        <v/>
      </c>
      <c r="C1180" s="7"/>
      <c r="D1180" s="16" t="str">
        <f aca="false">IF(C1180="","",IFERROR(INDEX(Products!$B$2:$B$501,MATCH(C1180,Products!$A$2:$A$501,0)),"CODE NOT FOUND"))</f>
        <v/>
      </c>
      <c r="E1180" s="7"/>
      <c r="F1180" s="13"/>
      <c r="G1180" s="13"/>
      <c r="H1180" s="17" t="str">
        <f aca="false">IF(OR(E1180="",F1180=""),"",E1180*F1180)</f>
        <v/>
      </c>
      <c r="I1180" s="17" t="str">
        <f aca="false">IF(OR(E1180="",G1180=""),"",E1180*G1180)</f>
        <v/>
      </c>
      <c r="J1180" s="17" t="str">
        <f aca="false">IF(H1180="","",H1180-I1180)</f>
        <v/>
      </c>
    </row>
    <row r="1181" customFormat="false" ht="15" hidden="false" customHeight="true" outlineLevel="0" collapsed="false">
      <c r="A1181" s="7"/>
      <c r="B1181" s="18" t="str">
        <f aca="false">IF(A1181="","",IFERROR(INDEX(Sales_Memo!$B$2:$B$1001,MATCH(A1181,Sales_Memo!$A$2:$A$1001,0)),""))</f>
        <v/>
      </c>
      <c r="C1181" s="7"/>
      <c r="D1181" s="16" t="str">
        <f aca="false">IF(C1181="","",IFERROR(INDEX(Products!$B$2:$B$501,MATCH(C1181,Products!$A$2:$A$501,0)),"CODE NOT FOUND"))</f>
        <v/>
      </c>
      <c r="E1181" s="7"/>
      <c r="F1181" s="13"/>
      <c r="G1181" s="13"/>
      <c r="H1181" s="17" t="str">
        <f aca="false">IF(OR(E1181="",F1181=""),"",E1181*F1181)</f>
        <v/>
      </c>
      <c r="I1181" s="17" t="str">
        <f aca="false">IF(OR(E1181="",G1181=""),"",E1181*G1181)</f>
        <v/>
      </c>
      <c r="J1181" s="17" t="str">
        <f aca="false">IF(H1181="","",H1181-I1181)</f>
        <v/>
      </c>
    </row>
    <row r="1182" customFormat="false" ht="15" hidden="false" customHeight="true" outlineLevel="0" collapsed="false">
      <c r="A1182" s="7"/>
      <c r="B1182" s="18" t="str">
        <f aca="false">IF(A1182="","",IFERROR(INDEX(Sales_Memo!$B$2:$B$1001,MATCH(A1182,Sales_Memo!$A$2:$A$1001,0)),""))</f>
        <v/>
      </c>
      <c r="C1182" s="7"/>
      <c r="D1182" s="16" t="str">
        <f aca="false">IF(C1182="","",IFERROR(INDEX(Products!$B$2:$B$501,MATCH(C1182,Products!$A$2:$A$501,0)),"CODE NOT FOUND"))</f>
        <v/>
      </c>
      <c r="E1182" s="7"/>
      <c r="F1182" s="13"/>
      <c r="G1182" s="13"/>
      <c r="H1182" s="17" t="str">
        <f aca="false">IF(OR(E1182="",F1182=""),"",E1182*F1182)</f>
        <v/>
      </c>
      <c r="I1182" s="17" t="str">
        <f aca="false">IF(OR(E1182="",G1182=""),"",E1182*G1182)</f>
        <v/>
      </c>
      <c r="J1182" s="17" t="str">
        <f aca="false">IF(H1182="","",H1182-I1182)</f>
        <v/>
      </c>
    </row>
    <row r="1183" customFormat="false" ht="15" hidden="false" customHeight="true" outlineLevel="0" collapsed="false">
      <c r="A1183" s="7"/>
      <c r="B1183" s="18" t="str">
        <f aca="false">IF(A1183="","",IFERROR(INDEX(Sales_Memo!$B$2:$B$1001,MATCH(A1183,Sales_Memo!$A$2:$A$1001,0)),""))</f>
        <v/>
      </c>
      <c r="C1183" s="7"/>
      <c r="D1183" s="16" t="str">
        <f aca="false">IF(C1183="","",IFERROR(INDEX(Products!$B$2:$B$501,MATCH(C1183,Products!$A$2:$A$501,0)),"CODE NOT FOUND"))</f>
        <v/>
      </c>
      <c r="E1183" s="7"/>
      <c r="F1183" s="13"/>
      <c r="G1183" s="13"/>
      <c r="H1183" s="17" t="str">
        <f aca="false">IF(OR(E1183="",F1183=""),"",E1183*F1183)</f>
        <v/>
      </c>
      <c r="I1183" s="17" t="str">
        <f aca="false">IF(OR(E1183="",G1183=""),"",E1183*G1183)</f>
        <v/>
      </c>
      <c r="J1183" s="17" t="str">
        <f aca="false">IF(H1183="","",H1183-I1183)</f>
        <v/>
      </c>
    </row>
    <row r="1184" customFormat="false" ht="15" hidden="false" customHeight="true" outlineLevel="0" collapsed="false">
      <c r="A1184" s="7"/>
      <c r="B1184" s="18" t="str">
        <f aca="false">IF(A1184="","",IFERROR(INDEX(Sales_Memo!$B$2:$B$1001,MATCH(A1184,Sales_Memo!$A$2:$A$1001,0)),""))</f>
        <v/>
      </c>
      <c r="C1184" s="7"/>
      <c r="D1184" s="16" t="str">
        <f aca="false">IF(C1184="","",IFERROR(INDEX(Products!$B$2:$B$501,MATCH(C1184,Products!$A$2:$A$501,0)),"CODE NOT FOUND"))</f>
        <v/>
      </c>
      <c r="E1184" s="7"/>
      <c r="F1184" s="13"/>
      <c r="G1184" s="13"/>
      <c r="H1184" s="17" t="str">
        <f aca="false">IF(OR(E1184="",F1184=""),"",E1184*F1184)</f>
        <v/>
      </c>
      <c r="I1184" s="17" t="str">
        <f aca="false">IF(OR(E1184="",G1184=""),"",E1184*G1184)</f>
        <v/>
      </c>
      <c r="J1184" s="17" t="str">
        <f aca="false">IF(H1184="","",H1184-I1184)</f>
        <v/>
      </c>
    </row>
    <row r="1185" customFormat="false" ht="15" hidden="false" customHeight="true" outlineLevel="0" collapsed="false">
      <c r="A1185" s="7"/>
      <c r="B1185" s="18" t="str">
        <f aca="false">IF(A1185="","",IFERROR(INDEX(Sales_Memo!$B$2:$B$1001,MATCH(A1185,Sales_Memo!$A$2:$A$1001,0)),""))</f>
        <v/>
      </c>
      <c r="C1185" s="7"/>
      <c r="D1185" s="16" t="str">
        <f aca="false">IF(C1185="","",IFERROR(INDEX(Products!$B$2:$B$501,MATCH(C1185,Products!$A$2:$A$501,0)),"CODE NOT FOUND"))</f>
        <v/>
      </c>
      <c r="E1185" s="7"/>
      <c r="F1185" s="13"/>
      <c r="G1185" s="13"/>
      <c r="H1185" s="17" t="str">
        <f aca="false">IF(OR(E1185="",F1185=""),"",E1185*F1185)</f>
        <v/>
      </c>
      <c r="I1185" s="17" t="str">
        <f aca="false">IF(OR(E1185="",G1185=""),"",E1185*G1185)</f>
        <v/>
      </c>
      <c r="J1185" s="17" t="str">
        <f aca="false">IF(H1185="","",H1185-I1185)</f>
        <v/>
      </c>
    </row>
    <row r="1186" customFormat="false" ht="15" hidden="false" customHeight="true" outlineLevel="0" collapsed="false">
      <c r="A1186" s="7"/>
      <c r="B1186" s="18" t="str">
        <f aca="false">IF(A1186="","",IFERROR(INDEX(Sales_Memo!$B$2:$B$1001,MATCH(A1186,Sales_Memo!$A$2:$A$1001,0)),""))</f>
        <v/>
      </c>
      <c r="C1186" s="7"/>
      <c r="D1186" s="16" t="str">
        <f aca="false">IF(C1186="","",IFERROR(INDEX(Products!$B$2:$B$501,MATCH(C1186,Products!$A$2:$A$501,0)),"CODE NOT FOUND"))</f>
        <v/>
      </c>
      <c r="E1186" s="7"/>
      <c r="F1186" s="13"/>
      <c r="G1186" s="13"/>
      <c r="H1186" s="17" t="str">
        <f aca="false">IF(OR(E1186="",F1186=""),"",E1186*F1186)</f>
        <v/>
      </c>
      <c r="I1186" s="17" t="str">
        <f aca="false">IF(OR(E1186="",G1186=""),"",E1186*G1186)</f>
        <v/>
      </c>
      <c r="J1186" s="17" t="str">
        <f aca="false">IF(H1186="","",H1186-I1186)</f>
        <v/>
      </c>
    </row>
    <row r="1187" customFormat="false" ht="15" hidden="false" customHeight="true" outlineLevel="0" collapsed="false">
      <c r="A1187" s="7"/>
      <c r="B1187" s="18" t="str">
        <f aca="false">IF(A1187="","",IFERROR(INDEX(Sales_Memo!$B$2:$B$1001,MATCH(A1187,Sales_Memo!$A$2:$A$1001,0)),""))</f>
        <v/>
      </c>
      <c r="C1187" s="7"/>
      <c r="D1187" s="16" t="str">
        <f aca="false">IF(C1187="","",IFERROR(INDEX(Products!$B$2:$B$501,MATCH(C1187,Products!$A$2:$A$501,0)),"CODE NOT FOUND"))</f>
        <v/>
      </c>
      <c r="E1187" s="7"/>
      <c r="F1187" s="13"/>
      <c r="G1187" s="13"/>
      <c r="H1187" s="17" t="str">
        <f aca="false">IF(OR(E1187="",F1187=""),"",E1187*F1187)</f>
        <v/>
      </c>
      <c r="I1187" s="17" t="str">
        <f aca="false">IF(OR(E1187="",G1187=""),"",E1187*G1187)</f>
        <v/>
      </c>
      <c r="J1187" s="17" t="str">
        <f aca="false">IF(H1187="","",H1187-I1187)</f>
        <v/>
      </c>
    </row>
    <row r="1188" customFormat="false" ht="15" hidden="false" customHeight="true" outlineLevel="0" collapsed="false">
      <c r="A1188" s="7"/>
      <c r="B1188" s="18" t="str">
        <f aca="false">IF(A1188="","",IFERROR(INDEX(Sales_Memo!$B$2:$B$1001,MATCH(A1188,Sales_Memo!$A$2:$A$1001,0)),""))</f>
        <v/>
      </c>
      <c r="C1188" s="7"/>
      <c r="D1188" s="16" t="str">
        <f aca="false">IF(C1188="","",IFERROR(INDEX(Products!$B$2:$B$501,MATCH(C1188,Products!$A$2:$A$501,0)),"CODE NOT FOUND"))</f>
        <v/>
      </c>
      <c r="E1188" s="7"/>
      <c r="F1188" s="13"/>
      <c r="G1188" s="13"/>
      <c r="H1188" s="17" t="str">
        <f aca="false">IF(OR(E1188="",F1188=""),"",E1188*F1188)</f>
        <v/>
      </c>
      <c r="I1188" s="17" t="str">
        <f aca="false">IF(OR(E1188="",G1188=""),"",E1188*G1188)</f>
        <v/>
      </c>
      <c r="J1188" s="17" t="str">
        <f aca="false">IF(H1188="","",H1188-I1188)</f>
        <v/>
      </c>
    </row>
    <row r="1189" customFormat="false" ht="15" hidden="false" customHeight="true" outlineLevel="0" collapsed="false">
      <c r="A1189" s="7"/>
      <c r="B1189" s="18" t="str">
        <f aca="false">IF(A1189="","",IFERROR(INDEX(Sales_Memo!$B$2:$B$1001,MATCH(A1189,Sales_Memo!$A$2:$A$1001,0)),""))</f>
        <v/>
      </c>
      <c r="C1189" s="7"/>
      <c r="D1189" s="16" t="str">
        <f aca="false">IF(C1189="","",IFERROR(INDEX(Products!$B$2:$B$501,MATCH(C1189,Products!$A$2:$A$501,0)),"CODE NOT FOUND"))</f>
        <v/>
      </c>
      <c r="E1189" s="7"/>
      <c r="F1189" s="13"/>
      <c r="G1189" s="13"/>
      <c r="H1189" s="17" t="str">
        <f aca="false">IF(OR(E1189="",F1189=""),"",E1189*F1189)</f>
        <v/>
      </c>
      <c r="I1189" s="17" t="str">
        <f aca="false">IF(OR(E1189="",G1189=""),"",E1189*G1189)</f>
        <v/>
      </c>
      <c r="J1189" s="17" t="str">
        <f aca="false">IF(H1189="","",H1189-I1189)</f>
        <v/>
      </c>
    </row>
    <row r="1190" customFormat="false" ht="15" hidden="false" customHeight="true" outlineLevel="0" collapsed="false">
      <c r="A1190" s="7"/>
      <c r="B1190" s="18" t="str">
        <f aca="false">IF(A1190="","",IFERROR(INDEX(Sales_Memo!$B$2:$B$1001,MATCH(A1190,Sales_Memo!$A$2:$A$1001,0)),""))</f>
        <v/>
      </c>
      <c r="C1190" s="7"/>
      <c r="D1190" s="16" t="str">
        <f aca="false">IF(C1190="","",IFERROR(INDEX(Products!$B$2:$B$501,MATCH(C1190,Products!$A$2:$A$501,0)),"CODE NOT FOUND"))</f>
        <v/>
      </c>
      <c r="E1190" s="7"/>
      <c r="F1190" s="13"/>
      <c r="G1190" s="13"/>
      <c r="H1190" s="17" t="str">
        <f aca="false">IF(OR(E1190="",F1190=""),"",E1190*F1190)</f>
        <v/>
      </c>
      <c r="I1190" s="17" t="str">
        <f aca="false">IF(OR(E1190="",G1190=""),"",E1190*G1190)</f>
        <v/>
      </c>
      <c r="J1190" s="17" t="str">
        <f aca="false">IF(H1190="","",H1190-I1190)</f>
        <v/>
      </c>
    </row>
    <row r="1191" customFormat="false" ht="15" hidden="false" customHeight="true" outlineLevel="0" collapsed="false">
      <c r="A1191" s="7"/>
      <c r="B1191" s="18" t="str">
        <f aca="false">IF(A1191="","",IFERROR(INDEX(Sales_Memo!$B$2:$B$1001,MATCH(A1191,Sales_Memo!$A$2:$A$1001,0)),""))</f>
        <v/>
      </c>
      <c r="C1191" s="7"/>
      <c r="D1191" s="16" t="str">
        <f aca="false">IF(C1191="","",IFERROR(INDEX(Products!$B$2:$B$501,MATCH(C1191,Products!$A$2:$A$501,0)),"CODE NOT FOUND"))</f>
        <v/>
      </c>
      <c r="E1191" s="7"/>
      <c r="F1191" s="13"/>
      <c r="G1191" s="13"/>
      <c r="H1191" s="17" t="str">
        <f aca="false">IF(OR(E1191="",F1191=""),"",E1191*F1191)</f>
        <v/>
      </c>
      <c r="I1191" s="17" t="str">
        <f aca="false">IF(OR(E1191="",G1191=""),"",E1191*G1191)</f>
        <v/>
      </c>
      <c r="J1191" s="17" t="str">
        <f aca="false">IF(H1191="","",H1191-I1191)</f>
        <v/>
      </c>
    </row>
    <row r="1192" customFormat="false" ht="15" hidden="false" customHeight="true" outlineLevel="0" collapsed="false">
      <c r="A1192" s="7"/>
      <c r="B1192" s="18" t="str">
        <f aca="false">IF(A1192="","",IFERROR(INDEX(Sales_Memo!$B$2:$B$1001,MATCH(A1192,Sales_Memo!$A$2:$A$1001,0)),""))</f>
        <v/>
      </c>
      <c r="C1192" s="7"/>
      <c r="D1192" s="16" t="str">
        <f aca="false">IF(C1192="","",IFERROR(INDEX(Products!$B$2:$B$501,MATCH(C1192,Products!$A$2:$A$501,0)),"CODE NOT FOUND"))</f>
        <v/>
      </c>
      <c r="E1192" s="7"/>
      <c r="F1192" s="13"/>
      <c r="G1192" s="13"/>
      <c r="H1192" s="17" t="str">
        <f aca="false">IF(OR(E1192="",F1192=""),"",E1192*F1192)</f>
        <v/>
      </c>
      <c r="I1192" s="17" t="str">
        <f aca="false">IF(OR(E1192="",G1192=""),"",E1192*G1192)</f>
        <v/>
      </c>
      <c r="J1192" s="17" t="str">
        <f aca="false">IF(H1192="","",H1192-I1192)</f>
        <v/>
      </c>
    </row>
    <row r="1193" customFormat="false" ht="15" hidden="false" customHeight="true" outlineLevel="0" collapsed="false">
      <c r="A1193" s="7"/>
      <c r="B1193" s="18" t="str">
        <f aca="false">IF(A1193="","",IFERROR(INDEX(Sales_Memo!$B$2:$B$1001,MATCH(A1193,Sales_Memo!$A$2:$A$1001,0)),""))</f>
        <v/>
      </c>
      <c r="C1193" s="7"/>
      <c r="D1193" s="16" t="str">
        <f aca="false">IF(C1193="","",IFERROR(INDEX(Products!$B$2:$B$501,MATCH(C1193,Products!$A$2:$A$501,0)),"CODE NOT FOUND"))</f>
        <v/>
      </c>
      <c r="E1193" s="7"/>
      <c r="F1193" s="13"/>
      <c r="G1193" s="13"/>
      <c r="H1193" s="17" t="str">
        <f aca="false">IF(OR(E1193="",F1193=""),"",E1193*F1193)</f>
        <v/>
      </c>
      <c r="I1193" s="17" t="str">
        <f aca="false">IF(OR(E1193="",G1193=""),"",E1193*G1193)</f>
        <v/>
      </c>
      <c r="J1193" s="17" t="str">
        <f aca="false">IF(H1193="","",H1193-I1193)</f>
        <v/>
      </c>
    </row>
    <row r="1194" customFormat="false" ht="15" hidden="false" customHeight="true" outlineLevel="0" collapsed="false">
      <c r="A1194" s="7"/>
      <c r="B1194" s="18" t="str">
        <f aca="false">IF(A1194="","",IFERROR(INDEX(Sales_Memo!$B$2:$B$1001,MATCH(A1194,Sales_Memo!$A$2:$A$1001,0)),""))</f>
        <v/>
      </c>
      <c r="C1194" s="7"/>
      <c r="D1194" s="16" t="str">
        <f aca="false">IF(C1194="","",IFERROR(INDEX(Products!$B$2:$B$501,MATCH(C1194,Products!$A$2:$A$501,0)),"CODE NOT FOUND"))</f>
        <v/>
      </c>
      <c r="E1194" s="7"/>
      <c r="F1194" s="13"/>
      <c r="G1194" s="13"/>
      <c r="H1194" s="17" t="str">
        <f aca="false">IF(OR(E1194="",F1194=""),"",E1194*F1194)</f>
        <v/>
      </c>
      <c r="I1194" s="17" t="str">
        <f aca="false">IF(OR(E1194="",G1194=""),"",E1194*G1194)</f>
        <v/>
      </c>
      <c r="J1194" s="17" t="str">
        <f aca="false">IF(H1194="","",H1194-I1194)</f>
        <v/>
      </c>
    </row>
    <row r="1195" customFormat="false" ht="15" hidden="false" customHeight="true" outlineLevel="0" collapsed="false">
      <c r="A1195" s="7"/>
      <c r="B1195" s="18" t="str">
        <f aca="false">IF(A1195="","",IFERROR(INDEX(Sales_Memo!$B$2:$B$1001,MATCH(A1195,Sales_Memo!$A$2:$A$1001,0)),""))</f>
        <v/>
      </c>
      <c r="C1195" s="7"/>
      <c r="D1195" s="16" t="str">
        <f aca="false">IF(C1195="","",IFERROR(INDEX(Products!$B$2:$B$501,MATCH(C1195,Products!$A$2:$A$501,0)),"CODE NOT FOUND"))</f>
        <v/>
      </c>
      <c r="E1195" s="7"/>
      <c r="F1195" s="13"/>
      <c r="G1195" s="13"/>
      <c r="H1195" s="17" t="str">
        <f aca="false">IF(OR(E1195="",F1195=""),"",E1195*F1195)</f>
        <v/>
      </c>
      <c r="I1195" s="17" t="str">
        <f aca="false">IF(OR(E1195="",G1195=""),"",E1195*G1195)</f>
        <v/>
      </c>
      <c r="J1195" s="17" t="str">
        <f aca="false">IF(H1195="","",H1195-I1195)</f>
        <v/>
      </c>
    </row>
    <row r="1196" customFormat="false" ht="15" hidden="false" customHeight="true" outlineLevel="0" collapsed="false">
      <c r="A1196" s="7"/>
      <c r="B1196" s="18" t="str">
        <f aca="false">IF(A1196="","",IFERROR(INDEX(Sales_Memo!$B$2:$B$1001,MATCH(A1196,Sales_Memo!$A$2:$A$1001,0)),""))</f>
        <v/>
      </c>
      <c r="C1196" s="7"/>
      <c r="D1196" s="16" t="str">
        <f aca="false">IF(C1196="","",IFERROR(INDEX(Products!$B$2:$B$501,MATCH(C1196,Products!$A$2:$A$501,0)),"CODE NOT FOUND"))</f>
        <v/>
      </c>
      <c r="E1196" s="7"/>
      <c r="F1196" s="13"/>
      <c r="G1196" s="13"/>
      <c r="H1196" s="17" t="str">
        <f aca="false">IF(OR(E1196="",F1196=""),"",E1196*F1196)</f>
        <v/>
      </c>
      <c r="I1196" s="17" t="str">
        <f aca="false">IF(OR(E1196="",G1196=""),"",E1196*G1196)</f>
        <v/>
      </c>
      <c r="J1196" s="17" t="str">
        <f aca="false">IF(H1196="","",H1196-I1196)</f>
        <v/>
      </c>
    </row>
    <row r="1197" customFormat="false" ht="15" hidden="false" customHeight="true" outlineLevel="0" collapsed="false">
      <c r="A1197" s="7"/>
      <c r="B1197" s="18" t="str">
        <f aca="false">IF(A1197="","",IFERROR(INDEX(Sales_Memo!$B$2:$B$1001,MATCH(A1197,Sales_Memo!$A$2:$A$1001,0)),""))</f>
        <v/>
      </c>
      <c r="C1197" s="7"/>
      <c r="D1197" s="16" t="str">
        <f aca="false">IF(C1197="","",IFERROR(INDEX(Products!$B$2:$B$501,MATCH(C1197,Products!$A$2:$A$501,0)),"CODE NOT FOUND"))</f>
        <v/>
      </c>
      <c r="E1197" s="7"/>
      <c r="F1197" s="13"/>
      <c r="G1197" s="13"/>
      <c r="H1197" s="17" t="str">
        <f aca="false">IF(OR(E1197="",F1197=""),"",E1197*F1197)</f>
        <v/>
      </c>
      <c r="I1197" s="17" t="str">
        <f aca="false">IF(OR(E1197="",G1197=""),"",E1197*G1197)</f>
        <v/>
      </c>
      <c r="J1197" s="17" t="str">
        <f aca="false">IF(H1197="","",H1197-I1197)</f>
        <v/>
      </c>
    </row>
    <row r="1198" customFormat="false" ht="15" hidden="false" customHeight="true" outlineLevel="0" collapsed="false">
      <c r="A1198" s="7"/>
      <c r="B1198" s="18" t="str">
        <f aca="false">IF(A1198="","",IFERROR(INDEX(Sales_Memo!$B$2:$B$1001,MATCH(A1198,Sales_Memo!$A$2:$A$1001,0)),""))</f>
        <v/>
      </c>
      <c r="C1198" s="7"/>
      <c r="D1198" s="16" t="str">
        <f aca="false">IF(C1198="","",IFERROR(INDEX(Products!$B$2:$B$501,MATCH(C1198,Products!$A$2:$A$501,0)),"CODE NOT FOUND"))</f>
        <v/>
      </c>
      <c r="E1198" s="7"/>
      <c r="F1198" s="13"/>
      <c r="G1198" s="13"/>
      <c r="H1198" s="17" t="str">
        <f aca="false">IF(OR(E1198="",F1198=""),"",E1198*F1198)</f>
        <v/>
      </c>
      <c r="I1198" s="17" t="str">
        <f aca="false">IF(OR(E1198="",G1198=""),"",E1198*G1198)</f>
        <v/>
      </c>
      <c r="J1198" s="17" t="str">
        <f aca="false">IF(H1198="","",H1198-I1198)</f>
        <v/>
      </c>
    </row>
    <row r="1199" customFormat="false" ht="15" hidden="false" customHeight="true" outlineLevel="0" collapsed="false">
      <c r="A1199" s="7"/>
      <c r="B1199" s="18" t="str">
        <f aca="false">IF(A1199="","",IFERROR(INDEX(Sales_Memo!$B$2:$B$1001,MATCH(A1199,Sales_Memo!$A$2:$A$1001,0)),""))</f>
        <v/>
      </c>
      <c r="C1199" s="7"/>
      <c r="D1199" s="16" t="str">
        <f aca="false">IF(C1199="","",IFERROR(INDEX(Products!$B$2:$B$501,MATCH(C1199,Products!$A$2:$A$501,0)),"CODE NOT FOUND"))</f>
        <v/>
      </c>
      <c r="E1199" s="7"/>
      <c r="F1199" s="13"/>
      <c r="G1199" s="13"/>
      <c r="H1199" s="17" t="str">
        <f aca="false">IF(OR(E1199="",F1199=""),"",E1199*F1199)</f>
        <v/>
      </c>
      <c r="I1199" s="17" t="str">
        <f aca="false">IF(OR(E1199="",G1199=""),"",E1199*G1199)</f>
        <v/>
      </c>
      <c r="J1199" s="17" t="str">
        <f aca="false">IF(H1199="","",H1199-I1199)</f>
        <v/>
      </c>
    </row>
    <row r="1200" customFormat="false" ht="15" hidden="false" customHeight="true" outlineLevel="0" collapsed="false">
      <c r="A1200" s="7"/>
      <c r="B1200" s="18" t="str">
        <f aca="false">IF(A1200="","",IFERROR(INDEX(Sales_Memo!$B$2:$B$1001,MATCH(A1200,Sales_Memo!$A$2:$A$1001,0)),""))</f>
        <v/>
      </c>
      <c r="C1200" s="7"/>
      <c r="D1200" s="16" t="str">
        <f aca="false">IF(C1200="","",IFERROR(INDEX(Products!$B$2:$B$501,MATCH(C1200,Products!$A$2:$A$501,0)),"CODE NOT FOUND"))</f>
        <v/>
      </c>
      <c r="E1200" s="7"/>
      <c r="F1200" s="13"/>
      <c r="G1200" s="13"/>
      <c r="H1200" s="17" t="str">
        <f aca="false">IF(OR(E1200="",F1200=""),"",E1200*F1200)</f>
        <v/>
      </c>
      <c r="I1200" s="17" t="str">
        <f aca="false">IF(OR(E1200="",G1200=""),"",E1200*G1200)</f>
        <v/>
      </c>
      <c r="J1200" s="17" t="str">
        <f aca="false">IF(H1200="","",H1200-I1200)</f>
        <v/>
      </c>
    </row>
    <row r="1201" customFormat="false" ht="15" hidden="false" customHeight="true" outlineLevel="0" collapsed="false">
      <c r="A1201" s="7"/>
      <c r="B1201" s="18" t="str">
        <f aca="false">IF(A1201="","",IFERROR(INDEX(Sales_Memo!$B$2:$B$1001,MATCH(A1201,Sales_Memo!$A$2:$A$1001,0)),""))</f>
        <v/>
      </c>
      <c r="C1201" s="7"/>
      <c r="D1201" s="16" t="str">
        <f aca="false">IF(C1201="","",IFERROR(INDEX(Products!$B$2:$B$501,MATCH(C1201,Products!$A$2:$A$501,0)),"CODE NOT FOUND"))</f>
        <v/>
      </c>
      <c r="E1201" s="7"/>
      <c r="F1201" s="13"/>
      <c r="G1201" s="13"/>
      <c r="H1201" s="17" t="str">
        <f aca="false">IF(OR(E1201="",F1201=""),"",E1201*F1201)</f>
        <v/>
      </c>
      <c r="I1201" s="17" t="str">
        <f aca="false">IF(OR(E1201="",G1201=""),"",E1201*G1201)</f>
        <v/>
      </c>
      <c r="J1201" s="17" t="str">
        <f aca="false">IF(H1201="","",H1201-I1201)</f>
        <v/>
      </c>
    </row>
    <row r="1202" customFormat="false" ht="15" hidden="false" customHeight="true" outlineLevel="0" collapsed="false">
      <c r="A1202" s="7"/>
      <c r="B1202" s="18" t="str">
        <f aca="false">IF(A1202="","",IFERROR(INDEX(Sales_Memo!$B$2:$B$1001,MATCH(A1202,Sales_Memo!$A$2:$A$1001,0)),""))</f>
        <v/>
      </c>
      <c r="C1202" s="7"/>
      <c r="D1202" s="16" t="str">
        <f aca="false">IF(C1202="","",IFERROR(INDEX(Products!$B$2:$B$501,MATCH(C1202,Products!$A$2:$A$501,0)),"CODE NOT FOUND"))</f>
        <v/>
      </c>
      <c r="E1202" s="7"/>
      <c r="F1202" s="13"/>
      <c r="G1202" s="13"/>
      <c r="H1202" s="17" t="str">
        <f aca="false">IF(OR(E1202="",F1202=""),"",E1202*F1202)</f>
        <v/>
      </c>
      <c r="I1202" s="17" t="str">
        <f aca="false">IF(OR(E1202="",G1202=""),"",E1202*G1202)</f>
        <v/>
      </c>
      <c r="J1202" s="17" t="str">
        <f aca="false">IF(H1202="","",H1202-I1202)</f>
        <v/>
      </c>
    </row>
    <row r="1203" customFormat="false" ht="15" hidden="false" customHeight="true" outlineLevel="0" collapsed="false">
      <c r="A1203" s="7"/>
      <c r="B1203" s="18" t="str">
        <f aca="false">IF(A1203="","",IFERROR(INDEX(Sales_Memo!$B$2:$B$1001,MATCH(A1203,Sales_Memo!$A$2:$A$1001,0)),""))</f>
        <v/>
      </c>
      <c r="C1203" s="7"/>
      <c r="D1203" s="16" t="str">
        <f aca="false">IF(C1203="","",IFERROR(INDEX(Products!$B$2:$B$501,MATCH(C1203,Products!$A$2:$A$501,0)),"CODE NOT FOUND"))</f>
        <v/>
      </c>
      <c r="E1203" s="7"/>
      <c r="F1203" s="13"/>
      <c r="G1203" s="13"/>
      <c r="H1203" s="17" t="str">
        <f aca="false">IF(OR(E1203="",F1203=""),"",E1203*F1203)</f>
        <v/>
      </c>
      <c r="I1203" s="17" t="str">
        <f aca="false">IF(OR(E1203="",G1203=""),"",E1203*G1203)</f>
        <v/>
      </c>
      <c r="J1203" s="17" t="str">
        <f aca="false">IF(H1203="","",H1203-I1203)</f>
        <v/>
      </c>
    </row>
    <row r="1204" customFormat="false" ht="15" hidden="false" customHeight="true" outlineLevel="0" collapsed="false">
      <c r="A1204" s="7"/>
      <c r="B1204" s="18" t="str">
        <f aca="false">IF(A1204="","",IFERROR(INDEX(Sales_Memo!$B$2:$B$1001,MATCH(A1204,Sales_Memo!$A$2:$A$1001,0)),""))</f>
        <v/>
      </c>
      <c r="C1204" s="7"/>
      <c r="D1204" s="16" t="str">
        <f aca="false">IF(C1204="","",IFERROR(INDEX(Products!$B$2:$B$501,MATCH(C1204,Products!$A$2:$A$501,0)),"CODE NOT FOUND"))</f>
        <v/>
      </c>
      <c r="E1204" s="7"/>
      <c r="F1204" s="13"/>
      <c r="G1204" s="13"/>
      <c r="H1204" s="17" t="str">
        <f aca="false">IF(OR(E1204="",F1204=""),"",E1204*F1204)</f>
        <v/>
      </c>
      <c r="I1204" s="17" t="str">
        <f aca="false">IF(OR(E1204="",G1204=""),"",E1204*G1204)</f>
        <v/>
      </c>
      <c r="J1204" s="17" t="str">
        <f aca="false">IF(H1204="","",H1204-I1204)</f>
        <v/>
      </c>
    </row>
    <row r="1205" customFormat="false" ht="15" hidden="false" customHeight="true" outlineLevel="0" collapsed="false">
      <c r="A1205" s="7"/>
      <c r="B1205" s="18" t="str">
        <f aca="false">IF(A1205="","",IFERROR(INDEX(Sales_Memo!$B$2:$B$1001,MATCH(A1205,Sales_Memo!$A$2:$A$1001,0)),""))</f>
        <v/>
      </c>
      <c r="C1205" s="7"/>
      <c r="D1205" s="16" t="str">
        <f aca="false">IF(C1205="","",IFERROR(INDEX(Products!$B$2:$B$501,MATCH(C1205,Products!$A$2:$A$501,0)),"CODE NOT FOUND"))</f>
        <v/>
      </c>
      <c r="E1205" s="7"/>
      <c r="F1205" s="13"/>
      <c r="G1205" s="13"/>
      <c r="H1205" s="17" t="str">
        <f aca="false">IF(OR(E1205="",F1205=""),"",E1205*F1205)</f>
        <v/>
      </c>
      <c r="I1205" s="17" t="str">
        <f aca="false">IF(OR(E1205="",G1205=""),"",E1205*G1205)</f>
        <v/>
      </c>
      <c r="J1205" s="17" t="str">
        <f aca="false">IF(H1205="","",H1205-I1205)</f>
        <v/>
      </c>
    </row>
    <row r="1206" customFormat="false" ht="15" hidden="false" customHeight="true" outlineLevel="0" collapsed="false">
      <c r="A1206" s="7"/>
      <c r="B1206" s="18" t="str">
        <f aca="false">IF(A1206="","",IFERROR(INDEX(Sales_Memo!$B$2:$B$1001,MATCH(A1206,Sales_Memo!$A$2:$A$1001,0)),""))</f>
        <v/>
      </c>
      <c r="C1206" s="7"/>
      <c r="D1206" s="16" t="str">
        <f aca="false">IF(C1206="","",IFERROR(INDEX(Products!$B$2:$B$501,MATCH(C1206,Products!$A$2:$A$501,0)),"CODE NOT FOUND"))</f>
        <v/>
      </c>
      <c r="E1206" s="7"/>
      <c r="F1206" s="13"/>
      <c r="G1206" s="13"/>
      <c r="H1206" s="17" t="str">
        <f aca="false">IF(OR(E1206="",F1206=""),"",E1206*F1206)</f>
        <v/>
      </c>
      <c r="I1206" s="17" t="str">
        <f aca="false">IF(OR(E1206="",G1206=""),"",E1206*G1206)</f>
        <v/>
      </c>
      <c r="J1206" s="17" t="str">
        <f aca="false">IF(H1206="","",H1206-I1206)</f>
        <v/>
      </c>
    </row>
    <row r="1207" customFormat="false" ht="15" hidden="false" customHeight="true" outlineLevel="0" collapsed="false">
      <c r="A1207" s="7"/>
      <c r="B1207" s="18" t="str">
        <f aca="false">IF(A1207="","",IFERROR(INDEX(Sales_Memo!$B$2:$B$1001,MATCH(A1207,Sales_Memo!$A$2:$A$1001,0)),""))</f>
        <v/>
      </c>
      <c r="C1207" s="7"/>
      <c r="D1207" s="16" t="str">
        <f aca="false">IF(C1207="","",IFERROR(INDEX(Products!$B$2:$B$501,MATCH(C1207,Products!$A$2:$A$501,0)),"CODE NOT FOUND"))</f>
        <v/>
      </c>
      <c r="E1207" s="7"/>
      <c r="F1207" s="13"/>
      <c r="G1207" s="13"/>
      <c r="H1207" s="17" t="str">
        <f aca="false">IF(OR(E1207="",F1207=""),"",E1207*F1207)</f>
        <v/>
      </c>
      <c r="I1207" s="17" t="str">
        <f aca="false">IF(OR(E1207="",G1207=""),"",E1207*G1207)</f>
        <v/>
      </c>
      <c r="J1207" s="17" t="str">
        <f aca="false">IF(H1207="","",H1207-I1207)</f>
        <v/>
      </c>
    </row>
    <row r="1208" customFormat="false" ht="15" hidden="false" customHeight="true" outlineLevel="0" collapsed="false">
      <c r="A1208" s="7"/>
      <c r="B1208" s="18" t="str">
        <f aca="false">IF(A1208="","",IFERROR(INDEX(Sales_Memo!$B$2:$B$1001,MATCH(A1208,Sales_Memo!$A$2:$A$1001,0)),""))</f>
        <v/>
      </c>
      <c r="C1208" s="7"/>
      <c r="D1208" s="16" t="str">
        <f aca="false">IF(C1208="","",IFERROR(INDEX(Products!$B$2:$B$501,MATCH(C1208,Products!$A$2:$A$501,0)),"CODE NOT FOUND"))</f>
        <v/>
      </c>
      <c r="E1208" s="7"/>
      <c r="F1208" s="13"/>
      <c r="G1208" s="13"/>
      <c r="H1208" s="17" t="str">
        <f aca="false">IF(OR(E1208="",F1208=""),"",E1208*F1208)</f>
        <v/>
      </c>
      <c r="I1208" s="17" t="str">
        <f aca="false">IF(OR(E1208="",G1208=""),"",E1208*G1208)</f>
        <v/>
      </c>
      <c r="J1208" s="17" t="str">
        <f aca="false">IF(H1208="","",H1208-I1208)</f>
        <v/>
      </c>
    </row>
    <row r="1209" customFormat="false" ht="15" hidden="false" customHeight="true" outlineLevel="0" collapsed="false">
      <c r="A1209" s="7"/>
      <c r="B1209" s="18" t="str">
        <f aca="false">IF(A1209="","",IFERROR(INDEX(Sales_Memo!$B$2:$B$1001,MATCH(A1209,Sales_Memo!$A$2:$A$1001,0)),""))</f>
        <v/>
      </c>
      <c r="C1209" s="7"/>
      <c r="D1209" s="16" t="str">
        <f aca="false">IF(C1209="","",IFERROR(INDEX(Products!$B$2:$B$501,MATCH(C1209,Products!$A$2:$A$501,0)),"CODE NOT FOUND"))</f>
        <v/>
      </c>
      <c r="E1209" s="7"/>
      <c r="F1209" s="13"/>
      <c r="G1209" s="13"/>
      <c r="H1209" s="17" t="str">
        <f aca="false">IF(OR(E1209="",F1209=""),"",E1209*F1209)</f>
        <v/>
      </c>
      <c r="I1209" s="17" t="str">
        <f aca="false">IF(OR(E1209="",G1209=""),"",E1209*G1209)</f>
        <v/>
      </c>
      <c r="J1209" s="17" t="str">
        <f aca="false">IF(H1209="","",H1209-I1209)</f>
        <v/>
      </c>
    </row>
    <row r="1210" customFormat="false" ht="15" hidden="false" customHeight="true" outlineLevel="0" collapsed="false">
      <c r="A1210" s="7"/>
      <c r="B1210" s="18" t="str">
        <f aca="false">IF(A1210="","",IFERROR(INDEX(Sales_Memo!$B$2:$B$1001,MATCH(A1210,Sales_Memo!$A$2:$A$1001,0)),""))</f>
        <v/>
      </c>
      <c r="C1210" s="7"/>
      <c r="D1210" s="16" t="str">
        <f aca="false">IF(C1210="","",IFERROR(INDEX(Products!$B$2:$B$501,MATCH(C1210,Products!$A$2:$A$501,0)),"CODE NOT FOUND"))</f>
        <v/>
      </c>
      <c r="E1210" s="7"/>
      <c r="F1210" s="13"/>
      <c r="G1210" s="13"/>
      <c r="H1210" s="17" t="str">
        <f aca="false">IF(OR(E1210="",F1210=""),"",E1210*F1210)</f>
        <v/>
      </c>
      <c r="I1210" s="17" t="str">
        <f aca="false">IF(OR(E1210="",G1210=""),"",E1210*G1210)</f>
        <v/>
      </c>
      <c r="J1210" s="17" t="str">
        <f aca="false">IF(H1210="","",H1210-I1210)</f>
        <v/>
      </c>
    </row>
    <row r="1211" customFormat="false" ht="15" hidden="false" customHeight="true" outlineLevel="0" collapsed="false">
      <c r="A1211" s="7"/>
      <c r="B1211" s="18" t="str">
        <f aca="false">IF(A1211="","",IFERROR(INDEX(Sales_Memo!$B$2:$B$1001,MATCH(A1211,Sales_Memo!$A$2:$A$1001,0)),""))</f>
        <v/>
      </c>
      <c r="C1211" s="7"/>
      <c r="D1211" s="16" t="str">
        <f aca="false">IF(C1211="","",IFERROR(INDEX(Products!$B$2:$B$501,MATCH(C1211,Products!$A$2:$A$501,0)),"CODE NOT FOUND"))</f>
        <v/>
      </c>
      <c r="E1211" s="7"/>
      <c r="F1211" s="13"/>
      <c r="G1211" s="13"/>
      <c r="H1211" s="17" t="str">
        <f aca="false">IF(OR(E1211="",F1211=""),"",E1211*F1211)</f>
        <v/>
      </c>
      <c r="I1211" s="17" t="str">
        <f aca="false">IF(OR(E1211="",G1211=""),"",E1211*G1211)</f>
        <v/>
      </c>
      <c r="J1211" s="17" t="str">
        <f aca="false">IF(H1211="","",H1211-I1211)</f>
        <v/>
      </c>
    </row>
    <row r="1212" customFormat="false" ht="15" hidden="false" customHeight="true" outlineLevel="0" collapsed="false">
      <c r="A1212" s="7"/>
      <c r="B1212" s="18" t="str">
        <f aca="false">IF(A1212="","",IFERROR(INDEX(Sales_Memo!$B$2:$B$1001,MATCH(A1212,Sales_Memo!$A$2:$A$1001,0)),""))</f>
        <v/>
      </c>
      <c r="C1212" s="7"/>
      <c r="D1212" s="16" t="str">
        <f aca="false">IF(C1212="","",IFERROR(INDEX(Products!$B$2:$B$501,MATCH(C1212,Products!$A$2:$A$501,0)),"CODE NOT FOUND"))</f>
        <v/>
      </c>
      <c r="E1212" s="7"/>
      <c r="F1212" s="13"/>
      <c r="G1212" s="13"/>
      <c r="H1212" s="17" t="str">
        <f aca="false">IF(OR(E1212="",F1212=""),"",E1212*F1212)</f>
        <v/>
      </c>
      <c r="I1212" s="17" t="str">
        <f aca="false">IF(OR(E1212="",G1212=""),"",E1212*G1212)</f>
        <v/>
      </c>
      <c r="J1212" s="17" t="str">
        <f aca="false">IF(H1212="","",H1212-I1212)</f>
        <v/>
      </c>
    </row>
    <row r="1213" customFormat="false" ht="15" hidden="false" customHeight="true" outlineLevel="0" collapsed="false">
      <c r="A1213" s="7"/>
      <c r="B1213" s="18" t="str">
        <f aca="false">IF(A1213="","",IFERROR(INDEX(Sales_Memo!$B$2:$B$1001,MATCH(A1213,Sales_Memo!$A$2:$A$1001,0)),""))</f>
        <v/>
      </c>
      <c r="C1213" s="7"/>
      <c r="D1213" s="16" t="str">
        <f aca="false">IF(C1213="","",IFERROR(INDEX(Products!$B$2:$B$501,MATCH(C1213,Products!$A$2:$A$501,0)),"CODE NOT FOUND"))</f>
        <v/>
      </c>
      <c r="E1213" s="7"/>
      <c r="F1213" s="13"/>
      <c r="G1213" s="13"/>
      <c r="H1213" s="17" t="str">
        <f aca="false">IF(OR(E1213="",F1213=""),"",E1213*F1213)</f>
        <v/>
      </c>
      <c r="I1213" s="17" t="str">
        <f aca="false">IF(OR(E1213="",G1213=""),"",E1213*G1213)</f>
        <v/>
      </c>
      <c r="J1213" s="17" t="str">
        <f aca="false">IF(H1213="","",H1213-I1213)</f>
        <v/>
      </c>
    </row>
    <row r="1214" customFormat="false" ht="15" hidden="false" customHeight="true" outlineLevel="0" collapsed="false">
      <c r="A1214" s="7"/>
      <c r="B1214" s="18" t="str">
        <f aca="false">IF(A1214="","",IFERROR(INDEX(Sales_Memo!$B$2:$B$1001,MATCH(A1214,Sales_Memo!$A$2:$A$1001,0)),""))</f>
        <v/>
      </c>
      <c r="C1214" s="7"/>
      <c r="D1214" s="16" t="str">
        <f aca="false">IF(C1214="","",IFERROR(INDEX(Products!$B$2:$B$501,MATCH(C1214,Products!$A$2:$A$501,0)),"CODE NOT FOUND"))</f>
        <v/>
      </c>
      <c r="E1214" s="7"/>
      <c r="F1214" s="13"/>
      <c r="G1214" s="13"/>
      <c r="H1214" s="17" t="str">
        <f aca="false">IF(OR(E1214="",F1214=""),"",E1214*F1214)</f>
        <v/>
      </c>
      <c r="I1214" s="17" t="str">
        <f aca="false">IF(OR(E1214="",G1214=""),"",E1214*G1214)</f>
        <v/>
      </c>
      <c r="J1214" s="17" t="str">
        <f aca="false">IF(H1214="","",H1214-I1214)</f>
        <v/>
      </c>
    </row>
    <row r="1215" customFormat="false" ht="15" hidden="false" customHeight="true" outlineLevel="0" collapsed="false">
      <c r="A1215" s="7"/>
      <c r="B1215" s="18" t="str">
        <f aca="false">IF(A1215="","",IFERROR(INDEX(Sales_Memo!$B$2:$B$1001,MATCH(A1215,Sales_Memo!$A$2:$A$1001,0)),""))</f>
        <v/>
      </c>
      <c r="C1215" s="7"/>
      <c r="D1215" s="16" t="str">
        <f aca="false">IF(C1215="","",IFERROR(INDEX(Products!$B$2:$B$501,MATCH(C1215,Products!$A$2:$A$501,0)),"CODE NOT FOUND"))</f>
        <v/>
      </c>
      <c r="E1215" s="7"/>
      <c r="F1215" s="13"/>
      <c r="G1215" s="13"/>
      <c r="H1215" s="17" t="str">
        <f aca="false">IF(OR(E1215="",F1215=""),"",E1215*F1215)</f>
        <v/>
      </c>
      <c r="I1215" s="17" t="str">
        <f aca="false">IF(OR(E1215="",G1215=""),"",E1215*G1215)</f>
        <v/>
      </c>
      <c r="J1215" s="17" t="str">
        <f aca="false">IF(H1215="","",H1215-I1215)</f>
        <v/>
      </c>
    </row>
    <row r="1216" customFormat="false" ht="15" hidden="false" customHeight="true" outlineLevel="0" collapsed="false">
      <c r="A1216" s="7"/>
      <c r="B1216" s="18" t="str">
        <f aca="false">IF(A1216="","",IFERROR(INDEX(Sales_Memo!$B$2:$B$1001,MATCH(A1216,Sales_Memo!$A$2:$A$1001,0)),""))</f>
        <v/>
      </c>
      <c r="C1216" s="7"/>
      <c r="D1216" s="16" t="str">
        <f aca="false">IF(C1216="","",IFERROR(INDEX(Products!$B$2:$B$501,MATCH(C1216,Products!$A$2:$A$501,0)),"CODE NOT FOUND"))</f>
        <v/>
      </c>
      <c r="E1216" s="7"/>
      <c r="F1216" s="13"/>
      <c r="G1216" s="13"/>
      <c r="H1216" s="17" t="str">
        <f aca="false">IF(OR(E1216="",F1216=""),"",E1216*F1216)</f>
        <v/>
      </c>
      <c r="I1216" s="17" t="str">
        <f aca="false">IF(OR(E1216="",G1216=""),"",E1216*G1216)</f>
        <v/>
      </c>
      <c r="J1216" s="17" t="str">
        <f aca="false">IF(H1216="","",H1216-I1216)</f>
        <v/>
      </c>
    </row>
    <row r="1217" customFormat="false" ht="15" hidden="false" customHeight="true" outlineLevel="0" collapsed="false">
      <c r="A1217" s="7"/>
      <c r="B1217" s="18" t="str">
        <f aca="false">IF(A1217="","",IFERROR(INDEX(Sales_Memo!$B$2:$B$1001,MATCH(A1217,Sales_Memo!$A$2:$A$1001,0)),""))</f>
        <v/>
      </c>
      <c r="C1217" s="7"/>
      <c r="D1217" s="16" t="str">
        <f aca="false">IF(C1217="","",IFERROR(INDEX(Products!$B$2:$B$501,MATCH(C1217,Products!$A$2:$A$501,0)),"CODE NOT FOUND"))</f>
        <v/>
      </c>
      <c r="E1217" s="7"/>
      <c r="F1217" s="13"/>
      <c r="G1217" s="13"/>
      <c r="H1217" s="17" t="str">
        <f aca="false">IF(OR(E1217="",F1217=""),"",E1217*F1217)</f>
        <v/>
      </c>
      <c r="I1217" s="17" t="str">
        <f aca="false">IF(OR(E1217="",G1217=""),"",E1217*G1217)</f>
        <v/>
      </c>
      <c r="J1217" s="17" t="str">
        <f aca="false">IF(H1217="","",H1217-I1217)</f>
        <v/>
      </c>
    </row>
    <row r="1218" customFormat="false" ht="15" hidden="false" customHeight="true" outlineLevel="0" collapsed="false">
      <c r="A1218" s="7"/>
      <c r="B1218" s="18" t="str">
        <f aca="false">IF(A1218="","",IFERROR(INDEX(Sales_Memo!$B$2:$B$1001,MATCH(A1218,Sales_Memo!$A$2:$A$1001,0)),""))</f>
        <v/>
      </c>
      <c r="C1218" s="7"/>
      <c r="D1218" s="16" t="str">
        <f aca="false">IF(C1218="","",IFERROR(INDEX(Products!$B$2:$B$501,MATCH(C1218,Products!$A$2:$A$501,0)),"CODE NOT FOUND"))</f>
        <v/>
      </c>
      <c r="E1218" s="7"/>
      <c r="F1218" s="13"/>
      <c r="G1218" s="13"/>
      <c r="H1218" s="17" t="str">
        <f aca="false">IF(OR(E1218="",F1218=""),"",E1218*F1218)</f>
        <v/>
      </c>
      <c r="I1218" s="17" t="str">
        <f aca="false">IF(OR(E1218="",G1218=""),"",E1218*G1218)</f>
        <v/>
      </c>
      <c r="J1218" s="17" t="str">
        <f aca="false">IF(H1218="","",H1218-I1218)</f>
        <v/>
      </c>
    </row>
    <row r="1219" customFormat="false" ht="15" hidden="false" customHeight="true" outlineLevel="0" collapsed="false">
      <c r="A1219" s="7"/>
      <c r="B1219" s="18" t="str">
        <f aca="false">IF(A1219="","",IFERROR(INDEX(Sales_Memo!$B$2:$B$1001,MATCH(A1219,Sales_Memo!$A$2:$A$1001,0)),""))</f>
        <v/>
      </c>
      <c r="C1219" s="7"/>
      <c r="D1219" s="16" t="str">
        <f aca="false">IF(C1219="","",IFERROR(INDEX(Products!$B$2:$B$501,MATCH(C1219,Products!$A$2:$A$501,0)),"CODE NOT FOUND"))</f>
        <v/>
      </c>
      <c r="E1219" s="7"/>
      <c r="F1219" s="13"/>
      <c r="G1219" s="13"/>
      <c r="H1219" s="17" t="str">
        <f aca="false">IF(OR(E1219="",F1219=""),"",E1219*F1219)</f>
        <v/>
      </c>
      <c r="I1219" s="17" t="str">
        <f aca="false">IF(OR(E1219="",G1219=""),"",E1219*G1219)</f>
        <v/>
      </c>
      <c r="J1219" s="17" t="str">
        <f aca="false">IF(H1219="","",H1219-I1219)</f>
        <v/>
      </c>
    </row>
    <row r="1220" customFormat="false" ht="15" hidden="false" customHeight="true" outlineLevel="0" collapsed="false">
      <c r="A1220" s="7"/>
      <c r="B1220" s="18" t="str">
        <f aca="false">IF(A1220="","",IFERROR(INDEX(Sales_Memo!$B$2:$B$1001,MATCH(A1220,Sales_Memo!$A$2:$A$1001,0)),""))</f>
        <v/>
      </c>
      <c r="C1220" s="7"/>
      <c r="D1220" s="16" t="str">
        <f aca="false">IF(C1220="","",IFERROR(INDEX(Products!$B$2:$B$501,MATCH(C1220,Products!$A$2:$A$501,0)),"CODE NOT FOUND"))</f>
        <v/>
      </c>
      <c r="E1220" s="7"/>
      <c r="F1220" s="13"/>
      <c r="G1220" s="13"/>
      <c r="H1220" s="17" t="str">
        <f aca="false">IF(OR(E1220="",F1220=""),"",E1220*F1220)</f>
        <v/>
      </c>
      <c r="I1220" s="17" t="str">
        <f aca="false">IF(OR(E1220="",G1220=""),"",E1220*G1220)</f>
        <v/>
      </c>
      <c r="J1220" s="17" t="str">
        <f aca="false">IF(H1220="","",H1220-I1220)</f>
        <v/>
      </c>
    </row>
    <row r="1221" customFormat="false" ht="15" hidden="false" customHeight="true" outlineLevel="0" collapsed="false">
      <c r="A1221" s="7"/>
      <c r="B1221" s="18" t="str">
        <f aca="false">IF(A1221="","",IFERROR(INDEX(Sales_Memo!$B$2:$B$1001,MATCH(A1221,Sales_Memo!$A$2:$A$1001,0)),""))</f>
        <v/>
      </c>
      <c r="C1221" s="7"/>
      <c r="D1221" s="16" t="str">
        <f aca="false">IF(C1221="","",IFERROR(INDEX(Products!$B$2:$B$501,MATCH(C1221,Products!$A$2:$A$501,0)),"CODE NOT FOUND"))</f>
        <v/>
      </c>
      <c r="E1221" s="7"/>
      <c r="F1221" s="13"/>
      <c r="G1221" s="13"/>
      <c r="H1221" s="17" t="str">
        <f aca="false">IF(OR(E1221="",F1221=""),"",E1221*F1221)</f>
        <v/>
      </c>
      <c r="I1221" s="17" t="str">
        <f aca="false">IF(OR(E1221="",G1221=""),"",E1221*G1221)</f>
        <v/>
      </c>
      <c r="J1221" s="17" t="str">
        <f aca="false">IF(H1221="","",H1221-I1221)</f>
        <v/>
      </c>
    </row>
    <row r="1222" customFormat="false" ht="15" hidden="false" customHeight="true" outlineLevel="0" collapsed="false">
      <c r="A1222" s="7"/>
      <c r="B1222" s="18" t="str">
        <f aca="false">IF(A1222="","",IFERROR(INDEX(Sales_Memo!$B$2:$B$1001,MATCH(A1222,Sales_Memo!$A$2:$A$1001,0)),""))</f>
        <v/>
      </c>
      <c r="C1222" s="7"/>
      <c r="D1222" s="16" t="str">
        <f aca="false">IF(C1222="","",IFERROR(INDEX(Products!$B$2:$B$501,MATCH(C1222,Products!$A$2:$A$501,0)),"CODE NOT FOUND"))</f>
        <v/>
      </c>
      <c r="E1222" s="7"/>
      <c r="F1222" s="13"/>
      <c r="G1222" s="13"/>
      <c r="H1222" s="17" t="str">
        <f aca="false">IF(OR(E1222="",F1222=""),"",E1222*F1222)</f>
        <v/>
      </c>
      <c r="I1222" s="17" t="str">
        <f aca="false">IF(OR(E1222="",G1222=""),"",E1222*G1222)</f>
        <v/>
      </c>
      <c r="J1222" s="17" t="str">
        <f aca="false">IF(H1222="","",H1222-I1222)</f>
        <v/>
      </c>
    </row>
    <row r="1223" customFormat="false" ht="15" hidden="false" customHeight="true" outlineLevel="0" collapsed="false">
      <c r="A1223" s="7"/>
      <c r="B1223" s="18" t="str">
        <f aca="false">IF(A1223="","",IFERROR(INDEX(Sales_Memo!$B$2:$B$1001,MATCH(A1223,Sales_Memo!$A$2:$A$1001,0)),""))</f>
        <v/>
      </c>
      <c r="C1223" s="7"/>
      <c r="D1223" s="16" t="str">
        <f aca="false">IF(C1223="","",IFERROR(INDEX(Products!$B$2:$B$501,MATCH(C1223,Products!$A$2:$A$501,0)),"CODE NOT FOUND"))</f>
        <v/>
      </c>
      <c r="E1223" s="7"/>
      <c r="F1223" s="13"/>
      <c r="G1223" s="13"/>
      <c r="H1223" s="17" t="str">
        <f aca="false">IF(OR(E1223="",F1223=""),"",E1223*F1223)</f>
        <v/>
      </c>
      <c r="I1223" s="17" t="str">
        <f aca="false">IF(OR(E1223="",G1223=""),"",E1223*G1223)</f>
        <v/>
      </c>
      <c r="J1223" s="17" t="str">
        <f aca="false">IF(H1223="","",H1223-I1223)</f>
        <v/>
      </c>
    </row>
    <row r="1224" customFormat="false" ht="15" hidden="false" customHeight="true" outlineLevel="0" collapsed="false">
      <c r="A1224" s="7"/>
      <c r="B1224" s="18" t="str">
        <f aca="false">IF(A1224="","",IFERROR(INDEX(Sales_Memo!$B$2:$B$1001,MATCH(A1224,Sales_Memo!$A$2:$A$1001,0)),""))</f>
        <v/>
      </c>
      <c r="C1224" s="7"/>
      <c r="D1224" s="16" t="str">
        <f aca="false">IF(C1224="","",IFERROR(INDEX(Products!$B$2:$B$501,MATCH(C1224,Products!$A$2:$A$501,0)),"CODE NOT FOUND"))</f>
        <v/>
      </c>
      <c r="E1224" s="7"/>
      <c r="F1224" s="13"/>
      <c r="G1224" s="13"/>
      <c r="H1224" s="17" t="str">
        <f aca="false">IF(OR(E1224="",F1224=""),"",E1224*F1224)</f>
        <v/>
      </c>
      <c r="I1224" s="17" t="str">
        <f aca="false">IF(OR(E1224="",G1224=""),"",E1224*G1224)</f>
        <v/>
      </c>
      <c r="J1224" s="17" t="str">
        <f aca="false">IF(H1224="","",H1224-I1224)</f>
        <v/>
      </c>
    </row>
    <row r="1225" customFormat="false" ht="15" hidden="false" customHeight="true" outlineLevel="0" collapsed="false">
      <c r="A1225" s="7"/>
      <c r="B1225" s="18" t="str">
        <f aca="false">IF(A1225="","",IFERROR(INDEX(Sales_Memo!$B$2:$B$1001,MATCH(A1225,Sales_Memo!$A$2:$A$1001,0)),""))</f>
        <v/>
      </c>
      <c r="C1225" s="7"/>
      <c r="D1225" s="16" t="str">
        <f aca="false">IF(C1225="","",IFERROR(INDEX(Products!$B$2:$B$501,MATCH(C1225,Products!$A$2:$A$501,0)),"CODE NOT FOUND"))</f>
        <v/>
      </c>
      <c r="E1225" s="7"/>
      <c r="F1225" s="13"/>
      <c r="G1225" s="13"/>
      <c r="H1225" s="17" t="str">
        <f aca="false">IF(OR(E1225="",F1225=""),"",E1225*F1225)</f>
        <v/>
      </c>
      <c r="I1225" s="17" t="str">
        <f aca="false">IF(OR(E1225="",G1225=""),"",E1225*G1225)</f>
        <v/>
      </c>
      <c r="J1225" s="17" t="str">
        <f aca="false">IF(H1225="","",H1225-I1225)</f>
        <v/>
      </c>
    </row>
    <row r="1226" customFormat="false" ht="15" hidden="false" customHeight="true" outlineLevel="0" collapsed="false">
      <c r="A1226" s="7"/>
      <c r="B1226" s="18" t="str">
        <f aca="false">IF(A1226="","",IFERROR(INDEX(Sales_Memo!$B$2:$B$1001,MATCH(A1226,Sales_Memo!$A$2:$A$1001,0)),""))</f>
        <v/>
      </c>
      <c r="C1226" s="7"/>
      <c r="D1226" s="16" t="str">
        <f aca="false">IF(C1226="","",IFERROR(INDEX(Products!$B$2:$B$501,MATCH(C1226,Products!$A$2:$A$501,0)),"CODE NOT FOUND"))</f>
        <v/>
      </c>
      <c r="E1226" s="7"/>
      <c r="F1226" s="13"/>
      <c r="G1226" s="13"/>
      <c r="H1226" s="17" t="str">
        <f aca="false">IF(OR(E1226="",F1226=""),"",E1226*F1226)</f>
        <v/>
      </c>
      <c r="I1226" s="17" t="str">
        <f aca="false">IF(OR(E1226="",G1226=""),"",E1226*G1226)</f>
        <v/>
      </c>
      <c r="J1226" s="17" t="str">
        <f aca="false">IF(H1226="","",H1226-I1226)</f>
        <v/>
      </c>
    </row>
    <row r="1227" customFormat="false" ht="15" hidden="false" customHeight="true" outlineLevel="0" collapsed="false">
      <c r="A1227" s="7"/>
      <c r="B1227" s="18" t="str">
        <f aca="false">IF(A1227="","",IFERROR(INDEX(Sales_Memo!$B$2:$B$1001,MATCH(A1227,Sales_Memo!$A$2:$A$1001,0)),""))</f>
        <v/>
      </c>
      <c r="C1227" s="7"/>
      <c r="D1227" s="16" t="str">
        <f aca="false">IF(C1227="","",IFERROR(INDEX(Products!$B$2:$B$501,MATCH(C1227,Products!$A$2:$A$501,0)),"CODE NOT FOUND"))</f>
        <v/>
      </c>
      <c r="E1227" s="7"/>
      <c r="F1227" s="13"/>
      <c r="G1227" s="13"/>
      <c r="H1227" s="17" t="str">
        <f aca="false">IF(OR(E1227="",F1227=""),"",E1227*F1227)</f>
        <v/>
      </c>
      <c r="I1227" s="17" t="str">
        <f aca="false">IF(OR(E1227="",G1227=""),"",E1227*G1227)</f>
        <v/>
      </c>
      <c r="J1227" s="17" t="str">
        <f aca="false">IF(H1227="","",H1227-I1227)</f>
        <v/>
      </c>
    </row>
    <row r="1228" customFormat="false" ht="15" hidden="false" customHeight="true" outlineLevel="0" collapsed="false">
      <c r="A1228" s="7"/>
      <c r="B1228" s="18" t="str">
        <f aca="false">IF(A1228="","",IFERROR(INDEX(Sales_Memo!$B$2:$B$1001,MATCH(A1228,Sales_Memo!$A$2:$A$1001,0)),""))</f>
        <v/>
      </c>
      <c r="C1228" s="7"/>
      <c r="D1228" s="16" t="str">
        <f aca="false">IF(C1228="","",IFERROR(INDEX(Products!$B$2:$B$501,MATCH(C1228,Products!$A$2:$A$501,0)),"CODE NOT FOUND"))</f>
        <v/>
      </c>
      <c r="E1228" s="7"/>
      <c r="F1228" s="13"/>
      <c r="G1228" s="13"/>
      <c r="H1228" s="17" t="str">
        <f aca="false">IF(OR(E1228="",F1228=""),"",E1228*F1228)</f>
        <v/>
      </c>
      <c r="I1228" s="17" t="str">
        <f aca="false">IF(OR(E1228="",G1228=""),"",E1228*G1228)</f>
        <v/>
      </c>
      <c r="J1228" s="17" t="str">
        <f aca="false">IF(H1228="","",H1228-I1228)</f>
        <v/>
      </c>
    </row>
    <row r="1229" customFormat="false" ht="15" hidden="false" customHeight="true" outlineLevel="0" collapsed="false">
      <c r="A1229" s="7"/>
      <c r="B1229" s="18" t="str">
        <f aca="false">IF(A1229="","",IFERROR(INDEX(Sales_Memo!$B$2:$B$1001,MATCH(A1229,Sales_Memo!$A$2:$A$1001,0)),""))</f>
        <v/>
      </c>
      <c r="C1229" s="7"/>
      <c r="D1229" s="16" t="str">
        <f aca="false">IF(C1229="","",IFERROR(INDEX(Products!$B$2:$B$501,MATCH(C1229,Products!$A$2:$A$501,0)),"CODE NOT FOUND"))</f>
        <v/>
      </c>
      <c r="E1229" s="7"/>
      <c r="F1229" s="13"/>
      <c r="G1229" s="13"/>
      <c r="H1229" s="17" t="str">
        <f aca="false">IF(OR(E1229="",F1229=""),"",E1229*F1229)</f>
        <v/>
      </c>
      <c r="I1229" s="17" t="str">
        <f aca="false">IF(OR(E1229="",G1229=""),"",E1229*G1229)</f>
        <v/>
      </c>
      <c r="J1229" s="17" t="str">
        <f aca="false">IF(H1229="","",H1229-I1229)</f>
        <v/>
      </c>
    </row>
    <row r="1230" customFormat="false" ht="15" hidden="false" customHeight="true" outlineLevel="0" collapsed="false">
      <c r="A1230" s="7"/>
      <c r="B1230" s="18" t="str">
        <f aca="false">IF(A1230="","",IFERROR(INDEX(Sales_Memo!$B$2:$B$1001,MATCH(A1230,Sales_Memo!$A$2:$A$1001,0)),""))</f>
        <v/>
      </c>
      <c r="C1230" s="7"/>
      <c r="D1230" s="16" t="str">
        <f aca="false">IF(C1230="","",IFERROR(INDEX(Products!$B$2:$B$501,MATCH(C1230,Products!$A$2:$A$501,0)),"CODE NOT FOUND"))</f>
        <v/>
      </c>
      <c r="E1230" s="7"/>
      <c r="F1230" s="13"/>
      <c r="G1230" s="13"/>
      <c r="H1230" s="17" t="str">
        <f aca="false">IF(OR(E1230="",F1230=""),"",E1230*F1230)</f>
        <v/>
      </c>
      <c r="I1230" s="17" t="str">
        <f aca="false">IF(OR(E1230="",G1230=""),"",E1230*G1230)</f>
        <v/>
      </c>
      <c r="J1230" s="17" t="str">
        <f aca="false">IF(H1230="","",H1230-I1230)</f>
        <v/>
      </c>
    </row>
    <row r="1231" customFormat="false" ht="15" hidden="false" customHeight="true" outlineLevel="0" collapsed="false">
      <c r="A1231" s="7"/>
      <c r="B1231" s="18" t="str">
        <f aca="false">IF(A1231="","",IFERROR(INDEX(Sales_Memo!$B$2:$B$1001,MATCH(A1231,Sales_Memo!$A$2:$A$1001,0)),""))</f>
        <v/>
      </c>
      <c r="C1231" s="7"/>
      <c r="D1231" s="16" t="str">
        <f aca="false">IF(C1231="","",IFERROR(INDEX(Products!$B$2:$B$501,MATCH(C1231,Products!$A$2:$A$501,0)),"CODE NOT FOUND"))</f>
        <v/>
      </c>
      <c r="E1231" s="7"/>
      <c r="F1231" s="13"/>
      <c r="G1231" s="13"/>
      <c r="H1231" s="17" t="str">
        <f aca="false">IF(OR(E1231="",F1231=""),"",E1231*F1231)</f>
        <v/>
      </c>
      <c r="I1231" s="17" t="str">
        <f aca="false">IF(OR(E1231="",G1231=""),"",E1231*G1231)</f>
        <v/>
      </c>
      <c r="J1231" s="17" t="str">
        <f aca="false">IF(H1231="","",H1231-I1231)</f>
        <v/>
      </c>
    </row>
    <row r="1232" customFormat="false" ht="15" hidden="false" customHeight="true" outlineLevel="0" collapsed="false">
      <c r="A1232" s="7"/>
      <c r="B1232" s="18" t="str">
        <f aca="false">IF(A1232="","",IFERROR(INDEX(Sales_Memo!$B$2:$B$1001,MATCH(A1232,Sales_Memo!$A$2:$A$1001,0)),""))</f>
        <v/>
      </c>
      <c r="C1232" s="7"/>
      <c r="D1232" s="16" t="str">
        <f aca="false">IF(C1232="","",IFERROR(INDEX(Products!$B$2:$B$501,MATCH(C1232,Products!$A$2:$A$501,0)),"CODE NOT FOUND"))</f>
        <v/>
      </c>
      <c r="E1232" s="7"/>
      <c r="F1232" s="13"/>
      <c r="G1232" s="13"/>
      <c r="H1232" s="17" t="str">
        <f aca="false">IF(OR(E1232="",F1232=""),"",E1232*F1232)</f>
        <v/>
      </c>
      <c r="I1232" s="17" t="str">
        <f aca="false">IF(OR(E1232="",G1232=""),"",E1232*G1232)</f>
        <v/>
      </c>
      <c r="J1232" s="17" t="str">
        <f aca="false">IF(H1232="","",H1232-I1232)</f>
        <v/>
      </c>
    </row>
    <row r="1233" customFormat="false" ht="15" hidden="false" customHeight="true" outlineLevel="0" collapsed="false">
      <c r="A1233" s="7"/>
      <c r="B1233" s="18" t="str">
        <f aca="false">IF(A1233="","",IFERROR(INDEX(Sales_Memo!$B$2:$B$1001,MATCH(A1233,Sales_Memo!$A$2:$A$1001,0)),""))</f>
        <v/>
      </c>
      <c r="C1233" s="7"/>
      <c r="D1233" s="16" t="str">
        <f aca="false">IF(C1233="","",IFERROR(INDEX(Products!$B$2:$B$501,MATCH(C1233,Products!$A$2:$A$501,0)),"CODE NOT FOUND"))</f>
        <v/>
      </c>
      <c r="E1233" s="7"/>
      <c r="F1233" s="13"/>
      <c r="G1233" s="13"/>
      <c r="H1233" s="17" t="str">
        <f aca="false">IF(OR(E1233="",F1233=""),"",E1233*F1233)</f>
        <v/>
      </c>
      <c r="I1233" s="17" t="str">
        <f aca="false">IF(OR(E1233="",G1233=""),"",E1233*G1233)</f>
        <v/>
      </c>
      <c r="J1233" s="17" t="str">
        <f aca="false">IF(H1233="","",H1233-I1233)</f>
        <v/>
      </c>
    </row>
    <row r="1234" customFormat="false" ht="15" hidden="false" customHeight="true" outlineLevel="0" collapsed="false">
      <c r="A1234" s="7"/>
      <c r="B1234" s="18" t="str">
        <f aca="false">IF(A1234="","",IFERROR(INDEX(Sales_Memo!$B$2:$B$1001,MATCH(A1234,Sales_Memo!$A$2:$A$1001,0)),""))</f>
        <v/>
      </c>
      <c r="C1234" s="7"/>
      <c r="D1234" s="16" t="str">
        <f aca="false">IF(C1234="","",IFERROR(INDEX(Products!$B$2:$B$501,MATCH(C1234,Products!$A$2:$A$501,0)),"CODE NOT FOUND"))</f>
        <v/>
      </c>
      <c r="E1234" s="7"/>
      <c r="F1234" s="13"/>
      <c r="G1234" s="13"/>
      <c r="H1234" s="17" t="str">
        <f aca="false">IF(OR(E1234="",F1234=""),"",E1234*F1234)</f>
        <v/>
      </c>
      <c r="I1234" s="17" t="str">
        <f aca="false">IF(OR(E1234="",G1234=""),"",E1234*G1234)</f>
        <v/>
      </c>
      <c r="J1234" s="17" t="str">
        <f aca="false">IF(H1234="","",H1234-I1234)</f>
        <v/>
      </c>
    </row>
    <row r="1235" customFormat="false" ht="15" hidden="false" customHeight="true" outlineLevel="0" collapsed="false">
      <c r="A1235" s="7"/>
      <c r="B1235" s="18" t="str">
        <f aca="false">IF(A1235="","",IFERROR(INDEX(Sales_Memo!$B$2:$B$1001,MATCH(A1235,Sales_Memo!$A$2:$A$1001,0)),""))</f>
        <v/>
      </c>
      <c r="C1235" s="7"/>
      <c r="D1235" s="16" t="str">
        <f aca="false">IF(C1235="","",IFERROR(INDEX(Products!$B$2:$B$501,MATCH(C1235,Products!$A$2:$A$501,0)),"CODE NOT FOUND"))</f>
        <v/>
      </c>
      <c r="E1235" s="7"/>
      <c r="F1235" s="13"/>
      <c r="G1235" s="13"/>
      <c r="H1235" s="17" t="str">
        <f aca="false">IF(OR(E1235="",F1235=""),"",E1235*F1235)</f>
        <v/>
      </c>
      <c r="I1235" s="17" t="str">
        <f aca="false">IF(OR(E1235="",G1235=""),"",E1235*G1235)</f>
        <v/>
      </c>
      <c r="J1235" s="17" t="str">
        <f aca="false">IF(H1235="","",H1235-I1235)</f>
        <v/>
      </c>
    </row>
    <row r="1236" customFormat="false" ht="15" hidden="false" customHeight="true" outlineLevel="0" collapsed="false">
      <c r="A1236" s="7"/>
      <c r="B1236" s="18" t="str">
        <f aca="false">IF(A1236="","",IFERROR(INDEX(Sales_Memo!$B$2:$B$1001,MATCH(A1236,Sales_Memo!$A$2:$A$1001,0)),""))</f>
        <v/>
      </c>
      <c r="C1236" s="7"/>
      <c r="D1236" s="16" t="str">
        <f aca="false">IF(C1236="","",IFERROR(INDEX(Products!$B$2:$B$501,MATCH(C1236,Products!$A$2:$A$501,0)),"CODE NOT FOUND"))</f>
        <v/>
      </c>
      <c r="E1236" s="7"/>
      <c r="F1236" s="13"/>
      <c r="G1236" s="13"/>
      <c r="H1236" s="17" t="str">
        <f aca="false">IF(OR(E1236="",F1236=""),"",E1236*F1236)</f>
        <v/>
      </c>
      <c r="I1236" s="17" t="str">
        <f aca="false">IF(OR(E1236="",G1236=""),"",E1236*G1236)</f>
        <v/>
      </c>
      <c r="J1236" s="17" t="str">
        <f aca="false">IF(H1236="","",H1236-I1236)</f>
        <v/>
      </c>
    </row>
    <row r="1237" customFormat="false" ht="15" hidden="false" customHeight="true" outlineLevel="0" collapsed="false">
      <c r="A1237" s="7"/>
      <c r="B1237" s="18" t="str">
        <f aca="false">IF(A1237="","",IFERROR(INDEX(Sales_Memo!$B$2:$B$1001,MATCH(A1237,Sales_Memo!$A$2:$A$1001,0)),""))</f>
        <v/>
      </c>
      <c r="C1237" s="7"/>
      <c r="D1237" s="16" t="str">
        <f aca="false">IF(C1237="","",IFERROR(INDEX(Products!$B$2:$B$501,MATCH(C1237,Products!$A$2:$A$501,0)),"CODE NOT FOUND"))</f>
        <v/>
      </c>
      <c r="E1237" s="7"/>
      <c r="F1237" s="13"/>
      <c r="G1237" s="13"/>
      <c r="H1237" s="17" t="str">
        <f aca="false">IF(OR(E1237="",F1237=""),"",E1237*F1237)</f>
        <v/>
      </c>
      <c r="I1237" s="17" t="str">
        <f aca="false">IF(OR(E1237="",G1237=""),"",E1237*G1237)</f>
        <v/>
      </c>
      <c r="J1237" s="17" t="str">
        <f aca="false">IF(H1237="","",H1237-I1237)</f>
        <v/>
      </c>
    </row>
    <row r="1238" customFormat="false" ht="15" hidden="false" customHeight="true" outlineLevel="0" collapsed="false">
      <c r="A1238" s="7"/>
      <c r="B1238" s="18" t="str">
        <f aca="false">IF(A1238="","",IFERROR(INDEX(Sales_Memo!$B$2:$B$1001,MATCH(A1238,Sales_Memo!$A$2:$A$1001,0)),""))</f>
        <v/>
      </c>
      <c r="C1238" s="7"/>
      <c r="D1238" s="16" t="str">
        <f aca="false">IF(C1238="","",IFERROR(INDEX(Products!$B$2:$B$501,MATCH(C1238,Products!$A$2:$A$501,0)),"CODE NOT FOUND"))</f>
        <v/>
      </c>
      <c r="E1238" s="7"/>
      <c r="F1238" s="13"/>
      <c r="G1238" s="13"/>
      <c r="H1238" s="17" t="str">
        <f aca="false">IF(OR(E1238="",F1238=""),"",E1238*F1238)</f>
        <v/>
      </c>
      <c r="I1238" s="17" t="str">
        <f aca="false">IF(OR(E1238="",G1238=""),"",E1238*G1238)</f>
        <v/>
      </c>
      <c r="J1238" s="17" t="str">
        <f aca="false">IF(H1238="","",H1238-I1238)</f>
        <v/>
      </c>
    </row>
    <row r="1239" customFormat="false" ht="15" hidden="false" customHeight="true" outlineLevel="0" collapsed="false">
      <c r="A1239" s="7"/>
      <c r="B1239" s="18" t="str">
        <f aca="false">IF(A1239="","",IFERROR(INDEX(Sales_Memo!$B$2:$B$1001,MATCH(A1239,Sales_Memo!$A$2:$A$1001,0)),""))</f>
        <v/>
      </c>
      <c r="C1239" s="7"/>
      <c r="D1239" s="16" t="str">
        <f aca="false">IF(C1239="","",IFERROR(INDEX(Products!$B$2:$B$501,MATCH(C1239,Products!$A$2:$A$501,0)),"CODE NOT FOUND"))</f>
        <v/>
      </c>
      <c r="E1239" s="7"/>
      <c r="F1239" s="13"/>
      <c r="G1239" s="13"/>
      <c r="H1239" s="17" t="str">
        <f aca="false">IF(OR(E1239="",F1239=""),"",E1239*F1239)</f>
        <v/>
      </c>
      <c r="I1239" s="17" t="str">
        <f aca="false">IF(OR(E1239="",G1239=""),"",E1239*G1239)</f>
        <v/>
      </c>
      <c r="J1239" s="17" t="str">
        <f aca="false">IF(H1239="","",H1239-I1239)</f>
        <v/>
      </c>
    </row>
    <row r="1240" customFormat="false" ht="15" hidden="false" customHeight="true" outlineLevel="0" collapsed="false">
      <c r="A1240" s="7"/>
      <c r="B1240" s="18" t="str">
        <f aca="false">IF(A1240="","",IFERROR(INDEX(Sales_Memo!$B$2:$B$1001,MATCH(A1240,Sales_Memo!$A$2:$A$1001,0)),""))</f>
        <v/>
      </c>
      <c r="C1240" s="7"/>
      <c r="D1240" s="16" t="str">
        <f aca="false">IF(C1240="","",IFERROR(INDEX(Products!$B$2:$B$501,MATCH(C1240,Products!$A$2:$A$501,0)),"CODE NOT FOUND"))</f>
        <v/>
      </c>
      <c r="E1240" s="7"/>
      <c r="F1240" s="13"/>
      <c r="G1240" s="13"/>
      <c r="H1240" s="17" t="str">
        <f aca="false">IF(OR(E1240="",F1240=""),"",E1240*F1240)</f>
        <v/>
      </c>
      <c r="I1240" s="17" t="str">
        <f aca="false">IF(OR(E1240="",G1240=""),"",E1240*G1240)</f>
        <v/>
      </c>
      <c r="J1240" s="17" t="str">
        <f aca="false">IF(H1240="","",H1240-I1240)</f>
        <v/>
      </c>
    </row>
    <row r="1241" customFormat="false" ht="15" hidden="false" customHeight="true" outlineLevel="0" collapsed="false">
      <c r="A1241" s="7"/>
      <c r="B1241" s="18" t="str">
        <f aca="false">IF(A1241="","",IFERROR(INDEX(Sales_Memo!$B$2:$B$1001,MATCH(A1241,Sales_Memo!$A$2:$A$1001,0)),""))</f>
        <v/>
      </c>
      <c r="C1241" s="7"/>
      <c r="D1241" s="16" t="str">
        <f aca="false">IF(C1241="","",IFERROR(INDEX(Products!$B$2:$B$501,MATCH(C1241,Products!$A$2:$A$501,0)),"CODE NOT FOUND"))</f>
        <v/>
      </c>
      <c r="E1241" s="7"/>
      <c r="F1241" s="13"/>
      <c r="G1241" s="13"/>
      <c r="H1241" s="17" t="str">
        <f aca="false">IF(OR(E1241="",F1241=""),"",E1241*F1241)</f>
        <v/>
      </c>
      <c r="I1241" s="17" t="str">
        <f aca="false">IF(OR(E1241="",G1241=""),"",E1241*G1241)</f>
        <v/>
      </c>
      <c r="J1241" s="17" t="str">
        <f aca="false">IF(H1241="","",H1241-I1241)</f>
        <v/>
      </c>
    </row>
    <row r="1242" customFormat="false" ht="15" hidden="false" customHeight="true" outlineLevel="0" collapsed="false">
      <c r="A1242" s="7"/>
      <c r="B1242" s="18" t="str">
        <f aca="false">IF(A1242="","",IFERROR(INDEX(Sales_Memo!$B$2:$B$1001,MATCH(A1242,Sales_Memo!$A$2:$A$1001,0)),""))</f>
        <v/>
      </c>
      <c r="C1242" s="7"/>
      <c r="D1242" s="16" t="str">
        <f aca="false">IF(C1242="","",IFERROR(INDEX(Products!$B$2:$B$501,MATCH(C1242,Products!$A$2:$A$501,0)),"CODE NOT FOUND"))</f>
        <v/>
      </c>
      <c r="E1242" s="7"/>
      <c r="F1242" s="13"/>
      <c r="G1242" s="13"/>
      <c r="H1242" s="17" t="str">
        <f aca="false">IF(OR(E1242="",F1242=""),"",E1242*F1242)</f>
        <v/>
      </c>
      <c r="I1242" s="17" t="str">
        <f aca="false">IF(OR(E1242="",G1242=""),"",E1242*G1242)</f>
        <v/>
      </c>
      <c r="J1242" s="17" t="str">
        <f aca="false">IF(H1242="","",H1242-I1242)</f>
        <v/>
      </c>
    </row>
    <row r="1243" customFormat="false" ht="15" hidden="false" customHeight="true" outlineLevel="0" collapsed="false">
      <c r="A1243" s="7"/>
      <c r="B1243" s="18" t="str">
        <f aca="false">IF(A1243="","",IFERROR(INDEX(Sales_Memo!$B$2:$B$1001,MATCH(A1243,Sales_Memo!$A$2:$A$1001,0)),""))</f>
        <v/>
      </c>
      <c r="C1243" s="7"/>
      <c r="D1243" s="16" t="str">
        <f aca="false">IF(C1243="","",IFERROR(INDEX(Products!$B$2:$B$501,MATCH(C1243,Products!$A$2:$A$501,0)),"CODE NOT FOUND"))</f>
        <v/>
      </c>
      <c r="E1243" s="7"/>
      <c r="F1243" s="13"/>
      <c r="G1243" s="13"/>
      <c r="H1243" s="17" t="str">
        <f aca="false">IF(OR(E1243="",F1243=""),"",E1243*F1243)</f>
        <v/>
      </c>
      <c r="I1243" s="17" t="str">
        <f aca="false">IF(OR(E1243="",G1243=""),"",E1243*G1243)</f>
        <v/>
      </c>
      <c r="J1243" s="17" t="str">
        <f aca="false">IF(H1243="","",H1243-I1243)</f>
        <v/>
      </c>
    </row>
    <row r="1244" customFormat="false" ht="15" hidden="false" customHeight="true" outlineLevel="0" collapsed="false">
      <c r="A1244" s="7"/>
      <c r="B1244" s="18" t="str">
        <f aca="false">IF(A1244="","",IFERROR(INDEX(Sales_Memo!$B$2:$B$1001,MATCH(A1244,Sales_Memo!$A$2:$A$1001,0)),""))</f>
        <v/>
      </c>
      <c r="C1244" s="7"/>
      <c r="D1244" s="16" t="str">
        <f aca="false">IF(C1244="","",IFERROR(INDEX(Products!$B$2:$B$501,MATCH(C1244,Products!$A$2:$A$501,0)),"CODE NOT FOUND"))</f>
        <v/>
      </c>
      <c r="E1244" s="7"/>
      <c r="F1244" s="13"/>
      <c r="G1244" s="13"/>
      <c r="H1244" s="17" t="str">
        <f aca="false">IF(OR(E1244="",F1244=""),"",E1244*F1244)</f>
        <v/>
      </c>
      <c r="I1244" s="17" t="str">
        <f aca="false">IF(OR(E1244="",G1244=""),"",E1244*G1244)</f>
        <v/>
      </c>
      <c r="J1244" s="17" t="str">
        <f aca="false">IF(H1244="","",H1244-I1244)</f>
        <v/>
      </c>
    </row>
    <row r="1245" customFormat="false" ht="15" hidden="false" customHeight="true" outlineLevel="0" collapsed="false">
      <c r="A1245" s="7"/>
      <c r="B1245" s="18" t="str">
        <f aca="false">IF(A1245="","",IFERROR(INDEX(Sales_Memo!$B$2:$B$1001,MATCH(A1245,Sales_Memo!$A$2:$A$1001,0)),""))</f>
        <v/>
      </c>
      <c r="C1245" s="7"/>
      <c r="D1245" s="16" t="str">
        <f aca="false">IF(C1245="","",IFERROR(INDEX(Products!$B$2:$B$501,MATCH(C1245,Products!$A$2:$A$501,0)),"CODE NOT FOUND"))</f>
        <v/>
      </c>
      <c r="E1245" s="7"/>
      <c r="F1245" s="13"/>
      <c r="G1245" s="13"/>
      <c r="H1245" s="17" t="str">
        <f aca="false">IF(OR(E1245="",F1245=""),"",E1245*F1245)</f>
        <v/>
      </c>
      <c r="I1245" s="17" t="str">
        <f aca="false">IF(OR(E1245="",G1245=""),"",E1245*G1245)</f>
        <v/>
      </c>
      <c r="J1245" s="17" t="str">
        <f aca="false">IF(H1245="","",H1245-I1245)</f>
        <v/>
      </c>
    </row>
    <row r="1246" customFormat="false" ht="15" hidden="false" customHeight="true" outlineLevel="0" collapsed="false">
      <c r="A1246" s="7"/>
      <c r="B1246" s="18" t="str">
        <f aca="false">IF(A1246="","",IFERROR(INDEX(Sales_Memo!$B$2:$B$1001,MATCH(A1246,Sales_Memo!$A$2:$A$1001,0)),""))</f>
        <v/>
      </c>
      <c r="C1246" s="7"/>
      <c r="D1246" s="16" t="str">
        <f aca="false">IF(C1246="","",IFERROR(INDEX(Products!$B$2:$B$501,MATCH(C1246,Products!$A$2:$A$501,0)),"CODE NOT FOUND"))</f>
        <v/>
      </c>
      <c r="E1246" s="7"/>
      <c r="F1246" s="13"/>
      <c r="G1246" s="13"/>
      <c r="H1246" s="17" t="str">
        <f aca="false">IF(OR(E1246="",F1246=""),"",E1246*F1246)</f>
        <v/>
      </c>
      <c r="I1246" s="17" t="str">
        <f aca="false">IF(OR(E1246="",G1246=""),"",E1246*G1246)</f>
        <v/>
      </c>
      <c r="J1246" s="17" t="str">
        <f aca="false">IF(H1246="","",H1246-I1246)</f>
        <v/>
      </c>
    </row>
    <row r="1247" customFormat="false" ht="15" hidden="false" customHeight="true" outlineLevel="0" collapsed="false">
      <c r="A1247" s="7"/>
      <c r="B1247" s="18" t="str">
        <f aca="false">IF(A1247="","",IFERROR(INDEX(Sales_Memo!$B$2:$B$1001,MATCH(A1247,Sales_Memo!$A$2:$A$1001,0)),""))</f>
        <v/>
      </c>
      <c r="C1247" s="7"/>
      <c r="D1247" s="16" t="str">
        <f aca="false">IF(C1247="","",IFERROR(INDEX(Products!$B$2:$B$501,MATCH(C1247,Products!$A$2:$A$501,0)),"CODE NOT FOUND"))</f>
        <v/>
      </c>
      <c r="E1247" s="7"/>
      <c r="F1247" s="13"/>
      <c r="G1247" s="13"/>
      <c r="H1247" s="17" t="str">
        <f aca="false">IF(OR(E1247="",F1247=""),"",E1247*F1247)</f>
        <v/>
      </c>
      <c r="I1247" s="17" t="str">
        <f aca="false">IF(OR(E1247="",G1247=""),"",E1247*G1247)</f>
        <v/>
      </c>
      <c r="J1247" s="17" t="str">
        <f aca="false">IF(H1247="","",H1247-I1247)</f>
        <v/>
      </c>
    </row>
    <row r="1248" customFormat="false" ht="15" hidden="false" customHeight="true" outlineLevel="0" collapsed="false">
      <c r="A1248" s="7"/>
      <c r="B1248" s="18" t="str">
        <f aca="false">IF(A1248="","",IFERROR(INDEX(Sales_Memo!$B$2:$B$1001,MATCH(A1248,Sales_Memo!$A$2:$A$1001,0)),""))</f>
        <v/>
      </c>
      <c r="C1248" s="7"/>
      <c r="D1248" s="16" t="str">
        <f aca="false">IF(C1248="","",IFERROR(INDEX(Products!$B$2:$B$501,MATCH(C1248,Products!$A$2:$A$501,0)),"CODE NOT FOUND"))</f>
        <v/>
      </c>
      <c r="E1248" s="7"/>
      <c r="F1248" s="13"/>
      <c r="G1248" s="13"/>
      <c r="H1248" s="17" t="str">
        <f aca="false">IF(OR(E1248="",F1248=""),"",E1248*F1248)</f>
        <v/>
      </c>
      <c r="I1248" s="17" t="str">
        <f aca="false">IF(OR(E1248="",G1248=""),"",E1248*G1248)</f>
        <v/>
      </c>
      <c r="J1248" s="17" t="str">
        <f aca="false">IF(H1248="","",H1248-I1248)</f>
        <v/>
      </c>
    </row>
    <row r="1249" customFormat="false" ht="15" hidden="false" customHeight="true" outlineLevel="0" collapsed="false">
      <c r="A1249" s="7"/>
      <c r="B1249" s="18" t="str">
        <f aca="false">IF(A1249="","",IFERROR(INDEX(Sales_Memo!$B$2:$B$1001,MATCH(A1249,Sales_Memo!$A$2:$A$1001,0)),""))</f>
        <v/>
      </c>
      <c r="C1249" s="7"/>
      <c r="D1249" s="16" t="str">
        <f aca="false">IF(C1249="","",IFERROR(INDEX(Products!$B$2:$B$501,MATCH(C1249,Products!$A$2:$A$501,0)),"CODE NOT FOUND"))</f>
        <v/>
      </c>
      <c r="E1249" s="7"/>
      <c r="F1249" s="13"/>
      <c r="G1249" s="13"/>
      <c r="H1249" s="17" t="str">
        <f aca="false">IF(OR(E1249="",F1249=""),"",E1249*F1249)</f>
        <v/>
      </c>
      <c r="I1249" s="17" t="str">
        <f aca="false">IF(OR(E1249="",G1249=""),"",E1249*G1249)</f>
        <v/>
      </c>
      <c r="J1249" s="17" t="str">
        <f aca="false">IF(H1249="","",H1249-I1249)</f>
        <v/>
      </c>
    </row>
    <row r="1250" customFormat="false" ht="15" hidden="false" customHeight="true" outlineLevel="0" collapsed="false">
      <c r="A1250" s="7"/>
      <c r="B1250" s="18" t="str">
        <f aca="false">IF(A1250="","",IFERROR(INDEX(Sales_Memo!$B$2:$B$1001,MATCH(A1250,Sales_Memo!$A$2:$A$1001,0)),""))</f>
        <v/>
      </c>
      <c r="C1250" s="7"/>
      <c r="D1250" s="16" t="str">
        <f aca="false">IF(C1250="","",IFERROR(INDEX(Products!$B$2:$B$501,MATCH(C1250,Products!$A$2:$A$501,0)),"CODE NOT FOUND"))</f>
        <v/>
      </c>
      <c r="E1250" s="7"/>
      <c r="F1250" s="13"/>
      <c r="G1250" s="13"/>
      <c r="H1250" s="17" t="str">
        <f aca="false">IF(OR(E1250="",F1250=""),"",E1250*F1250)</f>
        <v/>
      </c>
      <c r="I1250" s="17" t="str">
        <f aca="false">IF(OR(E1250="",G1250=""),"",E1250*G1250)</f>
        <v/>
      </c>
      <c r="J1250" s="17" t="str">
        <f aca="false">IF(H1250="","",H1250-I1250)</f>
        <v/>
      </c>
    </row>
    <row r="1251" customFormat="false" ht="15" hidden="false" customHeight="true" outlineLevel="0" collapsed="false">
      <c r="A1251" s="7"/>
      <c r="B1251" s="18" t="str">
        <f aca="false">IF(A1251="","",IFERROR(INDEX(Sales_Memo!$B$2:$B$1001,MATCH(A1251,Sales_Memo!$A$2:$A$1001,0)),""))</f>
        <v/>
      </c>
      <c r="C1251" s="7"/>
      <c r="D1251" s="16" t="str">
        <f aca="false">IF(C1251="","",IFERROR(INDEX(Products!$B$2:$B$501,MATCH(C1251,Products!$A$2:$A$501,0)),"CODE NOT FOUND"))</f>
        <v/>
      </c>
      <c r="E1251" s="7"/>
      <c r="F1251" s="13"/>
      <c r="G1251" s="13"/>
      <c r="H1251" s="17" t="str">
        <f aca="false">IF(OR(E1251="",F1251=""),"",E1251*F1251)</f>
        <v/>
      </c>
      <c r="I1251" s="17" t="str">
        <f aca="false">IF(OR(E1251="",G1251=""),"",E1251*G1251)</f>
        <v/>
      </c>
      <c r="J1251" s="17" t="str">
        <f aca="false">IF(H1251="","",H1251-I1251)</f>
        <v/>
      </c>
    </row>
    <row r="1252" customFormat="false" ht="15" hidden="false" customHeight="true" outlineLevel="0" collapsed="false">
      <c r="A1252" s="7"/>
      <c r="B1252" s="18" t="str">
        <f aca="false">IF(A1252="","",IFERROR(INDEX(Sales_Memo!$B$2:$B$1001,MATCH(A1252,Sales_Memo!$A$2:$A$1001,0)),""))</f>
        <v/>
      </c>
      <c r="C1252" s="7"/>
      <c r="D1252" s="16" t="str">
        <f aca="false">IF(C1252="","",IFERROR(INDEX(Products!$B$2:$B$501,MATCH(C1252,Products!$A$2:$A$501,0)),"CODE NOT FOUND"))</f>
        <v/>
      </c>
      <c r="E1252" s="7"/>
      <c r="F1252" s="13"/>
      <c r="G1252" s="13"/>
      <c r="H1252" s="17" t="str">
        <f aca="false">IF(OR(E1252="",F1252=""),"",E1252*F1252)</f>
        <v/>
      </c>
      <c r="I1252" s="17" t="str">
        <f aca="false">IF(OR(E1252="",G1252=""),"",E1252*G1252)</f>
        <v/>
      </c>
      <c r="J1252" s="17" t="str">
        <f aca="false">IF(H1252="","",H1252-I1252)</f>
        <v/>
      </c>
    </row>
    <row r="1253" customFormat="false" ht="15" hidden="false" customHeight="true" outlineLevel="0" collapsed="false">
      <c r="A1253" s="7"/>
      <c r="B1253" s="18" t="str">
        <f aca="false">IF(A1253="","",IFERROR(INDEX(Sales_Memo!$B$2:$B$1001,MATCH(A1253,Sales_Memo!$A$2:$A$1001,0)),""))</f>
        <v/>
      </c>
      <c r="C1253" s="7"/>
      <c r="D1253" s="16" t="str">
        <f aca="false">IF(C1253="","",IFERROR(INDEX(Products!$B$2:$B$501,MATCH(C1253,Products!$A$2:$A$501,0)),"CODE NOT FOUND"))</f>
        <v/>
      </c>
      <c r="E1253" s="7"/>
      <c r="F1253" s="13"/>
      <c r="G1253" s="13"/>
      <c r="H1253" s="17" t="str">
        <f aca="false">IF(OR(E1253="",F1253=""),"",E1253*F1253)</f>
        <v/>
      </c>
      <c r="I1253" s="17" t="str">
        <f aca="false">IF(OR(E1253="",G1253=""),"",E1253*G1253)</f>
        <v/>
      </c>
      <c r="J1253" s="17" t="str">
        <f aca="false">IF(H1253="","",H1253-I1253)</f>
        <v/>
      </c>
    </row>
    <row r="1254" customFormat="false" ht="15" hidden="false" customHeight="true" outlineLevel="0" collapsed="false">
      <c r="A1254" s="7"/>
      <c r="B1254" s="18" t="str">
        <f aca="false">IF(A1254="","",IFERROR(INDEX(Sales_Memo!$B$2:$B$1001,MATCH(A1254,Sales_Memo!$A$2:$A$1001,0)),""))</f>
        <v/>
      </c>
      <c r="C1254" s="7"/>
      <c r="D1254" s="16" t="str">
        <f aca="false">IF(C1254="","",IFERROR(INDEX(Products!$B$2:$B$501,MATCH(C1254,Products!$A$2:$A$501,0)),"CODE NOT FOUND"))</f>
        <v/>
      </c>
      <c r="E1254" s="7"/>
      <c r="F1254" s="13"/>
      <c r="G1254" s="13"/>
      <c r="H1254" s="17" t="str">
        <f aca="false">IF(OR(E1254="",F1254=""),"",E1254*F1254)</f>
        <v/>
      </c>
      <c r="I1254" s="17" t="str">
        <f aca="false">IF(OR(E1254="",G1254=""),"",E1254*G1254)</f>
        <v/>
      </c>
      <c r="J1254" s="17" t="str">
        <f aca="false">IF(H1254="","",H1254-I1254)</f>
        <v/>
      </c>
    </row>
    <row r="1255" customFormat="false" ht="15" hidden="false" customHeight="true" outlineLevel="0" collapsed="false">
      <c r="A1255" s="7"/>
      <c r="B1255" s="18" t="str">
        <f aca="false">IF(A1255="","",IFERROR(INDEX(Sales_Memo!$B$2:$B$1001,MATCH(A1255,Sales_Memo!$A$2:$A$1001,0)),""))</f>
        <v/>
      </c>
      <c r="C1255" s="7"/>
      <c r="D1255" s="16" t="str">
        <f aca="false">IF(C1255="","",IFERROR(INDEX(Products!$B$2:$B$501,MATCH(C1255,Products!$A$2:$A$501,0)),"CODE NOT FOUND"))</f>
        <v/>
      </c>
      <c r="E1255" s="7"/>
      <c r="F1255" s="13"/>
      <c r="G1255" s="13"/>
      <c r="H1255" s="17" t="str">
        <f aca="false">IF(OR(E1255="",F1255=""),"",E1255*F1255)</f>
        <v/>
      </c>
      <c r="I1255" s="17" t="str">
        <f aca="false">IF(OR(E1255="",G1255=""),"",E1255*G1255)</f>
        <v/>
      </c>
      <c r="J1255" s="17" t="str">
        <f aca="false">IF(H1255="","",H1255-I1255)</f>
        <v/>
      </c>
    </row>
    <row r="1256" customFormat="false" ht="15" hidden="false" customHeight="true" outlineLevel="0" collapsed="false">
      <c r="A1256" s="7"/>
      <c r="B1256" s="18" t="str">
        <f aca="false">IF(A1256="","",IFERROR(INDEX(Sales_Memo!$B$2:$B$1001,MATCH(A1256,Sales_Memo!$A$2:$A$1001,0)),""))</f>
        <v/>
      </c>
      <c r="C1256" s="7"/>
      <c r="D1256" s="16" t="str">
        <f aca="false">IF(C1256="","",IFERROR(INDEX(Products!$B$2:$B$501,MATCH(C1256,Products!$A$2:$A$501,0)),"CODE NOT FOUND"))</f>
        <v/>
      </c>
      <c r="E1256" s="7"/>
      <c r="F1256" s="13"/>
      <c r="G1256" s="13"/>
      <c r="H1256" s="17" t="str">
        <f aca="false">IF(OR(E1256="",F1256=""),"",E1256*F1256)</f>
        <v/>
      </c>
      <c r="I1256" s="17" t="str">
        <f aca="false">IF(OR(E1256="",G1256=""),"",E1256*G1256)</f>
        <v/>
      </c>
      <c r="J1256" s="17" t="str">
        <f aca="false">IF(H1256="","",H1256-I1256)</f>
        <v/>
      </c>
    </row>
    <row r="1257" customFormat="false" ht="15" hidden="false" customHeight="true" outlineLevel="0" collapsed="false">
      <c r="A1257" s="7"/>
      <c r="B1257" s="18" t="str">
        <f aca="false">IF(A1257="","",IFERROR(INDEX(Sales_Memo!$B$2:$B$1001,MATCH(A1257,Sales_Memo!$A$2:$A$1001,0)),""))</f>
        <v/>
      </c>
      <c r="C1257" s="7"/>
      <c r="D1257" s="16" t="str">
        <f aca="false">IF(C1257="","",IFERROR(INDEX(Products!$B$2:$B$501,MATCH(C1257,Products!$A$2:$A$501,0)),"CODE NOT FOUND"))</f>
        <v/>
      </c>
      <c r="E1257" s="7"/>
      <c r="F1257" s="13"/>
      <c r="G1257" s="13"/>
      <c r="H1257" s="17" t="str">
        <f aca="false">IF(OR(E1257="",F1257=""),"",E1257*F1257)</f>
        <v/>
      </c>
      <c r="I1257" s="17" t="str">
        <f aca="false">IF(OR(E1257="",G1257=""),"",E1257*G1257)</f>
        <v/>
      </c>
      <c r="J1257" s="17" t="str">
        <f aca="false">IF(H1257="","",H1257-I1257)</f>
        <v/>
      </c>
    </row>
    <row r="1258" customFormat="false" ht="15" hidden="false" customHeight="true" outlineLevel="0" collapsed="false">
      <c r="A1258" s="7"/>
      <c r="B1258" s="18" t="str">
        <f aca="false">IF(A1258="","",IFERROR(INDEX(Sales_Memo!$B$2:$B$1001,MATCH(A1258,Sales_Memo!$A$2:$A$1001,0)),""))</f>
        <v/>
      </c>
      <c r="C1258" s="7"/>
      <c r="D1258" s="16" t="str">
        <f aca="false">IF(C1258="","",IFERROR(INDEX(Products!$B$2:$B$501,MATCH(C1258,Products!$A$2:$A$501,0)),"CODE NOT FOUND"))</f>
        <v/>
      </c>
      <c r="E1258" s="7"/>
      <c r="F1258" s="13"/>
      <c r="G1258" s="13"/>
      <c r="H1258" s="17" t="str">
        <f aca="false">IF(OR(E1258="",F1258=""),"",E1258*F1258)</f>
        <v/>
      </c>
      <c r="I1258" s="17" t="str">
        <f aca="false">IF(OR(E1258="",G1258=""),"",E1258*G1258)</f>
        <v/>
      </c>
      <c r="J1258" s="17" t="str">
        <f aca="false">IF(H1258="","",H1258-I1258)</f>
        <v/>
      </c>
    </row>
    <row r="1259" customFormat="false" ht="15" hidden="false" customHeight="true" outlineLevel="0" collapsed="false">
      <c r="A1259" s="7"/>
      <c r="B1259" s="18" t="str">
        <f aca="false">IF(A1259="","",IFERROR(INDEX(Sales_Memo!$B$2:$B$1001,MATCH(A1259,Sales_Memo!$A$2:$A$1001,0)),""))</f>
        <v/>
      </c>
      <c r="C1259" s="7"/>
      <c r="D1259" s="16" t="str">
        <f aca="false">IF(C1259="","",IFERROR(INDEX(Products!$B$2:$B$501,MATCH(C1259,Products!$A$2:$A$501,0)),"CODE NOT FOUND"))</f>
        <v/>
      </c>
      <c r="E1259" s="7"/>
      <c r="F1259" s="13"/>
      <c r="G1259" s="13"/>
      <c r="H1259" s="17" t="str">
        <f aca="false">IF(OR(E1259="",F1259=""),"",E1259*F1259)</f>
        <v/>
      </c>
      <c r="I1259" s="17" t="str">
        <f aca="false">IF(OR(E1259="",G1259=""),"",E1259*G1259)</f>
        <v/>
      </c>
      <c r="J1259" s="17" t="str">
        <f aca="false">IF(H1259="","",H1259-I1259)</f>
        <v/>
      </c>
    </row>
    <row r="1260" customFormat="false" ht="15" hidden="false" customHeight="true" outlineLevel="0" collapsed="false">
      <c r="A1260" s="7"/>
      <c r="B1260" s="18" t="str">
        <f aca="false">IF(A1260="","",IFERROR(INDEX(Sales_Memo!$B$2:$B$1001,MATCH(A1260,Sales_Memo!$A$2:$A$1001,0)),""))</f>
        <v/>
      </c>
      <c r="C1260" s="7"/>
      <c r="D1260" s="16" t="str">
        <f aca="false">IF(C1260="","",IFERROR(INDEX(Products!$B$2:$B$501,MATCH(C1260,Products!$A$2:$A$501,0)),"CODE NOT FOUND"))</f>
        <v/>
      </c>
      <c r="E1260" s="7"/>
      <c r="F1260" s="13"/>
      <c r="G1260" s="13"/>
      <c r="H1260" s="17" t="str">
        <f aca="false">IF(OR(E1260="",F1260=""),"",E1260*F1260)</f>
        <v/>
      </c>
      <c r="I1260" s="17" t="str">
        <f aca="false">IF(OR(E1260="",G1260=""),"",E1260*G1260)</f>
        <v/>
      </c>
      <c r="J1260" s="17" t="str">
        <f aca="false">IF(H1260="","",H1260-I1260)</f>
        <v/>
      </c>
    </row>
    <row r="1261" customFormat="false" ht="15" hidden="false" customHeight="true" outlineLevel="0" collapsed="false">
      <c r="A1261" s="7"/>
      <c r="B1261" s="18" t="str">
        <f aca="false">IF(A1261="","",IFERROR(INDEX(Sales_Memo!$B$2:$B$1001,MATCH(A1261,Sales_Memo!$A$2:$A$1001,0)),""))</f>
        <v/>
      </c>
      <c r="C1261" s="7"/>
      <c r="D1261" s="16" t="str">
        <f aca="false">IF(C1261="","",IFERROR(INDEX(Products!$B$2:$B$501,MATCH(C1261,Products!$A$2:$A$501,0)),"CODE NOT FOUND"))</f>
        <v/>
      </c>
      <c r="E1261" s="7"/>
      <c r="F1261" s="13"/>
      <c r="G1261" s="13"/>
      <c r="H1261" s="17" t="str">
        <f aca="false">IF(OR(E1261="",F1261=""),"",E1261*F1261)</f>
        <v/>
      </c>
      <c r="I1261" s="17" t="str">
        <f aca="false">IF(OR(E1261="",G1261=""),"",E1261*G1261)</f>
        <v/>
      </c>
      <c r="J1261" s="17" t="str">
        <f aca="false">IF(H1261="","",H1261-I1261)</f>
        <v/>
      </c>
    </row>
    <row r="1262" customFormat="false" ht="15" hidden="false" customHeight="true" outlineLevel="0" collapsed="false">
      <c r="A1262" s="7"/>
      <c r="B1262" s="18" t="str">
        <f aca="false">IF(A1262="","",IFERROR(INDEX(Sales_Memo!$B$2:$B$1001,MATCH(A1262,Sales_Memo!$A$2:$A$1001,0)),""))</f>
        <v/>
      </c>
      <c r="C1262" s="7"/>
      <c r="D1262" s="16" t="str">
        <f aca="false">IF(C1262="","",IFERROR(INDEX(Products!$B$2:$B$501,MATCH(C1262,Products!$A$2:$A$501,0)),"CODE NOT FOUND"))</f>
        <v/>
      </c>
      <c r="E1262" s="7"/>
      <c r="F1262" s="13"/>
      <c r="G1262" s="13"/>
      <c r="H1262" s="17" t="str">
        <f aca="false">IF(OR(E1262="",F1262=""),"",E1262*F1262)</f>
        <v/>
      </c>
      <c r="I1262" s="17" t="str">
        <f aca="false">IF(OR(E1262="",G1262=""),"",E1262*G1262)</f>
        <v/>
      </c>
      <c r="J1262" s="17" t="str">
        <f aca="false">IF(H1262="","",H1262-I1262)</f>
        <v/>
      </c>
    </row>
    <row r="1263" customFormat="false" ht="15" hidden="false" customHeight="true" outlineLevel="0" collapsed="false">
      <c r="A1263" s="7"/>
      <c r="B1263" s="18" t="str">
        <f aca="false">IF(A1263="","",IFERROR(INDEX(Sales_Memo!$B$2:$B$1001,MATCH(A1263,Sales_Memo!$A$2:$A$1001,0)),""))</f>
        <v/>
      </c>
      <c r="C1263" s="7"/>
      <c r="D1263" s="16" t="str">
        <f aca="false">IF(C1263="","",IFERROR(INDEX(Products!$B$2:$B$501,MATCH(C1263,Products!$A$2:$A$501,0)),"CODE NOT FOUND"))</f>
        <v/>
      </c>
      <c r="E1263" s="7"/>
      <c r="F1263" s="13"/>
      <c r="G1263" s="13"/>
      <c r="H1263" s="17" t="str">
        <f aca="false">IF(OR(E1263="",F1263=""),"",E1263*F1263)</f>
        <v/>
      </c>
      <c r="I1263" s="17" t="str">
        <f aca="false">IF(OR(E1263="",G1263=""),"",E1263*G1263)</f>
        <v/>
      </c>
      <c r="J1263" s="17" t="str">
        <f aca="false">IF(H1263="","",H1263-I1263)</f>
        <v/>
      </c>
    </row>
    <row r="1264" customFormat="false" ht="15" hidden="false" customHeight="true" outlineLevel="0" collapsed="false">
      <c r="A1264" s="7"/>
      <c r="B1264" s="18" t="str">
        <f aca="false">IF(A1264="","",IFERROR(INDEX(Sales_Memo!$B$2:$B$1001,MATCH(A1264,Sales_Memo!$A$2:$A$1001,0)),""))</f>
        <v/>
      </c>
      <c r="C1264" s="7"/>
      <c r="D1264" s="16" t="str">
        <f aca="false">IF(C1264="","",IFERROR(INDEX(Products!$B$2:$B$501,MATCH(C1264,Products!$A$2:$A$501,0)),"CODE NOT FOUND"))</f>
        <v/>
      </c>
      <c r="E1264" s="7"/>
      <c r="F1264" s="13"/>
      <c r="G1264" s="13"/>
      <c r="H1264" s="17" t="str">
        <f aca="false">IF(OR(E1264="",F1264=""),"",E1264*F1264)</f>
        <v/>
      </c>
      <c r="I1264" s="17" t="str">
        <f aca="false">IF(OR(E1264="",G1264=""),"",E1264*G1264)</f>
        <v/>
      </c>
      <c r="J1264" s="17" t="str">
        <f aca="false">IF(H1264="","",H1264-I1264)</f>
        <v/>
      </c>
    </row>
    <row r="1265" customFormat="false" ht="15" hidden="false" customHeight="true" outlineLevel="0" collapsed="false">
      <c r="A1265" s="7"/>
      <c r="B1265" s="18" t="str">
        <f aca="false">IF(A1265="","",IFERROR(INDEX(Sales_Memo!$B$2:$B$1001,MATCH(A1265,Sales_Memo!$A$2:$A$1001,0)),""))</f>
        <v/>
      </c>
      <c r="C1265" s="7"/>
      <c r="D1265" s="16" t="str">
        <f aca="false">IF(C1265="","",IFERROR(INDEX(Products!$B$2:$B$501,MATCH(C1265,Products!$A$2:$A$501,0)),"CODE NOT FOUND"))</f>
        <v/>
      </c>
      <c r="E1265" s="7"/>
      <c r="F1265" s="13"/>
      <c r="G1265" s="13"/>
      <c r="H1265" s="17" t="str">
        <f aca="false">IF(OR(E1265="",F1265=""),"",E1265*F1265)</f>
        <v/>
      </c>
      <c r="I1265" s="17" t="str">
        <f aca="false">IF(OR(E1265="",G1265=""),"",E1265*G1265)</f>
        <v/>
      </c>
      <c r="J1265" s="17" t="str">
        <f aca="false">IF(H1265="","",H1265-I1265)</f>
        <v/>
      </c>
    </row>
    <row r="1266" customFormat="false" ht="15" hidden="false" customHeight="true" outlineLevel="0" collapsed="false">
      <c r="A1266" s="7"/>
      <c r="B1266" s="18" t="str">
        <f aca="false">IF(A1266="","",IFERROR(INDEX(Sales_Memo!$B$2:$B$1001,MATCH(A1266,Sales_Memo!$A$2:$A$1001,0)),""))</f>
        <v/>
      </c>
      <c r="C1266" s="7"/>
      <c r="D1266" s="16" t="str">
        <f aca="false">IF(C1266="","",IFERROR(INDEX(Products!$B$2:$B$501,MATCH(C1266,Products!$A$2:$A$501,0)),"CODE NOT FOUND"))</f>
        <v/>
      </c>
      <c r="E1266" s="7"/>
      <c r="F1266" s="13"/>
      <c r="G1266" s="13"/>
      <c r="H1266" s="17" t="str">
        <f aca="false">IF(OR(E1266="",F1266=""),"",E1266*F1266)</f>
        <v/>
      </c>
      <c r="I1266" s="17" t="str">
        <f aca="false">IF(OR(E1266="",G1266=""),"",E1266*G1266)</f>
        <v/>
      </c>
      <c r="J1266" s="17" t="str">
        <f aca="false">IF(H1266="","",H1266-I1266)</f>
        <v/>
      </c>
    </row>
    <row r="1267" customFormat="false" ht="15" hidden="false" customHeight="true" outlineLevel="0" collapsed="false">
      <c r="A1267" s="7"/>
      <c r="B1267" s="18" t="str">
        <f aca="false">IF(A1267="","",IFERROR(INDEX(Sales_Memo!$B$2:$B$1001,MATCH(A1267,Sales_Memo!$A$2:$A$1001,0)),""))</f>
        <v/>
      </c>
      <c r="C1267" s="7"/>
      <c r="D1267" s="16" t="str">
        <f aca="false">IF(C1267="","",IFERROR(INDEX(Products!$B$2:$B$501,MATCH(C1267,Products!$A$2:$A$501,0)),"CODE NOT FOUND"))</f>
        <v/>
      </c>
      <c r="E1267" s="7"/>
      <c r="F1267" s="13"/>
      <c r="G1267" s="13"/>
      <c r="H1267" s="17" t="str">
        <f aca="false">IF(OR(E1267="",F1267=""),"",E1267*F1267)</f>
        <v/>
      </c>
      <c r="I1267" s="17" t="str">
        <f aca="false">IF(OR(E1267="",G1267=""),"",E1267*G1267)</f>
        <v/>
      </c>
      <c r="J1267" s="17" t="str">
        <f aca="false">IF(H1267="","",H1267-I1267)</f>
        <v/>
      </c>
    </row>
    <row r="1268" customFormat="false" ht="15" hidden="false" customHeight="true" outlineLevel="0" collapsed="false">
      <c r="A1268" s="7"/>
      <c r="B1268" s="18" t="str">
        <f aca="false">IF(A1268="","",IFERROR(INDEX(Sales_Memo!$B$2:$B$1001,MATCH(A1268,Sales_Memo!$A$2:$A$1001,0)),""))</f>
        <v/>
      </c>
      <c r="C1268" s="7"/>
      <c r="D1268" s="16" t="str">
        <f aca="false">IF(C1268="","",IFERROR(INDEX(Products!$B$2:$B$501,MATCH(C1268,Products!$A$2:$A$501,0)),"CODE NOT FOUND"))</f>
        <v/>
      </c>
      <c r="E1268" s="7"/>
      <c r="F1268" s="13"/>
      <c r="G1268" s="13"/>
      <c r="H1268" s="17" t="str">
        <f aca="false">IF(OR(E1268="",F1268=""),"",E1268*F1268)</f>
        <v/>
      </c>
      <c r="I1268" s="17" t="str">
        <f aca="false">IF(OR(E1268="",G1268=""),"",E1268*G1268)</f>
        <v/>
      </c>
      <c r="J1268" s="17" t="str">
        <f aca="false">IF(H1268="","",H1268-I1268)</f>
        <v/>
      </c>
    </row>
    <row r="1269" customFormat="false" ht="15" hidden="false" customHeight="true" outlineLevel="0" collapsed="false">
      <c r="A1269" s="7"/>
      <c r="B1269" s="18" t="str">
        <f aca="false">IF(A1269="","",IFERROR(INDEX(Sales_Memo!$B$2:$B$1001,MATCH(A1269,Sales_Memo!$A$2:$A$1001,0)),""))</f>
        <v/>
      </c>
      <c r="C1269" s="7"/>
      <c r="D1269" s="16" t="str">
        <f aca="false">IF(C1269="","",IFERROR(INDEX(Products!$B$2:$B$501,MATCH(C1269,Products!$A$2:$A$501,0)),"CODE NOT FOUND"))</f>
        <v/>
      </c>
      <c r="E1269" s="7"/>
      <c r="F1269" s="13"/>
      <c r="G1269" s="13"/>
      <c r="H1269" s="17" t="str">
        <f aca="false">IF(OR(E1269="",F1269=""),"",E1269*F1269)</f>
        <v/>
      </c>
      <c r="I1269" s="17" t="str">
        <f aca="false">IF(OR(E1269="",G1269=""),"",E1269*G1269)</f>
        <v/>
      </c>
      <c r="J1269" s="17" t="str">
        <f aca="false">IF(H1269="","",H1269-I1269)</f>
        <v/>
      </c>
    </row>
    <row r="1270" customFormat="false" ht="15" hidden="false" customHeight="true" outlineLevel="0" collapsed="false">
      <c r="A1270" s="7"/>
      <c r="B1270" s="18" t="str">
        <f aca="false">IF(A1270="","",IFERROR(INDEX(Sales_Memo!$B$2:$B$1001,MATCH(A1270,Sales_Memo!$A$2:$A$1001,0)),""))</f>
        <v/>
      </c>
      <c r="C1270" s="7"/>
      <c r="D1270" s="16" t="str">
        <f aca="false">IF(C1270="","",IFERROR(INDEX(Products!$B$2:$B$501,MATCH(C1270,Products!$A$2:$A$501,0)),"CODE NOT FOUND"))</f>
        <v/>
      </c>
      <c r="E1270" s="7"/>
      <c r="F1270" s="13"/>
      <c r="G1270" s="13"/>
      <c r="H1270" s="17" t="str">
        <f aca="false">IF(OR(E1270="",F1270=""),"",E1270*F1270)</f>
        <v/>
      </c>
      <c r="I1270" s="17" t="str">
        <f aca="false">IF(OR(E1270="",G1270=""),"",E1270*G1270)</f>
        <v/>
      </c>
      <c r="J1270" s="17" t="str">
        <f aca="false">IF(H1270="","",H1270-I1270)</f>
        <v/>
      </c>
    </row>
    <row r="1271" customFormat="false" ht="15" hidden="false" customHeight="true" outlineLevel="0" collapsed="false">
      <c r="A1271" s="7"/>
      <c r="B1271" s="18" t="str">
        <f aca="false">IF(A1271="","",IFERROR(INDEX(Sales_Memo!$B$2:$B$1001,MATCH(A1271,Sales_Memo!$A$2:$A$1001,0)),""))</f>
        <v/>
      </c>
      <c r="C1271" s="7"/>
      <c r="D1271" s="16" t="str">
        <f aca="false">IF(C1271="","",IFERROR(INDEX(Products!$B$2:$B$501,MATCH(C1271,Products!$A$2:$A$501,0)),"CODE NOT FOUND"))</f>
        <v/>
      </c>
      <c r="E1271" s="7"/>
      <c r="F1271" s="13"/>
      <c r="G1271" s="13"/>
      <c r="H1271" s="17" t="str">
        <f aca="false">IF(OR(E1271="",F1271=""),"",E1271*F1271)</f>
        <v/>
      </c>
      <c r="I1271" s="17" t="str">
        <f aca="false">IF(OR(E1271="",G1271=""),"",E1271*G1271)</f>
        <v/>
      </c>
      <c r="J1271" s="17" t="str">
        <f aca="false">IF(H1271="","",H1271-I1271)</f>
        <v/>
      </c>
    </row>
    <row r="1272" customFormat="false" ht="15" hidden="false" customHeight="true" outlineLevel="0" collapsed="false">
      <c r="A1272" s="7"/>
      <c r="B1272" s="18" t="str">
        <f aca="false">IF(A1272="","",IFERROR(INDEX(Sales_Memo!$B$2:$B$1001,MATCH(A1272,Sales_Memo!$A$2:$A$1001,0)),""))</f>
        <v/>
      </c>
      <c r="C1272" s="7"/>
      <c r="D1272" s="16" t="str">
        <f aca="false">IF(C1272="","",IFERROR(INDEX(Products!$B$2:$B$501,MATCH(C1272,Products!$A$2:$A$501,0)),"CODE NOT FOUND"))</f>
        <v/>
      </c>
      <c r="E1272" s="7"/>
      <c r="F1272" s="13"/>
      <c r="G1272" s="13"/>
      <c r="H1272" s="17" t="str">
        <f aca="false">IF(OR(E1272="",F1272=""),"",E1272*F1272)</f>
        <v/>
      </c>
      <c r="I1272" s="17" t="str">
        <f aca="false">IF(OR(E1272="",G1272=""),"",E1272*G1272)</f>
        <v/>
      </c>
      <c r="J1272" s="17" t="str">
        <f aca="false">IF(H1272="","",H1272-I1272)</f>
        <v/>
      </c>
    </row>
    <row r="1273" customFormat="false" ht="15" hidden="false" customHeight="true" outlineLevel="0" collapsed="false">
      <c r="A1273" s="7"/>
      <c r="B1273" s="18" t="str">
        <f aca="false">IF(A1273="","",IFERROR(INDEX(Sales_Memo!$B$2:$B$1001,MATCH(A1273,Sales_Memo!$A$2:$A$1001,0)),""))</f>
        <v/>
      </c>
      <c r="C1273" s="7"/>
      <c r="D1273" s="16" t="str">
        <f aca="false">IF(C1273="","",IFERROR(INDEX(Products!$B$2:$B$501,MATCH(C1273,Products!$A$2:$A$501,0)),"CODE NOT FOUND"))</f>
        <v/>
      </c>
      <c r="E1273" s="7"/>
      <c r="F1273" s="13"/>
      <c r="G1273" s="13"/>
      <c r="H1273" s="17" t="str">
        <f aca="false">IF(OR(E1273="",F1273=""),"",E1273*F1273)</f>
        <v/>
      </c>
      <c r="I1273" s="17" t="str">
        <f aca="false">IF(OR(E1273="",G1273=""),"",E1273*G1273)</f>
        <v/>
      </c>
      <c r="J1273" s="17" t="str">
        <f aca="false">IF(H1273="","",H1273-I1273)</f>
        <v/>
      </c>
    </row>
    <row r="1274" customFormat="false" ht="15" hidden="false" customHeight="true" outlineLevel="0" collapsed="false">
      <c r="A1274" s="7"/>
      <c r="B1274" s="18" t="str">
        <f aca="false">IF(A1274="","",IFERROR(INDEX(Sales_Memo!$B$2:$B$1001,MATCH(A1274,Sales_Memo!$A$2:$A$1001,0)),""))</f>
        <v/>
      </c>
      <c r="C1274" s="7"/>
      <c r="D1274" s="16" t="str">
        <f aca="false">IF(C1274="","",IFERROR(INDEX(Products!$B$2:$B$501,MATCH(C1274,Products!$A$2:$A$501,0)),"CODE NOT FOUND"))</f>
        <v/>
      </c>
      <c r="E1274" s="7"/>
      <c r="F1274" s="13"/>
      <c r="G1274" s="13"/>
      <c r="H1274" s="17" t="str">
        <f aca="false">IF(OR(E1274="",F1274=""),"",E1274*F1274)</f>
        <v/>
      </c>
      <c r="I1274" s="17" t="str">
        <f aca="false">IF(OR(E1274="",G1274=""),"",E1274*G1274)</f>
        <v/>
      </c>
      <c r="J1274" s="17" t="str">
        <f aca="false">IF(H1274="","",H1274-I1274)</f>
        <v/>
      </c>
    </row>
    <row r="1275" customFormat="false" ht="15" hidden="false" customHeight="true" outlineLevel="0" collapsed="false">
      <c r="A1275" s="7"/>
      <c r="B1275" s="18" t="str">
        <f aca="false">IF(A1275="","",IFERROR(INDEX(Sales_Memo!$B$2:$B$1001,MATCH(A1275,Sales_Memo!$A$2:$A$1001,0)),""))</f>
        <v/>
      </c>
      <c r="C1275" s="7"/>
      <c r="D1275" s="16" t="str">
        <f aca="false">IF(C1275="","",IFERROR(INDEX(Products!$B$2:$B$501,MATCH(C1275,Products!$A$2:$A$501,0)),"CODE NOT FOUND"))</f>
        <v/>
      </c>
      <c r="E1275" s="7"/>
      <c r="F1275" s="13"/>
      <c r="G1275" s="13"/>
      <c r="H1275" s="17" t="str">
        <f aca="false">IF(OR(E1275="",F1275=""),"",E1275*F1275)</f>
        <v/>
      </c>
      <c r="I1275" s="17" t="str">
        <f aca="false">IF(OR(E1275="",G1275=""),"",E1275*G1275)</f>
        <v/>
      </c>
      <c r="J1275" s="17" t="str">
        <f aca="false">IF(H1275="","",H1275-I1275)</f>
        <v/>
      </c>
    </row>
    <row r="1276" customFormat="false" ht="15" hidden="false" customHeight="true" outlineLevel="0" collapsed="false">
      <c r="A1276" s="7"/>
      <c r="B1276" s="18" t="str">
        <f aca="false">IF(A1276="","",IFERROR(INDEX(Sales_Memo!$B$2:$B$1001,MATCH(A1276,Sales_Memo!$A$2:$A$1001,0)),""))</f>
        <v/>
      </c>
      <c r="C1276" s="7"/>
      <c r="D1276" s="16" t="str">
        <f aca="false">IF(C1276="","",IFERROR(INDEX(Products!$B$2:$B$501,MATCH(C1276,Products!$A$2:$A$501,0)),"CODE NOT FOUND"))</f>
        <v/>
      </c>
      <c r="E1276" s="7"/>
      <c r="F1276" s="13"/>
      <c r="G1276" s="13"/>
      <c r="H1276" s="17" t="str">
        <f aca="false">IF(OR(E1276="",F1276=""),"",E1276*F1276)</f>
        <v/>
      </c>
      <c r="I1276" s="17" t="str">
        <f aca="false">IF(OR(E1276="",G1276=""),"",E1276*G1276)</f>
        <v/>
      </c>
      <c r="J1276" s="17" t="str">
        <f aca="false">IF(H1276="","",H1276-I1276)</f>
        <v/>
      </c>
    </row>
    <row r="1277" customFormat="false" ht="15" hidden="false" customHeight="true" outlineLevel="0" collapsed="false">
      <c r="A1277" s="7"/>
      <c r="B1277" s="18" t="str">
        <f aca="false">IF(A1277="","",IFERROR(INDEX(Sales_Memo!$B$2:$B$1001,MATCH(A1277,Sales_Memo!$A$2:$A$1001,0)),""))</f>
        <v/>
      </c>
      <c r="C1277" s="7"/>
      <c r="D1277" s="16" t="str">
        <f aca="false">IF(C1277="","",IFERROR(INDEX(Products!$B$2:$B$501,MATCH(C1277,Products!$A$2:$A$501,0)),"CODE NOT FOUND"))</f>
        <v/>
      </c>
      <c r="E1277" s="7"/>
      <c r="F1277" s="13"/>
      <c r="G1277" s="13"/>
      <c r="H1277" s="17" t="str">
        <f aca="false">IF(OR(E1277="",F1277=""),"",E1277*F1277)</f>
        <v/>
      </c>
      <c r="I1277" s="17" t="str">
        <f aca="false">IF(OR(E1277="",G1277=""),"",E1277*G1277)</f>
        <v/>
      </c>
      <c r="J1277" s="17" t="str">
        <f aca="false">IF(H1277="","",H1277-I1277)</f>
        <v/>
      </c>
    </row>
    <row r="1278" customFormat="false" ht="15" hidden="false" customHeight="true" outlineLevel="0" collapsed="false">
      <c r="A1278" s="7"/>
      <c r="B1278" s="18" t="str">
        <f aca="false">IF(A1278="","",IFERROR(INDEX(Sales_Memo!$B$2:$B$1001,MATCH(A1278,Sales_Memo!$A$2:$A$1001,0)),""))</f>
        <v/>
      </c>
      <c r="C1278" s="7"/>
      <c r="D1278" s="16" t="str">
        <f aca="false">IF(C1278="","",IFERROR(INDEX(Products!$B$2:$B$501,MATCH(C1278,Products!$A$2:$A$501,0)),"CODE NOT FOUND"))</f>
        <v/>
      </c>
      <c r="E1278" s="7"/>
      <c r="F1278" s="13"/>
      <c r="G1278" s="13"/>
      <c r="H1278" s="17" t="str">
        <f aca="false">IF(OR(E1278="",F1278=""),"",E1278*F1278)</f>
        <v/>
      </c>
      <c r="I1278" s="17" t="str">
        <f aca="false">IF(OR(E1278="",G1278=""),"",E1278*G1278)</f>
        <v/>
      </c>
      <c r="J1278" s="17" t="str">
        <f aca="false">IF(H1278="","",H1278-I1278)</f>
        <v/>
      </c>
    </row>
    <row r="1279" customFormat="false" ht="15" hidden="false" customHeight="true" outlineLevel="0" collapsed="false">
      <c r="A1279" s="7"/>
      <c r="B1279" s="18" t="str">
        <f aca="false">IF(A1279="","",IFERROR(INDEX(Sales_Memo!$B$2:$B$1001,MATCH(A1279,Sales_Memo!$A$2:$A$1001,0)),""))</f>
        <v/>
      </c>
      <c r="C1279" s="7"/>
      <c r="D1279" s="16" t="str">
        <f aca="false">IF(C1279="","",IFERROR(INDEX(Products!$B$2:$B$501,MATCH(C1279,Products!$A$2:$A$501,0)),"CODE NOT FOUND"))</f>
        <v/>
      </c>
      <c r="E1279" s="7"/>
      <c r="F1279" s="13"/>
      <c r="G1279" s="13"/>
      <c r="H1279" s="17" t="str">
        <f aca="false">IF(OR(E1279="",F1279=""),"",E1279*F1279)</f>
        <v/>
      </c>
      <c r="I1279" s="17" t="str">
        <f aca="false">IF(OR(E1279="",G1279=""),"",E1279*G1279)</f>
        <v/>
      </c>
      <c r="J1279" s="17" t="str">
        <f aca="false">IF(H1279="","",H1279-I1279)</f>
        <v/>
      </c>
    </row>
    <row r="1280" customFormat="false" ht="15" hidden="false" customHeight="true" outlineLevel="0" collapsed="false">
      <c r="A1280" s="7"/>
      <c r="B1280" s="18" t="str">
        <f aca="false">IF(A1280="","",IFERROR(INDEX(Sales_Memo!$B$2:$B$1001,MATCH(A1280,Sales_Memo!$A$2:$A$1001,0)),""))</f>
        <v/>
      </c>
      <c r="C1280" s="7"/>
      <c r="D1280" s="16" t="str">
        <f aca="false">IF(C1280="","",IFERROR(INDEX(Products!$B$2:$B$501,MATCH(C1280,Products!$A$2:$A$501,0)),"CODE NOT FOUND"))</f>
        <v/>
      </c>
      <c r="E1280" s="7"/>
      <c r="F1280" s="13"/>
      <c r="G1280" s="13"/>
      <c r="H1280" s="17" t="str">
        <f aca="false">IF(OR(E1280="",F1280=""),"",E1280*F1280)</f>
        <v/>
      </c>
      <c r="I1280" s="17" t="str">
        <f aca="false">IF(OR(E1280="",G1280=""),"",E1280*G1280)</f>
        <v/>
      </c>
      <c r="J1280" s="17" t="str">
        <f aca="false">IF(H1280="","",H1280-I1280)</f>
        <v/>
      </c>
    </row>
    <row r="1281" customFormat="false" ht="15" hidden="false" customHeight="true" outlineLevel="0" collapsed="false">
      <c r="A1281" s="7"/>
      <c r="B1281" s="18" t="str">
        <f aca="false">IF(A1281="","",IFERROR(INDEX(Sales_Memo!$B$2:$B$1001,MATCH(A1281,Sales_Memo!$A$2:$A$1001,0)),""))</f>
        <v/>
      </c>
      <c r="C1281" s="7"/>
      <c r="D1281" s="16" t="str">
        <f aca="false">IF(C1281="","",IFERROR(INDEX(Products!$B$2:$B$501,MATCH(C1281,Products!$A$2:$A$501,0)),"CODE NOT FOUND"))</f>
        <v/>
      </c>
      <c r="E1281" s="7"/>
      <c r="F1281" s="13"/>
      <c r="G1281" s="13"/>
      <c r="H1281" s="17" t="str">
        <f aca="false">IF(OR(E1281="",F1281=""),"",E1281*F1281)</f>
        <v/>
      </c>
      <c r="I1281" s="17" t="str">
        <f aca="false">IF(OR(E1281="",G1281=""),"",E1281*G1281)</f>
        <v/>
      </c>
      <c r="J1281" s="17" t="str">
        <f aca="false">IF(H1281="","",H1281-I1281)</f>
        <v/>
      </c>
    </row>
    <row r="1282" customFormat="false" ht="15" hidden="false" customHeight="true" outlineLevel="0" collapsed="false">
      <c r="A1282" s="7"/>
      <c r="B1282" s="18" t="str">
        <f aca="false">IF(A1282="","",IFERROR(INDEX(Sales_Memo!$B$2:$B$1001,MATCH(A1282,Sales_Memo!$A$2:$A$1001,0)),""))</f>
        <v/>
      </c>
      <c r="C1282" s="7"/>
      <c r="D1282" s="16" t="str">
        <f aca="false">IF(C1282="","",IFERROR(INDEX(Products!$B$2:$B$501,MATCH(C1282,Products!$A$2:$A$501,0)),"CODE NOT FOUND"))</f>
        <v/>
      </c>
      <c r="E1282" s="7"/>
      <c r="F1282" s="13"/>
      <c r="G1282" s="13"/>
      <c r="H1282" s="17" t="str">
        <f aca="false">IF(OR(E1282="",F1282=""),"",E1282*F1282)</f>
        <v/>
      </c>
      <c r="I1282" s="17" t="str">
        <f aca="false">IF(OR(E1282="",G1282=""),"",E1282*G1282)</f>
        <v/>
      </c>
      <c r="J1282" s="17" t="str">
        <f aca="false">IF(H1282="","",H1282-I1282)</f>
        <v/>
      </c>
    </row>
    <row r="1283" customFormat="false" ht="15" hidden="false" customHeight="true" outlineLevel="0" collapsed="false">
      <c r="A1283" s="7"/>
      <c r="B1283" s="18" t="str">
        <f aca="false">IF(A1283="","",IFERROR(INDEX(Sales_Memo!$B$2:$B$1001,MATCH(A1283,Sales_Memo!$A$2:$A$1001,0)),""))</f>
        <v/>
      </c>
      <c r="C1283" s="7"/>
      <c r="D1283" s="16" t="str">
        <f aca="false">IF(C1283="","",IFERROR(INDEX(Products!$B$2:$B$501,MATCH(C1283,Products!$A$2:$A$501,0)),"CODE NOT FOUND"))</f>
        <v/>
      </c>
      <c r="E1283" s="7"/>
      <c r="F1283" s="13"/>
      <c r="G1283" s="13"/>
      <c r="H1283" s="17" t="str">
        <f aca="false">IF(OR(E1283="",F1283=""),"",E1283*F1283)</f>
        <v/>
      </c>
      <c r="I1283" s="17" t="str">
        <f aca="false">IF(OR(E1283="",G1283=""),"",E1283*G1283)</f>
        <v/>
      </c>
      <c r="J1283" s="17" t="str">
        <f aca="false">IF(H1283="","",H1283-I1283)</f>
        <v/>
      </c>
    </row>
    <row r="1284" customFormat="false" ht="15" hidden="false" customHeight="true" outlineLevel="0" collapsed="false">
      <c r="A1284" s="7"/>
      <c r="B1284" s="18" t="str">
        <f aca="false">IF(A1284="","",IFERROR(INDEX(Sales_Memo!$B$2:$B$1001,MATCH(A1284,Sales_Memo!$A$2:$A$1001,0)),""))</f>
        <v/>
      </c>
      <c r="C1284" s="7"/>
      <c r="D1284" s="16" t="str">
        <f aca="false">IF(C1284="","",IFERROR(INDEX(Products!$B$2:$B$501,MATCH(C1284,Products!$A$2:$A$501,0)),"CODE NOT FOUND"))</f>
        <v/>
      </c>
      <c r="E1284" s="7"/>
      <c r="F1284" s="13"/>
      <c r="G1284" s="13"/>
      <c r="H1284" s="17" t="str">
        <f aca="false">IF(OR(E1284="",F1284=""),"",E1284*F1284)</f>
        <v/>
      </c>
      <c r="I1284" s="17" t="str">
        <f aca="false">IF(OR(E1284="",G1284=""),"",E1284*G1284)</f>
        <v/>
      </c>
      <c r="J1284" s="17" t="str">
        <f aca="false">IF(H1284="","",H1284-I1284)</f>
        <v/>
      </c>
    </row>
    <row r="1285" customFormat="false" ht="15" hidden="false" customHeight="true" outlineLevel="0" collapsed="false">
      <c r="A1285" s="7"/>
      <c r="B1285" s="18" t="str">
        <f aca="false">IF(A1285="","",IFERROR(INDEX(Sales_Memo!$B$2:$B$1001,MATCH(A1285,Sales_Memo!$A$2:$A$1001,0)),""))</f>
        <v/>
      </c>
      <c r="C1285" s="7"/>
      <c r="D1285" s="16" t="str">
        <f aca="false">IF(C1285="","",IFERROR(INDEX(Products!$B$2:$B$501,MATCH(C1285,Products!$A$2:$A$501,0)),"CODE NOT FOUND"))</f>
        <v/>
      </c>
      <c r="E1285" s="7"/>
      <c r="F1285" s="13"/>
      <c r="G1285" s="13"/>
      <c r="H1285" s="17" t="str">
        <f aca="false">IF(OR(E1285="",F1285=""),"",E1285*F1285)</f>
        <v/>
      </c>
      <c r="I1285" s="17" t="str">
        <f aca="false">IF(OR(E1285="",G1285=""),"",E1285*G1285)</f>
        <v/>
      </c>
      <c r="J1285" s="17" t="str">
        <f aca="false">IF(H1285="","",H1285-I1285)</f>
        <v/>
      </c>
    </row>
    <row r="1286" customFormat="false" ht="15" hidden="false" customHeight="true" outlineLevel="0" collapsed="false">
      <c r="A1286" s="7"/>
      <c r="B1286" s="18" t="str">
        <f aca="false">IF(A1286="","",IFERROR(INDEX(Sales_Memo!$B$2:$B$1001,MATCH(A1286,Sales_Memo!$A$2:$A$1001,0)),""))</f>
        <v/>
      </c>
      <c r="C1286" s="7"/>
      <c r="D1286" s="16" t="str">
        <f aca="false">IF(C1286="","",IFERROR(INDEX(Products!$B$2:$B$501,MATCH(C1286,Products!$A$2:$A$501,0)),"CODE NOT FOUND"))</f>
        <v/>
      </c>
      <c r="E1286" s="7"/>
      <c r="F1286" s="13"/>
      <c r="G1286" s="13"/>
      <c r="H1286" s="17" t="str">
        <f aca="false">IF(OR(E1286="",F1286=""),"",E1286*F1286)</f>
        <v/>
      </c>
      <c r="I1286" s="17" t="str">
        <f aca="false">IF(OR(E1286="",G1286=""),"",E1286*G1286)</f>
        <v/>
      </c>
      <c r="J1286" s="17" t="str">
        <f aca="false">IF(H1286="","",H1286-I1286)</f>
        <v/>
      </c>
    </row>
    <row r="1287" customFormat="false" ht="15" hidden="false" customHeight="true" outlineLevel="0" collapsed="false">
      <c r="A1287" s="7"/>
      <c r="B1287" s="18" t="str">
        <f aca="false">IF(A1287="","",IFERROR(INDEX(Sales_Memo!$B$2:$B$1001,MATCH(A1287,Sales_Memo!$A$2:$A$1001,0)),""))</f>
        <v/>
      </c>
      <c r="C1287" s="7"/>
      <c r="D1287" s="16" t="str">
        <f aca="false">IF(C1287="","",IFERROR(INDEX(Products!$B$2:$B$501,MATCH(C1287,Products!$A$2:$A$501,0)),"CODE NOT FOUND"))</f>
        <v/>
      </c>
      <c r="E1287" s="7"/>
      <c r="F1287" s="13"/>
      <c r="G1287" s="13"/>
      <c r="H1287" s="17" t="str">
        <f aca="false">IF(OR(E1287="",F1287=""),"",E1287*F1287)</f>
        <v/>
      </c>
      <c r="I1287" s="17" t="str">
        <f aca="false">IF(OR(E1287="",G1287=""),"",E1287*G1287)</f>
        <v/>
      </c>
      <c r="J1287" s="17" t="str">
        <f aca="false">IF(H1287="","",H1287-I1287)</f>
        <v/>
      </c>
    </row>
    <row r="1288" customFormat="false" ht="15" hidden="false" customHeight="true" outlineLevel="0" collapsed="false">
      <c r="A1288" s="7"/>
      <c r="B1288" s="18" t="str">
        <f aca="false">IF(A1288="","",IFERROR(INDEX(Sales_Memo!$B$2:$B$1001,MATCH(A1288,Sales_Memo!$A$2:$A$1001,0)),""))</f>
        <v/>
      </c>
      <c r="C1288" s="7"/>
      <c r="D1288" s="16" t="str">
        <f aca="false">IF(C1288="","",IFERROR(INDEX(Products!$B$2:$B$501,MATCH(C1288,Products!$A$2:$A$501,0)),"CODE NOT FOUND"))</f>
        <v/>
      </c>
      <c r="E1288" s="7"/>
      <c r="F1288" s="13"/>
      <c r="G1288" s="13"/>
      <c r="H1288" s="17" t="str">
        <f aca="false">IF(OR(E1288="",F1288=""),"",E1288*F1288)</f>
        <v/>
      </c>
      <c r="I1288" s="17" t="str">
        <f aca="false">IF(OR(E1288="",G1288=""),"",E1288*G1288)</f>
        <v/>
      </c>
      <c r="J1288" s="17" t="str">
        <f aca="false">IF(H1288="","",H1288-I1288)</f>
        <v/>
      </c>
    </row>
    <row r="1289" customFormat="false" ht="15" hidden="false" customHeight="true" outlineLevel="0" collapsed="false">
      <c r="A1289" s="7"/>
      <c r="B1289" s="18" t="str">
        <f aca="false">IF(A1289="","",IFERROR(INDEX(Sales_Memo!$B$2:$B$1001,MATCH(A1289,Sales_Memo!$A$2:$A$1001,0)),""))</f>
        <v/>
      </c>
      <c r="C1289" s="7"/>
      <c r="D1289" s="16" t="str">
        <f aca="false">IF(C1289="","",IFERROR(INDEX(Products!$B$2:$B$501,MATCH(C1289,Products!$A$2:$A$501,0)),"CODE NOT FOUND"))</f>
        <v/>
      </c>
      <c r="E1289" s="7"/>
      <c r="F1289" s="13"/>
      <c r="G1289" s="13"/>
      <c r="H1289" s="17" t="str">
        <f aca="false">IF(OR(E1289="",F1289=""),"",E1289*F1289)</f>
        <v/>
      </c>
      <c r="I1289" s="17" t="str">
        <f aca="false">IF(OR(E1289="",G1289=""),"",E1289*G1289)</f>
        <v/>
      </c>
      <c r="J1289" s="17" t="str">
        <f aca="false">IF(H1289="","",H1289-I1289)</f>
        <v/>
      </c>
    </row>
    <row r="1290" customFormat="false" ht="15" hidden="false" customHeight="true" outlineLevel="0" collapsed="false">
      <c r="A1290" s="7"/>
      <c r="B1290" s="18" t="str">
        <f aca="false">IF(A1290="","",IFERROR(INDEX(Sales_Memo!$B$2:$B$1001,MATCH(A1290,Sales_Memo!$A$2:$A$1001,0)),""))</f>
        <v/>
      </c>
      <c r="C1290" s="7"/>
      <c r="D1290" s="16" t="str">
        <f aca="false">IF(C1290="","",IFERROR(INDEX(Products!$B$2:$B$501,MATCH(C1290,Products!$A$2:$A$501,0)),"CODE NOT FOUND"))</f>
        <v/>
      </c>
      <c r="E1290" s="7"/>
      <c r="F1290" s="13"/>
      <c r="G1290" s="13"/>
      <c r="H1290" s="17" t="str">
        <f aca="false">IF(OR(E1290="",F1290=""),"",E1290*F1290)</f>
        <v/>
      </c>
      <c r="I1290" s="17" t="str">
        <f aca="false">IF(OR(E1290="",G1290=""),"",E1290*G1290)</f>
        <v/>
      </c>
      <c r="J1290" s="17" t="str">
        <f aca="false">IF(H1290="","",H1290-I1290)</f>
        <v/>
      </c>
    </row>
    <row r="1291" customFormat="false" ht="15" hidden="false" customHeight="true" outlineLevel="0" collapsed="false">
      <c r="A1291" s="7"/>
      <c r="B1291" s="18" t="str">
        <f aca="false">IF(A1291="","",IFERROR(INDEX(Sales_Memo!$B$2:$B$1001,MATCH(A1291,Sales_Memo!$A$2:$A$1001,0)),""))</f>
        <v/>
      </c>
      <c r="C1291" s="7"/>
      <c r="D1291" s="16" t="str">
        <f aca="false">IF(C1291="","",IFERROR(INDEX(Products!$B$2:$B$501,MATCH(C1291,Products!$A$2:$A$501,0)),"CODE NOT FOUND"))</f>
        <v/>
      </c>
      <c r="E1291" s="7"/>
      <c r="F1291" s="13"/>
      <c r="G1291" s="13"/>
      <c r="H1291" s="17" t="str">
        <f aca="false">IF(OR(E1291="",F1291=""),"",E1291*F1291)</f>
        <v/>
      </c>
      <c r="I1291" s="17" t="str">
        <f aca="false">IF(OR(E1291="",G1291=""),"",E1291*G1291)</f>
        <v/>
      </c>
      <c r="J1291" s="17" t="str">
        <f aca="false">IF(H1291="","",H1291-I1291)</f>
        <v/>
      </c>
    </row>
    <row r="1292" customFormat="false" ht="15" hidden="false" customHeight="true" outlineLevel="0" collapsed="false">
      <c r="A1292" s="7"/>
      <c r="B1292" s="18" t="str">
        <f aca="false">IF(A1292="","",IFERROR(INDEX(Sales_Memo!$B$2:$B$1001,MATCH(A1292,Sales_Memo!$A$2:$A$1001,0)),""))</f>
        <v/>
      </c>
      <c r="C1292" s="7"/>
      <c r="D1292" s="16" t="str">
        <f aca="false">IF(C1292="","",IFERROR(INDEX(Products!$B$2:$B$501,MATCH(C1292,Products!$A$2:$A$501,0)),"CODE NOT FOUND"))</f>
        <v/>
      </c>
      <c r="E1292" s="7"/>
      <c r="F1292" s="13"/>
      <c r="G1292" s="13"/>
      <c r="H1292" s="17" t="str">
        <f aca="false">IF(OR(E1292="",F1292=""),"",E1292*F1292)</f>
        <v/>
      </c>
      <c r="I1292" s="17" t="str">
        <f aca="false">IF(OR(E1292="",G1292=""),"",E1292*G1292)</f>
        <v/>
      </c>
      <c r="J1292" s="17" t="str">
        <f aca="false">IF(H1292="","",H1292-I1292)</f>
        <v/>
      </c>
    </row>
    <row r="1293" customFormat="false" ht="15" hidden="false" customHeight="true" outlineLevel="0" collapsed="false">
      <c r="A1293" s="7"/>
      <c r="B1293" s="18" t="str">
        <f aca="false">IF(A1293="","",IFERROR(INDEX(Sales_Memo!$B$2:$B$1001,MATCH(A1293,Sales_Memo!$A$2:$A$1001,0)),""))</f>
        <v/>
      </c>
      <c r="C1293" s="7"/>
      <c r="D1293" s="16" t="str">
        <f aca="false">IF(C1293="","",IFERROR(INDEX(Products!$B$2:$B$501,MATCH(C1293,Products!$A$2:$A$501,0)),"CODE NOT FOUND"))</f>
        <v/>
      </c>
      <c r="E1293" s="7"/>
      <c r="F1293" s="13"/>
      <c r="G1293" s="13"/>
      <c r="H1293" s="17" t="str">
        <f aca="false">IF(OR(E1293="",F1293=""),"",E1293*F1293)</f>
        <v/>
      </c>
      <c r="I1293" s="17" t="str">
        <f aca="false">IF(OR(E1293="",G1293=""),"",E1293*G1293)</f>
        <v/>
      </c>
      <c r="J1293" s="17" t="str">
        <f aca="false">IF(H1293="","",H1293-I1293)</f>
        <v/>
      </c>
    </row>
    <row r="1294" customFormat="false" ht="15" hidden="false" customHeight="true" outlineLevel="0" collapsed="false">
      <c r="A1294" s="7"/>
      <c r="B1294" s="18" t="str">
        <f aca="false">IF(A1294="","",IFERROR(INDEX(Sales_Memo!$B$2:$B$1001,MATCH(A1294,Sales_Memo!$A$2:$A$1001,0)),""))</f>
        <v/>
      </c>
      <c r="C1294" s="7"/>
      <c r="D1294" s="16" t="str">
        <f aca="false">IF(C1294="","",IFERROR(INDEX(Products!$B$2:$B$501,MATCH(C1294,Products!$A$2:$A$501,0)),"CODE NOT FOUND"))</f>
        <v/>
      </c>
      <c r="E1294" s="7"/>
      <c r="F1294" s="13"/>
      <c r="G1294" s="13"/>
      <c r="H1294" s="17" t="str">
        <f aca="false">IF(OR(E1294="",F1294=""),"",E1294*F1294)</f>
        <v/>
      </c>
      <c r="I1294" s="17" t="str">
        <f aca="false">IF(OR(E1294="",G1294=""),"",E1294*G1294)</f>
        <v/>
      </c>
      <c r="J1294" s="17" t="str">
        <f aca="false">IF(H1294="","",H1294-I1294)</f>
        <v/>
      </c>
    </row>
    <row r="1295" customFormat="false" ht="15" hidden="false" customHeight="true" outlineLevel="0" collapsed="false">
      <c r="A1295" s="7"/>
      <c r="B1295" s="18" t="str">
        <f aca="false">IF(A1295="","",IFERROR(INDEX(Sales_Memo!$B$2:$B$1001,MATCH(A1295,Sales_Memo!$A$2:$A$1001,0)),""))</f>
        <v/>
      </c>
      <c r="C1295" s="7"/>
      <c r="D1295" s="16" t="str">
        <f aca="false">IF(C1295="","",IFERROR(INDEX(Products!$B$2:$B$501,MATCH(C1295,Products!$A$2:$A$501,0)),"CODE NOT FOUND"))</f>
        <v/>
      </c>
      <c r="E1295" s="7"/>
      <c r="F1295" s="13"/>
      <c r="G1295" s="13"/>
      <c r="H1295" s="17" t="str">
        <f aca="false">IF(OR(E1295="",F1295=""),"",E1295*F1295)</f>
        <v/>
      </c>
      <c r="I1295" s="17" t="str">
        <f aca="false">IF(OR(E1295="",G1295=""),"",E1295*G1295)</f>
        <v/>
      </c>
      <c r="J1295" s="17" t="str">
        <f aca="false">IF(H1295="","",H1295-I1295)</f>
        <v/>
      </c>
    </row>
    <row r="1296" customFormat="false" ht="15" hidden="false" customHeight="true" outlineLevel="0" collapsed="false">
      <c r="A1296" s="7"/>
      <c r="B1296" s="18" t="str">
        <f aca="false">IF(A1296="","",IFERROR(INDEX(Sales_Memo!$B$2:$B$1001,MATCH(A1296,Sales_Memo!$A$2:$A$1001,0)),""))</f>
        <v/>
      </c>
      <c r="C1296" s="7"/>
      <c r="D1296" s="16" t="str">
        <f aca="false">IF(C1296="","",IFERROR(INDEX(Products!$B$2:$B$501,MATCH(C1296,Products!$A$2:$A$501,0)),"CODE NOT FOUND"))</f>
        <v/>
      </c>
      <c r="E1296" s="7"/>
      <c r="F1296" s="13"/>
      <c r="G1296" s="13"/>
      <c r="H1296" s="17" t="str">
        <f aca="false">IF(OR(E1296="",F1296=""),"",E1296*F1296)</f>
        <v/>
      </c>
      <c r="I1296" s="17" t="str">
        <f aca="false">IF(OR(E1296="",G1296=""),"",E1296*G1296)</f>
        <v/>
      </c>
      <c r="J1296" s="17" t="str">
        <f aca="false">IF(H1296="","",H1296-I1296)</f>
        <v/>
      </c>
    </row>
    <row r="1297" customFormat="false" ht="15" hidden="false" customHeight="true" outlineLevel="0" collapsed="false">
      <c r="A1297" s="7"/>
      <c r="B1297" s="18" t="str">
        <f aca="false">IF(A1297="","",IFERROR(INDEX(Sales_Memo!$B$2:$B$1001,MATCH(A1297,Sales_Memo!$A$2:$A$1001,0)),""))</f>
        <v/>
      </c>
      <c r="C1297" s="7"/>
      <c r="D1297" s="16" t="str">
        <f aca="false">IF(C1297="","",IFERROR(INDEX(Products!$B$2:$B$501,MATCH(C1297,Products!$A$2:$A$501,0)),"CODE NOT FOUND"))</f>
        <v/>
      </c>
      <c r="E1297" s="7"/>
      <c r="F1297" s="13"/>
      <c r="G1297" s="13"/>
      <c r="H1297" s="17" t="str">
        <f aca="false">IF(OR(E1297="",F1297=""),"",E1297*F1297)</f>
        <v/>
      </c>
      <c r="I1297" s="17" t="str">
        <f aca="false">IF(OR(E1297="",G1297=""),"",E1297*G1297)</f>
        <v/>
      </c>
      <c r="J1297" s="17" t="str">
        <f aca="false">IF(H1297="","",H1297-I1297)</f>
        <v/>
      </c>
    </row>
    <row r="1298" customFormat="false" ht="15" hidden="false" customHeight="true" outlineLevel="0" collapsed="false">
      <c r="A1298" s="7"/>
      <c r="B1298" s="18" t="str">
        <f aca="false">IF(A1298="","",IFERROR(INDEX(Sales_Memo!$B$2:$B$1001,MATCH(A1298,Sales_Memo!$A$2:$A$1001,0)),""))</f>
        <v/>
      </c>
      <c r="C1298" s="7"/>
      <c r="D1298" s="16" t="str">
        <f aca="false">IF(C1298="","",IFERROR(INDEX(Products!$B$2:$B$501,MATCH(C1298,Products!$A$2:$A$501,0)),"CODE NOT FOUND"))</f>
        <v/>
      </c>
      <c r="E1298" s="7"/>
      <c r="F1298" s="13"/>
      <c r="G1298" s="13"/>
      <c r="H1298" s="17" t="str">
        <f aca="false">IF(OR(E1298="",F1298=""),"",E1298*F1298)</f>
        <v/>
      </c>
      <c r="I1298" s="17" t="str">
        <f aca="false">IF(OR(E1298="",G1298=""),"",E1298*G1298)</f>
        <v/>
      </c>
      <c r="J1298" s="17" t="str">
        <f aca="false">IF(H1298="","",H1298-I1298)</f>
        <v/>
      </c>
    </row>
    <row r="1299" customFormat="false" ht="15" hidden="false" customHeight="true" outlineLevel="0" collapsed="false">
      <c r="A1299" s="7"/>
      <c r="B1299" s="18" t="str">
        <f aca="false">IF(A1299="","",IFERROR(INDEX(Sales_Memo!$B$2:$B$1001,MATCH(A1299,Sales_Memo!$A$2:$A$1001,0)),""))</f>
        <v/>
      </c>
      <c r="C1299" s="7"/>
      <c r="D1299" s="16" t="str">
        <f aca="false">IF(C1299="","",IFERROR(INDEX(Products!$B$2:$B$501,MATCH(C1299,Products!$A$2:$A$501,0)),"CODE NOT FOUND"))</f>
        <v/>
      </c>
      <c r="E1299" s="7"/>
      <c r="F1299" s="13"/>
      <c r="G1299" s="13"/>
      <c r="H1299" s="17" t="str">
        <f aca="false">IF(OR(E1299="",F1299=""),"",E1299*F1299)</f>
        <v/>
      </c>
      <c r="I1299" s="17" t="str">
        <f aca="false">IF(OR(E1299="",G1299=""),"",E1299*G1299)</f>
        <v/>
      </c>
      <c r="J1299" s="17" t="str">
        <f aca="false">IF(H1299="","",H1299-I1299)</f>
        <v/>
      </c>
    </row>
    <row r="1300" customFormat="false" ht="15" hidden="false" customHeight="true" outlineLevel="0" collapsed="false">
      <c r="A1300" s="7"/>
      <c r="B1300" s="18" t="str">
        <f aca="false">IF(A1300="","",IFERROR(INDEX(Sales_Memo!$B$2:$B$1001,MATCH(A1300,Sales_Memo!$A$2:$A$1001,0)),""))</f>
        <v/>
      </c>
      <c r="C1300" s="7"/>
      <c r="D1300" s="16" t="str">
        <f aca="false">IF(C1300="","",IFERROR(INDEX(Products!$B$2:$B$501,MATCH(C1300,Products!$A$2:$A$501,0)),"CODE NOT FOUND"))</f>
        <v/>
      </c>
      <c r="E1300" s="7"/>
      <c r="F1300" s="13"/>
      <c r="G1300" s="13"/>
      <c r="H1300" s="17" t="str">
        <f aca="false">IF(OR(E1300="",F1300=""),"",E1300*F1300)</f>
        <v/>
      </c>
      <c r="I1300" s="17" t="str">
        <f aca="false">IF(OR(E1300="",G1300=""),"",E1300*G1300)</f>
        <v/>
      </c>
      <c r="J1300" s="17" t="str">
        <f aca="false">IF(H1300="","",H1300-I1300)</f>
        <v/>
      </c>
    </row>
    <row r="1301" customFormat="false" ht="15" hidden="false" customHeight="true" outlineLevel="0" collapsed="false">
      <c r="A1301" s="7"/>
      <c r="B1301" s="18" t="str">
        <f aca="false">IF(A1301="","",IFERROR(INDEX(Sales_Memo!$B$2:$B$1001,MATCH(A1301,Sales_Memo!$A$2:$A$1001,0)),""))</f>
        <v/>
      </c>
      <c r="C1301" s="7"/>
      <c r="D1301" s="16" t="str">
        <f aca="false">IF(C1301="","",IFERROR(INDEX(Products!$B$2:$B$501,MATCH(C1301,Products!$A$2:$A$501,0)),"CODE NOT FOUND"))</f>
        <v/>
      </c>
      <c r="E1301" s="7"/>
      <c r="F1301" s="13"/>
      <c r="G1301" s="13"/>
      <c r="H1301" s="17" t="str">
        <f aca="false">IF(OR(E1301="",F1301=""),"",E1301*F1301)</f>
        <v/>
      </c>
      <c r="I1301" s="17" t="str">
        <f aca="false">IF(OR(E1301="",G1301=""),"",E1301*G1301)</f>
        <v/>
      </c>
      <c r="J1301" s="17" t="str">
        <f aca="false">IF(H1301="","",H1301-I1301)</f>
        <v/>
      </c>
    </row>
    <row r="1302" customFormat="false" ht="15" hidden="false" customHeight="true" outlineLevel="0" collapsed="false">
      <c r="A1302" s="7"/>
      <c r="B1302" s="18" t="str">
        <f aca="false">IF(A1302="","",IFERROR(INDEX(Sales_Memo!$B$2:$B$1001,MATCH(A1302,Sales_Memo!$A$2:$A$1001,0)),""))</f>
        <v/>
      </c>
      <c r="C1302" s="7"/>
      <c r="D1302" s="16" t="str">
        <f aca="false">IF(C1302="","",IFERROR(INDEX(Products!$B$2:$B$501,MATCH(C1302,Products!$A$2:$A$501,0)),"CODE NOT FOUND"))</f>
        <v/>
      </c>
      <c r="E1302" s="7"/>
      <c r="F1302" s="13"/>
      <c r="G1302" s="13"/>
      <c r="H1302" s="17" t="str">
        <f aca="false">IF(OR(E1302="",F1302=""),"",E1302*F1302)</f>
        <v/>
      </c>
      <c r="I1302" s="17" t="str">
        <f aca="false">IF(OR(E1302="",G1302=""),"",E1302*G1302)</f>
        <v/>
      </c>
      <c r="J1302" s="17" t="str">
        <f aca="false">IF(H1302="","",H1302-I1302)</f>
        <v/>
      </c>
    </row>
    <row r="1303" customFormat="false" ht="15" hidden="false" customHeight="true" outlineLevel="0" collapsed="false">
      <c r="A1303" s="7"/>
      <c r="B1303" s="18" t="str">
        <f aca="false">IF(A1303="","",IFERROR(INDEX(Sales_Memo!$B$2:$B$1001,MATCH(A1303,Sales_Memo!$A$2:$A$1001,0)),""))</f>
        <v/>
      </c>
      <c r="C1303" s="7"/>
      <c r="D1303" s="16" t="str">
        <f aca="false">IF(C1303="","",IFERROR(INDEX(Products!$B$2:$B$501,MATCH(C1303,Products!$A$2:$A$501,0)),"CODE NOT FOUND"))</f>
        <v/>
      </c>
      <c r="E1303" s="7"/>
      <c r="F1303" s="13"/>
      <c r="G1303" s="13"/>
      <c r="H1303" s="17" t="str">
        <f aca="false">IF(OR(E1303="",F1303=""),"",E1303*F1303)</f>
        <v/>
      </c>
      <c r="I1303" s="17" t="str">
        <f aca="false">IF(OR(E1303="",G1303=""),"",E1303*G1303)</f>
        <v/>
      </c>
      <c r="J1303" s="17" t="str">
        <f aca="false">IF(H1303="","",H1303-I1303)</f>
        <v/>
      </c>
    </row>
    <row r="1304" customFormat="false" ht="15" hidden="false" customHeight="true" outlineLevel="0" collapsed="false">
      <c r="A1304" s="7"/>
      <c r="B1304" s="18" t="str">
        <f aca="false">IF(A1304="","",IFERROR(INDEX(Sales_Memo!$B$2:$B$1001,MATCH(A1304,Sales_Memo!$A$2:$A$1001,0)),""))</f>
        <v/>
      </c>
      <c r="C1304" s="7"/>
      <c r="D1304" s="16" t="str">
        <f aca="false">IF(C1304="","",IFERROR(INDEX(Products!$B$2:$B$501,MATCH(C1304,Products!$A$2:$A$501,0)),"CODE NOT FOUND"))</f>
        <v/>
      </c>
      <c r="E1304" s="7"/>
      <c r="F1304" s="13"/>
      <c r="G1304" s="13"/>
      <c r="H1304" s="17" t="str">
        <f aca="false">IF(OR(E1304="",F1304=""),"",E1304*F1304)</f>
        <v/>
      </c>
      <c r="I1304" s="17" t="str">
        <f aca="false">IF(OR(E1304="",G1304=""),"",E1304*G1304)</f>
        <v/>
      </c>
      <c r="J1304" s="17" t="str">
        <f aca="false">IF(H1304="","",H1304-I1304)</f>
        <v/>
      </c>
    </row>
    <row r="1305" customFormat="false" ht="15" hidden="false" customHeight="true" outlineLevel="0" collapsed="false">
      <c r="A1305" s="7"/>
      <c r="B1305" s="18" t="str">
        <f aca="false">IF(A1305="","",IFERROR(INDEX(Sales_Memo!$B$2:$B$1001,MATCH(A1305,Sales_Memo!$A$2:$A$1001,0)),""))</f>
        <v/>
      </c>
      <c r="C1305" s="7"/>
      <c r="D1305" s="16" t="str">
        <f aca="false">IF(C1305="","",IFERROR(INDEX(Products!$B$2:$B$501,MATCH(C1305,Products!$A$2:$A$501,0)),"CODE NOT FOUND"))</f>
        <v/>
      </c>
      <c r="E1305" s="7"/>
      <c r="F1305" s="13"/>
      <c r="G1305" s="13"/>
      <c r="H1305" s="17" t="str">
        <f aca="false">IF(OR(E1305="",F1305=""),"",E1305*F1305)</f>
        <v/>
      </c>
      <c r="I1305" s="17" t="str">
        <f aca="false">IF(OR(E1305="",G1305=""),"",E1305*G1305)</f>
        <v/>
      </c>
      <c r="J1305" s="17" t="str">
        <f aca="false">IF(H1305="","",H1305-I1305)</f>
        <v/>
      </c>
    </row>
    <row r="1306" customFormat="false" ht="15" hidden="false" customHeight="true" outlineLevel="0" collapsed="false">
      <c r="A1306" s="7"/>
      <c r="B1306" s="18" t="str">
        <f aca="false">IF(A1306="","",IFERROR(INDEX(Sales_Memo!$B$2:$B$1001,MATCH(A1306,Sales_Memo!$A$2:$A$1001,0)),""))</f>
        <v/>
      </c>
      <c r="C1306" s="7"/>
      <c r="D1306" s="16" t="str">
        <f aca="false">IF(C1306="","",IFERROR(INDEX(Products!$B$2:$B$501,MATCH(C1306,Products!$A$2:$A$501,0)),"CODE NOT FOUND"))</f>
        <v/>
      </c>
      <c r="E1306" s="7"/>
      <c r="F1306" s="13"/>
      <c r="G1306" s="13"/>
      <c r="H1306" s="17" t="str">
        <f aca="false">IF(OR(E1306="",F1306=""),"",E1306*F1306)</f>
        <v/>
      </c>
      <c r="I1306" s="17" t="str">
        <f aca="false">IF(OR(E1306="",G1306=""),"",E1306*G1306)</f>
        <v/>
      </c>
      <c r="J1306" s="17" t="str">
        <f aca="false">IF(H1306="","",H1306-I1306)</f>
        <v/>
      </c>
    </row>
    <row r="1307" customFormat="false" ht="15" hidden="false" customHeight="true" outlineLevel="0" collapsed="false">
      <c r="A1307" s="7"/>
      <c r="B1307" s="18" t="str">
        <f aca="false">IF(A1307="","",IFERROR(INDEX(Sales_Memo!$B$2:$B$1001,MATCH(A1307,Sales_Memo!$A$2:$A$1001,0)),""))</f>
        <v/>
      </c>
      <c r="C1307" s="7"/>
      <c r="D1307" s="16" t="str">
        <f aca="false">IF(C1307="","",IFERROR(INDEX(Products!$B$2:$B$501,MATCH(C1307,Products!$A$2:$A$501,0)),"CODE NOT FOUND"))</f>
        <v/>
      </c>
      <c r="E1307" s="7"/>
      <c r="F1307" s="13"/>
      <c r="G1307" s="13"/>
      <c r="H1307" s="17" t="str">
        <f aca="false">IF(OR(E1307="",F1307=""),"",E1307*F1307)</f>
        <v/>
      </c>
      <c r="I1307" s="17" t="str">
        <f aca="false">IF(OR(E1307="",G1307=""),"",E1307*G1307)</f>
        <v/>
      </c>
      <c r="J1307" s="17" t="str">
        <f aca="false">IF(H1307="","",H1307-I1307)</f>
        <v/>
      </c>
    </row>
    <row r="1308" customFormat="false" ht="15" hidden="false" customHeight="true" outlineLevel="0" collapsed="false">
      <c r="A1308" s="7"/>
      <c r="B1308" s="18" t="str">
        <f aca="false">IF(A1308="","",IFERROR(INDEX(Sales_Memo!$B$2:$B$1001,MATCH(A1308,Sales_Memo!$A$2:$A$1001,0)),""))</f>
        <v/>
      </c>
      <c r="C1308" s="7"/>
      <c r="D1308" s="16" t="str">
        <f aca="false">IF(C1308="","",IFERROR(INDEX(Products!$B$2:$B$501,MATCH(C1308,Products!$A$2:$A$501,0)),"CODE NOT FOUND"))</f>
        <v/>
      </c>
      <c r="E1308" s="7"/>
      <c r="F1308" s="13"/>
      <c r="G1308" s="13"/>
      <c r="H1308" s="17" t="str">
        <f aca="false">IF(OR(E1308="",F1308=""),"",E1308*F1308)</f>
        <v/>
      </c>
      <c r="I1308" s="17" t="str">
        <f aca="false">IF(OR(E1308="",G1308=""),"",E1308*G1308)</f>
        <v/>
      </c>
      <c r="J1308" s="17" t="str">
        <f aca="false">IF(H1308="","",H1308-I1308)</f>
        <v/>
      </c>
    </row>
    <row r="1309" customFormat="false" ht="15" hidden="false" customHeight="true" outlineLevel="0" collapsed="false">
      <c r="A1309" s="7"/>
      <c r="B1309" s="18" t="str">
        <f aca="false">IF(A1309="","",IFERROR(INDEX(Sales_Memo!$B$2:$B$1001,MATCH(A1309,Sales_Memo!$A$2:$A$1001,0)),""))</f>
        <v/>
      </c>
      <c r="C1309" s="7"/>
      <c r="D1309" s="16" t="str">
        <f aca="false">IF(C1309="","",IFERROR(INDEX(Products!$B$2:$B$501,MATCH(C1309,Products!$A$2:$A$501,0)),"CODE NOT FOUND"))</f>
        <v/>
      </c>
      <c r="E1309" s="7"/>
      <c r="F1309" s="13"/>
      <c r="G1309" s="13"/>
      <c r="H1309" s="17" t="str">
        <f aca="false">IF(OR(E1309="",F1309=""),"",E1309*F1309)</f>
        <v/>
      </c>
      <c r="I1309" s="17" t="str">
        <f aca="false">IF(OR(E1309="",G1309=""),"",E1309*G1309)</f>
        <v/>
      </c>
      <c r="J1309" s="17" t="str">
        <f aca="false">IF(H1309="","",H1309-I1309)</f>
        <v/>
      </c>
    </row>
    <row r="1310" customFormat="false" ht="15" hidden="false" customHeight="true" outlineLevel="0" collapsed="false">
      <c r="A1310" s="7"/>
      <c r="B1310" s="18" t="str">
        <f aca="false">IF(A1310="","",IFERROR(INDEX(Sales_Memo!$B$2:$B$1001,MATCH(A1310,Sales_Memo!$A$2:$A$1001,0)),""))</f>
        <v/>
      </c>
      <c r="C1310" s="7"/>
      <c r="D1310" s="16" t="str">
        <f aca="false">IF(C1310="","",IFERROR(INDEX(Products!$B$2:$B$501,MATCH(C1310,Products!$A$2:$A$501,0)),"CODE NOT FOUND"))</f>
        <v/>
      </c>
      <c r="E1310" s="7"/>
      <c r="F1310" s="13"/>
      <c r="G1310" s="13"/>
      <c r="H1310" s="17" t="str">
        <f aca="false">IF(OR(E1310="",F1310=""),"",E1310*F1310)</f>
        <v/>
      </c>
      <c r="I1310" s="17" t="str">
        <f aca="false">IF(OR(E1310="",G1310=""),"",E1310*G1310)</f>
        <v/>
      </c>
      <c r="J1310" s="17" t="str">
        <f aca="false">IF(H1310="","",H1310-I1310)</f>
        <v/>
      </c>
    </row>
    <row r="1311" customFormat="false" ht="15" hidden="false" customHeight="true" outlineLevel="0" collapsed="false">
      <c r="A1311" s="7"/>
      <c r="B1311" s="18" t="str">
        <f aca="false">IF(A1311="","",IFERROR(INDEX(Sales_Memo!$B$2:$B$1001,MATCH(A1311,Sales_Memo!$A$2:$A$1001,0)),""))</f>
        <v/>
      </c>
      <c r="C1311" s="7"/>
      <c r="D1311" s="16" t="str">
        <f aca="false">IF(C1311="","",IFERROR(INDEX(Products!$B$2:$B$501,MATCH(C1311,Products!$A$2:$A$501,0)),"CODE NOT FOUND"))</f>
        <v/>
      </c>
      <c r="E1311" s="7"/>
      <c r="F1311" s="13"/>
      <c r="G1311" s="13"/>
      <c r="H1311" s="17" t="str">
        <f aca="false">IF(OR(E1311="",F1311=""),"",E1311*F1311)</f>
        <v/>
      </c>
      <c r="I1311" s="17" t="str">
        <f aca="false">IF(OR(E1311="",G1311=""),"",E1311*G1311)</f>
        <v/>
      </c>
      <c r="J1311" s="17" t="str">
        <f aca="false">IF(H1311="","",H1311-I1311)</f>
        <v/>
      </c>
    </row>
    <row r="1312" customFormat="false" ht="15" hidden="false" customHeight="true" outlineLevel="0" collapsed="false">
      <c r="A1312" s="7"/>
      <c r="B1312" s="18" t="str">
        <f aca="false">IF(A1312="","",IFERROR(INDEX(Sales_Memo!$B$2:$B$1001,MATCH(A1312,Sales_Memo!$A$2:$A$1001,0)),""))</f>
        <v/>
      </c>
      <c r="C1312" s="7"/>
      <c r="D1312" s="16" t="str">
        <f aca="false">IF(C1312="","",IFERROR(INDEX(Products!$B$2:$B$501,MATCH(C1312,Products!$A$2:$A$501,0)),"CODE NOT FOUND"))</f>
        <v/>
      </c>
      <c r="E1312" s="7"/>
      <c r="F1312" s="13"/>
      <c r="G1312" s="13"/>
      <c r="H1312" s="17" t="str">
        <f aca="false">IF(OR(E1312="",F1312=""),"",E1312*F1312)</f>
        <v/>
      </c>
      <c r="I1312" s="17" t="str">
        <f aca="false">IF(OR(E1312="",G1312=""),"",E1312*G1312)</f>
        <v/>
      </c>
      <c r="J1312" s="17" t="str">
        <f aca="false">IF(H1312="","",H1312-I1312)</f>
        <v/>
      </c>
    </row>
    <row r="1313" customFormat="false" ht="15" hidden="false" customHeight="true" outlineLevel="0" collapsed="false">
      <c r="A1313" s="7"/>
      <c r="B1313" s="18" t="str">
        <f aca="false">IF(A1313="","",IFERROR(INDEX(Sales_Memo!$B$2:$B$1001,MATCH(A1313,Sales_Memo!$A$2:$A$1001,0)),""))</f>
        <v/>
      </c>
      <c r="C1313" s="7"/>
      <c r="D1313" s="16" t="str">
        <f aca="false">IF(C1313="","",IFERROR(INDEX(Products!$B$2:$B$501,MATCH(C1313,Products!$A$2:$A$501,0)),"CODE NOT FOUND"))</f>
        <v/>
      </c>
      <c r="E1313" s="7"/>
      <c r="F1313" s="13"/>
      <c r="G1313" s="13"/>
      <c r="H1313" s="17" t="str">
        <f aca="false">IF(OR(E1313="",F1313=""),"",E1313*F1313)</f>
        <v/>
      </c>
      <c r="I1313" s="17" t="str">
        <f aca="false">IF(OR(E1313="",G1313=""),"",E1313*G1313)</f>
        <v/>
      </c>
      <c r="J1313" s="17" t="str">
        <f aca="false">IF(H1313="","",H1313-I1313)</f>
        <v/>
      </c>
    </row>
    <row r="1314" customFormat="false" ht="15" hidden="false" customHeight="true" outlineLevel="0" collapsed="false">
      <c r="A1314" s="7"/>
      <c r="B1314" s="18" t="str">
        <f aca="false">IF(A1314="","",IFERROR(INDEX(Sales_Memo!$B$2:$B$1001,MATCH(A1314,Sales_Memo!$A$2:$A$1001,0)),""))</f>
        <v/>
      </c>
      <c r="C1314" s="7"/>
      <c r="D1314" s="16" t="str">
        <f aca="false">IF(C1314="","",IFERROR(INDEX(Products!$B$2:$B$501,MATCH(C1314,Products!$A$2:$A$501,0)),"CODE NOT FOUND"))</f>
        <v/>
      </c>
      <c r="E1314" s="7"/>
      <c r="F1314" s="13"/>
      <c r="G1314" s="13"/>
      <c r="H1314" s="17" t="str">
        <f aca="false">IF(OR(E1314="",F1314=""),"",E1314*F1314)</f>
        <v/>
      </c>
      <c r="I1314" s="17" t="str">
        <f aca="false">IF(OR(E1314="",G1314=""),"",E1314*G1314)</f>
        <v/>
      </c>
      <c r="J1314" s="17" t="str">
        <f aca="false">IF(H1314="","",H1314-I1314)</f>
        <v/>
      </c>
    </row>
    <row r="1315" customFormat="false" ht="15" hidden="false" customHeight="true" outlineLevel="0" collapsed="false">
      <c r="A1315" s="7"/>
      <c r="B1315" s="18" t="str">
        <f aca="false">IF(A1315="","",IFERROR(INDEX(Sales_Memo!$B$2:$B$1001,MATCH(A1315,Sales_Memo!$A$2:$A$1001,0)),""))</f>
        <v/>
      </c>
      <c r="C1315" s="7"/>
      <c r="D1315" s="16" t="str">
        <f aca="false">IF(C1315="","",IFERROR(INDEX(Products!$B$2:$B$501,MATCH(C1315,Products!$A$2:$A$501,0)),"CODE NOT FOUND"))</f>
        <v/>
      </c>
      <c r="E1315" s="7"/>
      <c r="F1315" s="13"/>
      <c r="G1315" s="13"/>
      <c r="H1315" s="17" t="str">
        <f aca="false">IF(OR(E1315="",F1315=""),"",E1315*F1315)</f>
        <v/>
      </c>
      <c r="I1315" s="17" t="str">
        <f aca="false">IF(OR(E1315="",G1315=""),"",E1315*G1315)</f>
        <v/>
      </c>
      <c r="J1315" s="17" t="str">
        <f aca="false">IF(H1315="","",H1315-I1315)</f>
        <v/>
      </c>
    </row>
    <row r="1316" customFormat="false" ht="15" hidden="false" customHeight="true" outlineLevel="0" collapsed="false">
      <c r="A1316" s="7"/>
      <c r="B1316" s="18" t="str">
        <f aca="false">IF(A1316="","",IFERROR(INDEX(Sales_Memo!$B$2:$B$1001,MATCH(A1316,Sales_Memo!$A$2:$A$1001,0)),""))</f>
        <v/>
      </c>
      <c r="C1316" s="7"/>
      <c r="D1316" s="16" t="str">
        <f aca="false">IF(C1316="","",IFERROR(INDEX(Products!$B$2:$B$501,MATCH(C1316,Products!$A$2:$A$501,0)),"CODE NOT FOUND"))</f>
        <v/>
      </c>
      <c r="E1316" s="7"/>
      <c r="F1316" s="13"/>
      <c r="G1316" s="13"/>
      <c r="H1316" s="17" t="str">
        <f aca="false">IF(OR(E1316="",F1316=""),"",E1316*F1316)</f>
        <v/>
      </c>
      <c r="I1316" s="17" t="str">
        <f aca="false">IF(OR(E1316="",G1316=""),"",E1316*G1316)</f>
        <v/>
      </c>
      <c r="J1316" s="17" t="str">
        <f aca="false">IF(H1316="","",H1316-I1316)</f>
        <v/>
      </c>
    </row>
    <row r="1317" customFormat="false" ht="15" hidden="false" customHeight="true" outlineLevel="0" collapsed="false">
      <c r="A1317" s="7"/>
      <c r="B1317" s="18" t="str">
        <f aca="false">IF(A1317="","",IFERROR(INDEX(Sales_Memo!$B$2:$B$1001,MATCH(A1317,Sales_Memo!$A$2:$A$1001,0)),""))</f>
        <v/>
      </c>
      <c r="C1317" s="7"/>
      <c r="D1317" s="16" t="str">
        <f aca="false">IF(C1317="","",IFERROR(INDEX(Products!$B$2:$B$501,MATCH(C1317,Products!$A$2:$A$501,0)),"CODE NOT FOUND"))</f>
        <v/>
      </c>
      <c r="E1317" s="7"/>
      <c r="F1317" s="13"/>
      <c r="G1317" s="13"/>
      <c r="H1317" s="17" t="str">
        <f aca="false">IF(OR(E1317="",F1317=""),"",E1317*F1317)</f>
        <v/>
      </c>
      <c r="I1317" s="17" t="str">
        <f aca="false">IF(OR(E1317="",G1317=""),"",E1317*G1317)</f>
        <v/>
      </c>
      <c r="J1317" s="17" t="str">
        <f aca="false">IF(H1317="","",H1317-I1317)</f>
        <v/>
      </c>
    </row>
    <row r="1318" customFormat="false" ht="15" hidden="false" customHeight="true" outlineLevel="0" collapsed="false">
      <c r="A1318" s="7"/>
      <c r="B1318" s="18" t="str">
        <f aca="false">IF(A1318="","",IFERROR(INDEX(Sales_Memo!$B$2:$B$1001,MATCH(A1318,Sales_Memo!$A$2:$A$1001,0)),""))</f>
        <v/>
      </c>
      <c r="C1318" s="7"/>
      <c r="D1318" s="16" t="str">
        <f aca="false">IF(C1318="","",IFERROR(INDEX(Products!$B$2:$B$501,MATCH(C1318,Products!$A$2:$A$501,0)),"CODE NOT FOUND"))</f>
        <v/>
      </c>
      <c r="E1318" s="7"/>
      <c r="F1318" s="13"/>
      <c r="G1318" s="13"/>
      <c r="H1318" s="17" t="str">
        <f aca="false">IF(OR(E1318="",F1318=""),"",E1318*F1318)</f>
        <v/>
      </c>
      <c r="I1318" s="17" t="str">
        <f aca="false">IF(OR(E1318="",G1318=""),"",E1318*G1318)</f>
        <v/>
      </c>
      <c r="J1318" s="17" t="str">
        <f aca="false">IF(H1318="","",H1318-I1318)</f>
        <v/>
      </c>
    </row>
    <row r="1319" customFormat="false" ht="15" hidden="false" customHeight="true" outlineLevel="0" collapsed="false">
      <c r="A1319" s="7"/>
      <c r="B1319" s="18" t="str">
        <f aca="false">IF(A1319="","",IFERROR(INDEX(Sales_Memo!$B$2:$B$1001,MATCH(A1319,Sales_Memo!$A$2:$A$1001,0)),""))</f>
        <v/>
      </c>
      <c r="C1319" s="7"/>
      <c r="D1319" s="16" t="str">
        <f aca="false">IF(C1319="","",IFERROR(INDEX(Products!$B$2:$B$501,MATCH(C1319,Products!$A$2:$A$501,0)),"CODE NOT FOUND"))</f>
        <v/>
      </c>
      <c r="E1319" s="7"/>
      <c r="F1319" s="13"/>
      <c r="G1319" s="13"/>
      <c r="H1319" s="17" t="str">
        <f aca="false">IF(OR(E1319="",F1319=""),"",E1319*F1319)</f>
        <v/>
      </c>
      <c r="I1319" s="17" t="str">
        <f aca="false">IF(OR(E1319="",G1319=""),"",E1319*G1319)</f>
        <v/>
      </c>
      <c r="J1319" s="17" t="str">
        <f aca="false">IF(H1319="","",H1319-I1319)</f>
        <v/>
      </c>
    </row>
    <row r="1320" customFormat="false" ht="15" hidden="false" customHeight="true" outlineLevel="0" collapsed="false">
      <c r="A1320" s="7"/>
      <c r="B1320" s="18" t="str">
        <f aca="false">IF(A1320="","",IFERROR(INDEX(Sales_Memo!$B$2:$B$1001,MATCH(A1320,Sales_Memo!$A$2:$A$1001,0)),""))</f>
        <v/>
      </c>
      <c r="C1320" s="7"/>
      <c r="D1320" s="16" t="str">
        <f aca="false">IF(C1320="","",IFERROR(INDEX(Products!$B$2:$B$501,MATCH(C1320,Products!$A$2:$A$501,0)),"CODE NOT FOUND"))</f>
        <v/>
      </c>
      <c r="E1320" s="7"/>
      <c r="F1320" s="13"/>
      <c r="G1320" s="13"/>
      <c r="H1320" s="17" t="str">
        <f aca="false">IF(OR(E1320="",F1320=""),"",E1320*F1320)</f>
        <v/>
      </c>
      <c r="I1320" s="17" t="str">
        <f aca="false">IF(OR(E1320="",G1320=""),"",E1320*G1320)</f>
        <v/>
      </c>
      <c r="J1320" s="17" t="str">
        <f aca="false">IF(H1320="","",H1320-I1320)</f>
        <v/>
      </c>
    </row>
    <row r="1321" customFormat="false" ht="15" hidden="false" customHeight="true" outlineLevel="0" collapsed="false">
      <c r="A1321" s="7"/>
      <c r="B1321" s="18" t="str">
        <f aca="false">IF(A1321="","",IFERROR(INDEX(Sales_Memo!$B$2:$B$1001,MATCH(A1321,Sales_Memo!$A$2:$A$1001,0)),""))</f>
        <v/>
      </c>
      <c r="C1321" s="7"/>
      <c r="D1321" s="16" t="str">
        <f aca="false">IF(C1321="","",IFERROR(INDEX(Products!$B$2:$B$501,MATCH(C1321,Products!$A$2:$A$501,0)),"CODE NOT FOUND"))</f>
        <v/>
      </c>
      <c r="E1321" s="7"/>
      <c r="F1321" s="13"/>
      <c r="G1321" s="13"/>
      <c r="H1321" s="17" t="str">
        <f aca="false">IF(OR(E1321="",F1321=""),"",E1321*F1321)</f>
        <v/>
      </c>
      <c r="I1321" s="17" t="str">
        <f aca="false">IF(OR(E1321="",G1321=""),"",E1321*G1321)</f>
        <v/>
      </c>
      <c r="J1321" s="17" t="str">
        <f aca="false">IF(H1321="","",H1321-I1321)</f>
        <v/>
      </c>
    </row>
    <row r="1322" customFormat="false" ht="15" hidden="false" customHeight="true" outlineLevel="0" collapsed="false">
      <c r="A1322" s="7"/>
      <c r="B1322" s="18" t="str">
        <f aca="false">IF(A1322="","",IFERROR(INDEX(Sales_Memo!$B$2:$B$1001,MATCH(A1322,Sales_Memo!$A$2:$A$1001,0)),""))</f>
        <v/>
      </c>
      <c r="C1322" s="7"/>
      <c r="D1322" s="16" t="str">
        <f aca="false">IF(C1322="","",IFERROR(INDEX(Products!$B$2:$B$501,MATCH(C1322,Products!$A$2:$A$501,0)),"CODE NOT FOUND"))</f>
        <v/>
      </c>
      <c r="E1322" s="7"/>
      <c r="F1322" s="13"/>
      <c r="G1322" s="13"/>
      <c r="H1322" s="17" t="str">
        <f aca="false">IF(OR(E1322="",F1322=""),"",E1322*F1322)</f>
        <v/>
      </c>
      <c r="I1322" s="17" t="str">
        <f aca="false">IF(OR(E1322="",G1322=""),"",E1322*G1322)</f>
        <v/>
      </c>
      <c r="J1322" s="17" t="str">
        <f aca="false">IF(H1322="","",H1322-I1322)</f>
        <v/>
      </c>
    </row>
    <row r="1323" customFormat="false" ht="15" hidden="false" customHeight="true" outlineLevel="0" collapsed="false">
      <c r="A1323" s="7"/>
      <c r="B1323" s="18" t="str">
        <f aca="false">IF(A1323="","",IFERROR(INDEX(Sales_Memo!$B$2:$B$1001,MATCH(A1323,Sales_Memo!$A$2:$A$1001,0)),""))</f>
        <v/>
      </c>
      <c r="C1323" s="7"/>
      <c r="D1323" s="16" t="str">
        <f aca="false">IF(C1323="","",IFERROR(INDEX(Products!$B$2:$B$501,MATCH(C1323,Products!$A$2:$A$501,0)),"CODE NOT FOUND"))</f>
        <v/>
      </c>
      <c r="E1323" s="7"/>
      <c r="F1323" s="13"/>
      <c r="G1323" s="13"/>
      <c r="H1323" s="17" t="str">
        <f aca="false">IF(OR(E1323="",F1323=""),"",E1323*F1323)</f>
        <v/>
      </c>
      <c r="I1323" s="17" t="str">
        <f aca="false">IF(OR(E1323="",G1323=""),"",E1323*G1323)</f>
        <v/>
      </c>
      <c r="J1323" s="17" t="str">
        <f aca="false">IF(H1323="","",H1323-I1323)</f>
        <v/>
      </c>
    </row>
    <row r="1324" customFormat="false" ht="15" hidden="false" customHeight="true" outlineLevel="0" collapsed="false">
      <c r="A1324" s="7"/>
      <c r="B1324" s="18" t="str">
        <f aca="false">IF(A1324="","",IFERROR(INDEX(Sales_Memo!$B$2:$B$1001,MATCH(A1324,Sales_Memo!$A$2:$A$1001,0)),""))</f>
        <v/>
      </c>
      <c r="C1324" s="7"/>
      <c r="D1324" s="16" t="str">
        <f aca="false">IF(C1324="","",IFERROR(INDEX(Products!$B$2:$B$501,MATCH(C1324,Products!$A$2:$A$501,0)),"CODE NOT FOUND"))</f>
        <v/>
      </c>
      <c r="E1324" s="7"/>
      <c r="F1324" s="13"/>
      <c r="G1324" s="13"/>
      <c r="H1324" s="17" t="str">
        <f aca="false">IF(OR(E1324="",F1324=""),"",E1324*F1324)</f>
        <v/>
      </c>
      <c r="I1324" s="17" t="str">
        <f aca="false">IF(OR(E1324="",G1324=""),"",E1324*G1324)</f>
        <v/>
      </c>
      <c r="J1324" s="17" t="str">
        <f aca="false">IF(H1324="","",H1324-I1324)</f>
        <v/>
      </c>
    </row>
    <row r="1325" customFormat="false" ht="15" hidden="false" customHeight="true" outlineLevel="0" collapsed="false">
      <c r="A1325" s="7"/>
      <c r="B1325" s="18" t="str">
        <f aca="false">IF(A1325="","",IFERROR(INDEX(Sales_Memo!$B$2:$B$1001,MATCH(A1325,Sales_Memo!$A$2:$A$1001,0)),""))</f>
        <v/>
      </c>
      <c r="C1325" s="7"/>
      <c r="D1325" s="16" t="str">
        <f aca="false">IF(C1325="","",IFERROR(INDEX(Products!$B$2:$B$501,MATCH(C1325,Products!$A$2:$A$501,0)),"CODE NOT FOUND"))</f>
        <v/>
      </c>
      <c r="E1325" s="7"/>
      <c r="F1325" s="13"/>
      <c r="G1325" s="13"/>
      <c r="H1325" s="17" t="str">
        <f aca="false">IF(OR(E1325="",F1325=""),"",E1325*F1325)</f>
        <v/>
      </c>
      <c r="I1325" s="17" t="str">
        <f aca="false">IF(OR(E1325="",G1325=""),"",E1325*G1325)</f>
        <v/>
      </c>
      <c r="J1325" s="17" t="str">
        <f aca="false">IF(H1325="","",H1325-I1325)</f>
        <v/>
      </c>
    </row>
    <row r="1326" customFormat="false" ht="15" hidden="false" customHeight="true" outlineLevel="0" collapsed="false">
      <c r="A1326" s="7"/>
      <c r="B1326" s="18" t="str">
        <f aca="false">IF(A1326="","",IFERROR(INDEX(Sales_Memo!$B$2:$B$1001,MATCH(A1326,Sales_Memo!$A$2:$A$1001,0)),""))</f>
        <v/>
      </c>
      <c r="C1326" s="7"/>
      <c r="D1326" s="16" t="str">
        <f aca="false">IF(C1326="","",IFERROR(INDEX(Products!$B$2:$B$501,MATCH(C1326,Products!$A$2:$A$501,0)),"CODE NOT FOUND"))</f>
        <v/>
      </c>
      <c r="E1326" s="7"/>
      <c r="F1326" s="13"/>
      <c r="G1326" s="13"/>
      <c r="H1326" s="17" t="str">
        <f aca="false">IF(OR(E1326="",F1326=""),"",E1326*F1326)</f>
        <v/>
      </c>
      <c r="I1326" s="17" t="str">
        <f aca="false">IF(OR(E1326="",G1326=""),"",E1326*G1326)</f>
        <v/>
      </c>
      <c r="J1326" s="17" t="str">
        <f aca="false">IF(H1326="","",H1326-I1326)</f>
        <v/>
      </c>
    </row>
    <row r="1327" customFormat="false" ht="15" hidden="false" customHeight="true" outlineLevel="0" collapsed="false">
      <c r="A1327" s="7"/>
      <c r="B1327" s="18" t="str">
        <f aca="false">IF(A1327="","",IFERROR(INDEX(Sales_Memo!$B$2:$B$1001,MATCH(A1327,Sales_Memo!$A$2:$A$1001,0)),""))</f>
        <v/>
      </c>
      <c r="C1327" s="7"/>
      <c r="D1327" s="16" t="str">
        <f aca="false">IF(C1327="","",IFERROR(INDEX(Products!$B$2:$B$501,MATCH(C1327,Products!$A$2:$A$501,0)),"CODE NOT FOUND"))</f>
        <v/>
      </c>
      <c r="E1327" s="7"/>
      <c r="F1327" s="13"/>
      <c r="G1327" s="13"/>
      <c r="H1327" s="17" t="str">
        <f aca="false">IF(OR(E1327="",F1327=""),"",E1327*F1327)</f>
        <v/>
      </c>
      <c r="I1327" s="17" t="str">
        <f aca="false">IF(OR(E1327="",G1327=""),"",E1327*G1327)</f>
        <v/>
      </c>
      <c r="J1327" s="17" t="str">
        <f aca="false">IF(H1327="","",H1327-I1327)</f>
        <v/>
      </c>
    </row>
    <row r="1328" customFormat="false" ht="15" hidden="false" customHeight="true" outlineLevel="0" collapsed="false">
      <c r="A1328" s="7"/>
      <c r="B1328" s="18" t="str">
        <f aca="false">IF(A1328="","",IFERROR(INDEX(Sales_Memo!$B$2:$B$1001,MATCH(A1328,Sales_Memo!$A$2:$A$1001,0)),""))</f>
        <v/>
      </c>
      <c r="C1328" s="7"/>
      <c r="D1328" s="16" t="str">
        <f aca="false">IF(C1328="","",IFERROR(INDEX(Products!$B$2:$B$501,MATCH(C1328,Products!$A$2:$A$501,0)),"CODE NOT FOUND"))</f>
        <v/>
      </c>
      <c r="E1328" s="7"/>
      <c r="F1328" s="13"/>
      <c r="G1328" s="13"/>
      <c r="H1328" s="17" t="str">
        <f aca="false">IF(OR(E1328="",F1328=""),"",E1328*F1328)</f>
        <v/>
      </c>
      <c r="I1328" s="17" t="str">
        <f aca="false">IF(OR(E1328="",G1328=""),"",E1328*G1328)</f>
        <v/>
      </c>
      <c r="J1328" s="17" t="str">
        <f aca="false">IF(H1328="","",H1328-I1328)</f>
        <v/>
      </c>
    </row>
    <row r="1329" customFormat="false" ht="15" hidden="false" customHeight="true" outlineLevel="0" collapsed="false">
      <c r="A1329" s="7"/>
      <c r="B1329" s="18" t="str">
        <f aca="false">IF(A1329="","",IFERROR(INDEX(Sales_Memo!$B$2:$B$1001,MATCH(A1329,Sales_Memo!$A$2:$A$1001,0)),""))</f>
        <v/>
      </c>
      <c r="C1329" s="7"/>
      <c r="D1329" s="16" t="str">
        <f aca="false">IF(C1329="","",IFERROR(INDEX(Products!$B$2:$B$501,MATCH(C1329,Products!$A$2:$A$501,0)),"CODE NOT FOUND"))</f>
        <v/>
      </c>
      <c r="E1329" s="7"/>
      <c r="F1329" s="13"/>
      <c r="G1329" s="13"/>
      <c r="H1329" s="17" t="str">
        <f aca="false">IF(OR(E1329="",F1329=""),"",E1329*F1329)</f>
        <v/>
      </c>
      <c r="I1329" s="17" t="str">
        <f aca="false">IF(OR(E1329="",G1329=""),"",E1329*G1329)</f>
        <v/>
      </c>
      <c r="J1329" s="17" t="str">
        <f aca="false">IF(H1329="","",H1329-I1329)</f>
        <v/>
      </c>
    </row>
    <row r="1330" customFormat="false" ht="15" hidden="false" customHeight="true" outlineLevel="0" collapsed="false">
      <c r="A1330" s="7"/>
      <c r="B1330" s="18" t="str">
        <f aca="false">IF(A1330="","",IFERROR(INDEX(Sales_Memo!$B$2:$B$1001,MATCH(A1330,Sales_Memo!$A$2:$A$1001,0)),""))</f>
        <v/>
      </c>
      <c r="C1330" s="7"/>
      <c r="D1330" s="16" t="str">
        <f aca="false">IF(C1330="","",IFERROR(INDEX(Products!$B$2:$B$501,MATCH(C1330,Products!$A$2:$A$501,0)),"CODE NOT FOUND"))</f>
        <v/>
      </c>
      <c r="E1330" s="7"/>
      <c r="F1330" s="13"/>
      <c r="G1330" s="13"/>
      <c r="H1330" s="17" t="str">
        <f aca="false">IF(OR(E1330="",F1330=""),"",E1330*F1330)</f>
        <v/>
      </c>
      <c r="I1330" s="17" t="str">
        <f aca="false">IF(OR(E1330="",G1330=""),"",E1330*G1330)</f>
        <v/>
      </c>
      <c r="J1330" s="17" t="str">
        <f aca="false">IF(H1330="","",H1330-I1330)</f>
        <v/>
      </c>
    </row>
    <row r="1331" customFormat="false" ht="15" hidden="false" customHeight="true" outlineLevel="0" collapsed="false">
      <c r="A1331" s="7"/>
      <c r="B1331" s="18" t="str">
        <f aca="false">IF(A1331="","",IFERROR(INDEX(Sales_Memo!$B$2:$B$1001,MATCH(A1331,Sales_Memo!$A$2:$A$1001,0)),""))</f>
        <v/>
      </c>
      <c r="C1331" s="7"/>
      <c r="D1331" s="16" t="str">
        <f aca="false">IF(C1331="","",IFERROR(INDEX(Products!$B$2:$B$501,MATCH(C1331,Products!$A$2:$A$501,0)),"CODE NOT FOUND"))</f>
        <v/>
      </c>
      <c r="E1331" s="7"/>
      <c r="F1331" s="13"/>
      <c r="G1331" s="13"/>
      <c r="H1331" s="17" t="str">
        <f aca="false">IF(OR(E1331="",F1331=""),"",E1331*F1331)</f>
        <v/>
      </c>
      <c r="I1331" s="17" t="str">
        <f aca="false">IF(OR(E1331="",G1331=""),"",E1331*G1331)</f>
        <v/>
      </c>
      <c r="J1331" s="17" t="str">
        <f aca="false">IF(H1331="","",H1331-I1331)</f>
        <v/>
      </c>
    </row>
    <row r="1332" customFormat="false" ht="15" hidden="false" customHeight="true" outlineLevel="0" collapsed="false">
      <c r="A1332" s="7"/>
      <c r="B1332" s="18" t="str">
        <f aca="false">IF(A1332="","",IFERROR(INDEX(Sales_Memo!$B$2:$B$1001,MATCH(A1332,Sales_Memo!$A$2:$A$1001,0)),""))</f>
        <v/>
      </c>
      <c r="C1332" s="7"/>
      <c r="D1332" s="16" t="str">
        <f aca="false">IF(C1332="","",IFERROR(INDEX(Products!$B$2:$B$501,MATCH(C1332,Products!$A$2:$A$501,0)),"CODE NOT FOUND"))</f>
        <v/>
      </c>
      <c r="E1332" s="7"/>
      <c r="F1332" s="13"/>
      <c r="G1332" s="13"/>
      <c r="H1332" s="17" t="str">
        <f aca="false">IF(OR(E1332="",F1332=""),"",E1332*F1332)</f>
        <v/>
      </c>
      <c r="I1332" s="17" t="str">
        <f aca="false">IF(OR(E1332="",G1332=""),"",E1332*G1332)</f>
        <v/>
      </c>
      <c r="J1332" s="17" t="str">
        <f aca="false">IF(H1332="","",H1332-I1332)</f>
        <v/>
      </c>
    </row>
    <row r="1333" customFormat="false" ht="15" hidden="false" customHeight="true" outlineLevel="0" collapsed="false">
      <c r="A1333" s="7"/>
      <c r="B1333" s="18" t="str">
        <f aca="false">IF(A1333="","",IFERROR(INDEX(Sales_Memo!$B$2:$B$1001,MATCH(A1333,Sales_Memo!$A$2:$A$1001,0)),""))</f>
        <v/>
      </c>
      <c r="C1333" s="7"/>
      <c r="D1333" s="16" t="str">
        <f aca="false">IF(C1333="","",IFERROR(INDEX(Products!$B$2:$B$501,MATCH(C1333,Products!$A$2:$A$501,0)),"CODE NOT FOUND"))</f>
        <v/>
      </c>
      <c r="E1333" s="7"/>
      <c r="F1333" s="13"/>
      <c r="G1333" s="13"/>
      <c r="H1333" s="17" t="str">
        <f aca="false">IF(OR(E1333="",F1333=""),"",E1333*F1333)</f>
        <v/>
      </c>
      <c r="I1333" s="17" t="str">
        <f aca="false">IF(OR(E1333="",G1333=""),"",E1333*G1333)</f>
        <v/>
      </c>
      <c r="J1333" s="17" t="str">
        <f aca="false">IF(H1333="","",H1333-I1333)</f>
        <v/>
      </c>
    </row>
    <row r="1334" customFormat="false" ht="15" hidden="false" customHeight="true" outlineLevel="0" collapsed="false">
      <c r="A1334" s="7"/>
      <c r="B1334" s="18" t="str">
        <f aca="false">IF(A1334="","",IFERROR(INDEX(Sales_Memo!$B$2:$B$1001,MATCH(A1334,Sales_Memo!$A$2:$A$1001,0)),""))</f>
        <v/>
      </c>
      <c r="C1334" s="7"/>
      <c r="D1334" s="16" t="str">
        <f aca="false">IF(C1334="","",IFERROR(INDEX(Products!$B$2:$B$501,MATCH(C1334,Products!$A$2:$A$501,0)),"CODE NOT FOUND"))</f>
        <v/>
      </c>
      <c r="E1334" s="7"/>
      <c r="F1334" s="13"/>
      <c r="G1334" s="13"/>
      <c r="H1334" s="17" t="str">
        <f aca="false">IF(OR(E1334="",F1334=""),"",E1334*F1334)</f>
        <v/>
      </c>
      <c r="I1334" s="17" t="str">
        <f aca="false">IF(OR(E1334="",G1334=""),"",E1334*G1334)</f>
        <v/>
      </c>
      <c r="J1334" s="17" t="str">
        <f aca="false">IF(H1334="","",H1334-I1334)</f>
        <v/>
      </c>
    </row>
    <row r="1335" customFormat="false" ht="15" hidden="false" customHeight="true" outlineLevel="0" collapsed="false">
      <c r="A1335" s="7"/>
      <c r="B1335" s="18" t="str">
        <f aca="false">IF(A1335="","",IFERROR(INDEX(Sales_Memo!$B$2:$B$1001,MATCH(A1335,Sales_Memo!$A$2:$A$1001,0)),""))</f>
        <v/>
      </c>
      <c r="C1335" s="7"/>
      <c r="D1335" s="16" t="str">
        <f aca="false">IF(C1335="","",IFERROR(INDEX(Products!$B$2:$B$501,MATCH(C1335,Products!$A$2:$A$501,0)),"CODE NOT FOUND"))</f>
        <v/>
      </c>
      <c r="E1335" s="7"/>
      <c r="F1335" s="13"/>
      <c r="G1335" s="13"/>
      <c r="H1335" s="17" t="str">
        <f aca="false">IF(OR(E1335="",F1335=""),"",E1335*F1335)</f>
        <v/>
      </c>
      <c r="I1335" s="17" t="str">
        <f aca="false">IF(OR(E1335="",G1335=""),"",E1335*G1335)</f>
        <v/>
      </c>
      <c r="J1335" s="17" t="str">
        <f aca="false">IF(H1335="","",H1335-I1335)</f>
        <v/>
      </c>
    </row>
    <row r="1336" customFormat="false" ht="15" hidden="false" customHeight="true" outlineLevel="0" collapsed="false">
      <c r="A1336" s="7"/>
      <c r="B1336" s="18" t="str">
        <f aca="false">IF(A1336="","",IFERROR(INDEX(Sales_Memo!$B$2:$B$1001,MATCH(A1336,Sales_Memo!$A$2:$A$1001,0)),""))</f>
        <v/>
      </c>
      <c r="C1336" s="7"/>
      <c r="D1336" s="16" t="str">
        <f aca="false">IF(C1336="","",IFERROR(INDEX(Products!$B$2:$B$501,MATCH(C1336,Products!$A$2:$A$501,0)),"CODE NOT FOUND"))</f>
        <v/>
      </c>
      <c r="E1336" s="7"/>
      <c r="F1336" s="13"/>
      <c r="G1336" s="13"/>
      <c r="H1336" s="17" t="str">
        <f aca="false">IF(OR(E1336="",F1336=""),"",E1336*F1336)</f>
        <v/>
      </c>
      <c r="I1336" s="17" t="str">
        <f aca="false">IF(OR(E1336="",G1336=""),"",E1336*G1336)</f>
        <v/>
      </c>
      <c r="J1336" s="17" t="str">
        <f aca="false">IF(H1336="","",H1336-I1336)</f>
        <v/>
      </c>
    </row>
    <row r="1337" customFormat="false" ht="15" hidden="false" customHeight="true" outlineLevel="0" collapsed="false">
      <c r="A1337" s="7"/>
      <c r="B1337" s="18" t="str">
        <f aca="false">IF(A1337="","",IFERROR(INDEX(Sales_Memo!$B$2:$B$1001,MATCH(A1337,Sales_Memo!$A$2:$A$1001,0)),""))</f>
        <v/>
      </c>
      <c r="C1337" s="7"/>
      <c r="D1337" s="16" t="str">
        <f aca="false">IF(C1337="","",IFERROR(INDEX(Products!$B$2:$B$501,MATCH(C1337,Products!$A$2:$A$501,0)),"CODE NOT FOUND"))</f>
        <v/>
      </c>
      <c r="E1337" s="7"/>
      <c r="F1337" s="13"/>
      <c r="G1337" s="13"/>
      <c r="H1337" s="17" t="str">
        <f aca="false">IF(OR(E1337="",F1337=""),"",E1337*F1337)</f>
        <v/>
      </c>
      <c r="I1337" s="17" t="str">
        <f aca="false">IF(OR(E1337="",G1337=""),"",E1337*G1337)</f>
        <v/>
      </c>
      <c r="J1337" s="17" t="str">
        <f aca="false">IF(H1337="","",H1337-I1337)</f>
        <v/>
      </c>
    </row>
    <row r="1338" customFormat="false" ht="15" hidden="false" customHeight="true" outlineLevel="0" collapsed="false">
      <c r="A1338" s="7"/>
      <c r="B1338" s="18" t="str">
        <f aca="false">IF(A1338="","",IFERROR(INDEX(Sales_Memo!$B$2:$B$1001,MATCH(A1338,Sales_Memo!$A$2:$A$1001,0)),""))</f>
        <v/>
      </c>
      <c r="C1338" s="7"/>
      <c r="D1338" s="16" t="str">
        <f aca="false">IF(C1338="","",IFERROR(INDEX(Products!$B$2:$B$501,MATCH(C1338,Products!$A$2:$A$501,0)),"CODE NOT FOUND"))</f>
        <v/>
      </c>
      <c r="E1338" s="7"/>
      <c r="F1338" s="13"/>
      <c r="G1338" s="13"/>
      <c r="H1338" s="17" t="str">
        <f aca="false">IF(OR(E1338="",F1338=""),"",E1338*F1338)</f>
        <v/>
      </c>
      <c r="I1338" s="17" t="str">
        <f aca="false">IF(OR(E1338="",G1338=""),"",E1338*G1338)</f>
        <v/>
      </c>
      <c r="J1338" s="17" t="str">
        <f aca="false">IF(H1338="","",H1338-I1338)</f>
        <v/>
      </c>
    </row>
    <row r="1339" customFormat="false" ht="15" hidden="false" customHeight="true" outlineLevel="0" collapsed="false">
      <c r="A1339" s="7"/>
      <c r="B1339" s="18" t="str">
        <f aca="false">IF(A1339="","",IFERROR(INDEX(Sales_Memo!$B$2:$B$1001,MATCH(A1339,Sales_Memo!$A$2:$A$1001,0)),""))</f>
        <v/>
      </c>
      <c r="C1339" s="7"/>
      <c r="D1339" s="16" t="str">
        <f aca="false">IF(C1339="","",IFERROR(INDEX(Products!$B$2:$B$501,MATCH(C1339,Products!$A$2:$A$501,0)),"CODE NOT FOUND"))</f>
        <v/>
      </c>
      <c r="E1339" s="7"/>
      <c r="F1339" s="13"/>
      <c r="G1339" s="13"/>
      <c r="H1339" s="17" t="str">
        <f aca="false">IF(OR(E1339="",F1339=""),"",E1339*F1339)</f>
        <v/>
      </c>
      <c r="I1339" s="17" t="str">
        <f aca="false">IF(OR(E1339="",G1339=""),"",E1339*G1339)</f>
        <v/>
      </c>
      <c r="J1339" s="17" t="str">
        <f aca="false">IF(H1339="","",H1339-I1339)</f>
        <v/>
      </c>
    </row>
    <row r="1340" customFormat="false" ht="15" hidden="false" customHeight="true" outlineLevel="0" collapsed="false">
      <c r="A1340" s="7"/>
      <c r="B1340" s="18" t="str">
        <f aca="false">IF(A1340="","",IFERROR(INDEX(Sales_Memo!$B$2:$B$1001,MATCH(A1340,Sales_Memo!$A$2:$A$1001,0)),""))</f>
        <v/>
      </c>
      <c r="C1340" s="7"/>
      <c r="D1340" s="16" t="str">
        <f aca="false">IF(C1340="","",IFERROR(INDEX(Products!$B$2:$B$501,MATCH(C1340,Products!$A$2:$A$501,0)),"CODE NOT FOUND"))</f>
        <v/>
      </c>
      <c r="E1340" s="7"/>
      <c r="F1340" s="13"/>
      <c r="G1340" s="13"/>
      <c r="H1340" s="17" t="str">
        <f aca="false">IF(OR(E1340="",F1340=""),"",E1340*F1340)</f>
        <v/>
      </c>
      <c r="I1340" s="17" t="str">
        <f aca="false">IF(OR(E1340="",G1340=""),"",E1340*G1340)</f>
        <v/>
      </c>
      <c r="J1340" s="17" t="str">
        <f aca="false">IF(H1340="","",H1340-I1340)</f>
        <v/>
      </c>
    </row>
    <row r="1341" customFormat="false" ht="15" hidden="false" customHeight="true" outlineLevel="0" collapsed="false">
      <c r="A1341" s="7"/>
      <c r="B1341" s="18" t="str">
        <f aca="false">IF(A1341="","",IFERROR(INDEX(Sales_Memo!$B$2:$B$1001,MATCH(A1341,Sales_Memo!$A$2:$A$1001,0)),""))</f>
        <v/>
      </c>
      <c r="C1341" s="7"/>
      <c r="D1341" s="16" t="str">
        <f aca="false">IF(C1341="","",IFERROR(INDEX(Products!$B$2:$B$501,MATCH(C1341,Products!$A$2:$A$501,0)),"CODE NOT FOUND"))</f>
        <v/>
      </c>
      <c r="E1341" s="7"/>
      <c r="F1341" s="13"/>
      <c r="G1341" s="13"/>
      <c r="H1341" s="17" t="str">
        <f aca="false">IF(OR(E1341="",F1341=""),"",E1341*F1341)</f>
        <v/>
      </c>
      <c r="I1341" s="17" t="str">
        <f aca="false">IF(OR(E1341="",G1341=""),"",E1341*G1341)</f>
        <v/>
      </c>
      <c r="J1341" s="17" t="str">
        <f aca="false">IF(H1341="","",H1341-I1341)</f>
        <v/>
      </c>
    </row>
    <row r="1342" customFormat="false" ht="15" hidden="false" customHeight="true" outlineLevel="0" collapsed="false">
      <c r="A1342" s="7"/>
      <c r="B1342" s="18" t="str">
        <f aca="false">IF(A1342="","",IFERROR(INDEX(Sales_Memo!$B$2:$B$1001,MATCH(A1342,Sales_Memo!$A$2:$A$1001,0)),""))</f>
        <v/>
      </c>
      <c r="C1342" s="7"/>
      <c r="D1342" s="16" t="str">
        <f aca="false">IF(C1342="","",IFERROR(INDEX(Products!$B$2:$B$501,MATCH(C1342,Products!$A$2:$A$501,0)),"CODE NOT FOUND"))</f>
        <v/>
      </c>
      <c r="E1342" s="7"/>
      <c r="F1342" s="13"/>
      <c r="G1342" s="13"/>
      <c r="H1342" s="17" t="str">
        <f aca="false">IF(OR(E1342="",F1342=""),"",E1342*F1342)</f>
        <v/>
      </c>
      <c r="I1342" s="17" t="str">
        <f aca="false">IF(OR(E1342="",G1342=""),"",E1342*G1342)</f>
        <v/>
      </c>
      <c r="J1342" s="17" t="str">
        <f aca="false">IF(H1342="","",H1342-I1342)</f>
        <v/>
      </c>
    </row>
    <row r="1343" customFormat="false" ht="15" hidden="false" customHeight="true" outlineLevel="0" collapsed="false">
      <c r="A1343" s="7"/>
      <c r="B1343" s="18" t="str">
        <f aca="false">IF(A1343="","",IFERROR(INDEX(Sales_Memo!$B$2:$B$1001,MATCH(A1343,Sales_Memo!$A$2:$A$1001,0)),""))</f>
        <v/>
      </c>
      <c r="C1343" s="7"/>
      <c r="D1343" s="16" t="str">
        <f aca="false">IF(C1343="","",IFERROR(INDEX(Products!$B$2:$B$501,MATCH(C1343,Products!$A$2:$A$501,0)),"CODE NOT FOUND"))</f>
        <v/>
      </c>
      <c r="E1343" s="7"/>
      <c r="F1343" s="13"/>
      <c r="G1343" s="13"/>
      <c r="H1343" s="17" t="str">
        <f aca="false">IF(OR(E1343="",F1343=""),"",E1343*F1343)</f>
        <v/>
      </c>
      <c r="I1343" s="17" t="str">
        <f aca="false">IF(OR(E1343="",G1343=""),"",E1343*G1343)</f>
        <v/>
      </c>
      <c r="J1343" s="17" t="str">
        <f aca="false">IF(H1343="","",H1343-I1343)</f>
        <v/>
      </c>
    </row>
    <row r="1344" customFormat="false" ht="15" hidden="false" customHeight="true" outlineLevel="0" collapsed="false">
      <c r="A1344" s="7"/>
      <c r="B1344" s="18" t="str">
        <f aca="false">IF(A1344="","",IFERROR(INDEX(Sales_Memo!$B$2:$B$1001,MATCH(A1344,Sales_Memo!$A$2:$A$1001,0)),""))</f>
        <v/>
      </c>
      <c r="C1344" s="7"/>
      <c r="D1344" s="16" t="str">
        <f aca="false">IF(C1344="","",IFERROR(INDEX(Products!$B$2:$B$501,MATCH(C1344,Products!$A$2:$A$501,0)),"CODE NOT FOUND"))</f>
        <v/>
      </c>
      <c r="E1344" s="7"/>
      <c r="F1344" s="13"/>
      <c r="G1344" s="13"/>
      <c r="H1344" s="17" t="str">
        <f aca="false">IF(OR(E1344="",F1344=""),"",E1344*F1344)</f>
        <v/>
      </c>
      <c r="I1344" s="17" t="str">
        <f aca="false">IF(OR(E1344="",G1344=""),"",E1344*G1344)</f>
        <v/>
      </c>
      <c r="J1344" s="17" t="str">
        <f aca="false">IF(H1344="","",H1344-I1344)</f>
        <v/>
      </c>
    </row>
    <row r="1345" customFormat="false" ht="15" hidden="false" customHeight="true" outlineLevel="0" collapsed="false">
      <c r="A1345" s="7"/>
      <c r="B1345" s="18" t="str">
        <f aca="false">IF(A1345="","",IFERROR(INDEX(Sales_Memo!$B$2:$B$1001,MATCH(A1345,Sales_Memo!$A$2:$A$1001,0)),""))</f>
        <v/>
      </c>
      <c r="C1345" s="7"/>
      <c r="D1345" s="16" t="str">
        <f aca="false">IF(C1345="","",IFERROR(INDEX(Products!$B$2:$B$501,MATCH(C1345,Products!$A$2:$A$501,0)),"CODE NOT FOUND"))</f>
        <v/>
      </c>
      <c r="E1345" s="7"/>
      <c r="F1345" s="13"/>
      <c r="G1345" s="13"/>
      <c r="H1345" s="17" t="str">
        <f aca="false">IF(OR(E1345="",F1345=""),"",E1345*F1345)</f>
        <v/>
      </c>
      <c r="I1345" s="17" t="str">
        <f aca="false">IF(OR(E1345="",G1345=""),"",E1345*G1345)</f>
        <v/>
      </c>
      <c r="J1345" s="17" t="str">
        <f aca="false">IF(H1345="","",H1345-I1345)</f>
        <v/>
      </c>
    </row>
    <row r="1346" customFormat="false" ht="15" hidden="false" customHeight="true" outlineLevel="0" collapsed="false">
      <c r="A1346" s="7"/>
      <c r="B1346" s="18" t="str">
        <f aca="false">IF(A1346="","",IFERROR(INDEX(Sales_Memo!$B$2:$B$1001,MATCH(A1346,Sales_Memo!$A$2:$A$1001,0)),""))</f>
        <v/>
      </c>
      <c r="C1346" s="7"/>
      <c r="D1346" s="16" t="str">
        <f aca="false">IF(C1346="","",IFERROR(INDEX(Products!$B$2:$B$501,MATCH(C1346,Products!$A$2:$A$501,0)),"CODE NOT FOUND"))</f>
        <v/>
      </c>
      <c r="E1346" s="7"/>
      <c r="F1346" s="13"/>
      <c r="G1346" s="13"/>
      <c r="H1346" s="17" t="str">
        <f aca="false">IF(OR(E1346="",F1346=""),"",E1346*F1346)</f>
        <v/>
      </c>
      <c r="I1346" s="17" t="str">
        <f aca="false">IF(OR(E1346="",G1346=""),"",E1346*G1346)</f>
        <v/>
      </c>
      <c r="J1346" s="17" t="str">
        <f aca="false">IF(H1346="","",H1346-I1346)</f>
        <v/>
      </c>
    </row>
    <row r="1347" customFormat="false" ht="15" hidden="false" customHeight="true" outlineLevel="0" collapsed="false">
      <c r="A1347" s="7"/>
      <c r="B1347" s="18" t="str">
        <f aca="false">IF(A1347="","",IFERROR(INDEX(Sales_Memo!$B$2:$B$1001,MATCH(A1347,Sales_Memo!$A$2:$A$1001,0)),""))</f>
        <v/>
      </c>
      <c r="C1347" s="7"/>
      <c r="D1347" s="16" t="str">
        <f aca="false">IF(C1347="","",IFERROR(INDEX(Products!$B$2:$B$501,MATCH(C1347,Products!$A$2:$A$501,0)),"CODE NOT FOUND"))</f>
        <v/>
      </c>
      <c r="E1347" s="7"/>
      <c r="F1347" s="13"/>
      <c r="G1347" s="13"/>
      <c r="H1347" s="17" t="str">
        <f aca="false">IF(OR(E1347="",F1347=""),"",E1347*F1347)</f>
        <v/>
      </c>
      <c r="I1347" s="17" t="str">
        <f aca="false">IF(OR(E1347="",G1347=""),"",E1347*G1347)</f>
        <v/>
      </c>
      <c r="J1347" s="17" t="str">
        <f aca="false">IF(H1347="","",H1347-I1347)</f>
        <v/>
      </c>
    </row>
    <row r="1348" customFormat="false" ht="15" hidden="false" customHeight="true" outlineLevel="0" collapsed="false">
      <c r="A1348" s="7"/>
      <c r="B1348" s="18" t="str">
        <f aca="false">IF(A1348="","",IFERROR(INDEX(Sales_Memo!$B$2:$B$1001,MATCH(A1348,Sales_Memo!$A$2:$A$1001,0)),""))</f>
        <v/>
      </c>
      <c r="C1348" s="7"/>
      <c r="D1348" s="16" t="str">
        <f aca="false">IF(C1348="","",IFERROR(INDEX(Products!$B$2:$B$501,MATCH(C1348,Products!$A$2:$A$501,0)),"CODE NOT FOUND"))</f>
        <v/>
      </c>
      <c r="E1348" s="7"/>
      <c r="F1348" s="13"/>
      <c r="G1348" s="13"/>
      <c r="H1348" s="17" t="str">
        <f aca="false">IF(OR(E1348="",F1348=""),"",E1348*F1348)</f>
        <v/>
      </c>
      <c r="I1348" s="17" t="str">
        <f aca="false">IF(OR(E1348="",G1348=""),"",E1348*G1348)</f>
        <v/>
      </c>
      <c r="J1348" s="17" t="str">
        <f aca="false">IF(H1348="","",H1348-I1348)</f>
        <v/>
      </c>
    </row>
    <row r="1349" customFormat="false" ht="15" hidden="false" customHeight="true" outlineLevel="0" collapsed="false">
      <c r="A1349" s="7"/>
      <c r="B1349" s="18" t="str">
        <f aca="false">IF(A1349="","",IFERROR(INDEX(Sales_Memo!$B$2:$B$1001,MATCH(A1349,Sales_Memo!$A$2:$A$1001,0)),""))</f>
        <v/>
      </c>
      <c r="C1349" s="7"/>
      <c r="D1349" s="16" t="str">
        <f aca="false">IF(C1349="","",IFERROR(INDEX(Products!$B$2:$B$501,MATCH(C1349,Products!$A$2:$A$501,0)),"CODE NOT FOUND"))</f>
        <v/>
      </c>
      <c r="E1349" s="7"/>
      <c r="F1349" s="13"/>
      <c r="G1349" s="13"/>
      <c r="H1349" s="17" t="str">
        <f aca="false">IF(OR(E1349="",F1349=""),"",E1349*F1349)</f>
        <v/>
      </c>
      <c r="I1349" s="17" t="str">
        <f aca="false">IF(OR(E1349="",G1349=""),"",E1349*G1349)</f>
        <v/>
      </c>
      <c r="J1349" s="17" t="str">
        <f aca="false">IF(H1349="","",H1349-I1349)</f>
        <v/>
      </c>
    </row>
    <row r="1350" customFormat="false" ht="15" hidden="false" customHeight="true" outlineLevel="0" collapsed="false">
      <c r="A1350" s="7"/>
      <c r="B1350" s="18" t="str">
        <f aca="false">IF(A1350="","",IFERROR(INDEX(Sales_Memo!$B$2:$B$1001,MATCH(A1350,Sales_Memo!$A$2:$A$1001,0)),""))</f>
        <v/>
      </c>
      <c r="C1350" s="7"/>
      <c r="D1350" s="16" t="str">
        <f aca="false">IF(C1350="","",IFERROR(INDEX(Products!$B$2:$B$501,MATCH(C1350,Products!$A$2:$A$501,0)),"CODE NOT FOUND"))</f>
        <v/>
      </c>
      <c r="E1350" s="7"/>
      <c r="F1350" s="13"/>
      <c r="G1350" s="13"/>
      <c r="H1350" s="17" t="str">
        <f aca="false">IF(OR(E1350="",F1350=""),"",E1350*F1350)</f>
        <v/>
      </c>
      <c r="I1350" s="17" t="str">
        <f aca="false">IF(OR(E1350="",G1350=""),"",E1350*G1350)</f>
        <v/>
      </c>
      <c r="J1350" s="17" t="str">
        <f aca="false">IF(H1350="","",H1350-I1350)</f>
        <v/>
      </c>
    </row>
    <row r="1351" customFormat="false" ht="15" hidden="false" customHeight="true" outlineLevel="0" collapsed="false">
      <c r="A1351" s="7"/>
      <c r="B1351" s="18" t="str">
        <f aca="false">IF(A1351="","",IFERROR(INDEX(Sales_Memo!$B$2:$B$1001,MATCH(A1351,Sales_Memo!$A$2:$A$1001,0)),""))</f>
        <v/>
      </c>
      <c r="C1351" s="7"/>
      <c r="D1351" s="16" t="str">
        <f aca="false">IF(C1351="","",IFERROR(INDEX(Products!$B$2:$B$501,MATCH(C1351,Products!$A$2:$A$501,0)),"CODE NOT FOUND"))</f>
        <v/>
      </c>
      <c r="E1351" s="7"/>
      <c r="F1351" s="13"/>
      <c r="G1351" s="13"/>
      <c r="H1351" s="17" t="str">
        <f aca="false">IF(OR(E1351="",F1351=""),"",E1351*F1351)</f>
        <v/>
      </c>
      <c r="I1351" s="17" t="str">
        <f aca="false">IF(OR(E1351="",G1351=""),"",E1351*G1351)</f>
        <v/>
      </c>
      <c r="J1351" s="17" t="str">
        <f aca="false">IF(H1351="","",H1351-I1351)</f>
        <v/>
      </c>
    </row>
    <row r="1352" customFormat="false" ht="15" hidden="false" customHeight="true" outlineLevel="0" collapsed="false">
      <c r="A1352" s="7"/>
      <c r="B1352" s="18" t="str">
        <f aca="false">IF(A1352="","",IFERROR(INDEX(Sales_Memo!$B$2:$B$1001,MATCH(A1352,Sales_Memo!$A$2:$A$1001,0)),""))</f>
        <v/>
      </c>
      <c r="C1352" s="7"/>
      <c r="D1352" s="16" t="str">
        <f aca="false">IF(C1352="","",IFERROR(INDEX(Products!$B$2:$B$501,MATCH(C1352,Products!$A$2:$A$501,0)),"CODE NOT FOUND"))</f>
        <v/>
      </c>
      <c r="E1352" s="7"/>
      <c r="F1352" s="13"/>
      <c r="G1352" s="13"/>
      <c r="H1352" s="17" t="str">
        <f aca="false">IF(OR(E1352="",F1352=""),"",E1352*F1352)</f>
        <v/>
      </c>
      <c r="I1352" s="17" t="str">
        <f aca="false">IF(OR(E1352="",G1352=""),"",E1352*G1352)</f>
        <v/>
      </c>
      <c r="J1352" s="17" t="str">
        <f aca="false">IF(H1352="","",H1352-I1352)</f>
        <v/>
      </c>
    </row>
    <row r="1353" customFormat="false" ht="15" hidden="false" customHeight="true" outlineLevel="0" collapsed="false">
      <c r="A1353" s="7"/>
      <c r="B1353" s="18" t="str">
        <f aca="false">IF(A1353="","",IFERROR(INDEX(Sales_Memo!$B$2:$B$1001,MATCH(A1353,Sales_Memo!$A$2:$A$1001,0)),""))</f>
        <v/>
      </c>
      <c r="C1353" s="7"/>
      <c r="D1353" s="16" t="str">
        <f aca="false">IF(C1353="","",IFERROR(INDEX(Products!$B$2:$B$501,MATCH(C1353,Products!$A$2:$A$501,0)),"CODE NOT FOUND"))</f>
        <v/>
      </c>
      <c r="E1353" s="7"/>
      <c r="F1353" s="13"/>
      <c r="G1353" s="13"/>
      <c r="H1353" s="17" t="str">
        <f aca="false">IF(OR(E1353="",F1353=""),"",E1353*F1353)</f>
        <v/>
      </c>
      <c r="I1353" s="17" t="str">
        <f aca="false">IF(OR(E1353="",G1353=""),"",E1353*G1353)</f>
        <v/>
      </c>
      <c r="J1353" s="17" t="str">
        <f aca="false">IF(H1353="","",H1353-I1353)</f>
        <v/>
      </c>
    </row>
    <row r="1354" customFormat="false" ht="15" hidden="false" customHeight="true" outlineLevel="0" collapsed="false">
      <c r="A1354" s="7"/>
      <c r="B1354" s="18" t="str">
        <f aca="false">IF(A1354="","",IFERROR(INDEX(Sales_Memo!$B$2:$B$1001,MATCH(A1354,Sales_Memo!$A$2:$A$1001,0)),""))</f>
        <v/>
      </c>
      <c r="C1354" s="7"/>
      <c r="D1354" s="16" t="str">
        <f aca="false">IF(C1354="","",IFERROR(INDEX(Products!$B$2:$B$501,MATCH(C1354,Products!$A$2:$A$501,0)),"CODE NOT FOUND"))</f>
        <v/>
      </c>
      <c r="E1354" s="7"/>
      <c r="F1354" s="13"/>
      <c r="G1354" s="13"/>
      <c r="H1354" s="17" t="str">
        <f aca="false">IF(OR(E1354="",F1354=""),"",E1354*F1354)</f>
        <v/>
      </c>
      <c r="I1354" s="17" t="str">
        <f aca="false">IF(OR(E1354="",G1354=""),"",E1354*G1354)</f>
        <v/>
      </c>
      <c r="J1354" s="17" t="str">
        <f aca="false">IF(H1354="","",H1354-I1354)</f>
        <v/>
      </c>
    </row>
    <row r="1355" customFormat="false" ht="15" hidden="false" customHeight="true" outlineLevel="0" collapsed="false">
      <c r="A1355" s="7"/>
      <c r="B1355" s="18" t="str">
        <f aca="false">IF(A1355="","",IFERROR(INDEX(Sales_Memo!$B$2:$B$1001,MATCH(A1355,Sales_Memo!$A$2:$A$1001,0)),""))</f>
        <v/>
      </c>
      <c r="C1355" s="7"/>
      <c r="D1355" s="16" t="str">
        <f aca="false">IF(C1355="","",IFERROR(INDEX(Products!$B$2:$B$501,MATCH(C1355,Products!$A$2:$A$501,0)),"CODE NOT FOUND"))</f>
        <v/>
      </c>
      <c r="E1355" s="7"/>
      <c r="F1355" s="13"/>
      <c r="G1355" s="13"/>
      <c r="H1355" s="17" t="str">
        <f aca="false">IF(OR(E1355="",F1355=""),"",E1355*F1355)</f>
        <v/>
      </c>
      <c r="I1355" s="17" t="str">
        <f aca="false">IF(OR(E1355="",G1355=""),"",E1355*G1355)</f>
        <v/>
      </c>
      <c r="J1355" s="17" t="str">
        <f aca="false">IF(H1355="","",H1355-I1355)</f>
        <v/>
      </c>
    </row>
    <row r="1356" customFormat="false" ht="15" hidden="false" customHeight="true" outlineLevel="0" collapsed="false">
      <c r="A1356" s="7"/>
      <c r="B1356" s="18" t="str">
        <f aca="false">IF(A1356="","",IFERROR(INDEX(Sales_Memo!$B$2:$B$1001,MATCH(A1356,Sales_Memo!$A$2:$A$1001,0)),""))</f>
        <v/>
      </c>
      <c r="C1356" s="7"/>
      <c r="D1356" s="16" t="str">
        <f aca="false">IF(C1356="","",IFERROR(INDEX(Products!$B$2:$B$501,MATCH(C1356,Products!$A$2:$A$501,0)),"CODE NOT FOUND"))</f>
        <v/>
      </c>
      <c r="E1356" s="7"/>
      <c r="F1356" s="13"/>
      <c r="G1356" s="13"/>
      <c r="H1356" s="17" t="str">
        <f aca="false">IF(OR(E1356="",F1356=""),"",E1356*F1356)</f>
        <v/>
      </c>
      <c r="I1356" s="17" t="str">
        <f aca="false">IF(OR(E1356="",G1356=""),"",E1356*G1356)</f>
        <v/>
      </c>
      <c r="J1356" s="17" t="str">
        <f aca="false">IF(H1356="","",H1356-I1356)</f>
        <v/>
      </c>
    </row>
    <row r="1357" customFormat="false" ht="15" hidden="false" customHeight="true" outlineLevel="0" collapsed="false">
      <c r="A1357" s="7"/>
      <c r="B1357" s="18" t="str">
        <f aca="false">IF(A1357="","",IFERROR(INDEX(Sales_Memo!$B$2:$B$1001,MATCH(A1357,Sales_Memo!$A$2:$A$1001,0)),""))</f>
        <v/>
      </c>
      <c r="C1357" s="7"/>
      <c r="D1357" s="16" t="str">
        <f aca="false">IF(C1357="","",IFERROR(INDEX(Products!$B$2:$B$501,MATCH(C1357,Products!$A$2:$A$501,0)),"CODE NOT FOUND"))</f>
        <v/>
      </c>
      <c r="E1357" s="7"/>
      <c r="F1357" s="13"/>
      <c r="G1357" s="13"/>
      <c r="H1357" s="17" t="str">
        <f aca="false">IF(OR(E1357="",F1357=""),"",E1357*F1357)</f>
        <v/>
      </c>
      <c r="I1357" s="17" t="str">
        <f aca="false">IF(OR(E1357="",G1357=""),"",E1357*G1357)</f>
        <v/>
      </c>
      <c r="J1357" s="17" t="str">
        <f aca="false">IF(H1357="","",H1357-I1357)</f>
        <v/>
      </c>
    </row>
    <row r="1358" customFormat="false" ht="15" hidden="false" customHeight="true" outlineLevel="0" collapsed="false">
      <c r="A1358" s="7"/>
      <c r="B1358" s="18" t="str">
        <f aca="false">IF(A1358="","",IFERROR(INDEX(Sales_Memo!$B$2:$B$1001,MATCH(A1358,Sales_Memo!$A$2:$A$1001,0)),""))</f>
        <v/>
      </c>
      <c r="C1358" s="7"/>
      <c r="D1358" s="16" t="str">
        <f aca="false">IF(C1358="","",IFERROR(INDEX(Products!$B$2:$B$501,MATCH(C1358,Products!$A$2:$A$501,0)),"CODE NOT FOUND"))</f>
        <v/>
      </c>
      <c r="E1358" s="7"/>
      <c r="F1358" s="13"/>
      <c r="G1358" s="13"/>
      <c r="H1358" s="17" t="str">
        <f aca="false">IF(OR(E1358="",F1358=""),"",E1358*F1358)</f>
        <v/>
      </c>
      <c r="I1358" s="17" t="str">
        <f aca="false">IF(OR(E1358="",G1358=""),"",E1358*G1358)</f>
        <v/>
      </c>
      <c r="J1358" s="17" t="str">
        <f aca="false">IF(H1358="","",H1358-I1358)</f>
        <v/>
      </c>
    </row>
    <row r="1359" customFormat="false" ht="15" hidden="false" customHeight="true" outlineLevel="0" collapsed="false">
      <c r="A1359" s="7"/>
      <c r="B1359" s="18" t="str">
        <f aca="false">IF(A1359="","",IFERROR(INDEX(Sales_Memo!$B$2:$B$1001,MATCH(A1359,Sales_Memo!$A$2:$A$1001,0)),""))</f>
        <v/>
      </c>
      <c r="C1359" s="7"/>
      <c r="D1359" s="16" t="str">
        <f aca="false">IF(C1359="","",IFERROR(INDEX(Products!$B$2:$B$501,MATCH(C1359,Products!$A$2:$A$501,0)),"CODE NOT FOUND"))</f>
        <v/>
      </c>
      <c r="E1359" s="7"/>
      <c r="F1359" s="13"/>
      <c r="G1359" s="13"/>
      <c r="H1359" s="17" t="str">
        <f aca="false">IF(OR(E1359="",F1359=""),"",E1359*F1359)</f>
        <v/>
      </c>
      <c r="I1359" s="17" t="str">
        <f aca="false">IF(OR(E1359="",G1359=""),"",E1359*G1359)</f>
        <v/>
      </c>
      <c r="J1359" s="17" t="str">
        <f aca="false">IF(H1359="","",H1359-I1359)</f>
        <v/>
      </c>
    </row>
    <row r="1360" customFormat="false" ht="15" hidden="false" customHeight="true" outlineLevel="0" collapsed="false">
      <c r="A1360" s="7"/>
      <c r="B1360" s="18" t="str">
        <f aca="false">IF(A1360="","",IFERROR(INDEX(Sales_Memo!$B$2:$B$1001,MATCH(A1360,Sales_Memo!$A$2:$A$1001,0)),""))</f>
        <v/>
      </c>
      <c r="C1360" s="7"/>
      <c r="D1360" s="16" t="str">
        <f aca="false">IF(C1360="","",IFERROR(INDEX(Products!$B$2:$B$501,MATCH(C1360,Products!$A$2:$A$501,0)),"CODE NOT FOUND"))</f>
        <v/>
      </c>
      <c r="E1360" s="7"/>
      <c r="F1360" s="13"/>
      <c r="G1360" s="13"/>
      <c r="H1360" s="17" t="str">
        <f aca="false">IF(OR(E1360="",F1360=""),"",E1360*F1360)</f>
        <v/>
      </c>
      <c r="I1360" s="17" t="str">
        <f aca="false">IF(OR(E1360="",G1360=""),"",E1360*G1360)</f>
        <v/>
      </c>
      <c r="J1360" s="17" t="str">
        <f aca="false">IF(H1360="","",H1360-I1360)</f>
        <v/>
      </c>
    </row>
    <row r="1361" customFormat="false" ht="15" hidden="false" customHeight="true" outlineLevel="0" collapsed="false">
      <c r="A1361" s="7"/>
      <c r="B1361" s="18" t="str">
        <f aca="false">IF(A1361="","",IFERROR(INDEX(Sales_Memo!$B$2:$B$1001,MATCH(A1361,Sales_Memo!$A$2:$A$1001,0)),""))</f>
        <v/>
      </c>
      <c r="C1361" s="7"/>
      <c r="D1361" s="16" t="str">
        <f aca="false">IF(C1361="","",IFERROR(INDEX(Products!$B$2:$B$501,MATCH(C1361,Products!$A$2:$A$501,0)),"CODE NOT FOUND"))</f>
        <v/>
      </c>
      <c r="E1361" s="7"/>
      <c r="F1361" s="13"/>
      <c r="G1361" s="13"/>
      <c r="H1361" s="17" t="str">
        <f aca="false">IF(OR(E1361="",F1361=""),"",E1361*F1361)</f>
        <v/>
      </c>
      <c r="I1361" s="17" t="str">
        <f aca="false">IF(OR(E1361="",G1361=""),"",E1361*G1361)</f>
        <v/>
      </c>
      <c r="J1361" s="17" t="str">
        <f aca="false">IF(H1361="","",H1361-I1361)</f>
        <v/>
      </c>
    </row>
    <row r="1362" customFormat="false" ht="15" hidden="false" customHeight="true" outlineLevel="0" collapsed="false">
      <c r="A1362" s="7"/>
      <c r="B1362" s="18" t="str">
        <f aca="false">IF(A1362="","",IFERROR(INDEX(Sales_Memo!$B$2:$B$1001,MATCH(A1362,Sales_Memo!$A$2:$A$1001,0)),""))</f>
        <v/>
      </c>
      <c r="C1362" s="7"/>
      <c r="D1362" s="16" t="str">
        <f aca="false">IF(C1362="","",IFERROR(INDEX(Products!$B$2:$B$501,MATCH(C1362,Products!$A$2:$A$501,0)),"CODE NOT FOUND"))</f>
        <v/>
      </c>
      <c r="E1362" s="7"/>
      <c r="F1362" s="13"/>
      <c r="G1362" s="13"/>
      <c r="H1362" s="17" t="str">
        <f aca="false">IF(OR(E1362="",F1362=""),"",E1362*F1362)</f>
        <v/>
      </c>
      <c r="I1362" s="17" t="str">
        <f aca="false">IF(OR(E1362="",G1362=""),"",E1362*G1362)</f>
        <v/>
      </c>
      <c r="J1362" s="17" t="str">
        <f aca="false">IF(H1362="","",H1362-I1362)</f>
        <v/>
      </c>
    </row>
    <row r="1363" customFormat="false" ht="15" hidden="false" customHeight="true" outlineLevel="0" collapsed="false">
      <c r="A1363" s="7"/>
      <c r="B1363" s="18" t="str">
        <f aca="false">IF(A1363="","",IFERROR(INDEX(Sales_Memo!$B$2:$B$1001,MATCH(A1363,Sales_Memo!$A$2:$A$1001,0)),""))</f>
        <v/>
      </c>
      <c r="C1363" s="7"/>
      <c r="D1363" s="16" t="str">
        <f aca="false">IF(C1363="","",IFERROR(INDEX(Products!$B$2:$B$501,MATCH(C1363,Products!$A$2:$A$501,0)),"CODE NOT FOUND"))</f>
        <v/>
      </c>
      <c r="E1363" s="7"/>
      <c r="F1363" s="13"/>
      <c r="G1363" s="13"/>
      <c r="H1363" s="17" t="str">
        <f aca="false">IF(OR(E1363="",F1363=""),"",E1363*F1363)</f>
        <v/>
      </c>
      <c r="I1363" s="17" t="str">
        <f aca="false">IF(OR(E1363="",G1363=""),"",E1363*G1363)</f>
        <v/>
      </c>
      <c r="J1363" s="17" t="str">
        <f aca="false">IF(H1363="","",H1363-I1363)</f>
        <v/>
      </c>
    </row>
    <row r="1364" customFormat="false" ht="15" hidden="false" customHeight="true" outlineLevel="0" collapsed="false">
      <c r="A1364" s="7"/>
      <c r="B1364" s="18" t="str">
        <f aca="false">IF(A1364="","",IFERROR(INDEX(Sales_Memo!$B$2:$B$1001,MATCH(A1364,Sales_Memo!$A$2:$A$1001,0)),""))</f>
        <v/>
      </c>
      <c r="C1364" s="7"/>
      <c r="D1364" s="16" t="str">
        <f aca="false">IF(C1364="","",IFERROR(INDEX(Products!$B$2:$B$501,MATCH(C1364,Products!$A$2:$A$501,0)),"CODE NOT FOUND"))</f>
        <v/>
      </c>
      <c r="E1364" s="7"/>
      <c r="F1364" s="13"/>
      <c r="G1364" s="13"/>
      <c r="H1364" s="17" t="str">
        <f aca="false">IF(OR(E1364="",F1364=""),"",E1364*F1364)</f>
        <v/>
      </c>
      <c r="I1364" s="17" t="str">
        <f aca="false">IF(OR(E1364="",G1364=""),"",E1364*G1364)</f>
        <v/>
      </c>
      <c r="J1364" s="17" t="str">
        <f aca="false">IF(H1364="","",H1364-I1364)</f>
        <v/>
      </c>
    </row>
    <row r="1365" customFormat="false" ht="15" hidden="false" customHeight="true" outlineLevel="0" collapsed="false">
      <c r="A1365" s="7"/>
      <c r="B1365" s="18" t="str">
        <f aca="false">IF(A1365="","",IFERROR(INDEX(Sales_Memo!$B$2:$B$1001,MATCH(A1365,Sales_Memo!$A$2:$A$1001,0)),""))</f>
        <v/>
      </c>
      <c r="C1365" s="7"/>
      <c r="D1365" s="16" t="str">
        <f aca="false">IF(C1365="","",IFERROR(INDEX(Products!$B$2:$B$501,MATCH(C1365,Products!$A$2:$A$501,0)),"CODE NOT FOUND"))</f>
        <v/>
      </c>
      <c r="E1365" s="7"/>
      <c r="F1365" s="13"/>
      <c r="G1365" s="13"/>
      <c r="H1365" s="17" t="str">
        <f aca="false">IF(OR(E1365="",F1365=""),"",E1365*F1365)</f>
        <v/>
      </c>
      <c r="I1365" s="17" t="str">
        <f aca="false">IF(OR(E1365="",G1365=""),"",E1365*G1365)</f>
        <v/>
      </c>
      <c r="J1365" s="17" t="str">
        <f aca="false">IF(H1365="","",H1365-I1365)</f>
        <v/>
      </c>
    </row>
    <row r="1366" customFormat="false" ht="15" hidden="false" customHeight="true" outlineLevel="0" collapsed="false">
      <c r="A1366" s="7"/>
      <c r="B1366" s="18" t="str">
        <f aca="false">IF(A1366="","",IFERROR(INDEX(Sales_Memo!$B$2:$B$1001,MATCH(A1366,Sales_Memo!$A$2:$A$1001,0)),""))</f>
        <v/>
      </c>
      <c r="C1366" s="7"/>
      <c r="D1366" s="16" t="str">
        <f aca="false">IF(C1366="","",IFERROR(INDEX(Products!$B$2:$B$501,MATCH(C1366,Products!$A$2:$A$501,0)),"CODE NOT FOUND"))</f>
        <v/>
      </c>
      <c r="E1366" s="7"/>
      <c r="F1366" s="13"/>
      <c r="G1366" s="13"/>
      <c r="H1366" s="17" t="str">
        <f aca="false">IF(OR(E1366="",F1366=""),"",E1366*F1366)</f>
        <v/>
      </c>
      <c r="I1366" s="17" t="str">
        <f aca="false">IF(OR(E1366="",G1366=""),"",E1366*G1366)</f>
        <v/>
      </c>
      <c r="J1366" s="17" t="str">
        <f aca="false">IF(H1366="","",H1366-I1366)</f>
        <v/>
      </c>
    </row>
    <row r="1367" customFormat="false" ht="15" hidden="false" customHeight="true" outlineLevel="0" collapsed="false">
      <c r="A1367" s="7"/>
      <c r="B1367" s="18" t="str">
        <f aca="false">IF(A1367="","",IFERROR(INDEX(Sales_Memo!$B$2:$B$1001,MATCH(A1367,Sales_Memo!$A$2:$A$1001,0)),""))</f>
        <v/>
      </c>
      <c r="C1367" s="7"/>
      <c r="D1367" s="16" t="str">
        <f aca="false">IF(C1367="","",IFERROR(INDEX(Products!$B$2:$B$501,MATCH(C1367,Products!$A$2:$A$501,0)),"CODE NOT FOUND"))</f>
        <v/>
      </c>
      <c r="E1367" s="7"/>
      <c r="F1367" s="13"/>
      <c r="G1367" s="13"/>
      <c r="H1367" s="17" t="str">
        <f aca="false">IF(OR(E1367="",F1367=""),"",E1367*F1367)</f>
        <v/>
      </c>
      <c r="I1367" s="17" t="str">
        <f aca="false">IF(OR(E1367="",G1367=""),"",E1367*G1367)</f>
        <v/>
      </c>
      <c r="J1367" s="17" t="str">
        <f aca="false">IF(H1367="","",H1367-I1367)</f>
        <v/>
      </c>
    </row>
    <row r="1368" customFormat="false" ht="15" hidden="false" customHeight="true" outlineLevel="0" collapsed="false">
      <c r="A1368" s="7"/>
      <c r="B1368" s="18" t="str">
        <f aca="false">IF(A1368="","",IFERROR(INDEX(Sales_Memo!$B$2:$B$1001,MATCH(A1368,Sales_Memo!$A$2:$A$1001,0)),""))</f>
        <v/>
      </c>
      <c r="C1368" s="7"/>
      <c r="D1368" s="16" t="str">
        <f aca="false">IF(C1368="","",IFERROR(INDEX(Products!$B$2:$B$501,MATCH(C1368,Products!$A$2:$A$501,0)),"CODE NOT FOUND"))</f>
        <v/>
      </c>
      <c r="E1368" s="7"/>
      <c r="F1368" s="13"/>
      <c r="G1368" s="13"/>
      <c r="H1368" s="17" t="str">
        <f aca="false">IF(OR(E1368="",F1368=""),"",E1368*F1368)</f>
        <v/>
      </c>
      <c r="I1368" s="17" t="str">
        <f aca="false">IF(OR(E1368="",G1368=""),"",E1368*G1368)</f>
        <v/>
      </c>
      <c r="J1368" s="17" t="str">
        <f aca="false">IF(H1368="","",H1368-I1368)</f>
        <v/>
      </c>
    </row>
    <row r="1369" customFormat="false" ht="15" hidden="false" customHeight="true" outlineLevel="0" collapsed="false">
      <c r="A1369" s="7"/>
      <c r="B1369" s="18" t="str">
        <f aca="false">IF(A1369="","",IFERROR(INDEX(Sales_Memo!$B$2:$B$1001,MATCH(A1369,Sales_Memo!$A$2:$A$1001,0)),""))</f>
        <v/>
      </c>
      <c r="C1369" s="7"/>
      <c r="D1369" s="16" t="str">
        <f aca="false">IF(C1369="","",IFERROR(INDEX(Products!$B$2:$B$501,MATCH(C1369,Products!$A$2:$A$501,0)),"CODE NOT FOUND"))</f>
        <v/>
      </c>
      <c r="E1369" s="7"/>
      <c r="F1369" s="13"/>
      <c r="G1369" s="13"/>
      <c r="H1369" s="17" t="str">
        <f aca="false">IF(OR(E1369="",F1369=""),"",E1369*F1369)</f>
        <v/>
      </c>
      <c r="I1369" s="17" t="str">
        <f aca="false">IF(OR(E1369="",G1369=""),"",E1369*G1369)</f>
        <v/>
      </c>
      <c r="J1369" s="17" t="str">
        <f aca="false">IF(H1369="","",H1369-I1369)</f>
        <v/>
      </c>
    </row>
    <row r="1370" customFormat="false" ht="15" hidden="false" customHeight="true" outlineLevel="0" collapsed="false">
      <c r="A1370" s="7"/>
      <c r="B1370" s="18" t="str">
        <f aca="false">IF(A1370="","",IFERROR(INDEX(Sales_Memo!$B$2:$B$1001,MATCH(A1370,Sales_Memo!$A$2:$A$1001,0)),""))</f>
        <v/>
      </c>
      <c r="C1370" s="7"/>
      <c r="D1370" s="16" t="str">
        <f aca="false">IF(C1370="","",IFERROR(INDEX(Products!$B$2:$B$501,MATCH(C1370,Products!$A$2:$A$501,0)),"CODE NOT FOUND"))</f>
        <v/>
      </c>
      <c r="E1370" s="7"/>
      <c r="F1370" s="13"/>
      <c r="G1370" s="13"/>
      <c r="H1370" s="17" t="str">
        <f aca="false">IF(OR(E1370="",F1370=""),"",E1370*F1370)</f>
        <v/>
      </c>
      <c r="I1370" s="17" t="str">
        <f aca="false">IF(OR(E1370="",G1370=""),"",E1370*G1370)</f>
        <v/>
      </c>
      <c r="J1370" s="17" t="str">
        <f aca="false">IF(H1370="","",H1370-I1370)</f>
        <v/>
      </c>
    </row>
    <row r="1371" customFormat="false" ht="15" hidden="false" customHeight="true" outlineLevel="0" collapsed="false">
      <c r="A1371" s="7"/>
      <c r="B1371" s="18" t="str">
        <f aca="false">IF(A1371="","",IFERROR(INDEX(Sales_Memo!$B$2:$B$1001,MATCH(A1371,Sales_Memo!$A$2:$A$1001,0)),""))</f>
        <v/>
      </c>
      <c r="C1371" s="7"/>
      <c r="D1371" s="16" t="str">
        <f aca="false">IF(C1371="","",IFERROR(INDEX(Products!$B$2:$B$501,MATCH(C1371,Products!$A$2:$A$501,0)),"CODE NOT FOUND"))</f>
        <v/>
      </c>
      <c r="E1371" s="7"/>
      <c r="F1371" s="13"/>
      <c r="G1371" s="13"/>
      <c r="H1371" s="17" t="str">
        <f aca="false">IF(OR(E1371="",F1371=""),"",E1371*F1371)</f>
        <v/>
      </c>
      <c r="I1371" s="17" t="str">
        <f aca="false">IF(OR(E1371="",G1371=""),"",E1371*G1371)</f>
        <v/>
      </c>
      <c r="J1371" s="17" t="str">
        <f aca="false">IF(H1371="","",H1371-I1371)</f>
        <v/>
      </c>
    </row>
    <row r="1372" customFormat="false" ht="15" hidden="false" customHeight="true" outlineLevel="0" collapsed="false">
      <c r="A1372" s="7"/>
      <c r="B1372" s="18" t="str">
        <f aca="false">IF(A1372="","",IFERROR(INDEX(Sales_Memo!$B$2:$B$1001,MATCH(A1372,Sales_Memo!$A$2:$A$1001,0)),""))</f>
        <v/>
      </c>
      <c r="C1372" s="7"/>
      <c r="D1372" s="16" t="str">
        <f aca="false">IF(C1372="","",IFERROR(INDEX(Products!$B$2:$B$501,MATCH(C1372,Products!$A$2:$A$501,0)),"CODE NOT FOUND"))</f>
        <v/>
      </c>
      <c r="E1372" s="7"/>
      <c r="F1372" s="13"/>
      <c r="G1372" s="13"/>
      <c r="H1372" s="17" t="str">
        <f aca="false">IF(OR(E1372="",F1372=""),"",E1372*F1372)</f>
        <v/>
      </c>
      <c r="I1372" s="17" t="str">
        <f aca="false">IF(OR(E1372="",G1372=""),"",E1372*G1372)</f>
        <v/>
      </c>
      <c r="J1372" s="17" t="str">
        <f aca="false">IF(H1372="","",H1372-I1372)</f>
        <v/>
      </c>
    </row>
    <row r="1373" customFormat="false" ht="15" hidden="false" customHeight="true" outlineLevel="0" collapsed="false">
      <c r="A1373" s="7"/>
      <c r="B1373" s="18" t="str">
        <f aca="false">IF(A1373="","",IFERROR(INDEX(Sales_Memo!$B$2:$B$1001,MATCH(A1373,Sales_Memo!$A$2:$A$1001,0)),""))</f>
        <v/>
      </c>
      <c r="C1373" s="7"/>
      <c r="D1373" s="16" t="str">
        <f aca="false">IF(C1373="","",IFERROR(INDEX(Products!$B$2:$B$501,MATCH(C1373,Products!$A$2:$A$501,0)),"CODE NOT FOUND"))</f>
        <v/>
      </c>
      <c r="E1373" s="7"/>
      <c r="F1373" s="13"/>
      <c r="G1373" s="13"/>
      <c r="H1373" s="17" t="str">
        <f aca="false">IF(OR(E1373="",F1373=""),"",E1373*F1373)</f>
        <v/>
      </c>
      <c r="I1373" s="17" t="str">
        <f aca="false">IF(OR(E1373="",G1373=""),"",E1373*G1373)</f>
        <v/>
      </c>
      <c r="J1373" s="17" t="str">
        <f aca="false">IF(H1373="","",H1373-I1373)</f>
        <v/>
      </c>
    </row>
    <row r="1374" customFormat="false" ht="15" hidden="false" customHeight="true" outlineLevel="0" collapsed="false">
      <c r="A1374" s="7"/>
      <c r="B1374" s="18" t="str">
        <f aca="false">IF(A1374="","",IFERROR(INDEX(Sales_Memo!$B$2:$B$1001,MATCH(A1374,Sales_Memo!$A$2:$A$1001,0)),""))</f>
        <v/>
      </c>
      <c r="C1374" s="7"/>
      <c r="D1374" s="16" t="str">
        <f aca="false">IF(C1374="","",IFERROR(INDEX(Products!$B$2:$B$501,MATCH(C1374,Products!$A$2:$A$501,0)),"CODE NOT FOUND"))</f>
        <v/>
      </c>
      <c r="E1374" s="7"/>
      <c r="F1374" s="13"/>
      <c r="G1374" s="13"/>
      <c r="H1374" s="17" t="str">
        <f aca="false">IF(OR(E1374="",F1374=""),"",E1374*F1374)</f>
        <v/>
      </c>
      <c r="I1374" s="17" t="str">
        <f aca="false">IF(OR(E1374="",G1374=""),"",E1374*G1374)</f>
        <v/>
      </c>
      <c r="J1374" s="17" t="str">
        <f aca="false">IF(H1374="","",H1374-I1374)</f>
        <v/>
      </c>
    </row>
    <row r="1375" customFormat="false" ht="15" hidden="false" customHeight="true" outlineLevel="0" collapsed="false">
      <c r="A1375" s="7"/>
      <c r="B1375" s="18" t="str">
        <f aca="false">IF(A1375="","",IFERROR(INDEX(Sales_Memo!$B$2:$B$1001,MATCH(A1375,Sales_Memo!$A$2:$A$1001,0)),""))</f>
        <v/>
      </c>
      <c r="C1375" s="7"/>
      <c r="D1375" s="16" t="str">
        <f aca="false">IF(C1375="","",IFERROR(INDEX(Products!$B$2:$B$501,MATCH(C1375,Products!$A$2:$A$501,0)),"CODE NOT FOUND"))</f>
        <v/>
      </c>
      <c r="E1375" s="7"/>
      <c r="F1375" s="13"/>
      <c r="G1375" s="13"/>
      <c r="H1375" s="17" t="str">
        <f aca="false">IF(OR(E1375="",F1375=""),"",E1375*F1375)</f>
        <v/>
      </c>
      <c r="I1375" s="17" t="str">
        <f aca="false">IF(OR(E1375="",G1375=""),"",E1375*G1375)</f>
        <v/>
      </c>
      <c r="J1375" s="17" t="str">
        <f aca="false">IF(H1375="","",H1375-I1375)</f>
        <v/>
      </c>
    </row>
    <row r="1376" customFormat="false" ht="15" hidden="false" customHeight="true" outlineLevel="0" collapsed="false">
      <c r="A1376" s="7"/>
      <c r="B1376" s="18" t="str">
        <f aca="false">IF(A1376="","",IFERROR(INDEX(Sales_Memo!$B$2:$B$1001,MATCH(A1376,Sales_Memo!$A$2:$A$1001,0)),""))</f>
        <v/>
      </c>
      <c r="C1376" s="7"/>
      <c r="D1376" s="16" t="str">
        <f aca="false">IF(C1376="","",IFERROR(INDEX(Products!$B$2:$B$501,MATCH(C1376,Products!$A$2:$A$501,0)),"CODE NOT FOUND"))</f>
        <v/>
      </c>
      <c r="E1376" s="7"/>
      <c r="F1376" s="13"/>
      <c r="G1376" s="13"/>
      <c r="H1376" s="17" t="str">
        <f aca="false">IF(OR(E1376="",F1376=""),"",E1376*F1376)</f>
        <v/>
      </c>
      <c r="I1376" s="17" t="str">
        <f aca="false">IF(OR(E1376="",G1376=""),"",E1376*G1376)</f>
        <v/>
      </c>
      <c r="J1376" s="17" t="str">
        <f aca="false">IF(H1376="","",H1376-I1376)</f>
        <v/>
      </c>
    </row>
    <row r="1377" customFormat="false" ht="15" hidden="false" customHeight="true" outlineLevel="0" collapsed="false">
      <c r="A1377" s="7"/>
      <c r="B1377" s="18" t="str">
        <f aca="false">IF(A1377="","",IFERROR(INDEX(Sales_Memo!$B$2:$B$1001,MATCH(A1377,Sales_Memo!$A$2:$A$1001,0)),""))</f>
        <v/>
      </c>
      <c r="C1377" s="7"/>
      <c r="D1377" s="16" t="str">
        <f aca="false">IF(C1377="","",IFERROR(INDEX(Products!$B$2:$B$501,MATCH(C1377,Products!$A$2:$A$501,0)),"CODE NOT FOUND"))</f>
        <v/>
      </c>
      <c r="E1377" s="7"/>
      <c r="F1377" s="13"/>
      <c r="G1377" s="13"/>
      <c r="H1377" s="17" t="str">
        <f aca="false">IF(OR(E1377="",F1377=""),"",E1377*F1377)</f>
        <v/>
      </c>
      <c r="I1377" s="17" t="str">
        <f aca="false">IF(OR(E1377="",G1377=""),"",E1377*G1377)</f>
        <v/>
      </c>
      <c r="J1377" s="17" t="str">
        <f aca="false">IF(H1377="","",H1377-I1377)</f>
        <v/>
      </c>
    </row>
    <row r="1378" customFormat="false" ht="15" hidden="false" customHeight="true" outlineLevel="0" collapsed="false">
      <c r="A1378" s="7"/>
      <c r="B1378" s="18" t="str">
        <f aca="false">IF(A1378="","",IFERROR(INDEX(Sales_Memo!$B$2:$B$1001,MATCH(A1378,Sales_Memo!$A$2:$A$1001,0)),""))</f>
        <v/>
      </c>
      <c r="C1378" s="7"/>
      <c r="D1378" s="16" t="str">
        <f aca="false">IF(C1378="","",IFERROR(INDEX(Products!$B$2:$B$501,MATCH(C1378,Products!$A$2:$A$501,0)),"CODE NOT FOUND"))</f>
        <v/>
      </c>
      <c r="E1378" s="7"/>
      <c r="F1378" s="13"/>
      <c r="G1378" s="13"/>
      <c r="H1378" s="17" t="str">
        <f aca="false">IF(OR(E1378="",F1378=""),"",E1378*F1378)</f>
        <v/>
      </c>
      <c r="I1378" s="17" t="str">
        <f aca="false">IF(OR(E1378="",G1378=""),"",E1378*G1378)</f>
        <v/>
      </c>
      <c r="J1378" s="17" t="str">
        <f aca="false">IF(H1378="","",H1378-I1378)</f>
        <v/>
      </c>
    </row>
    <row r="1379" customFormat="false" ht="15" hidden="false" customHeight="true" outlineLevel="0" collapsed="false">
      <c r="A1379" s="7"/>
      <c r="B1379" s="18" t="str">
        <f aca="false">IF(A1379="","",IFERROR(INDEX(Sales_Memo!$B$2:$B$1001,MATCH(A1379,Sales_Memo!$A$2:$A$1001,0)),""))</f>
        <v/>
      </c>
      <c r="C1379" s="7"/>
      <c r="D1379" s="16" t="str">
        <f aca="false">IF(C1379="","",IFERROR(INDEX(Products!$B$2:$B$501,MATCH(C1379,Products!$A$2:$A$501,0)),"CODE NOT FOUND"))</f>
        <v/>
      </c>
      <c r="E1379" s="7"/>
      <c r="F1379" s="13"/>
      <c r="G1379" s="13"/>
      <c r="H1379" s="17" t="str">
        <f aca="false">IF(OR(E1379="",F1379=""),"",E1379*F1379)</f>
        <v/>
      </c>
      <c r="I1379" s="17" t="str">
        <f aca="false">IF(OR(E1379="",G1379=""),"",E1379*G1379)</f>
        <v/>
      </c>
      <c r="J1379" s="17" t="str">
        <f aca="false">IF(H1379="","",H1379-I1379)</f>
        <v/>
      </c>
    </row>
    <row r="1380" customFormat="false" ht="15" hidden="false" customHeight="true" outlineLevel="0" collapsed="false">
      <c r="A1380" s="7"/>
      <c r="B1380" s="18" t="str">
        <f aca="false">IF(A1380="","",IFERROR(INDEX(Sales_Memo!$B$2:$B$1001,MATCH(A1380,Sales_Memo!$A$2:$A$1001,0)),""))</f>
        <v/>
      </c>
      <c r="C1380" s="7"/>
      <c r="D1380" s="16" t="str">
        <f aca="false">IF(C1380="","",IFERROR(INDEX(Products!$B$2:$B$501,MATCH(C1380,Products!$A$2:$A$501,0)),"CODE NOT FOUND"))</f>
        <v/>
      </c>
      <c r="E1380" s="7"/>
      <c r="F1380" s="13"/>
      <c r="G1380" s="13"/>
      <c r="H1380" s="17" t="str">
        <f aca="false">IF(OR(E1380="",F1380=""),"",E1380*F1380)</f>
        <v/>
      </c>
      <c r="I1380" s="17" t="str">
        <f aca="false">IF(OR(E1380="",G1380=""),"",E1380*G1380)</f>
        <v/>
      </c>
      <c r="J1380" s="17" t="str">
        <f aca="false">IF(H1380="","",H1380-I1380)</f>
        <v/>
      </c>
    </row>
    <row r="1381" customFormat="false" ht="15" hidden="false" customHeight="true" outlineLevel="0" collapsed="false">
      <c r="A1381" s="7"/>
      <c r="B1381" s="18" t="str">
        <f aca="false">IF(A1381="","",IFERROR(INDEX(Sales_Memo!$B$2:$B$1001,MATCH(A1381,Sales_Memo!$A$2:$A$1001,0)),""))</f>
        <v/>
      </c>
      <c r="C1381" s="7"/>
      <c r="D1381" s="16" t="str">
        <f aca="false">IF(C1381="","",IFERROR(INDEX(Products!$B$2:$B$501,MATCH(C1381,Products!$A$2:$A$501,0)),"CODE NOT FOUND"))</f>
        <v/>
      </c>
      <c r="E1381" s="7"/>
      <c r="F1381" s="13"/>
      <c r="G1381" s="13"/>
      <c r="H1381" s="17" t="str">
        <f aca="false">IF(OR(E1381="",F1381=""),"",E1381*F1381)</f>
        <v/>
      </c>
      <c r="I1381" s="17" t="str">
        <f aca="false">IF(OR(E1381="",G1381=""),"",E1381*G1381)</f>
        <v/>
      </c>
      <c r="J1381" s="17" t="str">
        <f aca="false">IF(H1381="","",H1381-I1381)</f>
        <v/>
      </c>
    </row>
    <row r="1382" customFormat="false" ht="15" hidden="false" customHeight="true" outlineLevel="0" collapsed="false">
      <c r="A1382" s="7"/>
      <c r="B1382" s="18" t="str">
        <f aca="false">IF(A1382="","",IFERROR(INDEX(Sales_Memo!$B$2:$B$1001,MATCH(A1382,Sales_Memo!$A$2:$A$1001,0)),""))</f>
        <v/>
      </c>
      <c r="C1382" s="7"/>
      <c r="D1382" s="16" t="str">
        <f aca="false">IF(C1382="","",IFERROR(INDEX(Products!$B$2:$B$501,MATCH(C1382,Products!$A$2:$A$501,0)),"CODE NOT FOUND"))</f>
        <v/>
      </c>
      <c r="E1382" s="7"/>
      <c r="F1382" s="13"/>
      <c r="G1382" s="13"/>
      <c r="H1382" s="17" t="str">
        <f aca="false">IF(OR(E1382="",F1382=""),"",E1382*F1382)</f>
        <v/>
      </c>
      <c r="I1382" s="17" t="str">
        <f aca="false">IF(OR(E1382="",G1382=""),"",E1382*G1382)</f>
        <v/>
      </c>
      <c r="J1382" s="17" t="str">
        <f aca="false">IF(H1382="","",H1382-I1382)</f>
        <v/>
      </c>
    </row>
    <row r="1383" customFormat="false" ht="15" hidden="false" customHeight="true" outlineLevel="0" collapsed="false">
      <c r="A1383" s="7"/>
      <c r="B1383" s="18" t="str">
        <f aca="false">IF(A1383="","",IFERROR(INDEX(Sales_Memo!$B$2:$B$1001,MATCH(A1383,Sales_Memo!$A$2:$A$1001,0)),""))</f>
        <v/>
      </c>
      <c r="C1383" s="7"/>
      <c r="D1383" s="16" t="str">
        <f aca="false">IF(C1383="","",IFERROR(INDEX(Products!$B$2:$B$501,MATCH(C1383,Products!$A$2:$A$501,0)),"CODE NOT FOUND"))</f>
        <v/>
      </c>
      <c r="E1383" s="7"/>
      <c r="F1383" s="13"/>
      <c r="G1383" s="13"/>
      <c r="H1383" s="17" t="str">
        <f aca="false">IF(OR(E1383="",F1383=""),"",E1383*F1383)</f>
        <v/>
      </c>
      <c r="I1383" s="17" t="str">
        <f aca="false">IF(OR(E1383="",G1383=""),"",E1383*G1383)</f>
        <v/>
      </c>
      <c r="J1383" s="17" t="str">
        <f aca="false">IF(H1383="","",H1383-I1383)</f>
        <v/>
      </c>
    </row>
    <row r="1384" customFormat="false" ht="15" hidden="false" customHeight="true" outlineLevel="0" collapsed="false">
      <c r="A1384" s="7"/>
      <c r="B1384" s="18" t="str">
        <f aca="false">IF(A1384="","",IFERROR(INDEX(Sales_Memo!$B$2:$B$1001,MATCH(A1384,Sales_Memo!$A$2:$A$1001,0)),""))</f>
        <v/>
      </c>
      <c r="C1384" s="7"/>
      <c r="D1384" s="16" t="str">
        <f aca="false">IF(C1384="","",IFERROR(INDEX(Products!$B$2:$B$501,MATCH(C1384,Products!$A$2:$A$501,0)),"CODE NOT FOUND"))</f>
        <v/>
      </c>
      <c r="E1384" s="7"/>
      <c r="F1384" s="13"/>
      <c r="G1384" s="13"/>
      <c r="H1384" s="17" t="str">
        <f aca="false">IF(OR(E1384="",F1384=""),"",E1384*F1384)</f>
        <v/>
      </c>
      <c r="I1384" s="17" t="str">
        <f aca="false">IF(OR(E1384="",G1384=""),"",E1384*G1384)</f>
        <v/>
      </c>
      <c r="J1384" s="17" t="str">
        <f aca="false">IF(H1384="","",H1384-I1384)</f>
        <v/>
      </c>
    </row>
    <row r="1385" customFormat="false" ht="15" hidden="false" customHeight="true" outlineLevel="0" collapsed="false">
      <c r="A1385" s="7"/>
      <c r="B1385" s="18" t="str">
        <f aca="false">IF(A1385="","",IFERROR(INDEX(Sales_Memo!$B$2:$B$1001,MATCH(A1385,Sales_Memo!$A$2:$A$1001,0)),""))</f>
        <v/>
      </c>
      <c r="C1385" s="7"/>
      <c r="D1385" s="16" t="str">
        <f aca="false">IF(C1385="","",IFERROR(INDEX(Products!$B$2:$B$501,MATCH(C1385,Products!$A$2:$A$501,0)),"CODE NOT FOUND"))</f>
        <v/>
      </c>
      <c r="E1385" s="7"/>
      <c r="F1385" s="13"/>
      <c r="G1385" s="13"/>
      <c r="H1385" s="17" t="str">
        <f aca="false">IF(OR(E1385="",F1385=""),"",E1385*F1385)</f>
        <v/>
      </c>
      <c r="I1385" s="17" t="str">
        <f aca="false">IF(OR(E1385="",G1385=""),"",E1385*G1385)</f>
        <v/>
      </c>
      <c r="J1385" s="17" t="str">
        <f aca="false">IF(H1385="","",H1385-I1385)</f>
        <v/>
      </c>
    </row>
    <row r="1386" customFormat="false" ht="15" hidden="false" customHeight="true" outlineLevel="0" collapsed="false">
      <c r="A1386" s="7"/>
      <c r="B1386" s="18" t="str">
        <f aca="false">IF(A1386="","",IFERROR(INDEX(Sales_Memo!$B$2:$B$1001,MATCH(A1386,Sales_Memo!$A$2:$A$1001,0)),""))</f>
        <v/>
      </c>
      <c r="C1386" s="7"/>
      <c r="D1386" s="16" t="str">
        <f aca="false">IF(C1386="","",IFERROR(INDEX(Products!$B$2:$B$501,MATCH(C1386,Products!$A$2:$A$501,0)),"CODE NOT FOUND"))</f>
        <v/>
      </c>
      <c r="E1386" s="7"/>
      <c r="F1386" s="13"/>
      <c r="G1386" s="13"/>
      <c r="H1386" s="17" t="str">
        <f aca="false">IF(OR(E1386="",F1386=""),"",E1386*F1386)</f>
        <v/>
      </c>
      <c r="I1386" s="17" t="str">
        <f aca="false">IF(OR(E1386="",G1386=""),"",E1386*G1386)</f>
        <v/>
      </c>
      <c r="J1386" s="17" t="str">
        <f aca="false">IF(H1386="","",H1386-I1386)</f>
        <v/>
      </c>
    </row>
    <row r="1387" customFormat="false" ht="15" hidden="false" customHeight="true" outlineLevel="0" collapsed="false">
      <c r="A1387" s="7"/>
      <c r="B1387" s="18" t="str">
        <f aca="false">IF(A1387="","",IFERROR(INDEX(Sales_Memo!$B$2:$B$1001,MATCH(A1387,Sales_Memo!$A$2:$A$1001,0)),""))</f>
        <v/>
      </c>
      <c r="C1387" s="7"/>
      <c r="D1387" s="16" t="str">
        <f aca="false">IF(C1387="","",IFERROR(INDEX(Products!$B$2:$B$501,MATCH(C1387,Products!$A$2:$A$501,0)),"CODE NOT FOUND"))</f>
        <v/>
      </c>
      <c r="E1387" s="7"/>
      <c r="F1387" s="13"/>
      <c r="G1387" s="13"/>
      <c r="H1387" s="17" t="str">
        <f aca="false">IF(OR(E1387="",F1387=""),"",E1387*F1387)</f>
        <v/>
      </c>
      <c r="I1387" s="17" t="str">
        <f aca="false">IF(OR(E1387="",G1387=""),"",E1387*G1387)</f>
        <v/>
      </c>
      <c r="J1387" s="17" t="str">
        <f aca="false">IF(H1387="","",H1387-I1387)</f>
        <v/>
      </c>
    </row>
    <row r="1388" customFormat="false" ht="15" hidden="false" customHeight="true" outlineLevel="0" collapsed="false">
      <c r="A1388" s="7"/>
      <c r="B1388" s="18" t="str">
        <f aca="false">IF(A1388="","",IFERROR(INDEX(Sales_Memo!$B$2:$B$1001,MATCH(A1388,Sales_Memo!$A$2:$A$1001,0)),""))</f>
        <v/>
      </c>
      <c r="C1388" s="7"/>
      <c r="D1388" s="16" t="str">
        <f aca="false">IF(C1388="","",IFERROR(INDEX(Products!$B$2:$B$501,MATCH(C1388,Products!$A$2:$A$501,0)),"CODE NOT FOUND"))</f>
        <v/>
      </c>
      <c r="E1388" s="7"/>
      <c r="F1388" s="13"/>
      <c r="G1388" s="13"/>
      <c r="H1388" s="17" t="str">
        <f aca="false">IF(OR(E1388="",F1388=""),"",E1388*F1388)</f>
        <v/>
      </c>
      <c r="I1388" s="17" t="str">
        <f aca="false">IF(OR(E1388="",G1388=""),"",E1388*G1388)</f>
        <v/>
      </c>
      <c r="J1388" s="17" t="str">
        <f aca="false">IF(H1388="","",H1388-I1388)</f>
        <v/>
      </c>
    </row>
    <row r="1389" customFormat="false" ht="15" hidden="false" customHeight="true" outlineLevel="0" collapsed="false">
      <c r="A1389" s="7"/>
      <c r="B1389" s="18" t="str">
        <f aca="false">IF(A1389="","",IFERROR(INDEX(Sales_Memo!$B$2:$B$1001,MATCH(A1389,Sales_Memo!$A$2:$A$1001,0)),""))</f>
        <v/>
      </c>
      <c r="C1389" s="7"/>
      <c r="D1389" s="16" t="str">
        <f aca="false">IF(C1389="","",IFERROR(INDEX(Products!$B$2:$B$501,MATCH(C1389,Products!$A$2:$A$501,0)),"CODE NOT FOUND"))</f>
        <v/>
      </c>
      <c r="E1389" s="7"/>
      <c r="F1389" s="13"/>
      <c r="G1389" s="13"/>
      <c r="H1389" s="17" t="str">
        <f aca="false">IF(OR(E1389="",F1389=""),"",E1389*F1389)</f>
        <v/>
      </c>
      <c r="I1389" s="17" t="str">
        <f aca="false">IF(OR(E1389="",G1389=""),"",E1389*G1389)</f>
        <v/>
      </c>
      <c r="J1389" s="17" t="str">
        <f aca="false">IF(H1389="","",H1389-I1389)</f>
        <v/>
      </c>
    </row>
    <row r="1390" customFormat="false" ht="15" hidden="false" customHeight="true" outlineLevel="0" collapsed="false">
      <c r="A1390" s="7"/>
      <c r="B1390" s="18" t="str">
        <f aca="false">IF(A1390="","",IFERROR(INDEX(Sales_Memo!$B$2:$B$1001,MATCH(A1390,Sales_Memo!$A$2:$A$1001,0)),""))</f>
        <v/>
      </c>
      <c r="C1390" s="7"/>
      <c r="D1390" s="16" t="str">
        <f aca="false">IF(C1390="","",IFERROR(INDEX(Products!$B$2:$B$501,MATCH(C1390,Products!$A$2:$A$501,0)),"CODE NOT FOUND"))</f>
        <v/>
      </c>
      <c r="E1390" s="7"/>
      <c r="F1390" s="13"/>
      <c r="G1390" s="13"/>
      <c r="H1390" s="17" t="str">
        <f aca="false">IF(OR(E1390="",F1390=""),"",E1390*F1390)</f>
        <v/>
      </c>
      <c r="I1390" s="17" t="str">
        <f aca="false">IF(OR(E1390="",G1390=""),"",E1390*G1390)</f>
        <v/>
      </c>
      <c r="J1390" s="17" t="str">
        <f aca="false">IF(H1390="","",H1390-I1390)</f>
        <v/>
      </c>
    </row>
    <row r="1391" customFormat="false" ht="15" hidden="false" customHeight="true" outlineLevel="0" collapsed="false">
      <c r="A1391" s="7"/>
      <c r="B1391" s="18" t="str">
        <f aca="false">IF(A1391="","",IFERROR(INDEX(Sales_Memo!$B$2:$B$1001,MATCH(A1391,Sales_Memo!$A$2:$A$1001,0)),""))</f>
        <v/>
      </c>
      <c r="C1391" s="7"/>
      <c r="D1391" s="16" t="str">
        <f aca="false">IF(C1391="","",IFERROR(INDEX(Products!$B$2:$B$501,MATCH(C1391,Products!$A$2:$A$501,0)),"CODE NOT FOUND"))</f>
        <v/>
      </c>
      <c r="E1391" s="7"/>
      <c r="F1391" s="13"/>
      <c r="G1391" s="13"/>
      <c r="H1391" s="17" t="str">
        <f aca="false">IF(OR(E1391="",F1391=""),"",E1391*F1391)</f>
        <v/>
      </c>
      <c r="I1391" s="17" t="str">
        <f aca="false">IF(OR(E1391="",G1391=""),"",E1391*G1391)</f>
        <v/>
      </c>
      <c r="J1391" s="17" t="str">
        <f aca="false">IF(H1391="","",H1391-I1391)</f>
        <v/>
      </c>
    </row>
    <row r="1392" customFormat="false" ht="15" hidden="false" customHeight="true" outlineLevel="0" collapsed="false">
      <c r="A1392" s="7"/>
      <c r="B1392" s="18" t="str">
        <f aca="false">IF(A1392="","",IFERROR(INDEX(Sales_Memo!$B$2:$B$1001,MATCH(A1392,Sales_Memo!$A$2:$A$1001,0)),""))</f>
        <v/>
      </c>
      <c r="C1392" s="7"/>
      <c r="D1392" s="16" t="str">
        <f aca="false">IF(C1392="","",IFERROR(INDEX(Products!$B$2:$B$501,MATCH(C1392,Products!$A$2:$A$501,0)),"CODE NOT FOUND"))</f>
        <v/>
      </c>
      <c r="E1392" s="7"/>
      <c r="F1392" s="13"/>
      <c r="G1392" s="13"/>
      <c r="H1392" s="17" t="str">
        <f aca="false">IF(OR(E1392="",F1392=""),"",E1392*F1392)</f>
        <v/>
      </c>
      <c r="I1392" s="17" t="str">
        <f aca="false">IF(OR(E1392="",G1392=""),"",E1392*G1392)</f>
        <v/>
      </c>
      <c r="J1392" s="17" t="str">
        <f aca="false">IF(H1392="","",H1392-I1392)</f>
        <v/>
      </c>
    </row>
    <row r="1393" customFormat="false" ht="15" hidden="false" customHeight="true" outlineLevel="0" collapsed="false">
      <c r="A1393" s="7"/>
      <c r="B1393" s="18" t="str">
        <f aca="false">IF(A1393="","",IFERROR(INDEX(Sales_Memo!$B$2:$B$1001,MATCH(A1393,Sales_Memo!$A$2:$A$1001,0)),""))</f>
        <v/>
      </c>
      <c r="C1393" s="7"/>
      <c r="D1393" s="16" t="str">
        <f aca="false">IF(C1393="","",IFERROR(INDEX(Products!$B$2:$B$501,MATCH(C1393,Products!$A$2:$A$501,0)),"CODE NOT FOUND"))</f>
        <v/>
      </c>
      <c r="E1393" s="7"/>
      <c r="F1393" s="13"/>
      <c r="G1393" s="13"/>
      <c r="H1393" s="17" t="str">
        <f aca="false">IF(OR(E1393="",F1393=""),"",E1393*F1393)</f>
        <v/>
      </c>
      <c r="I1393" s="17" t="str">
        <f aca="false">IF(OR(E1393="",G1393=""),"",E1393*G1393)</f>
        <v/>
      </c>
      <c r="J1393" s="17" t="str">
        <f aca="false">IF(H1393="","",H1393-I1393)</f>
        <v/>
      </c>
    </row>
    <row r="1394" customFormat="false" ht="15" hidden="false" customHeight="true" outlineLevel="0" collapsed="false">
      <c r="A1394" s="7"/>
      <c r="B1394" s="18" t="str">
        <f aca="false">IF(A1394="","",IFERROR(INDEX(Sales_Memo!$B$2:$B$1001,MATCH(A1394,Sales_Memo!$A$2:$A$1001,0)),""))</f>
        <v/>
      </c>
      <c r="C1394" s="7"/>
      <c r="D1394" s="16" t="str">
        <f aca="false">IF(C1394="","",IFERROR(INDEX(Products!$B$2:$B$501,MATCH(C1394,Products!$A$2:$A$501,0)),"CODE NOT FOUND"))</f>
        <v/>
      </c>
      <c r="E1394" s="7"/>
      <c r="F1394" s="13"/>
      <c r="G1394" s="13"/>
      <c r="H1394" s="17" t="str">
        <f aca="false">IF(OR(E1394="",F1394=""),"",E1394*F1394)</f>
        <v/>
      </c>
      <c r="I1394" s="17" t="str">
        <f aca="false">IF(OR(E1394="",G1394=""),"",E1394*G1394)</f>
        <v/>
      </c>
      <c r="J1394" s="17" t="str">
        <f aca="false">IF(H1394="","",H1394-I1394)</f>
        <v/>
      </c>
    </row>
    <row r="1395" customFormat="false" ht="15" hidden="false" customHeight="true" outlineLevel="0" collapsed="false">
      <c r="A1395" s="7"/>
      <c r="B1395" s="18" t="str">
        <f aca="false">IF(A1395="","",IFERROR(INDEX(Sales_Memo!$B$2:$B$1001,MATCH(A1395,Sales_Memo!$A$2:$A$1001,0)),""))</f>
        <v/>
      </c>
      <c r="C1395" s="7"/>
      <c r="D1395" s="16" t="str">
        <f aca="false">IF(C1395="","",IFERROR(INDEX(Products!$B$2:$B$501,MATCH(C1395,Products!$A$2:$A$501,0)),"CODE NOT FOUND"))</f>
        <v/>
      </c>
      <c r="E1395" s="7"/>
      <c r="F1395" s="13"/>
      <c r="G1395" s="13"/>
      <c r="H1395" s="17" t="str">
        <f aca="false">IF(OR(E1395="",F1395=""),"",E1395*F1395)</f>
        <v/>
      </c>
      <c r="I1395" s="17" t="str">
        <f aca="false">IF(OR(E1395="",G1395=""),"",E1395*G1395)</f>
        <v/>
      </c>
      <c r="J1395" s="17" t="str">
        <f aca="false">IF(H1395="","",H1395-I1395)</f>
        <v/>
      </c>
    </row>
    <row r="1396" customFormat="false" ht="15" hidden="false" customHeight="true" outlineLevel="0" collapsed="false">
      <c r="A1396" s="7"/>
      <c r="B1396" s="18" t="str">
        <f aca="false">IF(A1396="","",IFERROR(INDEX(Sales_Memo!$B$2:$B$1001,MATCH(A1396,Sales_Memo!$A$2:$A$1001,0)),""))</f>
        <v/>
      </c>
      <c r="C1396" s="7"/>
      <c r="D1396" s="16" t="str">
        <f aca="false">IF(C1396="","",IFERROR(INDEX(Products!$B$2:$B$501,MATCH(C1396,Products!$A$2:$A$501,0)),"CODE NOT FOUND"))</f>
        <v/>
      </c>
      <c r="E1396" s="7"/>
      <c r="F1396" s="13"/>
      <c r="G1396" s="13"/>
      <c r="H1396" s="17" t="str">
        <f aca="false">IF(OR(E1396="",F1396=""),"",E1396*F1396)</f>
        <v/>
      </c>
      <c r="I1396" s="17" t="str">
        <f aca="false">IF(OR(E1396="",G1396=""),"",E1396*G1396)</f>
        <v/>
      </c>
      <c r="J1396" s="17" t="str">
        <f aca="false">IF(H1396="","",H1396-I1396)</f>
        <v/>
      </c>
    </row>
    <row r="1397" customFormat="false" ht="15" hidden="false" customHeight="true" outlineLevel="0" collapsed="false">
      <c r="A1397" s="7"/>
      <c r="B1397" s="18" t="str">
        <f aca="false">IF(A1397="","",IFERROR(INDEX(Sales_Memo!$B$2:$B$1001,MATCH(A1397,Sales_Memo!$A$2:$A$1001,0)),""))</f>
        <v/>
      </c>
      <c r="C1397" s="7"/>
      <c r="D1397" s="16" t="str">
        <f aca="false">IF(C1397="","",IFERROR(INDEX(Products!$B$2:$B$501,MATCH(C1397,Products!$A$2:$A$501,0)),"CODE NOT FOUND"))</f>
        <v/>
      </c>
      <c r="E1397" s="7"/>
      <c r="F1397" s="13"/>
      <c r="G1397" s="13"/>
      <c r="H1397" s="17" t="str">
        <f aca="false">IF(OR(E1397="",F1397=""),"",E1397*F1397)</f>
        <v/>
      </c>
      <c r="I1397" s="17" t="str">
        <f aca="false">IF(OR(E1397="",G1397=""),"",E1397*G1397)</f>
        <v/>
      </c>
      <c r="J1397" s="17" t="str">
        <f aca="false">IF(H1397="","",H1397-I1397)</f>
        <v/>
      </c>
    </row>
    <row r="1398" customFormat="false" ht="15" hidden="false" customHeight="true" outlineLevel="0" collapsed="false">
      <c r="A1398" s="7"/>
      <c r="B1398" s="18" t="str">
        <f aca="false">IF(A1398="","",IFERROR(INDEX(Sales_Memo!$B$2:$B$1001,MATCH(A1398,Sales_Memo!$A$2:$A$1001,0)),""))</f>
        <v/>
      </c>
      <c r="C1398" s="7"/>
      <c r="D1398" s="16" t="str">
        <f aca="false">IF(C1398="","",IFERROR(INDEX(Products!$B$2:$B$501,MATCH(C1398,Products!$A$2:$A$501,0)),"CODE NOT FOUND"))</f>
        <v/>
      </c>
      <c r="E1398" s="7"/>
      <c r="F1398" s="13"/>
      <c r="G1398" s="13"/>
      <c r="H1398" s="17" t="str">
        <f aca="false">IF(OR(E1398="",F1398=""),"",E1398*F1398)</f>
        <v/>
      </c>
      <c r="I1398" s="17" t="str">
        <f aca="false">IF(OR(E1398="",G1398=""),"",E1398*G1398)</f>
        <v/>
      </c>
      <c r="J1398" s="17" t="str">
        <f aca="false">IF(H1398="","",H1398-I1398)</f>
        <v/>
      </c>
    </row>
    <row r="1399" customFormat="false" ht="15" hidden="false" customHeight="true" outlineLevel="0" collapsed="false">
      <c r="A1399" s="7"/>
      <c r="B1399" s="18" t="str">
        <f aca="false">IF(A1399="","",IFERROR(INDEX(Sales_Memo!$B$2:$B$1001,MATCH(A1399,Sales_Memo!$A$2:$A$1001,0)),""))</f>
        <v/>
      </c>
      <c r="C1399" s="7"/>
      <c r="D1399" s="16" t="str">
        <f aca="false">IF(C1399="","",IFERROR(INDEX(Products!$B$2:$B$501,MATCH(C1399,Products!$A$2:$A$501,0)),"CODE NOT FOUND"))</f>
        <v/>
      </c>
      <c r="E1399" s="7"/>
      <c r="F1399" s="13"/>
      <c r="G1399" s="13"/>
      <c r="H1399" s="17" t="str">
        <f aca="false">IF(OR(E1399="",F1399=""),"",E1399*F1399)</f>
        <v/>
      </c>
      <c r="I1399" s="17" t="str">
        <f aca="false">IF(OR(E1399="",G1399=""),"",E1399*G1399)</f>
        <v/>
      </c>
      <c r="J1399" s="17" t="str">
        <f aca="false">IF(H1399="","",H1399-I1399)</f>
        <v/>
      </c>
    </row>
    <row r="1400" customFormat="false" ht="15" hidden="false" customHeight="true" outlineLevel="0" collapsed="false">
      <c r="A1400" s="7"/>
      <c r="B1400" s="18" t="str">
        <f aca="false">IF(A1400="","",IFERROR(INDEX(Sales_Memo!$B$2:$B$1001,MATCH(A1400,Sales_Memo!$A$2:$A$1001,0)),""))</f>
        <v/>
      </c>
      <c r="C1400" s="7"/>
      <c r="D1400" s="16" t="str">
        <f aca="false">IF(C1400="","",IFERROR(INDEX(Products!$B$2:$B$501,MATCH(C1400,Products!$A$2:$A$501,0)),"CODE NOT FOUND"))</f>
        <v/>
      </c>
      <c r="E1400" s="7"/>
      <c r="F1400" s="13"/>
      <c r="G1400" s="13"/>
      <c r="H1400" s="17" t="str">
        <f aca="false">IF(OR(E1400="",F1400=""),"",E1400*F1400)</f>
        <v/>
      </c>
      <c r="I1400" s="17" t="str">
        <f aca="false">IF(OR(E1400="",G1400=""),"",E1400*G1400)</f>
        <v/>
      </c>
      <c r="J1400" s="17" t="str">
        <f aca="false">IF(H1400="","",H1400-I1400)</f>
        <v/>
      </c>
    </row>
    <row r="1401" customFormat="false" ht="15" hidden="false" customHeight="true" outlineLevel="0" collapsed="false">
      <c r="A1401" s="7"/>
      <c r="B1401" s="18" t="str">
        <f aca="false">IF(A1401="","",IFERROR(INDEX(Sales_Memo!$B$2:$B$1001,MATCH(A1401,Sales_Memo!$A$2:$A$1001,0)),""))</f>
        <v/>
      </c>
      <c r="C1401" s="7"/>
      <c r="D1401" s="16" t="str">
        <f aca="false">IF(C1401="","",IFERROR(INDEX(Products!$B$2:$B$501,MATCH(C1401,Products!$A$2:$A$501,0)),"CODE NOT FOUND"))</f>
        <v/>
      </c>
      <c r="E1401" s="7"/>
      <c r="F1401" s="13"/>
      <c r="G1401" s="13"/>
      <c r="H1401" s="17" t="str">
        <f aca="false">IF(OR(E1401="",F1401=""),"",E1401*F1401)</f>
        <v/>
      </c>
      <c r="I1401" s="17" t="str">
        <f aca="false">IF(OR(E1401="",G1401=""),"",E1401*G1401)</f>
        <v/>
      </c>
      <c r="J1401" s="17" t="str">
        <f aca="false">IF(H1401="","",H1401-I1401)</f>
        <v/>
      </c>
    </row>
    <row r="1402" customFormat="false" ht="15" hidden="false" customHeight="true" outlineLevel="0" collapsed="false">
      <c r="A1402" s="7"/>
      <c r="B1402" s="18" t="str">
        <f aca="false">IF(A1402="","",IFERROR(INDEX(Sales_Memo!$B$2:$B$1001,MATCH(A1402,Sales_Memo!$A$2:$A$1001,0)),""))</f>
        <v/>
      </c>
      <c r="C1402" s="7"/>
      <c r="D1402" s="16" t="str">
        <f aca="false">IF(C1402="","",IFERROR(INDEX(Products!$B$2:$B$501,MATCH(C1402,Products!$A$2:$A$501,0)),"CODE NOT FOUND"))</f>
        <v/>
      </c>
      <c r="E1402" s="7"/>
      <c r="F1402" s="13"/>
      <c r="G1402" s="13"/>
      <c r="H1402" s="17" t="str">
        <f aca="false">IF(OR(E1402="",F1402=""),"",E1402*F1402)</f>
        <v/>
      </c>
      <c r="I1402" s="17" t="str">
        <f aca="false">IF(OR(E1402="",G1402=""),"",E1402*G1402)</f>
        <v/>
      </c>
      <c r="J1402" s="17" t="str">
        <f aca="false">IF(H1402="","",H1402-I1402)</f>
        <v/>
      </c>
    </row>
    <row r="1403" customFormat="false" ht="15" hidden="false" customHeight="true" outlineLevel="0" collapsed="false">
      <c r="A1403" s="7"/>
      <c r="B1403" s="18" t="str">
        <f aca="false">IF(A1403="","",IFERROR(INDEX(Sales_Memo!$B$2:$B$1001,MATCH(A1403,Sales_Memo!$A$2:$A$1001,0)),""))</f>
        <v/>
      </c>
      <c r="C1403" s="7"/>
      <c r="D1403" s="16" t="str">
        <f aca="false">IF(C1403="","",IFERROR(INDEX(Products!$B$2:$B$501,MATCH(C1403,Products!$A$2:$A$501,0)),"CODE NOT FOUND"))</f>
        <v/>
      </c>
      <c r="E1403" s="7"/>
      <c r="F1403" s="13"/>
      <c r="G1403" s="13"/>
      <c r="H1403" s="17" t="str">
        <f aca="false">IF(OR(E1403="",F1403=""),"",E1403*F1403)</f>
        <v/>
      </c>
      <c r="I1403" s="17" t="str">
        <f aca="false">IF(OR(E1403="",G1403=""),"",E1403*G1403)</f>
        <v/>
      </c>
      <c r="J1403" s="17" t="str">
        <f aca="false">IF(H1403="","",H1403-I1403)</f>
        <v/>
      </c>
    </row>
    <row r="1404" customFormat="false" ht="15" hidden="false" customHeight="true" outlineLevel="0" collapsed="false">
      <c r="A1404" s="7"/>
      <c r="B1404" s="18" t="str">
        <f aca="false">IF(A1404="","",IFERROR(INDEX(Sales_Memo!$B$2:$B$1001,MATCH(A1404,Sales_Memo!$A$2:$A$1001,0)),""))</f>
        <v/>
      </c>
      <c r="C1404" s="7"/>
      <c r="D1404" s="16" t="str">
        <f aca="false">IF(C1404="","",IFERROR(INDEX(Products!$B$2:$B$501,MATCH(C1404,Products!$A$2:$A$501,0)),"CODE NOT FOUND"))</f>
        <v/>
      </c>
      <c r="E1404" s="7"/>
      <c r="F1404" s="13"/>
      <c r="G1404" s="13"/>
      <c r="H1404" s="17" t="str">
        <f aca="false">IF(OR(E1404="",F1404=""),"",E1404*F1404)</f>
        <v/>
      </c>
      <c r="I1404" s="17" t="str">
        <f aca="false">IF(OR(E1404="",G1404=""),"",E1404*G1404)</f>
        <v/>
      </c>
      <c r="J1404" s="17" t="str">
        <f aca="false">IF(H1404="","",H1404-I1404)</f>
        <v/>
      </c>
    </row>
    <row r="1405" customFormat="false" ht="15" hidden="false" customHeight="true" outlineLevel="0" collapsed="false">
      <c r="A1405" s="7"/>
      <c r="B1405" s="18" t="str">
        <f aca="false">IF(A1405="","",IFERROR(INDEX(Sales_Memo!$B$2:$B$1001,MATCH(A1405,Sales_Memo!$A$2:$A$1001,0)),""))</f>
        <v/>
      </c>
      <c r="C1405" s="7"/>
      <c r="D1405" s="16" t="str">
        <f aca="false">IF(C1405="","",IFERROR(INDEX(Products!$B$2:$B$501,MATCH(C1405,Products!$A$2:$A$501,0)),"CODE NOT FOUND"))</f>
        <v/>
      </c>
      <c r="E1405" s="7"/>
      <c r="F1405" s="13"/>
      <c r="G1405" s="13"/>
      <c r="H1405" s="17" t="str">
        <f aca="false">IF(OR(E1405="",F1405=""),"",E1405*F1405)</f>
        <v/>
      </c>
      <c r="I1405" s="17" t="str">
        <f aca="false">IF(OR(E1405="",G1405=""),"",E1405*G1405)</f>
        <v/>
      </c>
      <c r="J1405" s="17" t="str">
        <f aca="false">IF(H1405="","",H1405-I1405)</f>
        <v/>
      </c>
    </row>
    <row r="1406" customFormat="false" ht="15" hidden="false" customHeight="true" outlineLevel="0" collapsed="false">
      <c r="A1406" s="7"/>
      <c r="B1406" s="18" t="str">
        <f aca="false">IF(A1406="","",IFERROR(INDEX(Sales_Memo!$B$2:$B$1001,MATCH(A1406,Sales_Memo!$A$2:$A$1001,0)),""))</f>
        <v/>
      </c>
      <c r="C1406" s="7"/>
      <c r="D1406" s="16" t="str">
        <f aca="false">IF(C1406="","",IFERROR(INDEX(Products!$B$2:$B$501,MATCH(C1406,Products!$A$2:$A$501,0)),"CODE NOT FOUND"))</f>
        <v/>
      </c>
      <c r="E1406" s="7"/>
      <c r="F1406" s="13"/>
      <c r="G1406" s="13"/>
      <c r="H1406" s="17" t="str">
        <f aca="false">IF(OR(E1406="",F1406=""),"",E1406*F1406)</f>
        <v/>
      </c>
      <c r="I1406" s="17" t="str">
        <f aca="false">IF(OR(E1406="",G1406=""),"",E1406*G1406)</f>
        <v/>
      </c>
      <c r="J1406" s="17" t="str">
        <f aca="false">IF(H1406="","",H1406-I1406)</f>
        <v/>
      </c>
    </row>
    <row r="1407" customFormat="false" ht="15" hidden="false" customHeight="true" outlineLevel="0" collapsed="false">
      <c r="A1407" s="7"/>
      <c r="B1407" s="18" t="str">
        <f aca="false">IF(A1407="","",IFERROR(INDEX(Sales_Memo!$B$2:$B$1001,MATCH(A1407,Sales_Memo!$A$2:$A$1001,0)),""))</f>
        <v/>
      </c>
      <c r="C1407" s="7"/>
      <c r="D1407" s="16" t="str">
        <f aca="false">IF(C1407="","",IFERROR(INDEX(Products!$B$2:$B$501,MATCH(C1407,Products!$A$2:$A$501,0)),"CODE NOT FOUND"))</f>
        <v/>
      </c>
      <c r="E1407" s="7"/>
      <c r="F1407" s="13"/>
      <c r="G1407" s="13"/>
      <c r="H1407" s="17" t="str">
        <f aca="false">IF(OR(E1407="",F1407=""),"",E1407*F1407)</f>
        <v/>
      </c>
      <c r="I1407" s="17" t="str">
        <f aca="false">IF(OR(E1407="",G1407=""),"",E1407*G1407)</f>
        <v/>
      </c>
      <c r="J1407" s="17" t="str">
        <f aca="false">IF(H1407="","",H1407-I1407)</f>
        <v/>
      </c>
    </row>
    <row r="1408" customFormat="false" ht="15" hidden="false" customHeight="true" outlineLevel="0" collapsed="false">
      <c r="A1408" s="7"/>
      <c r="B1408" s="18" t="str">
        <f aca="false">IF(A1408="","",IFERROR(INDEX(Sales_Memo!$B$2:$B$1001,MATCH(A1408,Sales_Memo!$A$2:$A$1001,0)),""))</f>
        <v/>
      </c>
      <c r="C1408" s="7"/>
      <c r="D1408" s="16" t="str">
        <f aca="false">IF(C1408="","",IFERROR(INDEX(Products!$B$2:$B$501,MATCH(C1408,Products!$A$2:$A$501,0)),"CODE NOT FOUND"))</f>
        <v/>
      </c>
      <c r="E1408" s="7"/>
      <c r="F1408" s="13"/>
      <c r="G1408" s="13"/>
      <c r="H1408" s="17" t="str">
        <f aca="false">IF(OR(E1408="",F1408=""),"",E1408*F1408)</f>
        <v/>
      </c>
      <c r="I1408" s="17" t="str">
        <f aca="false">IF(OR(E1408="",G1408=""),"",E1408*G1408)</f>
        <v/>
      </c>
      <c r="J1408" s="17" t="str">
        <f aca="false">IF(H1408="","",H1408-I1408)</f>
        <v/>
      </c>
    </row>
    <row r="1409" customFormat="false" ht="15" hidden="false" customHeight="true" outlineLevel="0" collapsed="false">
      <c r="A1409" s="7"/>
      <c r="B1409" s="18" t="str">
        <f aca="false">IF(A1409="","",IFERROR(INDEX(Sales_Memo!$B$2:$B$1001,MATCH(A1409,Sales_Memo!$A$2:$A$1001,0)),""))</f>
        <v/>
      </c>
      <c r="C1409" s="7"/>
      <c r="D1409" s="16" t="str">
        <f aca="false">IF(C1409="","",IFERROR(INDEX(Products!$B$2:$B$501,MATCH(C1409,Products!$A$2:$A$501,0)),"CODE NOT FOUND"))</f>
        <v/>
      </c>
      <c r="E1409" s="7"/>
      <c r="F1409" s="13"/>
      <c r="G1409" s="13"/>
      <c r="H1409" s="17" t="str">
        <f aca="false">IF(OR(E1409="",F1409=""),"",E1409*F1409)</f>
        <v/>
      </c>
      <c r="I1409" s="17" t="str">
        <f aca="false">IF(OR(E1409="",G1409=""),"",E1409*G1409)</f>
        <v/>
      </c>
      <c r="J1409" s="17" t="str">
        <f aca="false">IF(H1409="","",H1409-I1409)</f>
        <v/>
      </c>
    </row>
    <row r="1410" customFormat="false" ht="15" hidden="false" customHeight="true" outlineLevel="0" collapsed="false">
      <c r="A1410" s="7"/>
      <c r="B1410" s="18" t="str">
        <f aca="false">IF(A1410="","",IFERROR(INDEX(Sales_Memo!$B$2:$B$1001,MATCH(A1410,Sales_Memo!$A$2:$A$1001,0)),""))</f>
        <v/>
      </c>
      <c r="C1410" s="7"/>
      <c r="D1410" s="16" t="str">
        <f aca="false">IF(C1410="","",IFERROR(INDEX(Products!$B$2:$B$501,MATCH(C1410,Products!$A$2:$A$501,0)),"CODE NOT FOUND"))</f>
        <v/>
      </c>
      <c r="E1410" s="7"/>
      <c r="F1410" s="13"/>
      <c r="G1410" s="13"/>
      <c r="H1410" s="17" t="str">
        <f aca="false">IF(OR(E1410="",F1410=""),"",E1410*F1410)</f>
        <v/>
      </c>
      <c r="I1410" s="17" t="str">
        <f aca="false">IF(OR(E1410="",G1410=""),"",E1410*G1410)</f>
        <v/>
      </c>
      <c r="J1410" s="17" t="str">
        <f aca="false">IF(H1410="","",H1410-I1410)</f>
        <v/>
      </c>
    </row>
    <row r="1411" customFormat="false" ht="15" hidden="false" customHeight="true" outlineLevel="0" collapsed="false">
      <c r="A1411" s="7"/>
      <c r="B1411" s="18" t="str">
        <f aca="false">IF(A1411="","",IFERROR(INDEX(Sales_Memo!$B$2:$B$1001,MATCH(A1411,Sales_Memo!$A$2:$A$1001,0)),""))</f>
        <v/>
      </c>
      <c r="C1411" s="7"/>
      <c r="D1411" s="16" t="str">
        <f aca="false">IF(C1411="","",IFERROR(INDEX(Products!$B$2:$B$501,MATCH(C1411,Products!$A$2:$A$501,0)),"CODE NOT FOUND"))</f>
        <v/>
      </c>
      <c r="E1411" s="7"/>
      <c r="F1411" s="13"/>
      <c r="G1411" s="13"/>
      <c r="H1411" s="17" t="str">
        <f aca="false">IF(OR(E1411="",F1411=""),"",E1411*F1411)</f>
        <v/>
      </c>
      <c r="I1411" s="17" t="str">
        <f aca="false">IF(OR(E1411="",G1411=""),"",E1411*G1411)</f>
        <v/>
      </c>
      <c r="J1411" s="17" t="str">
        <f aca="false">IF(H1411="","",H1411-I1411)</f>
        <v/>
      </c>
    </row>
    <row r="1412" customFormat="false" ht="15" hidden="false" customHeight="true" outlineLevel="0" collapsed="false">
      <c r="A1412" s="7"/>
      <c r="B1412" s="18" t="str">
        <f aca="false">IF(A1412="","",IFERROR(INDEX(Sales_Memo!$B$2:$B$1001,MATCH(A1412,Sales_Memo!$A$2:$A$1001,0)),""))</f>
        <v/>
      </c>
      <c r="C1412" s="7"/>
      <c r="D1412" s="16" t="str">
        <f aca="false">IF(C1412="","",IFERROR(INDEX(Products!$B$2:$B$501,MATCH(C1412,Products!$A$2:$A$501,0)),"CODE NOT FOUND"))</f>
        <v/>
      </c>
      <c r="E1412" s="7"/>
      <c r="F1412" s="13"/>
      <c r="G1412" s="13"/>
      <c r="H1412" s="17" t="str">
        <f aca="false">IF(OR(E1412="",F1412=""),"",E1412*F1412)</f>
        <v/>
      </c>
      <c r="I1412" s="17" t="str">
        <f aca="false">IF(OR(E1412="",G1412=""),"",E1412*G1412)</f>
        <v/>
      </c>
      <c r="J1412" s="17" t="str">
        <f aca="false">IF(H1412="","",H1412-I1412)</f>
        <v/>
      </c>
    </row>
    <row r="1413" customFormat="false" ht="15" hidden="false" customHeight="true" outlineLevel="0" collapsed="false">
      <c r="A1413" s="7"/>
      <c r="B1413" s="18" t="str">
        <f aca="false">IF(A1413="","",IFERROR(INDEX(Sales_Memo!$B$2:$B$1001,MATCH(A1413,Sales_Memo!$A$2:$A$1001,0)),""))</f>
        <v/>
      </c>
      <c r="C1413" s="7"/>
      <c r="D1413" s="16" t="str">
        <f aca="false">IF(C1413="","",IFERROR(INDEX(Products!$B$2:$B$501,MATCH(C1413,Products!$A$2:$A$501,0)),"CODE NOT FOUND"))</f>
        <v/>
      </c>
      <c r="E1413" s="7"/>
      <c r="F1413" s="13"/>
      <c r="G1413" s="13"/>
      <c r="H1413" s="17" t="str">
        <f aca="false">IF(OR(E1413="",F1413=""),"",E1413*F1413)</f>
        <v/>
      </c>
      <c r="I1413" s="17" t="str">
        <f aca="false">IF(OR(E1413="",G1413=""),"",E1413*G1413)</f>
        <v/>
      </c>
      <c r="J1413" s="17" t="str">
        <f aca="false">IF(H1413="","",H1413-I1413)</f>
        <v/>
      </c>
    </row>
    <row r="1414" customFormat="false" ht="15" hidden="false" customHeight="true" outlineLevel="0" collapsed="false">
      <c r="A1414" s="7"/>
      <c r="B1414" s="18" t="str">
        <f aca="false">IF(A1414="","",IFERROR(INDEX(Sales_Memo!$B$2:$B$1001,MATCH(A1414,Sales_Memo!$A$2:$A$1001,0)),""))</f>
        <v/>
      </c>
      <c r="C1414" s="7"/>
      <c r="D1414" s="16" t="str">
        <f aca="false">IF(C1414="","",IFERROR(INDEX(Products!$B$2:$B$501,MATCH(C1414,Products!$A$2:$A$501,0)),"CODE NOT FOUND"))</f>
        <v/>
      </c>
      <c r="E1414" s="7"/>
      <c r="F1414" s="13"/>
      <c r="G1414" s="13"/>
      <c r="H1414" s="17" t="str">
        <f aca="false">IF(OR(E1414="",F1414=""),"",E1414*F1414)</f>
        <v/>
      </c>
      <c r="I1414" s="17" t="str">
        <f aca="false">IF(OR(E1414="",G1414=""),"",E1414*G1414)</f>
        <v/>
      </c>
      <c r="J1414" s="17" t="str">
        <f aca="false">IF(H1414="","",H1414-I1414)</f>
        <v/>
      </c>
    </row>
    <row r="1415" customFormat="false" ht="15" hidden="false" customHeight="true" outlineLevel="0" collapsed="false">
      <c r="A1415" s="7"/>
      <c r="B1415" s="18" t="str">
        <f aca="false">IF(A1415="","",IFERROR(INDEX(Sales_Memo!$B$2:$B$1001,MATCH(A1415,Sales_Memo!$A$2:$A$1001,0)),""))</f>
        <v/>
      </c>
      <c r="C1415" s="7"/>
      <c r="D1415" s="16" t="str">
        <f aca="false">IF(C1415="","",IFERROR(INDEX(Products!$B$2:$B$501,MATCH(C1415,Products!$A$2:$A$501,0)),"CODE NOT FOUND"))</f>
        <v/>
      </c>
      <c r="E1415" s="7"/>
      <c r="F1415" s="13"/>
      <c r="G1415" s="13"/>
      <c r="H1415" s="17" t="str">
        <f aca="false">IF(OR(E1415="",F1415=""),"",E1415*F1415)</f>
        <v/>
      </c>
      <c r="I1415" s="17" t="str">
        <f aca="false">IF(OR(E1415="",G1415=""),"",E1415*G1415)</f>
        <v/>
      </c>
      <c r="J1415" s="17" t="str">
        <f aca="false">IF(H1415="","",H1415-I1415)</f>
        <v/>
      </c>
    </row>
    <row r="1416" customFormat="false" ht="15" hidden="false" customHeight="true" outlineLevel="0" collapsed="false">
      <c r="A1416" s="7"/>
      <c r="B1416" s="18" t="str">
        <f aca="false">IF(A1416="","",IFERROR(INDEX(Sales_Memo!$B$2:$B$1001,MATCH(A1416,Sales_Memo!$A$2:$A$1001,0)),""))</f>
        <v/>
      </c>
      <c r="C1416" s="7"/>
      <c r="D1416" s="16" t="str">
        <f aca="false">IF(C1416="","",IFERROR(INDEX(Products!$B$2:$B$501,MATCH(C1416,Products!$A$2:$A$501,0)),"CODE NOT FOUND"))</f>
        <v/>
      </c>
      <c r="E1416" s="7"/>
      <c r="F1416" s="13"/>
      <c r="G1416" s="13"/>
      <c r="H1416" s="17" t="str">
        <f aca="false">IF(OR(E1416="",F1416=""),"",E1416*F1416)</f>
        <v/>
      </c>
      <c r="I1416" s="17" t="str">
        <f aca="false">IF(OR(E1416="",G1416=""),"",E1416*G1416)</f>
        <v/>
      </c>
      <c r="J1416" s="17" t="str">
        <f aca="false">IF(H1416="","",H1416-I1416)</f>
        <v/>
      </c>
    </row>
    <row r="1417" customFormat="false" ht="15" hidden="false" customHeight="true" outlineLevel="0" collapsed="false">
      <c r="A1417" s="7"/>
      <c r="B1417" s="18" t="str">
        <f aca="false">IF(A1417="","",IFERROR(INDEX(Sales_Memo!$B$2:$B$1001,MATCH(A1417,Sales_Memo!$A$2:$A$1001,0)),""))</f>
        <v/>
      </c>
      <c r="C1417" s="7"/>
      <c r="D1417" s="16" t="str">
        <f aca="false">IF(C1417="","",IFERROR(INDEX(Products!$B$2:$B$501,MATCH(C1417,Products!$A$2:$A$501,0)),"CODE NOT FOUND"))</f>
        <v/>
      </c>
      <c r="E1417" s="7"/>
      <c r="F1417" s="13"/>
      <c r="G1417" s="13"/>
      <c r="H1417" s="17" t="str">
        <f aca="false">IF(OR(E1417="",F1417=""),"",E1417*F1417)</f>
        <v/>
      </c>
      <c r="I1417" s="17" t="str">
        <f aca="false">IF(OR(E1417="",G1417=""),"",E1417*G1417)</f>
        <v/>
      </c>
      <c r="J1417" s="17" t="str">
        <f aca="false">IF(H1417="","",H1417-I1417)</f>
        <v/>
      </c>
    </row>
    <row r="1418" customFormat="false" ht="15" hidden="false" customHeight="true" outlineLevel="0" collapsed="false">
      <c r="A1418" s="7"/>
      <c r="B1418" s="18" t="str">
        <f aca="false">IF(A1418="","",IFERROR(INDEX(Sales_Memo!$B$2:$B$1001,MATCH(A1418,Sales_Memo!$A$2:$A$1001,0)),""))</f>
        <v/>
      </c>
      <c r="C1418" s="7"/>
      <c r="D1418" s="16" t="str">
        <f aca="false">IF(C1418="","",IFERROR(INDEX(Products!$B$2:$B$501,MATCH(C1418,Products!$A$2:$A$501,0)),"CODE NOT FOUND"))</f>
        <v/>
      </c>
      <c r="E1418" s="7"/>
      <c r="F1418" s="13"/>
      <c r="G1418" s="13"/>
      <c r="H1418" s="17" t="str">
        <f aca="false">IF(OR(E1418="",F1418=""),"",E1418*F1418)</f>
        <v/>
      </c>
      <c r="I1418" s="17" t="str">
        <f aca="false">IF(OR(E1418="",G1418=""),"",E1418*G1418)</f>
        <v/>
      </c>
      <c r="J1418" s="17" t="str">
        <f aca="false">IF(H1418="","",H1418-I1418)</f>
        <v/>
      </c>
    </row>
    <row r="1419" customFormat="false" ht="15" hidden="false" customHeight="true" outlineLevel="0" collapsed="false">
      <c r="A1419" s="7"/>
      <c r="B1419" s="18" t="str">
        <f aca="false">IF(A1419="","",IFERROR(INDEX(Sales_Memo!$B$2:$B$1001,MATCH(A1419,Sales_Memo!$A$2:$A$1001,0)),""))</f>
        <v/>
      </c>
      <c r="C1419" s="7"/>
      <c r="D1419" s="16" t="str">
        <f aca="false">IF(C1419="","",IFERROR(INDEX(Products!$B$2:$B$501,MATCH(C1419,Products!$A$2:$A$501,0)),"CODE NOT FOUND"))</f>
        <v/>
      </c>
      <c r="E1419" s="7"/>
      <c r="F1419" s="13"/>
      <c r="G1419" s="13"/>
      <c r="H1419" s="17" t="str">
        <f aca="false">IF(OR(E1419="",F1419=""),"",E1419*F1419)</f>
        <v/>
      </c>
      <c r="I1419" s="17" t="str">
        <f aca="false">IF(OR(E1419="",G1419=""),"",E1419*G1419)</f>
        <v/>
      </c>
      <c r="J1419" s="17" t="str">
        <f aca="false">IF(H1419="","",H1419-I1419)</f>
        <v/>
      </c>
    </row>
    <row r="1420" customFormat="false" ht="15" hidden="false" customHeight="true" outlineLevel="0" collapsed="false">
      <c r="A1420" s="7"/>
      <c r="B1420" s="18" t="str">
        <f aca="false">IF(A1420="","",IFERROR(INDEX(Sales_Memo!$B$2:$B$1001,MATCH(A1420,Sales_Memo!$A$2:$A$1001,0)),""))</f>
        <v/>
      </c>
      <c r="C1420" s="7"/>
      <c r="D1420" s="16" t="str">
        <f aca="false">IF(C1420="","",IFERROR(INDEX(Products!$B$2:$B$501,MATCH(C1420,Products!$A$2:$A$501,0)),"CODE NOT FOUND"))</f>
        <v/>
      </c>
      <c r="E1420" s="7"/>
      <c r="F1420" s="13"/>
      <c r="G1420" s="13"/>
      <c r="H1420" s="17" t="str">
        <f aca="false">IF(OR(E1420="",F1420=""),"",E1420*F1420)</f>
        <v/>
      </c>
      <c r="I1420" s="17" t="str">
        <f aca="false">IF(OR(E1420="",G1420=""),"",E1420*G1420)</f>
        <v/>
      </c>
      <c r="J1420" s="17" t="str">
        <f aca="false">IF(H1420="","",H1420-I1420)</f>
        <v/>
      </c>
    </row>
    <row r="1421" customFormat="false" ht="15" hidden="false" customHeight="true" outlineLevel="0" collapsed="false">
      <c r="A1421" s="7"/>
      <c r="B1421" s="18" t="str">
        <f aca="false">IF(A1421="","",IFERROR(INDEX(Sales_Memo!$B$2:$B$1001,MATCH(A1421,Sales_Memo!$A$2:$A$1001,0)),""))</f>
        <v/>
      </c>
      <c r="C1421" s="7"/>
      <c r="D1421" s="16" t="str">
        <f aca="false">IF(C1421="","",IFERROR(INDEX(Products!$B$2:$B$501,MATCH(C1421,Products!$A$2:$A$501,0)),"CODE NOT FOUND"))</f>
        <v/>
      </c>
      <c r="E1421" s="7"/>
      <c r="F1421" s="13"/>
      <c r="G1421" s="13"/>
      <c r="H1421" s="17" t="str">
        <f aca="false">IF(OR(E1421="",F1421=""),"",E1421*F1421)</f>
        <v/>
      </c>
      <c r="I1421" s="17" t="str">
        <f aca="false">IF(OR(E1421="",G1421=""),"",E1421*G1421)</f>
        <v/>
      </c>
      <c r="J1421" s="17" t="str">
        <f aca="false">IF(H1421="","",H1421-I1421)</f>
        <v/>
      </c>
    </row>
    <row r="1422" customFormat="false" ht="15" hidden="false" customHeight="true" outlineLevel="0" collapsed="false">
      <c r="A1422" s="7"/>
      <c r="B1422" s="18" t="str">
        <f aca="false">IF(A1422="","",IFERROR(INDEX(Sales_Memo!$B$2:$B$1001,MATCH(A1422,Sales_Memo!$A$2:$A$1001,0)),""))</f>
        <v/>
      </c>
      <c r="C1422" s="7"/>
      <c r="D1422" s="16" t="str">
        <f aca="false">IF(C1422="","",IFERROR(INDEX(Products!$B$2:$B$501,MATCH(C1422,Products!$A$2:$A$501,0)),"CODE NOT FOUND"))</f>
        <v/>
      </c>
      <c r="E1422" s="7"/>
      <c r="F1422" s="13"/>
      <c r="G1422" s="13"/>
      <c r="H1422" s="17" t="str">
        <f aca="false">IF(OR(E1422="",F1422=""),"",E1422*F1422)</f>
        <v/>
      </c>
      <c r="I1422" s="17" t="str">
        <f aca="false">IF(OR(E1422="",G1422=""),"",E1422*G1422)</f>
        <v/>
      </c>
      <c r="J1422" s="17" t="str">
        <f aca="false">IF(H1422="","",H1422-I1422)</f>
        <v/>
      </c>
    </row>
    <row r="1423" customFormat="false" ht="15" hidden="false" customHeight="true" outlineLevel="0" collapsed="false">
      <c r="A1423" s="7"/>
      <c r="B1423" s="18" t="str">
        <f aca="false">IF(A1423="","",IFERROR(INDEX(Sales_Memo!$B$2:$B$1001,MATCH(A1423,Sales_Memo!$A$2:$A$1001,0)),""))</f>
        <v/>
      </c>
      <c r="C1423" s="7"/>
      <c r="D1423" s="16" t="str">
        <f aca="false">IF(C1423="","",IFERROR(INDEX(Products!$B$2:$B$501,MATCH(C1423,Products!$A$2:$A$501,0)),"CODE NOT FOUND"))</f>
        <v/>
      </c>
      <c r="E1423" s="7"/>
      <c r="F1423" s="13"/>
      <c r="G1423" s="13"/>
      <c r="H1423" s="17" t="str">
        <f aca="false">IF(OR(E1423="",F1423=""),"",E1423*F1423)</f>
        <v/>
      </c>
      <c r="I1423" s="17" t="str">
        <f aca="false">IF(OR(E1423="",G1423=""),"",E1423*G1423)</f>
        <v/>
      </c>
      <c r="J1423" s="17" t="str">
        <f aca="false">IF(H1423="","",H1423-I1423)</f>
        <v/>
      </c>
    </row>
    <row r="1424" customFormat="false" ht="15" hidden="false" customHeight="true" outlineLevel="0" collapsed="false">
      <c r="A1424" s="7"/>
      <c r="B1424" s="18" t="str">
        <f aca="false">IF(A1424="","",IFERROR(INDEX(Sales_Memo!$B$2:$B$1001,MATCH(A1424,Sales_Memo!$A$2:$A$1001,0)),""))</f>
        <v/>
      </c>
      <c r="C1424" s="7"/>
      <c r="D1424" s="16" t="str">
        <f aca="false">IF(C1424="","",IFERROR(INDEX(Products!$B$2:$B$501,MATCH(C1424,Products!$A$2:$A$501,0)),"CODE NOT FOUND"))</f>
        <v/>
      </c>
      <c r="E1424" s="7"/>
      <c r="F1424" s="13"/>
      <c r="G1424" s="13"/>
      <c r="H1424" s="17" t="str">
        <f aca="false">IF(OR(E1424="",F1424=""),"",E1424*F1424)</f>
        <v/>
      </c>
      <c r="I1424" s="17" t="str">
        <f aca="false">IF(OR(E1424="",G1424=""),"",E1424*G1424)</f>
        <v/>
      </c>
      <c r="J1424" s="17" t="str">
        <f aca="false">IF(H1424="","",H1424-I1424)</f>
        <v/>
      </c>
    </row>
    <row r="1425" customFormat="false" ht="15" hidden="false" customHeight="true" outlineLevel="0" collapsed="false">
      <c r="A1425" s="7"/>
      <c r="B1425" s="18" t="str">
        <f aca="false">IF(A1425="","",IFERROR(INDEX(Sales_Memo!$B$2:$B$1001,MATCH(A1425,Sales_Memo!$A$2:$A$1001,0)),""))</f>
        <v/>
      </c>
      <c r="C1425" s="7"/>
      <c r="D1425" s="16" t="str">
        <f aca="false">IF(C1425="","",IFERROR(INDEX(Products!$B$2:$B$501,MATCH(C1425,Products!$A$2:$A$501,0)),"CODE NOT FOUND"))</f>
        <v/>
      </c>
      <c r="E1425" s="7"/>
      <c r="F1425" s="13"/>
      <c r="G1425" s="13"/>
      <c r="H1425" s="17" t="str">
        <f aca="false">IF(OR(E1425="",F1425=""),"",E1425*F1425)</f>
        <v/>
      </c>
      <c r="I1425" s="17" t="str">
        <f aca="false">IF(OR(E1425="",G1425=""),"",E1425*G1425)</f>
        <v/>
      </c>
      <c r="J1425" s="17" t="str">
        <f aca="false">IF(H1425="","",H1425-I1425)</f>
        <v/>
      </c>
    </row>
    <row r="1426" customFormat="false" ht="15" hidden="false" customHeight="true" outlineLevel="0" collapsed="false">
      <c r="A1426" s="7"/>
      <c r="B1426" s="18" t="str">
        <f aca="false">IF(A1426="","",IFERROR(INDEX(Sales_Memo!$B$2:$B$1001,MATCH(A1426,Sales_Memo!$A$2:$A$1001,0)),""))</f>
        <v/>
      </c>
      <c r="C1426" s="7"/>
      <c r="D1426" s="16" t="str">
        <f aca="false">IF(C1426="","",IFERROR(INDEX(Products!$B$2:$B$501,MATCH(C1426,Products!$A$2:$A$501,0)),"CODE NOT FOUND"))</f>
        <v/>
      </c>
      <c r="E1426" s="7"/>
      <c r="F1426" s="13"/>
      <c r="G1426" s="13"/>
      <c r="H1426" s="17" t="str">
        <f aca="false">IF(OR(E1426="",F1426=""),"",E1426*F1426)</f>
        <v/>
      </c>
      <c r="I1426" s="17" t="str">
        <f aca="false">IF(OR(E1426="",G1426=""),"",E1426*G1426)</f>
        <v/>
      </c>
      <c r="J1426" s="17" t="str">
        <f aca="false">IF(H1426="","",H1426-I1426)</f>
        <v/>
      </c>
    </row>
    <row r="1427" customFormat="false" ht="15" hidden="false" customHeight="true" outlineLevel="0" collapsed="false">
      <c r="A1427" s="7"/>
      <c r="B1427" s="18" t="str">
        <f aca="false">IF(A1427="","",IFERROR(INDEX(Sales_Memo!$B$2:$B$1001,MATCH(A1427,Sales_Memo!$A$2:$A$1001,0)),""))</f>
        <v/>
      </c>
      <c r="C1427" s="7"/>
      <c r="D1427" s="16" t="str">
        <f aca="false">IF(C1427="","",IFERROR(INDEX(Products!$B$2:$B$501,MATCH(C1427,Products!$A$2:$A$501,0)),"CODE NOT FOUND"))</f>
        <v/>
      </c>
      <c r="E1427" s="7"/>
      <c r="F1427" s="13"/>
      <c r="G1427" s="13"/>
      <c r="H1427" s="17" t="str">
        <f aca="false">IF(OR(E1427="",F1427=""),"",E1427*F1427)</f>
        <v/>
      </c>
      <c r="I1427" s="17" t="str">
        <f aca="false">IF(OR(E1427="",G1427=""),"",E1427*G1427)</f>
        <v/>
      </c>
      <c r="J1427" s="17" t="str">
        <f aca="false">IF(H1427="","",H1427-I1427)</f>
        <v/>
      </c>
    </row>
    <row r="1428" customFormat="false" ht="15" hidden="false" customHeight="true" outlineLevel="0" collapsed="false">
      <c r="A1428" s="7"/>
      <c r="B1428" s="18" t="str">
        <f aca="false">IF(A1428="","",IFERROR(INDEX(Sales_Memo!$B$2:$B$1001,MATCH(A1428,Sales_Memo!$A$2:$A$1001,0)),""))</f>
        <v/>
      </c>
      <c r="C1428" s="7"/>
      <c r="D1428" s="16" t="str">
        <f aca="false">IF(C1428="","",IFERROR(INDEX(Products!$B$2:$B$501,MATCH(C1428,Products!$A$2:$A$501,0)),"CODE NOT FOUND"))</f>
        <v/>
      </c>
      <c r="E1428" s="7"/>
      <c r="F1428" s="13"/>
      <c r="G1428" s="13"/>
      <c r="H1428" s="17" t="str">
        <f aca="false">IF(OR(E1428="",F1428=""),"",E1428*F1428)</f>
        <v/>
      </c>
      <c r="I1428" s="17" t="str">
        <f aca="false">IF(OR(E1428="",G1428=""),"",E1428*G1428)</f>
        <v/>
      </c>
      <c r="J1428" s="17" t="str">
        <f aca="false">IF(H1428="","",H1428-I1428)</f>
        <v/>
      </c>
    </row>
    <row r="1429" customFormat="false" ht="15" hidden="false" customHeight="true" outlineLevel="0" collapsed="false">
      <c r="A1429" s="7"/>
      <c r="B1429" s="18" t="str">
        <f aca="false">IF(A1429="","",IFERROR(INDEX(Sales_Memo!$B$2:$B$1001,MATCH(A1429,Sales_Memo!$A$2:$A$1001,0)),""))</f>
        <v/>
      </c>
      <c r="C1429" s="7"/>
      <c r="D1429" s="16" t="str">
        <f aca="false">IF(C1429="","",IFERROR(INDEX(Products!$B$2:$B$501,MATCH(C1429,Products!$A$2:$A$501,0)),"CODE NOT FOUND"))</f>
        <v/>
      </c>
      <c r="E1429" s="7"/>
      <c r="F1429" s="13"/>
      <c r="G1429" s="13"/>
      <c r="H1429" s="17" t="str">
        <f aca="false">IF(OR(E1429="",F1429=""),"",E1429*F1429)</f>
        <v/>
      </c>
      <c r="I1429" s="17" t="str">
        <f aca="false">IF(OR(E1429="",G1429=""),"",E1429*G1429)</f>
        <v/>
      </c>
      <c r="J1429" s="17" t="str">
        <f aca="false">IF(H1429="","",H1429-I1429)</f>
        <v/>
      </c>
    </row>
    <row r="1430" customFormat="false" ht="15" hidden="false" customHeight="true" outlineLevel="0" collapsed="false">
      <c r="A1430" s="7"/>
      <c r="B1430" s="18" t="str">
        <f aca="false">IF(A1430="","",IFERROR(INDEX(Sales_Memo!$B$2:$B$1001,MATCH(A1430,Sales_Memo!$A$2:$A$1001,0)),""))</f>
        <v/>
      </c>
      <c r="C1430" s="7"/>
      <c r="D1430" s="16" t="str">
        <f aca="false">IF(C1430="","",IFERROR(INDEX(Products!$B$2:$B$501,MATCH(C1430,Products!$A$2:$A$501,0)),"CODE NOT FOUND"))</f>
        <v/>
      </c>
      <c r="E1430" s="7"/>
      <c r="F1430" s="13"/>
      <c r="G1430" s="13"/>
      <c r="H1430" s="17" t="str">
        <f aca="false">IF(OR(E1430="",F1430=""),"",E1430*F1430)</f>
        <v/>
      </c>
      <c r="I1430" s="17" t="str">
        <f aca="false">IF(OR(E1430="",G1430=""),"",E1430*G1430)</f>
        <v/>
      </c>
      <c r="J1430" s="17" t="str">
        <f aca="false">IF(H1430="","",H1430-I1430)</f>
        <v/>
      </c>
    </row>
    <row r="1431" customFormat="false" ht="15" hidden="false" customHeight="true" outlineLevel="0" collapsed="false">
      <c r="A1431" s="7"/>
      <c r="B1431" s="18" t="str">
        <f aca="false">IF(A1431="","",IFERROR(INDEX(Sales_Memo!$B$2:$B$1001,MATCH(A1431,Sales_Memo!$A$2:$A$1001,0)),""))</f>
        <v/>
      </c>
      <c r="C1431" s="7"/>
      <c r="D1431" s="16" t="str">
        <f aca="false">IF(C1431="","",IFERROR(INDEX(Products!$B$2:$B$501,MATCH(C1431,Products!$A$2:$A$501,0)),"CODE NOT FOUND"))</f>
        <v/>
      </c>
      <c r="E1431" s="7"/>
      <c r="F1431" s="13"/>
      <c r="G1431" s="13"/>
      <c r="H1431" s="17" t="str">
        <f aca="false">IF(OR(E1431="",F1431=""),"",E1431*F1431)</f>
        <v/>
      </c>
      <c r="I1431" s="17" t="str">
        <f aca="false">IF(OR(E1431="",G1431=""),"",E1431*G1431)</f>
        <v/>
      </c>
      <c r="J1431" s="17" t="str">
        <f aca="false">IF(H1431="","",H1431-I1431)</f>
        <v/>
      </c>
    </row>
    <row r="1432" customFormat="false" ht="15" hidden="false" customHeight="true" outlineLevel="0" collapsed="false">
      <c r="A1432" s="7"/>
      <c r="B1432" s="18" t="str">
        <f aca="false">IF(A1432="","",IFERROR(INDEX(Sales_Memo!$B$2:$B$1001,MATCH(A1432,Sales_Memo!$A$2:$A$1001,0)),""))</f>
        <v/>
      </c>
      <c r="C1432" s="7"/>
      <c r="D1432" s="16" t="str">
        <f aca="false">IF(C1432="","",IFERROR(INDEX(Products!$B$2:$B$501,MATCH(C1432,Products!$A$2:$A$501,0)),"CODE NOT FOUND"))</f>
        <v/>
      </c>
      <c r="E1432" s="7"/>
      <c r="F1432" s="13"/>
      <c r="G1432" s="13"/>
      <c r="H1432" s="17" t="str">
        <f aca="false">IF(OR(E1432="",F1432=""),"",E1432*F1432)</f>
        <v/>
      </c>
      <c r="I1432" s="17" t="str">
        <f aca="false">IF(OR(E1432="",G1432=""),"",E1432*G1432)</f>
        <v/>
      </c>
      <c r="J1432" s="17" t="str">
        <f aca="false">IF(H1432="","",H1432-I1432)</f>
        <v/>
      </c>
    </row>
    <row r="1433" customFormat="false" ht="15" hidden="false" customHeight="true" outlineLevel="0" collapsed="false">
      <c r="A1433" s="7"/>
      <c r="B1433" s="18" t="str">
        <f aca="false">IF(A1433="","",IFERROR(INDEX(Sales_Memo!$B$2:$B$1001,MATCH(A1433,Sales_Memo!$A$2:$A$1001,0)),""))</f>
        <v/>
      </c>
      <c r="C1433" s="7"/>
      <c r="D1433" s="16" t="str">
        <f aca="false">IF(C1433="","",IFERROR(INDEX(Products!$B$2:$B$501,MATCH(C1433,Products!$A$2:$A$501,0)),"CODE NOT FOUND"))</f>
        <v/>
      </c>
      <c r="E1433" s="7"/>
      <c r="F1433" s="13"/>
      <c r="G1433" s="13"/>
      <c r="H1433" s="17" t="str">
        <f aca="false">IF(OR(E1433="",F1433=""),"",E1433*F1433)</f>
        <v/>
      </c>
      <c r="I1433" s="17" t="str">
        <f aca="false">IF(OR(E1433="",G1433=""),"",E1433*G1433)</f>
        <v/>
      </c>
      <c r="J1433" s="17" t="str">
        <f aca="false">IF(H1433="","",H1433-I1433)</f>
        <v/>
      </c>
    </row>
    <row r="1434" customFormat="false" ht="15" hidden="false" customHeight="true" outlineLevel="0" collapsed="false">
      <c r="A1434" s="7"/>
      <c r="B1434" s="18" t="str">
        <f aca="false">IF(A1434="","",IFERROR(INDEX(Sales_Memo!$B$2:$B$1001,MATCH(A1434,Sales_Memo!$A$2:$A$1001,0)),""))</f>
        <v/>
      </c>
      <c r="C1434" s="7"/>
      <c r="D1434" s="16" t="str">
        <f aca="false">IF(C1434="","",IFERROR(INDEX(Products!$B$2:$B$501,MATCH(C1434,Products!$A$2:$A$501,0)),"CODE NOT FOUND"))</f>
        <v/>
      </c>
      <c r="E1434" s="7"/>
      <c r="F1434" s="13"/>
      <c r="G1434" s="13"/>
      <c r="H1434" s="17" t="str">
        <f aca="false">IF(OR(E1434="",F1434=""),"",E1434*F1434)</f>
        <v/>
      </c>
      <c r="I1434" s="17" t="str">
        <f aca="false">IF(OR(E1434="",G1434=""),"",E1434*G1434)</f>
        <v/>
      </c>
      <c r="J1434" s="17" t="str">
        <f aca="false">IF(H1434="","",H1434-I1434)</f>
        <v/>
      </c>
    </row>
    <row r="1435" customFormat="false" ht="15" hidden="false" customHeight="true" outlineLevel="0" collapsed="false">
      <c r="A1435" s="7"/>
      <c r="B1435" s="18" t="str">
        <f aca="false">IF(A1435="","",IFERROR(INDEX(Sales_Memo!$B$2:$B$1001,MATCH(A1435,Sales_Memo!$A$2:$A$1001,0)),""))</f>
        <v/>
      </c>
      <c r="C1435" s="7"/>
      <c r="D1435" s="16" t="str">
        <f aca="false">IF(C1435="","",IFERROR(INDEX(Products!$B$2:$B$501,MATCH(C1435,Products!$A$2:$A$501,0)),"CODE NOT FOUND"))</f>
        <v/>
      </c>
      <c r="E1435" s="7"/>
      <c r="F1435" s="13"/>
      <c r="G1435" s="13"/>
      <c r="H1435" s="17" t="str">
        <f aca="false">IF(OR(E1435="",F1435=""),"",E1435*F1435)</f>
        <v/>
      </c>
      <c r="I1435" s="17" t="str">
        <f aca="false">IF(OR(E1435="",G1435=""),"",E1435*G1435)</f>
        <v/>
      </c>
      <c r="J1435" s="17" t="str">
        <f aca="false">IF(H1435="","",H1435-I1435)</f>
        <v/>
      </c>
    </row>
    <row r="1436" customFormat="false" ht="15" hidden="false" customHeight="true" outlineLevel="0" collapsed="false">
      <c r="A1436" s="7"/>
      <c r="B1436" s="18" t="str">
        <f aca="false">IF(A1436="","",IFERROR(INDEX(Sales_Memo!$B$2:$B$1001,MATCH(A1436,Sales_Memo!$A$2:$A$1001,0)),""))</f>
        <v/>
      </c>
      <c r="C1436" s="7"/>
      <c r="D1436" s="16" t="str">
        <f aca="false">IF(C1436="","",IFERROR(INDEX(Products!$B$2:$B$501,MATCH(C1436,Products!$A$2:$A$501,0)),"CODE NOT FOUND"))</f>
        <v/>
      </c>
      <c r="E1436" s="7"/>
      <c r="F1436" s="13"/>
      <c r="G1436" s="13"/>
      <c r="H1436" s="17" t="str">
        <f aca="false">IF(OR(E1436="",F1436=""),"",E1436*F1436)</f>
        <v/>
      </c>
      <c r="I1436" s="17" t="str">
        <f aca="false">IF(OR(E1436="",G1436=""),"",E1436*G1436)</f>
        <v/>
      </c>
      <c r="J1436" s="17" t="str">
        <f aca="false">IF(H1436="","",H1436-I1436)</f>
        <v/>
      </c>
    </row>
    <row r="1437" customFormat="false" ht="15" hidden="false" customHeight="true" outlineLevel="0" collapsed="false">
      <c r="A1437" s="7"/>
      <c r="B1437" s="18" t="str">
        <f aca="false">IF(A1437="","",IFERROR(INDEX(Sales_Memo!$B$2:$B$1001,MATCH(A1437,Sales_Memo!$A$2:$A$1001,0)),""))</f>
        <v/>
      </c>
      <c r="C1437" s="7"/>
      <c r="D1437" s="16" t="str">
        <f aca="false">IF(C1437="","",IFERROR(INDEX(Products!$B$2:$B$501,MATCH(C1437,Products!$A$2:$A$501,0)),"CODE NOT FOUND"))</f>
        <v/>
      </c>
      <c r="E1437" s="7"/>
      <c r="F1437" s="13"/>
      <c r="G1437" s="13"/>
      <c r="H1437" s="17" t="str">
        <f aca="false">IF(OR(E1437="",F1437=""),"",E1437*F1437)</f>
        <v/>
      </c>
      <c r="I1437" s="17" t="str">
        <f aca="false">IF(OR(E1437="",G1437=""),"",E1437*G1437)</f>
        <v/>
      </c>
      <c r="J1437" s="17" t="str">
        <f aca="false">IF(H1437="","",H1437-I1437)</f>
        <v/>
      </c>
    </row>
    <row r="1438" customFormat="false" ht="15" hidden="false" customHeight="true" outlineLevel="0" collapsed="false">
      <c r="A1438" s="7"/>
      <c r="B1438" s="18" t="str">
        <f aca="false">IF(A1438="","",IFERROR(INDEX(Sales_Memo!$B$2:$B$1001,MATCH(A1438,Sales_Memo!$A$2:$A$1001,0)),""))</f>
        <v/>
      </c>
      <c r="C1438" s="7"/>
      <c r="D1438" s="16" t="str">
        <f aca="false">IF(C1438="","",IFERROR(INDEX(Products!$B$2:$B$501,MATCH(C1438,Products!$A$2:$A$501,0)),"CODE NOT FOUND"))</f>
        <v/>
      </c>
      <c r="E1438" s="7"/>
      <c r="F1438" s="13"/>
      <c r="G1438" s="13"/>
      <c r="H1438" s="17" t="str">
        <f aca="false">IF(OR(E1438="",F1438=""),"",E1438*F1438)</f>
        <v/>
      </c>
      <c r="I1438" s="17" t="str">
        <f aca="false">IF(OR(E1438="",G1438=""),"",E1438*G1438)</f>
        <v/>
      </c>
      <c r="J1438" s="17" t="str">
        <f aca="false">IF(H1438="","",H1438-I1438)</f>
        <v/>
      </c>
    </row>
    <row r="1439" customFormat="false" ht="15" hidden="false" customHeight="true" outlineLevel="0" collapsed="false">
      <c r="A1439" s="7"/>
      <c r="B1439" s="18" t="str">
        <f aca="false">IF(A1439="","",IFERROR(INDEX(Sales_Memo!$B$2:$B$1001,MATCH(A1439,Sales_Memo!$A$2:$A$1001,0)),""))</f>
        <v/>
      </c>
      <c r="C1439" s="7"/>
      <c r="D1439" s="16" t="str">
        <f aca="false">IF(C1439="","",IFERROR(INDEX(Products!$B$2:$B$501,MATCH(C1439,Products!$A$2:$A$501,0)),"CODE NOT FOUND"))</f>
        <v/>
      </c>
      <c r="E1439" s="7"/>
      <c r="F1439" s="13"/>
      <c r="G1439" s="13"/>
      <c r="H1439" s="17" t="str">
        <f aca="false">IF(OR(E1439="",F1439=""),"",E1439*F1439)</f>
        <v/>
      </c>
      <c r="I1439" s="17" t="str">
        <f aca="false">IF(OR(E1439="",G1439=""),"",E1439*G1439)</f>
        <v/>
      </c>
      <c r="J1439" s="17" t="str">
        <f aca="false">IF(H1439="","",H1439-I1439)</f>
        <v/>
      </c>
    </row>
    <row r="1440" customFormat="false" ht="15" hidden="false" customHeight="true" outlineLevel="0" collapsed="false">
      <c r="A1440" s="7"/>
      <c r="B1440" s="18" t="str">
        <f aca="false">IF(A1440="","",IFERROR(INDEX(Sales_Memo!$B$2:$B$1001,MATCH(A1440,Sales_Memo!$A$2:$A$1001,0)),""))</f>
        <v/>
      </c>
      <c r="C1440" s="7"/>
      <c r="D1440" s="16" t="str">
        <f aca="false">IF(C1440="","",IFERROR(INDEX(Products!$B$2:$B$501,MATCH(C1440,Products!$A$2:$A$501,0)),"CODE NOT FOUND"))</f>
        <v/>
      </c>
      <c r="E1440" s="7"/>
      <c r="F1440" s="13"/>
      <c r="G1440" s="13"/>
      <c r="H1440" s="17" t="str">
        <f aca="false">IF(OR(E1440="",F1440=""),"",E1440*F1440)</f>
        <v/>
      </c>
      <c r="I1440" s="17" t="str">
        <f aca="false">IF(OR(E1440="",G1440=""),"",E1440*G1440)</f>
        <v/>
      </c>
      <c r="J1440" s="17" t="str">
        <f aca="false">IF(H1440="","",H1440-I1440)</f>
        <v/>
      </c>
    </row>
    <row r="1441" customFormat="false" ht="15" hidden="false" customHeight="true" outlineLevel="0" collapsed="false">
      <c r="A1441" s="7"/>
      <c r="B1441" s="18" t="str">
        <f aca="false">IF(A1441="","",IFERROR(INDEX(Sales_Memo!$B$2:$B$1001,MATCH(A1441,Sales_Memo!$A$2:$A$1001,0)),""))</f>
        <v/>
      </c>
      <c r="C1441" s="7"/>
      <c r="D1441" s="16" t="str">
        <f aca="false">IF(C1441="","",IFERROR(INDEX(Products!$B$2:$B$501,MATCH(C1441,Products!$A$2:$A$501,0)),"CODE NOT FOUND"))</f>
        <v/>
      </c>
      <c r="E1441" s="7"/>
      <c r="F1441" s="13"/>
      <c r="G1441" s="13"/>
      <c r="H1441" s="17" t="str">
        <f aca="false">IF(OR(E1441="",F1441=""),"",E1441*F1441)</f>
        <v/>
      </c>
      <c r="I1441" s="17" t="str">
        <f aca="false">IF(OR(E1441="",G1441=""),"",E1441*G1441)</f>
        <v/>
      </c>
      <c r="J1441" s="17" t="str">
        <f aca="false">IF(H1441="","",H1441-I1441)</f>
        <v/>
      </c>
    </row>
    <row r="1442" customFormat="false" ht="15" hidden="false" customHeight="true" outlineLevel="0" collapsed="false">
      <c r="A1442" s="7"/>
      <c r="B1442" s="18" t="str">
        <f aca="false">IF(A1442="","",IFERROR(INDEX(Sales_Memo!$B$2:$B$1001,MATCH(A1442,Sales_Memo!$A$2:$A$1001,0)),""))</f>
        <v/>
      </c>
      <c r="C1442" s="7"/>
      <c r="D1442" s="16" t="str">
        <f aca="false">IF(C1442="","",IFERROR(INDEX(Products!$B$2:$B$501,MATCH(C1442,Products!$A$2:$A$501,0)),"CODE NOT FOUND"))</f>
        <v/>
      </c>
      <c r="E1442" s="7"/>
      <c r="F1442" s="13"/>
      <c r="G1442" s="13"/>
      <c r="H1442" s="17" t="str">
        <f aca="false">IF(OR(E1442="",F1442=""),"",E1442*F1442)</f>
        <v/>
      </c>
      <c r="I1442" s="17" t="str">
        <f aca="false">IF(OR(E1442="",G1442=""),"",E1442*G1442)</f>
        <v/>
      </c>
      <c r="J1442" s="17" t="str">
        <f aca="false">IF(H1442="","",H1442-I1442)</f>
        <v/>
      </c>
    </row>
    <row r="1443" customFormat="false" ht="15" hidden="false" customHeight="true" outlineLevel="0" collapsed="false">
      <c r="A1443" s="7"/>
      <c r="B1443" s="18" t="str">
        <f aca="false">IF(A1443="","",IFERROR(INDEX(Sales_Memo!$B$2:$B$1001,MATCH(A1443,Sales_Memo!$A$2:$A$1001,0)),""))</f>
        <v/>
      </c>
      <c r="C1443" s="7"/>
      <c r="D1443" s="16" t="str">
        <f aca="false">IF(C1443="","",IFERROR(INDEX(Products!$B$2:$B$501,MATCH(C1443,Products!$A$2:$A$501,0)),"CODE NOT FOUND"))</f>
        <v/>
      </c>
      <c r="E1443" s="7"/>
      <c r="F1443" s="13"/>
      <c r="G1443" s="13"/>
      <c r="H1443" s="17" t="str">
        <f aca="false">IF(OR(E1443="",F1443=""),"",E1443*F1443)</f>
        <v/>
      </c>
      <c r="I1443" s="17" t="str">
        <f aca="false">IF(OR(E1443="",G1443=""),"",E1443*G1443)</f>
        <v/>
      </c>
      <c r="J1443" s="17" t="str">
        <f aca="false">IF(H1443="","",H1443-I1443)</f>
        <v/>
      </c>
    </row>
    <row r="1444" customFormat="false" ht="15" hidden="false" customHeight="true" outlineLevel="0" collapsed="false">
      <c r="A1444" s="7"/>
      <c r="B1444" s="18" t="str">
        <f aca="false">IF(A1444="","",IFERROR(INDEX(Sales_Memo!$B$2:$B$1001,MATCH(A1444,Sales_Memo!$A$2:$A$1001,0)),""))</f>
        <v/>
      </c>
      <c r="C1444" s="7"/>
      <c r="D1444" s="16" t="str">
        <f aca="false">IF(C1444="","",IFERROR(INDEX(Products!$B$2:$B$501,MATCH(C1444,Products!$A$2:$A$501,0)),"CODE NOT FOUND"))</f>
        <v/>
      </c>
      <c r="E1444" s="7"/>
      <c r="F1444" s="13"/>
      <c r="G1444" s="13"/>
      <c r="H1444" s="17" t="str">
        <f aca="false">IF(OR(E1444="",F1444=""),"",E1444*F1444)</f>
        <v/>
      </c>
      <c r="I1444" s="17" t="str">
        <f aca="false">IF(OR(E1444="",G1444=""),"",E1444*G1444)</f>
        <v/>
      </c>
      <c r="J1444" s="17" t="str">
        <f aca="false">IF(H1444="","",H1444-I1444)</f>
        <v/>
      </c>
    </row>
    <row r="1445" customFormat="false" ht="15" hidden="false" customHeight="true" outlineLevel="0" collapsed="false">
      <c r="A1445" s="7"/>
      <c r="B1445" s="18" t="str">
        <f aca="false">IF(A1445="","",IFERROR(INDEX(Sales_Memo!$B$2:$B$1001,MATCH(A1445,Sales_Memo!$A$2:$A$1001,0)),""))</f>
        <v/>
      </c>
      <c r="C1445" s="7"/>
      <c r="D1445" s="16" t="str">
        <f aca="false">IF(C1445="","",IFERROR(INDEX(Products!$B$2:$B$501,MATCH(C1445,Products!$A$2:$A$501,0)),"CODE NOT FOUND"))</f>
        <v/>
      </c>
      <c r="E1445" s="7"/>
      <c r="F1445" s="13"/>
      <c r="G1445" s="13"/>
      <c r="H1445" s="17" t="str">
        <f aca="false">IF(OR(E1445="",F1445=""),"",E1445*F1445)</f>
        <v/>
      </c>
      <c r="I1445" s="17" t="str">
        <f aca="false">IF(OR(E1445="",G1445=""),"",E1445*G1445)</f>
        <v/>
      </c>
      <c r="J1445" s="17" t="str">
        <f aca="false">IF(H1445="","",H1445-I1445)</f>
        <v/>
      </c>
    </row>
    <row r="1446" customFormat="false" ht="15" hidden="false" customHeight="true" outlineLevel="0" collapsed="false">
      <c r="A1446" s="7"/>
      <c r="B1446" s="18" t="str">
        <f aca="false">IF(A1446="","",IFERROR(INDEX(Sales_Memo!$B$2:$B$1001,MATCH(A1446,Sales_Memo!$A$2:$A$1001,0)),""))</f>
        <v/>
      </c>
      <c r="C1446" s="7"/>
      <c r="D1446" s="16" t="str">
        <f aca="false">IF(C1446="","",IFERROR(INDEX(Products!$B$2:$B$501,MATCH(C1446,Products!$A$2:$A$501,0)),"CODE NOT FOUND"))</f>
        <v/>
      </c>
      <c r="E1446" s="7"/>
      <c r="F1446" s="13"/>
      <c r="G1446" s="13"/>
      <c r="H1446" s="17" t="str">
        <f aca="false">IF(OR(E1446="",F1446=""),"",E1446*F1446)</f>
        <v/>
      </c>
      <c r="I1446" s="17" t="str">
        <f aca="false">IF(OR(E1446="",G1446=""),"",E1446*G1446)</f>
        <v/>
      </c>
      <c r="J1446" s="17" t="str">
        <f aca="false">IF(H1446="","",H1446-I1446)</f>
        <v/>
      </c>
    </row>
    <row r="1447" customFormat="false" ht="15" hidden="false" customHeight="true" outlineLevel="0" collapsed="false">
      <c r="A1447" s="7"/>
      <c r="B1447" s="18" t="str">
        <f aca="false">IF(A1447="","",IFERROR(INDEX(Sales_Memo!$B$2:$B$1001,MATCH(A1447,Sales_Memo!$A$2:$A$1001,0)),""))</f>
        <v/>
      </c>
      <c r="C1447" s="7"/>
      <c r="D1447" s="16" t="str">
        <f aca="false">IF(C1447="","",IFERROR(INDEX(Products!$B$2:$B$501,MATCH(C1447,Products!$A$2:$A$501,0)),"CODE NOT FOUND"))</f>
        <v/>
      </c>
      <c r="E1447" s="7"/>
      <c r="F1447" s="13"/>
      <c r="G1447" s="13"/>
      <c r="H1447" s="17" t="str">
        <f aca="false">IF(OR(E1447="",F1447=""),"",E1447*F1447)</f>
        <v/>
      </c>
      <c r="I1447" s="17" t="str">
        <f aca="false">IF(OR(E1447="",G1447=""),"",E1447*G1447)</f>
        <v/>
      </c>
      <c r="J1447" s="17" t="str">
        <f aca="false">IF(H1447="","",H1447-I1447)</f>
        <v/>
      </c>
    </row>
    <row r="1448" customFormat="false" ht="15" hidden="false" customHeight="true" outlineLevel="0" collapsed="false">
      <c r="A1448" s="7"/>
      <c r="B1448" s="18" t="str">
        <f aca="false">IF(A1448="","",IFERROR(INDEX(Sales_Memo!$B$2:$B$1001,MATCH(A1448,Sales_Memo!$A$2:$A$1001,0)),""))</f>
        <v/>
      </c>
      <c r="C1448" s="7"/>
      <c r="D1448" s="16" t="str">
        <f aca="false">IF(C1448="","",IFERROR(INDEX(Products!$B$2:$B$501,MATCH(C1448,Products!$A$2:$A$501,0)),"CODE NOT FOUND"))</f>
        <v/>
      </c>
      <c r="E1448" s="7"/>
      <c r="F1448" s="13"/>
      <c r="G1448" s="13"/>
      <c r="H1448" s="17" t="str">
        <f aca="false">IF(OR(E1448="",F1448=""),"",E1448*F1448)</f>
        <v/>
      </c>
      <c r="I1448" s="17" t="str">
        <f aca="false">IF(OR(E1448="",G1448=""),"",E1448*G1448)</f>
        <v/>
      </c>
      <c r="J1448" s="17" t="str">
        <f aca="false">IF(H1448="","",H1448-I1448)</f>
        <v/>
      </c>
    </row>
    <row r="1449" customFormat="false" ht="15" hidden="false" customHeight="true" outlineLevel="0" collapsed="false">
      <c r="A1449" s="7"/>
      <c r="B1449" s="18" t="str">
        <f aca="false">IF(A1449="","",IFERROR(INDEX(Sales_Memo!$B$2:$B$1001,MATCH(A1449,Sales_Memo!$A$2:$A$1001,0)),""))</f>
        <v/>
      </c>
      <c r="C1449" s="7"/>
      <c r="D1449" s="16" t="str">
        <f aca="false">IF(C1449="","",IFERROR(INDEX(Products!$B$2:$B$501,MATCH(C1449,Products!$A$2:$A$501,0)),"CODE NOT FOUND"))</f>
        <v/>
      </c>
      <c r="E1449" s="7"/>
      <c r="F1449" s="13"/>
      <c r="G1449" s="13"/>
      <c r="H1449" s="17" t="str">
        <f aca="false">IF(OR(E1449="",F1449=""),"",E1449*F1449)</f>
        <v/>
      </c>
      <c r="I1449" s="17" t="str">
        <f aca="false">IF(OR(E1449="",G1449=""),"",E1449*G1449)</f>
        <v/>
      </c>
      <c r="J1449" s="17" t="str">
        <f aca="false">IF(H1449="","",H1449-I1449)</f>
        <v/>
      </c>
    </row>
    <row r="1450" customFormat="false" ht="15" hidden="false" customHeight="true" outlineLevel="0" collapsed="false">
      <c r="A1450" s="7"/>
      <c r="B1450" s="18" t="str">
        <f aca="false">IF(A1450="","",IFERROR(INDEX(Sales_Memo!$B$2:$B$1001,MATCH(A1450,Sales_Memo!$A$2:$A$1001,0)),""))</f>
        <v/>
      </c>
      <c r="C1450" s="7"/>
      <c r="D1450" s="16" t="str">
        <f aca="false">IF(C1450="","",IFERROR(INDEX(Products!$B$2:$B$501,MATCH(C1450,Products!$A$2:$A$501,0)),"CODE NOT FOUND"))</f>
        <v/>
      </c>
      <c r="E1450" s="7"/>
      <c r="F1450" s="13"/>
      <c r="G1450" s="13"/>
      <c r="H1450" s="17" t="str">
        <f aca="false">IF(OR(E1450="",F1450=""),"",E1450*F1450)</f>
        <v/>
      </c>
      <c r="I1450" s="17" t="str">
        <f aca="false">IF(OR(E1450="",G1450=""),"",E1450*G1450)</f>
        <v/>
      </c>
      <c r="J1450" s="17" t="str">
        <f aca="false">IF(H1450="","",H1450-I1450)</f>
        <v/>
      </c>
    </row>
    <row r="1451" customFormat="false" ht="15" hidden="false" customHeight="true" outlineLevel="0" collapsed="false">
      <c r="A1451" s="7"/>
      <c r="B1451" s="18" t="str">
        <f aca="false">IF(A1451="","",IFERROR(INDEX(Sales_Memo!$B$2:$B$1001,MATCH(A1451,Sales_Memo!$A$2:$A$1001,0)),""))</f>
        <v/>
      </c>
      <c r="C1451" s="7"/>
      <c r="D1451" s="16" t="str">
        <f aca="false">IF(C1451="","",IFERROR(INDEX(Products!$B$2:$B$501,MATCH(C1451,Products!$A$2:$A$501,0)),"CODE NOT FOUND"))</f>
        <v/>
      </c>
      <c r="E1451" s="7"/>
      <c r="F1451" s="13"/>
      <c r="G1451" s="13"/>
      <c r="H1451" s="17" t="str">
        <f aca="false">IF(OR(E1451="",F1451=""),"",E1451*F1451)</f>
        <v/>
      </c>
      <c r="I1451" s="17" t="str">
        <f aca="false">IF(OR(E1451="",G1451=""),"",E1451*G1451)</f>
        <v/>
      </c>
      <c r="J1451" s="17" t="str">
        <f aca="false">IF(H1451="","",H1451-I1451)</f>
        <v/>
      </c>
    </row>
    <row r="1452" customFormat="false" ht="15" hidden="false" customHeight="true" outlineLevel="0" collapsed="false">
      <c r="A1452" s="7"/>
      <c r="B1452" s="18" t="str">
        <f aca="false">IF(A1452="","",IFERROR(INDEX(Sales_Memo!$B$2:$B$1001,MATCH(A1452,Sales_Memo!$A$2:$A$1001,0)),""))</f>
        <v/>
      </c>
      <c r="C1452" s="7"/>
      <c r="D1452" s="16" t="str">
        <f aca="false">IF(C1452="","",IFERROR(INDEX(Products!$B$2:$B$501,MATCH(C1452,Products!$A$2:$A$501,0)),"CODE NOT FOUND"))</f>
        <v/>
      </c>
      <c r="E1452" s="7"/>
      <c r="F1452" s="13"/>
      <c r="G1452" s="13"/>
      <c r="H1452" s="17" t="str">
        <f aca="false">IF(OR(E1452="",F1452=""),"",E1452*F1452)</f>
        <v/>
      </c>
      <c r="I1452" s="17" t="str">
        <f aca="false">IF(OR(E1452="",G1452=""),"",E1452*G1452)</f>
        <v/>
      </c>
      <c r="J1452" s="17" t="str">
        <f aca="false">IF(H1452="","",H1452-I1452)</f>
        <v/>
      </c>
    </row>
    <row r="1453" customFormat="false" ht="15" hidden="false" customHeight="true" outlineLevel="0" collapsed="false">
      <c r="A1453" s="7"/>
      <c r="B1453" s="18" t="str">
        <f aca="false">IF(A1453="","",IFERROR(INDEX(Sales_Memo!$B$2:$B$1001,MATCH(A1453,Sales_Memo!$A$2:$A$1001,0)),""))</f>
        <v/>
      </c>
      <c r="C1453" s="7"/>
      <c r="D1453" s="16" t="str">
        <f aca="false">IF(C1453="","",IFERROR(INDEX(Products!$B$2:$B$501,MATCH(C1453,Products!$A$2:$A$501,0)),"CODE NOT FOUND"))</f>
        <v/>
      </c>
      <c r="E1453" s="7"/>
      <c r="F1453" s="13"/>
      <c r="G1453" s="13"/>
      <c r="H1453" s="17" t="str">
        <f aca="false">IF(OR(E1453="",F1453=""),"",E1453*F1453)</f>
        <v/>
      </c>
      <c r="I1453" s="17" t="str">
        <f aca="false">IF(OR(E1453="",G1453=""),"",E1453*G1453)</f>
        <v/>
      </c>
      <c r="J1453" s="17" t="str">
        <f aca="false">IF(H1453="","",H1453-I1453)</f>
        <v/>
      </c>
    </row>
    <row r="1454" customFormat="false" ht="15" hidden="false" customHeight="true" outlineLevel="0" collapsed="false">
      <c r="A1454" s="7"/>
      <c r="B1454" s="18" t="str">
        <f aca="false">IF(A1454="","",IFERROR(INDEX(Sales_Memo!$B$2:$B$1001,MATCH(A1454,Sales_Memo!$A$2:$A$1001,0)),""))</f>
        <v/>
      </c>
      <c r="C1454" s="7"/>
      <c r="D1454" s="16" t="str">
        <f aca="false">IF(C1454="","",IFERROR(INDEX(Products!$B$2:$B$501,MATCH(C1454,Products!$A$2:$A$501,0)),"CODE NOT FOUND"))</f>
        <v/>
      </c>
      <c r="E1454" s="7"/>
      <c r="F1454" s="13"/>
      <c r="G1454" s="13"/>
      <c r="H1454" s="17" t="str">
        <f aca="false">IF(OR(E1454="",F1454=""),"",E1454*F1454)</f>
        <v/>
      </c>
      <c r="I1454" s="17" t="str">
        <f aca="false">IF(OR(E1454="",G1454=""),"",E1454*G1454)</f>
        <v/>
      </c>
      <c r="J1454" s="17" t="str">
        <f aca="false">IF(H1454="","",H1454-I1454)</f>
        <v/>
      </c>
    </row>
    <row r="1455" customFormat="false" ht="15" hidden="false" customHeight="true" outlineLevel="0" collapsed="false">
      <c r="A1455" s="7"/>
      <c r="B1455" s="18" t="str">
        <f aca="false">IF(A1455="","",IFERROR(INDEX(Sales_Memo!$B$2:$B$1001,MATCH(A1455,Sales_Memo!$A$2:$A$1001,0)),""))</f>
        <v/>
      </c>
      <c r="C1455" s="7"/>
      <c r="D1455" s="16" t="str">
        <f aca="false">IF(C1455="","",IFERROR(INDEX(Products!$B$2:$B$501,MATCH(C1455,Products!$A$2:$A$501,0)),"CODE NOT FOUND"))</f>
        <v/>
      </c>
      <c r="E1455" s="7"/>
      <c r="F1455" s="13"/>
      <c r="G1455" s="13"/>
      <c r="H1455" s="17" t="str">
        <f aca="false">IF(OR(E1455="",F1455=""),"",E1455*F1455)</f>
        <v/>
      </c>
      <c r="I1455" s="17" t="str">
        <f aca="false">IF(OR(E1455="",G1455=""),"",E1455*G1455)</f>
        <v/>
      </c>
      <c r="J1455" s="17" t="str">
        <f aca="false">IF(H1455="","",H1455-I1455)</f>
        <v/>
      </c>
    </row>
    <row r="1456" customFormat="false" ht="15" hidden="false" customHeight="true" outlineLevel="0" collapsed="false">
      <c r="A1456" s="7"/>
      <c r="B1456" s="18" t="str">
        <f aca="false">IF(A1456="","",IFERROR(INDEX(Sales_Memo!$B$2:$B$1001,MATCH(A1456,Sales_Memo!$A$2:$A$1001,0)),""))</f>
        <v/>
      </c>
      <c r="C1456" s="7"/>
      <c r="D1456" s="16" t="str">
        <f aca="false">IF(C1456="","",IFERROR(INDEX(Products!$B$2:$B$501,MATCH(C1456,Products!$A$2:$A$501,0)),"CODE NOT FOUND"))</f>
        <v/>
      </c>
      <c r="E1456" s="7"/>
      <c r="F1456" s="13"/>
      <c r="G1456" s="13"/>
      <c r="H1456" s="17" t="str">
        <f aca="false">IF(OR(E1456="",F1456=""),"",E1456*F1456)</f>
        <v/>
      </c>
      <c r="I1456" s="17" t="str">
        <f aca="false">IF(OR(E1456="",G1456=""),"",E1456*G1456)</f>
        <v/>
      </c>
      <c r="J1456" s="17" t="str">
        <f aca="false">IF(H1456="","",H1456-I1456)</f>
        <v/>
      </c>
    </row>
    <row r="1457" customFormat="false" ht="15" hidden="false" customHeight="true" outlineLevel="0" collapsed="false">
      <c r="A1457" s="7"/>
      <c r="B1457" s="18" t="str">
        <f aca="false">IF(A1457="","",IFERROR(INDEX(Sales_Memo!$B$2:$B$1001,MATCH(A1457,Sales_Memo!$A$2:$A$1001,0)),""))</f>
        <v/>
      </c>
      <c r="C1457" s="7"/>
      <c r="D1457" s="16" t="str">
        <f aca="false">IF(C1457="","",IFERROR(INDEX(Products!$B$2:$B$501,MATCH(C1457,Products!$A$2:$A$501,0)),"CODE NOT FOUND"))</f>
        <v/>
      </c>
      <c r="E1457" s="7"/>
      <c r="F1457" s="13"/>
      <c r="G1457" s="13"/>
      <c r="H1457" s="17" t="str">
        <f aca="false">IF(OR(E1457="",F1457=""),"",E1457*F1457)</f>
        <v/>
      </c>
      <c r="I1457" s="17" t="str">
        <f aca="false">IF(OR(E1457="",G1457=""),"",E1457*G1457)</f>
        <v/>
      </c>
      <c r="J1457" s="17" t="str">
        <f aca="false">IF(H1457="","",H1457-I1457)</f>
        <v/>
      </c>
    </row>
    <row r="1458" customFormat="false" ht="15" hidden="false" customHeight="true" outlineLevel="0" collapsed="false">
      <c r="A1458" s="7"/>
      <c r="B1458" s="18" t="str">
        <f aca="false">IF(A1458="","",IFERROR(INDEX(Sales_Memo!$B$2:$B$1001,MATCH(A1458,Sales_Memo!$A$2:$A$1001,0)),""))</f>
        <v/>
      </c>
      <c r="C1458" s="7"/>
      <c r="D1458" s="16" t="str">
        <f aca="false">IF(C1458="","",IFERROR(INDEX(Products!$B$2:$B$501,MATCH(C1458,Products!$A$2:$A$501,0)),"CODE NOT FOUND"))</f>
        <v/>
      </c>
      <c r="E1458" s="7"/>
      <c r="F1458" s="13"/>
      <c r="G1458" s="13"/>
      <c r="H1458" s="17" t="str">
        <f aca="false">IF(OR(E1458="",F1458=""),"",E1458*F1458)</f>
        <v/>
      </c>
      <c r="I1458" s="17" t="str">
        <f aca="false">IF(OR(E1458="",G1458=""),"",E1458*G1458)</f>
        <v/>
      </c>
      <c r="J1458" s="17" t="str">
        <f aca="false">IF(H1458="","",H1458-I1458)</f>
        <v/>
      </c>
    </row>
    <row r="1459" customFormat="false" ht="15" hidden="false" customHeight="true" outlineLevel="0" collapsed="false">
      <c r="A1459" s="7"/>
      <c r="B1459" s="18" t="str">
        <f aca="false">IF(A1459="","",IFERROR(INDEX(Sales_Memo!$B$2:$B$1001,MATCH(A1459,Sales_Memo!$A$2:$A$1001,0)),""))</f>
        <v/>
      </c>
      <c r="C1459" s="7"/>
      <c r="D1459" s="16" t="str">
        <f aca="false">IF(C1459="","",IFERROR(INDEX(Products!$B$2:$B$501,MATCH(C1459,Products!$A$2:$A$501,0)),"CODE NOT FOUND"))</f>
        <v/>
      </c>
      <c r="E1459" s="7"/>
      <c r="F1459" s="13"/>
      <c r="G1459" s="13"/>
      <c r="H1459" s="17" t="str">
        <f aca="false">IF(OR(E1459="",F1459=""),"",E1459*F1459)</f>
        <v/>
      </c>
      <c r="I1459" s="17" t="str">
        <f aca="false">IF(OR(E1459="",G1459=""),"",E1459*G1459)</f>
        <v/>
      </c>
      <c r="J1459" s="17" t="str">
        <f aca="false">IF(H1459="","",H1459-I1459)</f>
        <v/>
      </c>
    </row>
    <row r="1460" customFormat="false" ht="15" hidden="false" customHeight="true" outlineLevel="0" collapsed="false">
      <c r="A1460" s="7"/>
      <c r="B1460" s="18" t="str">
        <f aca="false">IF(A1460="","",IFERROR(INDEX(Sales_Memo!$B$2:$B$1001,MATCH(A1460,Sales_Memo!$A$2:$A$1001,0)),""))</f>
        <v/>
      </c>
      <c r="C1460" s="7"/>
      <c r="D1460" s="16" t="str">
        <f aca="false">IF(C1460="","",IFERROR(INDEX(Products!$B$2:$B$501,MATCH(C1460,Products!$A$2:$A$501,0)),"CODE NOT FOUND"))</f>
        <v/>
      </c>
      <c r="E1460" s="7"/>
      <c r="F1460" s="13"/>
      <c r="G1460" s="13"/>
      <c r="H1460" s="17" t="str">
        <f aca="false">IF(OR(E1460="",F1460=""),"",E1460*F1460)</f>
        <v/>
      </c>
      <c r="I1460" s="17" t="str">
        <f aca="false">IF(OR(E1460="",G1460=""),"",E1460*G1460)</f>
        <v/>
      </c>
      <c r="J1460" s="17" t="str">
        <f aca="false">IF(H1460="","",H1460-I1460)</f>
        <v/>
      </c>
    </row>
    <row r="1461" customFormat="false" ht="15" hidden="false" customHeight="true" outlineLevel="0" collapsed="false">
      <c r="A1461" s="7"/>
      <c r="B1461" s="18" t="str">
        <f aca="false">IF(A1461="","",IFERROR(INDEX(Sales_Memo!$B$2:$B$1001,MATCH(A1461,Sales_Memo!$A$2:$A$1001,0)),""))</f>
        <v/>
      </c>
      <c r="C1461" s="7"/>
      <c r="D1461" s="16" t="str">
        <f aca="false">IF(C1461="","",IFERROR(INDEX(Products!$B$2:$B$501,MATCH(C1461,Products!$A$2:$A$501,0)),"CODE NOT FOUND"))</f>
        <v/>
      </c>
      <c r="E1461" s="7"/>
      <c r="F1461" s="13"/>
      <c r="G1461" s="13"/>
      <c r="H1461" s="17" t="str">
        <f aca="false">IF(OR(E1461="",F1461=""),"",E1461*F1461)</f>
        <v/>
      </c>
      <c r="I1461" s="17" t="str">
        <f aca="false">IF(OR(E1461="",G1461=""),"",E1461*G1461)</f>
        <v/>
      </c>
      <c r="J1461" s="17" t="str">
        <f aca="false">IF(H1461="","",H1461-I1461)</f>
        <v/>
      </c>
    </row>
    <row r="1462" customFormat="false" ht="15" hidden="false" customHeight="true" outlineLevel="0" collapsed="false">
      <c r="A1462" s="7"/>
      <c r="B1462" s="18" t="str">
        <f aca="false">IF(A1462="","",IFERROR(INDEX(Sales_Memo!$B$2:$B$1001,MATCH(A1462,Sales_Memo!$A$2:$A$1001,0)),""))</f>
        <v/>
      </c>
      <c r="C1462" s="7"/>
      <c r="D1462" s="16" t="str">
        <f aca="false">IF(C1462="","",IFERROR(INDEX(Products!$B$2:$B$501,MATCH(C1462,Products!$A$2:$A$501,0)),"CODE NOT FOUND"))</f>
        <v/>
      </c>
      <c r="E1462" s="7"/>
      <c r="F1462" s="13"/>
      <c r="G1462" s="13"/>
      <c r="H1462" s="17" t="str">
        <f aca="false">IF(OR(E1462="",F1462=""),"",E1462*F1462)</f>
        <v/>
      </c>
      <c r="I1462" s="17" t="str">
        <f aca="false">IF(OR(E1462="",G1462=""),"",E1462*G1462)</f>
        <v/>
      </c>
      <c r="J1462" s="17" t="str">
        <f aca="false">IF(H1462="","",H1462-I1462)</f>
        <v/>
      </c>
    </row>
    <row r="1463" customFormat="false" ht="15" hidden="false" customHeight="true" outlineLevel="0" collapsed="false">
      <c r="A1463" s="7"/>
      <c r="B1463" s="18" t="str">
        <f aca="false">IF(A1463="","",IFERROR(INDEX(Sales_Memo!$B$2:$B$1001,MATCH(A1463,Sales_Memo!$A$2:$A$1001,0)),""))</f>
        <v/>
      </c>
      <c r="C1463" s="7"/>
      <c r="D1463" s="16" t="str">
        <f aca="false">IF(C1463="","",IFERROR(INDEX(Products!$B$2:$B$501,MATCH(C1463,Products!$A$2:$A$501,0)),"CODE NOT FOUND"))</f>
        <v/>
      </c>
      <c r="E1463" s="7"/>
      <c r="F1463" s="13"/>
      <c r="G1463" s="13"/>
      <c r="H1463" s="17" t="str">
        <f aca="false">IF(OR(E1463="",F1463=""),"",E1463*F1463)</f>
        <v/>
      </c>
      <c r="I1463" s="17" t="str">
        <f aca="false">IF(OR(E1463="",G1463=""),"",E1463*G1463)</f>
        <v/>
      </c>
      <c r="J1463" s="17" t="str">
        <f aca="false">IF(H1463="","",H1463-I1463)</f>
        <v/>
      </c>
    </row>
    <row r="1464" customFormat="false" ht="15" hidden="false" customHeight="true" outlineLevel="0" collapsed="false">
      <c r="A1464" s="7"/>
      <c r="B1464" s="18" t="str">
        <f aca="false">IF(A1464="","",IFERROR(INDEX(Sales_Memo!$B$2:$B$1001,MATCH(A1464,Sales_Memo!$A$2:$A$1001,0)),""))</f>
        <v/>
      </c>
      <c r="C1464" s="7"/>
      <c r="D1464" s="16" t="str">
        <f aca="false">IF(C1464="","",IFERROR(INDEX(Products!$B$2:$B$501,MATCH(C1464,Products!$A$2:$A$501,0)),"CODE NOT FOUND"))</f>
        <v/>
      </c>
      <c r="E1464" s="7"/>
      <c r="F1464" s="13"/>
      <c r="G1464" s="13"/>
      <c r="H1464" s="17" t="str">
        <f aca="false">IF(OR(E1464="",F1464=""),"",E1464*F1464)</f>
        <v/>
      </c>
      <c r="I1464" s="17" t="str">
        <f aca="false">IF(OR(E1464="",G1464=""),"",E1464*G1464)</f>
        <v/>
      </c>
      <c r="J1464" s="17" t="str">
        <f aca="false">IF(H1464="","",H1464-I1464)</f>
        <v/>
      </c>
    </row>
    <row r="1465" customFormat="false" ht="15" hidden="false" customHeight="true" outlineLevel="0" collapsed="false">
      <c r="A1465" s="7"/>
      <c r="B1465" s="18" t="str">
        <f aca="false">IF(A1465="","",IFERROR(INDEX(Sales_Memo!$B$2:$B$1001,MATCH(A1465,Sales_Memo!$A$2:$A$1001,0)),""))</f>
        <v/>
      </c>
      <c r="C1465" s="7"/>
      <c r="D1465" s="16" t="str">
        <f aca="false">IF(C1465="","",IFERROR(INDEX(Products!$B$2:$B$501,MATCH(C1465,Products!$A$2:$A$501,0)),"CODE NOT FOUND"))</f>
        <v/>
      </c>
      <c r="E1465" s="7"/>
      <c r="F1465" s="13"/>
      <c r="G1465" s="13"/>
      <c r="H1465" s="17" t="str">
        <f aca="false">IF(OR(E1465="",F1465=""),"",E1465*F1465)</f>
        <v/>
      </c>
      <c r="I1465" s="17" t="str">
        <f aca="false">IF(OR(E1465="",G1465=""),"",E1465*G1465)</f>
        <v/>
      </c>
      <c r="J1465" s="17" t="str">
        <f aca="false">IF(H1465="","",H1465-I1465)</f>
        <v/>
      </c>
    </row>
    <row r="1466" customFormat="false" ht="15" hidden="false" customHeight="true" outlineLevel="0" collapsed="false">
      <c r="A1466" s="7"/>
      <c r="B1466" s="18" t="str">
        <f aca="false">IF(A1466="","",IFERROR(INDEX(Sales_Memo!$B$2:$B$1001,MATCH(A1466,Sales_Memo!$A$2:$A$1001,0)),""))</f>
        <v/>
      </c>
      <c r="C1466" s="7"/>
      <c r="D1466" s="16" t="str">
        <f aca="false">IF(C1466="","",IFERROR(INDEX(Products!$B$2:$B$501,MATCH(C1466,Products!$A$2:$A$501,0)),"CODE NOT FOUND"))</f>
        <v/>
      </c>
      <c r="E1466" s="7"/>
      <c r="F1466" s="13"/>
      <c r="G1466" s="13"/>
      <c r="H1466" s="17" t="str">
        <f aca="false">IF(OR(E1466="",F1466=""),"",E1466*F1466)</f>
        <v/>
      </c>
      <c r="I1466" s="17" t="str">
        <f aca="false">IF(OR(E1466="",G1466=""),"",E1466*G1466)</f>
        <v/>
      </c>
      <c r="J1466" s="17" t="str">
        <f aca="false">IF(H1466="","",H1466-I1466)</f>
        <v/>
      </c>
    </row>
    <row r="1467" customFormat="false" ht="15" hidden="false" customHeight="true" outlineLevel="0" collapsed="false">
      <c r="A1467" s="7"/>
      <c r="B1467" s="18" t="str">
        <f aca="false">IF(A1467="","",IFERROR(INDEX(Sales_Memo!$B$2:$B$1001,MATCH(A1467,Sales_Memo!$A$2:$A$1001,0)),""))</f>
        <v/>
      </c>
      <c r="C1467" s="7"/>
      <c r="D1467" s="16" t="str">
        <f aca="false">IF(C1467="","",IFERROR(INDEX(Products!$B$2:$B$501,MATCH(C1467,Products!$A$2:$A$501,0)),"CODE NOT FOUND"))</f>
        <v/>
      </c>
      <c r="E1467" s="7"/>
      <c r="F1467" s="13"/>
      <c r="G1467" s="13"/>
      <c r="H1467" s="17" t="str">
        <f aca="false">IF(OR(E1467="",F1467=""),"",E1467*F1467)</f>
        <v/>
      </c>
      <c r="I1467" s="17" t="str">
        <f aca="false">IF(OR(E1467="",G1467=""),"",E1467*G1467)</f>
        <v/>
      </c>
      <c r="J1467" s="17" t="str">
        <f aca="false">IF(H1467="","",H1467-I1467)</f>
        <v/>
      </c>
    </row>
    <row r="1468" customFormat="false" ht="15" hidden="false" customHeight="true" outlineLevel="0" collapsed="false">
      <c r="A1468" s="7"/>
      <c r="B1468" s="18" t="str">
        <f aca="false">IF(A1468="","",IFERROR(INDEX(Sales_Memo!$B$2:$B$1001,MATCH(A1468,Sales_Memo!$A$2:$A$1001,0)),""))</f>
        <v/>
      </c>
      <c r="C1468" s="7"/>
      <c r="D1468" s="16" t="str">
        <f aca="false">IF(C1468="","",IFERROR(INDEX(Products!$B$2:$B$501,MATCH(C1468,Products!$A$2:$A$501,0)),"CODE NOT FOUND"))</f>
        <v/>
      </c>
      <c r="E1468" s="7"/>
      <c r="F1468" s="13"/>
      <c r="G1468" s="13"/>
      <c r="H1468" s="17" t="str">
        <f aca="false">IF(OR(E1468="",F1468=""),"",E1468*F1468)</f>
        <v/>
      </c>
      <c r="I1468" s="17" t="str">
        <f aca="false">IF(OR(E1468="",G1468=""),"",E1468*G1468)</f>
        <v/>
      </c>
      <c r="J1468" s="17" t="str">
        <f aca="false">IF(H1468="","",H1468-I1468)</f>
        <v/>
      </c>
    </row>
    <row r="1469" customFormat="false" ht="15" hidden="false" customHeight="true" outlineLevel="0" collapsed="false">
      <c r="A1469" s="7"/>
      <c r="B1469" s="18" t="str">
        <f aca="false">IF(A1469="","",IFERROR(INDEX(Sales_Memo!$B$2:$B$1001,MATCH(A1469,Sales_Memo!$A$2:$A$1001,0)),""))</f>
        <v/>
      </c>
      <c r="C1469" s="7"/>
      <c r="D1469" s="16" t="str">
        <f aca="false">IF(C1469="","",IFERROR(INDEX(Products!$B$2:$B$501,MATCH(C1469,Products!$A$2:$A$501,0)),"CODE NOT FOUND"))</f>
        <v/>
      </c>
      <c r="E1469" s="7"/>
      <c r="F1469" s="13"/>
      <c r="G1469" s="13"/>
      <c r="H1469" s="17" t="str">
        <f aca="false">IF(OR(E1469="",F1469=""),"",E1469*F1469)</f>
        <v/>
      </c>
      <c r="I1469" s="17" t="str">
        <f aca="false">IF(OR(E1469="",G1469=""),"",E1469*G1469)</f>
        <v/>
      </c>
      <c r="J1469" s="17" t="str">
        <f aca="false">IF(H1469="","",H1469-I1469)</f>
        <v/>
      </c>
    </row>
    <row r="1470" customFormat="false" ht="15" hidden="false" customHeight="true" outlineLevel="0" collapsed="false">
      <c r="A1470" s="7"/>
      <c r="B1470" s="18" t="str">
        <f aca="false">IF(A1470="","",IFERROR(INDEX(Sales_Memo!$B$2:$B$1001,MATCH(A1470,Sales_Memo!$A$2:$A$1001,0)),""))</f>
        <v/>
      </c>
      <c r="C1470" s="7"/>
      <c r="D1470" s="16" t="str">
        <f aca="false">IF(C1470="","",IFERROR(INDEX(Products!$B$2:$B$501,MATCH(C1470,Products!$A$2:$A$501,0)),"CODE NOT FOUND"))</f>
        <v/>
      </c>
      <c r="E1470" s="7"/>
      <c r="F1470" s="13"/>
      <c r="G1470" s="13"/>
      <c r="H1470" s="17" t="str">
        <f aca="false">IF(OR(E1470="",F1470=""),"",E1470*F1470)</f>
        <v/>
      </c>
      <c r="I1470" s="17" t="str">
        <f aca="false">IF(OR(E1470="",G1470=""),"",E1470*G1470)</f>
        <v/>
      </c>
      <c r="J1470" s="17" t="str">
        <f aca="false">IF(H1470="","",H1470-I1470)</f>
        <v/>
      </c>
    </row>
    <row r="1471" customFormat="false" ht="15" hidden="false" customHeight="true" outlineLevel="0" collapsed="false">
      <c r="A1471" s="7"/>
      <c r="B1471" s="18" t="str">
        <f aca="false">IF(A1471="","",IFERROR(INDEX(Sales_Memo!$B$2:$B$1001,MATCH(A1471,Sales_Memo!$A$2:$A$1001,0)),""))</f>
        <v/>
      </c>
      <c r="C1471" s="7"/>
      <c r="D1471" s="16" t="str">
        <f aca="false">IF(C1471="","",IFERROR(INDEX(Products!$B$2:$B$501,MATCH(C1471,Products!$A$2:$A$501,0)),"CODE NOT FOUND"))</f>
        <v/>
      </c>
      <c r="E1471" s="7"/>
      <c r="F1471" s="13"/>
      <c r="G1471" s="13"/>
      <c r="H1471" s="17" t="str">
        <f aca="false">IF(OR(E1471="",F1471=""),"",E1471*F1471)</f>
        <v/>
      </c>
      <c r="I1471" s="17" t="str">
        <f aca="false">IF(OR(E1471="",G1471=""),"",E1471*G1471)</f>
        <v/>
      </c>
      <c r="J1471" s="17" t="str">
        <f aca="false">IF(H1471="","",H1471-I1471)</f>
        <v/>
      </c>
    </row>
    <row r="1472" customFormat="false" ht="15" hidden="false" customHeight="true" outlineLevel="0" collapsed="false">
      <c r="A1472" s="7"/>
      <c r="B1472" s="18" t="str">
        <f aca="false">IF(A1472="","",IFERROR(INDEX(Sales_Memo!$B$2:$B$1001,MATCH(A1472,Sales_Memo!$A$2:$A$1001,0)),""))</f>
        <v/>
      </c>
      <c r="C1472" s="7"/>
      <c r="D1472" s="16" t="str">
        <f aca="false">IF(C1472="","",IFERROR(INDEX(Products!$B$2:$B$501,MATCH(C1472,Products!$A$2:$A$501,0)),"CODE NOT FOUND"))</f>
        <v/>
      </c>
      <c r="E1472" s="7"/>
      <c r="F1472" s="13"/>
      <c r="G1472" s="13"/>
      <c r="H1472" s="17" t="str">
        <f aca="false">IF(OR(E1472="",F1472=""),"",E1472*F1472)</f>
        <v/>
      </c>
      <c r="I1472" s="17" t="str">
        <f aca="false">IF(OR(E1472="",G1472=""),"",E1472*G1472)</f>
        <v/>
      </c>
      <c r="J1472" s="17" t="str">
        <f aca="false">IF(H1472="","",H1472-I1472)</f>
        <v/>
      </c>
    </row>
    <row r="1473" customFormat="false" ht="15" hidden="false" customHeight="true" outlineLevel="0" collapsed="false">
      <c r="A1473" s="7"/>
      <c r="B1473" s="18" t="str">
        <f aca="false">IF(A1473="","",IFERROR(INDEX(Sales_Memo!$B$2:$B$1001,MATCH(A1473,Sales_Memo!$A$2:$A$1001,0)),""))</f>
        <v/>
      </c>
      <c r="C1473" s="7"/>
      <c r="D1473" s="16" t="str">
        <f aca="false">IF(C1473="","",IFERROR(INDEX(Products!$B$2:$B$501,MATCH(C1473,Products!$A$2:$A$501,0)),"CODE NOT FOUND"))</f>
        <v/>
      </c>
      <c r="E1473" s="7"/>
      <c r="F1473" s="13"/>
      <c r="G1473" s="13"/>
      <c r="H1473" s="17" t="str">
        <f aca="false">IF(OR(E1473="",F1473=""),"",E1473*F1473)</f>
        <v/>
      </c>
      <c r="I1473" s="17" t="str">
        <f aca="false">IF(OR(E1473="",G1473=""),"",E1473*G1473)</f>
        <v/>
      </c>
      <c r="J1473" s="17" t="str">
        <f aca="false">IF(H1473="","",H1473-I1473)</f>
        <v/>
      </c>
    </row>
    <row r="1474" customFormat="false" ht="15" hidden="false" customHeight="true" outlineLevel="0" collapsed="false">
      <c r="A1474" s="7"/>
      <c r="B1474" s="18" t="str">
        <f aca="false">IF(A1474="","",IFERROR(INDEX(Sales_Memo!$B$2:$B$1001,MATCH(A1474,Sales_Memo!$A$2:$A$1001,0)),""))</f>
        <v/>
      </c>
      <c r="C1474" s="7"/>
      <c r="D1474" s="16" t="str">
        <f aca="false">IF(C1474="","",IFERROR(INDEX(Products!$B$2:$B$501,MATCH(C1474,Products!$A$2:$A$501,0)),"CODE NOT FOUND"))</f>
        <v/>
      </c>
      <c r="E1474" s="7"/>
      <c r="F1474" s="13"/>
      <c r="G1474" s="13"/>
      <c r="H1474" s="17" t="str">
        <f aca="false">IF(OR(E1474="",F1474=""),"",E1474*F1474)</f>
        <v/>
      </c>
      <c r="I1474" s="17" t="str">
        <f aca="false">IF(OR(E1474="",G1474=""),"",E1474*G1474)</f>
        <v/>
      </c>
      <c r="J1474" s="17" t="str">
        <f aca="false">IF(H1474="","",H1474-I1474)</f>
        <v/>
      </c>
    </row>
    <row r="1475" customFormat="false" ht="15" hidden="false" customHeight="true" outlineLevel="0" collapsed="false">
      <c r="A1475" s="7"/>
      <c r="B1475" s="18" t="str">
        <f aca="false">IF(A1475="","",IFERROR(INDEX(Sales_Memo!$B$2:$B$1001,MATCH(A1475,Sales_Memo!$A$2:$A$1001,0)),""))</f>
        <v/>
      </c>
      <c r="C1475" s="7"/>
      <c r="D1475" s="16" t="str">
        <f aca="false">IF(C1475="","",IFERROR(INDEX(Products!$B$2:$B$501,MATCH(C1475,Products!$A$2:$A$501,0)),"CODE NOT FOUND"))</f>
        <v/>
      </c>
      <c r="E1475" s="7"/>
      <c r="F1475" s="13"/>
      <c r="G1475" s="13"/>
      <c r="H1475" s="17" t="str">
        <f aca="false">IF(OR(E1475="",F1475=""),"",E1475*F1475)</f>
        <v/>
      </c>
      <c r="I1475" s="17" t="str">
        <f aca="false">IF(OR(E1475="",G1475=""),"",E1475*G1475)</f>
        <v/>
      </c>
      <c r="J1475" s="17" t="str">
        <f aca="false">IF(H1475="","",H1475-I1475)</f>
        <v/>
      </c>
    </row>
    <row r="1476" customFormat="false" ht="15" hidden="false" customHeight="true" outlineLevel="0" collapsed="false">
      <c r="A1476" s="7"/>
      <c r="B1476" s="18" t="str">
        <f aca="false">IF(A1476="","",IFERROR(INDEX(Sales_Memo!$B$2:$B$1001,MATCH(A1476,Sales_Memo!$A$2:$A$1001,0)),""))</f>
        <v/>
      </c>
      <c r="C1476" s="7"/>
      <c r="D1476" s="16" t="str">
        <f aca="false">IF(C1476="","",IFERROR(INDEX(Products!$B$2:$B$501,MATCH(C1476,Products!$A$2:$A$501,0)),"CODE NOT FOUND"))</f>
        <v/>
      </c>
      <c r="E1476" s="7"/>
      <c r="F1476" s="13"/>
      <c r="G1476" s="13"/>
      <c r="H1476" s="17" t="str">
        <f aca="false">IF(OR(E1476="",F1476=""),"",E1476*F1476)</f>
        <v/>
      </c>
      <c r="I1476" s="17" t="str">
        <f aca="false">IF(OR(E1476="",G1476=""),"",E1476*G1476)</f>
        <v/>
      </c>
      <c r="J1476" s="17" t="str">
        <f aca="false">IF(H1476="","",H1476-I1476)</f>
        <v/>
      </c>
    </row>
    <row r="1477" customFormat="false" ht="15" hidden="false" customHeight="true" outlineLevel="0" collapsed="false">
      <c r="A1477" s="7"/>
      <c r="B1477" s="18" t="str">
        <f aca="false">IF(A1477="","",IFERROR(INDEX(Sales_Memo!$B$2:$B$1001,MATCH(A1477,Sales_Memo!$A$2:$A$1001,0)),""))</f>
        <v/>
      </c>
      <c r="C1477" s="7"/>
      <c r="D1477" s="16" t="str">
        <f aca="false">IF(C1477="","",IFERROR(INDEX(Products!$B$2:$B$501,MATCH(C1477,Products!$A$2:$A$501,0)),"CODE NOT FOUND"))</f>
        <v/>
      </c>
      <c r="E1477" s="7"/>
      <c r="F1477" s="13"/>
      <c r="G1477" s="13"/>
      <c r="H1477" s="17" t="str">
        <f aca="false">IF(OR(E1477="",F1477=""),"",E1477*F1477)</f>
        <v/>
      </c>
      <c r="I1477" s="17" t="str">
        <f aca="false">IF(OR(E1477="",G1477=""),"",E1477*G1477)</f>
        <v/>
      </c>
      <c r="J1477" s="17" t="str">
        <f aca="false">IF(H1477="","",H1477-I1477)</f>
        <v/>
      </c>
    </row>
    <row r="1478" customFormat="false" ht="15" hidden="false" customHeight="true" outlineLevel="0" collapsed="false">
      <c r="A1478" s="7"/>
      <c r="B1478" s="18" t="str">
        <f aca="false">IF(A1478="","",IFERROR(INDEX(Sales_Memo!$B$2:$B$1001,MATCH(A1478,Sales_Memo!$A$2:$A$1001,0)),""))</f>
        <v/>
      </c>
      <c r="C1478" s="7"/>
      <c r="D1478" s="16" t="str">
        <f aca="false">IF(C1478="","",IFERROR(INDEX(Products!$B$2:$B$501,MATCH(C1478,Products!$A$2:$A$501,0)),"CODE NOT FOUND"))</f>
        <v/>
      </c>
      <c r="E1478" s="7"/>
      <c r="F1478" s="13"/>
      <c r="G1478" s="13"/>
      <c r="H1478" s="17" t="str">
        <f aca="false">IF(OR(E1478="",F1478=""),"",E1478*F1478)</f>
        <v/>
      </c>
      <c r="I1478" s="17" t="str">
        <f aca="false">IF(OR(E1478="",G1478=""),"",E1478*G1478)</f>
        <v/>
      </c>
      <c r="J1478" s="17" t="str">
        <f aca="false">IF(H1478="","",H1478-I1478)</f>
        <v/>
      </c>
    </row>
    <row r="1479" customFormat="false" ht="15" hidden="false" customHeight="true" outlineLevel="0" collapsed="false">
      <c r="A1479" s="7"/>
      <c r="B1479" s="18" t="str">
        <f aca="false">IF(A1479="","",IFERROR(INDEX(Sales_Memo!$B$2:$B$1001,MATCH(A1479,Sales_Memo!$A$2:$A$1001,0)),""))</f>
        <v/>
      </c>
      <c r="C1479" s="7"/>
      <c r="D1479" s="16" t="str">
        <f aca="false">IF(C1479="","",IFERROR(INDEX(Products!$B$2:$B$501,MATCH(C1479,Products!$A$2:$A$501,0)),"CODE NOT FOUND"))</f>
        <v/>
      </c>
      <c r="E1479" s="7"/>
      <c r="F1479" s="13"/>
      <c r="G1479" s="13"/>
      <c r="H1479" s="17" t="str">
        <f aca="false">IF(OR(E1479="",F1479=""),"",E1479*F1479)</f>
        <v/>
      </c>
      <c r="I1479" s="17" t="str">
        <f aca="false">IF(OR(E1479="",G1479=""),"",E1479*G1479)</f>
        <v/>
      </c>
      <c r="J1479" s="17" t="str">
        <f aca="false">IF(H1479="","",H1479-I1479)</f>
        <v/>
      </c>
    </row>
    <row r="1480" customFormat="false" ht="15" hidden="false" customHeight="true" outlineLevel="0" collapsed="false">
      <c r="A1480" s="7"/>
      <c r="B1480" s="18" t="str">
        <f aca="false">IF(A1480="","",IFERROR(INDEX(Sales_Memo!$B$2:$B$1001,MATCH(A1480,Sales_Memo!$A$2:$A$1001,0)),""))</f>
        <v/>
      </c>
      <c r="C1480" s="7"/>
      <c r="D1480" s="16" t="str">
        <f aca="false">IF(C1480="","",IFERROR(INDEX(Products!$B$2:$B$501,MATCH(C1480,Products!$A$2:$A$501,0)),"CODE NOT FOUND"))</f>
        <v/>
      </c>
      <c r="E1480" s="7"/>
      <c r="F1480" s="13"/>
      <c r="G1480" s="13"/>
      <c r="H1480" s="17" t="str">
        <f aca="false">IF(OR(E1480="",F1480=""),"",E1480*F1480)</f>
        <v/>
      </c>
      <c r="I1480" s="17" t="str">
        <f aca="false">IF(OR(E1480="",G1480=""),"",E1480*G1480)</f>
        <v/>
      </c>
      <c r="J1480" s="17" t="str">
        <f aca="false">IF(H1480="","",H1480-I1480)</f>
        <v/>
      </c>
    </row>
    <row r="1481" customFormat="false" ht="15" hidden="false" customHeight="true" outlineLevel="0" collapsed="false">
      <c r="A1481" s="7"/>
      <c r="B1481" s="18" t="str">
        <f aca="false">IF(A1481="","",IFERROR(INDEX(Sales_Memo!$B$2:$B$1001,MATCH(A1481,Sales_Memo!$A$2:$A$1001,0)),""))</f>
        <v/>
      </c>
      <c r="C1481" s="7"/>
      <c r="D1481" s="16" t="str">
        <f aca="false">IF(C1481="","",IFERROR(INDEX(Products!$B$2:$B$501,MATCH(C1481,Products!$A$2:$A$501,0)),"CODE NOT FOUND"))</f>
        <v/>
      </c>
      <c r="E1481" s="7"/>
      <c r="F1481" s="13"/>
      <c r="G1481" s="13"/>
      <c r="H1481" s="17" t="str">
        <f aca="false">IF(OR(E1481="",F1481=""),"",E1481*F1481)</f>
        <v/>
      </c>
      <c r="I1481" s="17" t="str">
        <f aca="false">IF(OR(E1481="",G1481=""),"",E1481*G1481)</f>
        <v/>
      </c>
      <c r="J1481" s="17" t="str">
        <f aca="false">IF(H1481="","",H1481-I1481)</f>
        <v/>
      </c>
    </row>
    <row r="1482" customFormat="false" ht="15" hidden="false" customHeight="true" outlineLevel="0" collapsed="false">
      <c r="A1482" s="7"/>
      <c r="B1482" s="18" t="str">
        <f aca="false">IF(A1482="","",IFERROR(INDEX(Sales_Memo!$B$2:$B$1001,MATCH(A1482,Sales_Memo!$A$2:$A$1001,0)),""))</f>
        <v/>
      </c>
      <c r="C1482" s="7"/>
      <c r="D1482" s="16" t="str">
        <f aca="false">IF(C1482="","",IFERROR(INDEX(Products!$B$2:$B$501,MATCH(C1482,Products!$A$2:$A$501,0)),"CODE NOT FOUND"))</f>
        <v/>
      </c>
      <c r="E1482" s="7"/>
      <c r="F1482" s="13"/>
      <c r="G1482" s="13"/>
      <c r="H1482" s="17" t="str">
        <f aca="false">IF(OR(E1482="",F1482=""),"",E1482*F1482)</f>
        <v/>
      </c>
      <c r="I1482" s="17" t="str">
        <f aca="false">IF(OR(E1482="",G1482=""),"",E1482*G1482)</f>
        <v/>
      </c>
      <c r="J1482" s="17" t="str">
        <f aca="false">IF(H1482="","",H1482-I1482)</f>
        <v/>
      </c>
    </row>
    <row r="1483" customFormat="false" ht="15" hidden="false" customHeight="true" outlineLevel="0" collapsed="false">
      <c r="A1483" s="7"/>
      <c r="B1483" s="18" t="str">
        <f aca="false">IF(A1483="","",IFERROR(INDEX(Sales_Memo!$B$2:$B$1001,MATCH(A1483,Sales_Memo!$A$2:$A$1001,0)),""))</f>
        <v/>
      </c>
      <c r="C1483" s="7"/>
      <c r="D1483" s="16" t="str">
        <f aca="false">IF(C1483="","",IFERROR(INDEX(Products!$B$2:$B$501,MATCH(C1483,Products!$A$2:$A$501,0)),"CODE NOT FOUND"))</f>
        <v/>
      </c>
      <c r="E1483" s="7"/>
      <c r="F1483" s="13"/>
      <c r="G1483" s="13"/>
      <c r="H1483" s="17" t="str">
        <f aca="false">IF(OR(E1483="",F1483=""),"",E1483*F1483)</f>
        <v/>
      </c>
      <c r="I1483" s="17" t="str">
        <f aca="false">IF(OR(E1483="",G1483=""),"",E1483*G1483)</f>
        <v/>
      </c>
      <c r="J1483" s="17" t="str">
        <f aca="false">IF(H1483="","",H1483-I1483)</f>
        <v/>
      </c>
    </row>
    <row r="1484" customFormat="false" ht="15" hidden="false" customHeight="true" outlineLevel="0" collapsed="false">
      <c r="A1484" s="7"/>
      <c r="B1484" s="18" t="str">
        <f aca="false">IF(A1484="","",IFERROR(INDEX(Sales_Memo!$B$2:$B$1001,MATCH(A1484,Sales_Memo!$A$2:$A$1001,0)),""))</f>
        <v/>
      </c>
      <c r="C1484" s="7"/>
      <c r="D1484" s="16" t="str">
        <f aca="false">IF(C1484="","",IFERROR(INDEX(Products!$B$2:$B$501,MATCH(C1484,Products!$A$2:$A$501,0)),"CODE NOT FOUND"))</f>
        <v/>
      </c>
      <c r="E1484" s="7"/>
      <c r="F1484" s="13"/>
      <c r="G1484" s="13"/>
      <c r="H1484" s="17" t="str">
        <f aca="false">IF(OR(E1484="",F1484=""),"",E1484*F1484)</f>
        <v/>
      </c>
      <c r="I1484" s="17" t="str">
        <f aca="false">IF(OR(E1484="",G1484=""),"",E1484*G1484)</f>
        <v/>
      </c>
      <c r="J1484" s="17" t="str">
        <f aca="false">IF(H1484="","",H1484-I1484)</f>
        <v/>
      </c>
    </row>
    <row r="1485" customFormat="false" ht="15" hidden="false" customHeight="true" outlineLevel="0" collapsed="false">
      <c r="A1485" s="7"/>
      <c r="B1485" s="18" t="str">
        <f aca="false">IF(A1485="","",IFERROR(INDEX(Sales_Memo!$B$2:$B$1001,MATCH(A1485,Sales_Memo!$A$2:$A$1001,0)),""))</f>
        <v/>
      </c>
      <c r="C1485" s="7"/>
      <c r="D1485" s="16" t="str">
        <f aca="false">IF(C1485="","",IFERROR(INDEX(Products!$B$2:$B$501,MATCH(C1485,Products!$A$2:$A$501,0)),"CODE NOT FOUND"))</f>
        <v/>
      </c>
      <c r="E1485" s="7"/>
      <c r="F1485" s="13"/>
      <c r="G1485" s="13"/>
      <c r="H1485" s="17" t="str">
        <f aca="false">IF(OR(E1485="",F1485=""),"",E1485*F1485)</f>
        <v/>
      </c>
      <c r="I1485" s="17" t="str">
        <f aca="false">IF(OR(E1485="",G1485=""),"",E1485*G1485)</f>
        <v/>
      </c>
      <c r="J1485" s="17" t="str">
        <f aca="false">IF(H1485="","",H1485-I1485)</f>
        <v/>
      </c>
    </row>
    <row r="1486" customFormat="false" ht="15" hidden="false" customHeight="true" outlineLevel="0" collapsed="false">
      <c r="A1486" s="7"/>
      <c r="B1486" s="18" t="str">
        <f aca="false">IF(A1486="","",IFERROR(INDEX(Sales_Memo!$B$2:$B$1001,MATCH(A1486,Sales_Memo!$A$2:$A$1001,0)),""))</f>
        <v/>
      </c>
      <c r="C1486" s="7"/>
      <c r="D1486" s="16" t="str">
        <f aca="false">IF(C1486="","",IFERROR(INDEX(Products!$B$2:$B$501,MATCH(C1486,Products!$A$2:$A$501,0)),"CODE NOT FOUND"))</f>
        <v/>
      </c>
      <c r="E1486" s="7"/>
      <c r="F1486" s="13"/>
      <c r="G1486" s="13"/>
      <c r="H1486" s="17" t="str">
        <f aca="false">IF(OR(E1486="",F1486=""),"",E1486*F1486)</f>
        <v/>
      </c>
      <c r="I1486" s="17" t="str">
        <f aca="false">IF(OR(E1486="",G1486=""),"",E1486*G1486)</f>
        <v/>
      </c>
      <c r="J1486" s="17" t="str">
        <f aca="false">IF(H1486="","",H1486-I1486)</f>
        <v/>
      </c>
    </row>
    <row r="1487" customFormat="false" ht="15" hidden="false" customHeight="true" outlineLevel="0" collapsed="false">
      <c r="A1487" s="7"/>
      <c r="B1487" s="18" t="str">
        <f aca="false">IF(A1487="","",IFERROR(INDEX(Sales_Memo!$B$2:$B$1001,MATCH(A1487,Sales_Memo!$A$2:$A$1001,0)),""))</f>
        <v/>
      </c>
      <c r="C1487" s="7"/>
      <c r="D1487" s="16" t="str">
        <f aca="false">IF(C1487="","",IFERROR(INDEX(Products!$B$2:$B$501,MATCH(C1487,Products!$A$2:$A$501,0)),"CODE NOT FOUND"))</f>
        <v/>
      </c>
      <c r="E1487" s="7"/>
      <c r="F1487" s="13"/>
      <c r="G1487" s="13"/>
      <c r="H1487" s="17" t="str">
        <f aca="false">IF(OR(E1487="",F1487=""),"",E1487*F1487)</f>
        <v/>
      </c>
      <c r="I1487" s="17" t="str">
        <f aca="false">IF(OR(E1487="",G1487=""),"",E1487*G1487)</f>
        <v/>
      </c>
      <c r="J1487" s="17" t="str">
        <f aca="false">IF(H1487="","",H1487-I1487)</f>
        <v/>
      </c>
    </row>
    <row r="1488" customFormat="false" ht="15" hidden="false" customHeight="true" outlineLevel="0" collapsed="false">
      <c r="A1488" s="7"/>
      <c r="B1488" s="18" t="str">
        <f aca="false">IF(A1488="","",IFERROR(INDEX(Sales_Memo!$B$2:$B$1001,MATCH(A1488,Sales_Memo!$A$2:$A$1001,0)),""))</f>
        <v/>
      </c>
      <c r="C1488" s="7"/>
      <c r="D1488" s="16" t="str">
        <f aca="false">IF(C1488="","",IFERROR(INDEX(Products!$B$2:$B$501,MATCH(C1488,Products!$A$2:$A$501,0)),"CODE NOT FOUND"))</f>
        <v/>
      </c>
      <c r="E1488" s="7"/>
      <c r="F1488" s="13"/>
      <c r="G1488" s="13"/>
      <c r="H1488" s="17" t="str">
        <f aca="false">IF(OR(E1488="",F1488=""),"",E1488*F1488)</f>
        <v/>
      </c>
      <c r="I1488" s="17" t="str">
        <f aca="false">IF(OR(E1488="",G1488=""),"",E1488*G1488)</f>
        <v/>
      </c>
      <c r="J1488" s="17" t="str">
        <f aca="false">IF(H1488="","",H1488-I1488)</f>
        <v/>
      </c>
    </row>
    <row r="1489" customFormat="false" ht="15" hidden="false" customHeight="true" outlineLevel="0" collapsed="false">
      <c r="A1489" s="7"/>
      <c r="B1489" s="18" t="str">
        <f aca="false">IF(A1489="","",IFERROR(INDEX(Sales_Memo!$B$2:$B$1001,MATCH(A1489,Sales_Memo!$A$2:$A$1001,0)),""))</f>
        <v/>
      </c>
      <c r="C1489" s="7"/>
      <c r="D1489" s="16" t="str">
        <f aca="false">IF(C1489="","",IFERROR(INDEX(Products!$B$2:$B$501,MATCH(C1489,Products!$A$2:$A$501,0)),"CODE NOT FOUND"))</f>
        <v/>
      </c>
      <c r="E1489" s="7"/>
      <c r="F1489" s="13"/>
      <c r="G1489" s="13"/>
      <c r="H1489" s="17" t="str">
        <f aca="false">IF(OR(E1489="",F1489=""),"",E1489*F1489)</f>
        <v/>
      </c>
      <c r="I1489" s="17" t="str">
        <f aca="false">IF(OR(E1489="",G1489=""),"",E1489*G1489)</f>
        <v/>
      </c>
      <c r="J1489" s="17" t="str">
        <f aca="false">IF(H1489="","",H1489-I1489)</f>
        <v/>
      </c>
    </row>
    <row r="1490" customFormat="false" ht="15" hidden="false" customHeight="true" outlineLevel="0" collapsed="false">
      <c r="A1490" s="7"/>
      <c r="B1490" s="18" t="str">
        <f aca="false">IF(A1490="","",IFERROR(INDEX(Sales_Memo!$B$2:$B$1001,MATCH(A1490,Sales_Memo!$A$2:$A$1001,0)),""))</f>
        <v/>
      </c>
      <c r="C1490" s="7"/>
      <c r="D1490" s="16" t="str">
        <f aca="false">IF(C1490="","",IFERROR(INDEX(Products!$B$2:$B$501,MATCH(C1490,Products!$A$2:$A$501,0)),"CODE NOT FOUND"))</f>
        <v/>
      </c>
      <c r="E1490" s="7"/>
      <c r="F1490" s="13"/>
      <c r="G1490" s="13"/>
      <c r="H1490" s="17" t="str">
        <f aca="false">IF(OR(E1490="",F1490=""),"",E1490*F1490)</f>
        <v/>
      </c>
      <c r="I1490" s="17" t="str">
        <f aca="false">IF(OR(E1490="",G1490=""),"",E1490*G1490)</f>
        <v/>
      </c>
      <c r="J1490" s="17" t="str">
        <f aca="false">IF(H1490="","",H1490-I1490)</f>
        <v/>
      </c>
    </row>
    <row r="1491" customFormat="false" ht="15" hidden="false" customHeight="true" outlineLevel="0" collapsed="false">
      <c r="A1491" s="7"/>
      <c r="B1491" s="18" t="str">
        <f aca="false">IF(A1491="","",IFERROR(INDEX(Sales_Memo!$B$2:$B$1001,MATCH(A1491,Sales_Memo!$A$2:$A$1001,0)),""))</f>
        <v/>
      </c>
      <c r="C1491" s="7"/>
      <c r="D1491" s="16" t="str">
        <f aca="false">IF(C1491="","",IFERROR(INDEX(Products!$B$2:$B$501,MATCH(C1491,Products!$A$2:$A$501,0)),"CODE NOT FOUND"))</f>
        <v/>
      </c>
      <c r="E1491" s="7"/>
      <c r="F1491" s="13"/>
      <c r="G1491" s="13"/>
      <c r="H1491" s="17" t="str">
        <f aca="false">IF(OR(E1491="",F1491=""),"",E1491*F1491)</f>
        <v/>
      </c>
      <c r="I1491" s="17" t="str">
        <f aca="false">IF(OR(E1491="",G1491=""),"",E1491*G1491)</f>
        <v/>
      </c>
      <c r="J1491" s="17" t="str">
        <f aca="false">IF(H1491="","",H1491-I1491)</f>
        <v/>
      </c>
    </row>
    <row r="1492" customFormat="false" ht="15" hidden="false" customHeight="true" outlineLevel="0" collapsed="false">
      <c r="A1492" s="7"/>
      <c r="B1492" s="18" t="str">
        <f aca="false">IF(A1492="","",IFERROR(INDEX(Sales_Memo!$B$2:$B$1001,MATCH(A1492,Sales_Memo!$A$2:$A$1001,0)),""))</f>
        <v/>
      </c>
      <c r="C1492" s="7"/>
      <c r="D1492" s="16" t="str">
        <f aca="false">IF(C1492="","",IFERROR(INDEX(Products!$B$2:$B$501,MATCH(C1492,Products!$A$2:$A$501,0)),"CODE NOT FOUND"))</f>
        <v/>
      </c>
      <c r="E1492" s="7"/>
      <c r="F1492" s="13"/>
      <c r="G1492" s="13"/>
      <c r="H1492" s="17" t="str">
        <f aca="false">IF(OR(E1492="",F1492=""),"",E1492*F1492)</f>
        <v/>
      </c>
      <c r="I1492" s="17" t="str">
        <f aca="false">IF(OR(E1492="",G1492=""),"",E1492*G1492)</f>
        <v/>
      </c>
      <c r="J1492" s="17" t="str">
        <f aca="false">IF(H1492="","",H1492-I1492)</f>
        <v/>
      </c>
    </row>
    <row r="1493" customFormat="false" ht="15" hidden="false" customHeight="true" outlineLevel="0" collapsed="false">
      <c r="A1493" s="7"/>
      <c r="B1493" s="18" t="str">
        <f aca="false">IF(A1493="","",IFERROR(INDEX(Sales_Memo!$B$2:$B$1001,MATCH(A1493,Sales_Memo!$A$2:$A$1001,0)),""))</f>
        <v/>
      </c>
      <c r="C1493" s="7"/>
      <c r="D1493" s="16" t="str">
        <f aca="false">IF(C1493="","",IFERROR(INDEX(Products!$B$2:$B$501,MATCH(C1493,Products!$A$2:$A$501,0)),"CODE NOT FOUND"))</f>
        <v/>
      </c>
      <c r="E1493" s="7"/>
      <c r="F1493" s="13"/>
      <c r="G1493" s="13"/>
      <c r="H1493" s="17" t="str">
        <f aca="false">IF(OR(E1493="",F1493=""),"",E1493*F1493)</f>
        <v/>
      </c>
      <c r="I1493" s="17" t="str">
        <f aca="false">IF(OR(E1493="",G1493=""),"",E1493*G1493)</f>
        <v/>
      </c>
      <c r="J1493" s="17" t="str">
        <f aca="false">IF(H1493="","",H1493-I1493)</f>
        <v/>
      </c>
    </row>
    <row r="1494" customFormat="false" ht="15" hidden="false" customHeight="true" outlineLevel="0" collapsed="false">
      <c r="A1494" s="7"/>
      <c r="B1494" s="18" t="str">
        <f aca="false">IF(A1494="","",IFERROR(INDEX(Sales_Memo!$B$2:$B$1001,MATCH(A1494,Sales_Memo!$A$2:$A$1001,0)),""))</f>
        <v/>
      </c>
      <c r="C1494" s="7"/>
      <c r="D1494" s="16" t="str">
        <f aca="false">IF(C1494="","",IFERROR(INDEX(Products!$B$2:$B$501,MATCH(C1494,Products!$A$2:$A$501,0)),"CODE NOT FOUND"))</f>
        <v/>
      </c>
      <c r="E1494" s="7"/>
      <c r="F1494" s="13"/>
      <c r="G1494" s="13"/>
      <c r="H1494" s="17" t="str">
        <f aca="false">IF(OR(E1494="",F1494=""),"",E1494*F1494)</f>
        <v/>
      </c>
      <c r="I1494" s="17" t="str">
        <f aca="false">IF(OR(E1494="",G1494=""),"",E1494*G1494)</f>
        <v/>
      </c>
      <c r="J1494" s="17" t="str">
        <f aca="false">IF(H1494="","",H1494-I1494)</f>
        <v/>
      </c>
    </row>
    <row r="1495" customFormat="false" ht="15" hidden="false" customHeight="true" outlineLevel="0" collapsed="false">
      <c r="A1495" s="7"/>
      <c r="B1495" s="18" t="str">
        <f aca="false">IF(A1495="","",IFERROR(INDEX(Sales_Memo!$B$2:$B$1001,MATCH(A1495,Sales_Memo!$A$2:$A$1001,0)),""))</f>
        <v/>
      </c>
      <c r="C1495" s="7"/>
      <c r="D1495" s="16" t="str">
        <f aca="false">IF(C1495="","",IFERROR(INDEX(Products!$B$2:$B$501,MATCH(C1495,Products!$A$2:$A$501,0)),"CODE NOT FOUND"))</f>
        <v/>
      </c>
      <c r="E1495" s="7"/>
      <c r="F1495" s="13"/>
      <c r="G1495" s="13"/>
      <c r="H1495" s="17" t="str">
        <f aca="false">IF(OR(E1495="",F1495=""),"",E1495*F1495)</f>
        <v/>
      </c>
      <c r="I1495" s="17" t="str">
        <f aca="false">IF(OR(E1495="",G1495=""),"",E1495*G1495)</f>
        <v/>
      </c>
      <c r="J1495" s="17" t="str">
        <f aca="false">IF(H1495="","",H1495-I1495)</f>
        <v/>
      </c>
    </row>
    <row r="1496" customFormat="false" ht="15" hidden="false" customHeight="true" outlineLevel="0" collapsed="false">
      <c r="A1496" s="7"/>
      <c r="B1496" s="18" t="str">
        <f aca="false">IF(A1496="","",IFERROR(INDEX(Sales_Memo!$B$2:$B$1001,MATCH(A1496,Sales_Memo!$A$2:$A$1001,0)),""))</f>
        <v/>
      </c>
      <c r="C1496" s="7"/>
      <c r="D1496" s="16" t="str">
        <f aca="false">IF(C1496="","",IFERROR(INDEX(Products!$B$2:$B$501,MATCH(C1496,Products!$A$2:$A$501,0)),"CODE NOT FOUND"))</f>
        <v/>
      </c>
      <c r="E1496" s="7"/>
      <c r="F1496" s="13"/>
      <c r="G1496" s="13"/>
      <c r="H1496" s="17" t="str">
        <f aca="false">IF(OR(E1496="",F1496=""),"",E1496*F1496)</f>
        <v/>
      </c>
      <c r="I1496" s="17" t="str">
        <f aca="false">IF(OR(E1496="",G1496=""),"",E1496*G1496)</f>
        <v/>
      </c>
      <c r="J1496" s="17" t="str">
        <f aca="false">IF(H1496="","",H1496-I1496)</f>
        <v/>
      </c>
    </row>
    <row r="1497" customFormat="false" ht="15" hidden="false" customHeight="true" outlineLevel="0" collapsed="false">
      <c r="A1497" s="7"/>
      <c r="B1497" s="18" t="str">
        <f aca="false">IF(A1497="","",IFERROR(INDEX(Sales_Memo!$B$2:$B$1001,MATCH(A1497,Sales_Memo!$A$2:$A$1001,0)),""))</f>
        <v/>
      </c>
      <c r="C1497" s="7"/>
      <c r="D1497" s="16" t="str">
        <f aca="false">IF(C1497="","",IFERROR(INDEX(Products!$B$2:$B$501,MATCH(C1497,Products!$A$2:$A$501,0)),"CODE NOT FOUND"))</f>
        <v/>
      </c>
      <c r="E1497" s="7"/>
      <c r="F1497" s="13"/>
      <c r="G1497" s="13"/>
      <c r="H1497" s="17" t="str">
        <f aca="false">IF(OR(E1497="",F1497=""),"",E1497*F1497)</f>
        <v/>
      </c>
      <c r="I1497" s="17" t="str">
        <f aca="false">IF(OR(E1497="",G1497=""),"",E1497*G1497)</f>
        <v/>
      </c>
      <c r="J1497" s="17" t="str">
        <f aca="false">IF(H1497="","",H1497-I1497)</f>
        <v/>
      </c>
    </row>
    <row r="1498" customFormat="false" ht="15" hidden="false" customHeight="true" outlineLevel="0" collapsed="false">
      <c r="A1498" s="7"/>
      <c r="B1498" s="18" t="str">
        <f aca="false">IF(A1498="","",IFERROR(INDEX(Sales_Memo!$B$2:$B$1001,MATCH(A1498,Sales_Memo!$A$2:$A$1001,0)),""))</f>
        <v/>
      </c>
      <c r="C1498" s="7"/>
      <c r="D1498" s="16" t="str">
        <f aca="false">IF(C1498="","",IFERROR(INDEX(Products!$B$2:$B$501,MATCH(C1498,Products!$A$2:$A$501,0)),"CODE NOT FOUND"))</f>
        <v/>
      </c>
      <c r="E1498" s="7"/>
      <c r="F1498" s="13"/>
      <c r="G1498" s="13"/>
      <c r="H1498" s="17" t="str">
        <f aca="false">IF(OR(E1498="",F1498=""),"",E1498*F1498)</f>
        <v/>
      </c>
      <c r="I1498" s="17" t="str">
        <f aca="false">IF(OR(E1498="",G1498=""),"",E1498*G1498)</f>
        <v/>
      </c>
      <c r="J1498" s="17" t="str">
        <f aca="false">IF(H1498="","",H1498-I1498)</f>
        <v/>
      </c>
    </row>
    <row r="1499" customFormat="false" ht="15" hidden="false" customHeight="true" outlineLevel="0" collapsed="false">
      <c r="A1499" s="7"/>
      <c r="B1499" s="18" t="str">
        <f aca="false">IF(A1499="","",IFERROR(INDEX(Sales_Memo!$B$2:$B$1001,MATCH(A1499,Sales_Memo!$A$2:$A$1001,0)),""))</f>
        <v/>
      </c>
      <c r="C1499" s="7"/>
      <c r="D1499" s="16" t="str">
        <f aca="false">IF(C1499="","",IFERROR(INDEX(Products!$B$2:$B$501,MATCH(C1499,Products!$A$2:$A$501,0)),"CODE NOT FOUND"))</f>
        <v/>
      </c>
      <c r="E1499" s="7"/>
      <c r="F1499" s="13"/>
      <c r="G1499" s="13"/>
      <c r="H1499" s="17" t="str">
        <f aca="false">IF(OR(E1499="",F1499=""),"",E1499*F1499)</f>
        <v/>
      </c>
      <c r="I1499" s="17" t="str">
        <f aca="false">IF(OR(E1499="",G1499=""),"",E1499*G1499)</f>
        <v/>
      </c>
      <c r="J1499" s="17" t="str">
        <f aca="false">IF(H1499="","",H1499-I1499)</f>
        <v/>
      </c>
    </row>
    <row r="1500" customFormat="false" ht="15" hidden="false" customHeight="true" outlineLevel="0" collapsed="false">
      <c r="A1500" s="7"/>
      <c r="B1500" s="18" t="str">
        <f aca="false">IF(A1500="","",IFERROR(INDEX(Sales_Memo!$B$2:$B$1001,MATCH(A1500,Sales_Memo!$A$2:$A$1001,0)),""))</f>
        <v/>
      </c>
      <c r="C1500" s="7"/>
      <c r="D1500" s="16" t="str">
        <f aca="false">IF(C1500="","",IFERROR(INDEX(Products!$B$2:$B$501,MATCH(C1500,Products!$A$2:$A$501,0)),"CODE NOT FOUND"))</f>
        <v/>
      </c>
      <c r="E1500" s="7"/>
      <c r="F1500" s="13"/>
      <c r="G1500" s="13"/>
      <c r="H1500" s="17" t="str">
        <f aca="false">IF(OR(E1500="",F1500=""),"",E1500*F1500)</f>
        <v/>
      </c>
      <c r="I1500" s="17" t="str">
        <f aca="false">IF(OR(E1500="",G1500=""),"",E1500*G1500)</f>
        <v/>
      </c>
      <c r="J1500" s="17" t="str">
        <f aca="false">IF(H1500="","",H1500-I1500)</f>
        <v/>
      </c>
    </row>
    <row r="1501" customFormat="false" ht="15" hidden="false" customHeight="true" outlineLevel="0" collapsed="false">
      <c r="A1501" s="7"/>
      <c r="B1501" s="18" t="str">
        <f aca="false">IF(A1501="","",IFERROR(INDEX(Sales_Memo!$B$2:$B$1001,MATCH(A1501,Sales_Memo!$A$2:$A$1001,0)),""))</f>
        <v/>
      </c>
      <c r="C1501" s="7"/>
      <c r="D1501" s="16" t="str">
        <f aca="false">IF(C1501="","",IFERROR(INDEX(Products!$B$2:$B$501,MATCH(C1501,Products!$A$2:$A$501,0)),"CODE NOT FOUND"))</f>
        <v/>
      </c>
      <c r="E1501" s="7"/>
      <c r="F1501" s="13"/>
      <c r="G1501" s="13"/>
      <c r="H1501" s="17" t="str">
        <f aca="false">IF(OR(E1501="",F1501=""),"",E1501*F1501)</f>
        <v/>
      </c>
      <c r="I1501" s="17" t="str">
        <f aca="false">IF(OR(E1501="",G1501=""),"",E1501*G1501)</f>
        <v/>
      </c>
      <c r="J1501" s="17" t="str">
        <f aca="false">IF(H1501="","",H1501-I1501)</f>
        <v/>
      </c>
    </row>
    <row r="1502" customFormat="false" ht="15" hidden="false" customHeight="true" outlineLevel="0" collapsed="false">
      <c r="A1502" s="7"/>
      <c r="B1502" s="18" t="str">
        <f aca="false">IF(A1502="","",IFERROR(INDEX(Sales_Memo!$B$2:$B$1001,MATCH(A1502,Sales_Memo!$A$2:$A$1001,0)),""))</f>
        <v/>
      </c>
      <c r="C1502" s="7"/>
      <c r="D1502" s="16" t="str">
        <f aca="false">IF(C1502="","",IFERROR(INDEX(Products!$B$2:$B$501,MATCH(C1502,Products!$A$2:$A$501,0)),"CODE NOT FOUND"))</f>
        <v/>
      </c>
      <c r="E1502" s="7"/>
      <c r="F1502" s="13"/>
      <c r="G1502" s="13"/>
      <c r="H1502" s="17" t="str">
        <f aca="false">IF(OR(E1502="",F1502=""),"",E1502*F1502)</f>
        <v/>
      </c>
      <c r="I1502" s="17" t="str">
        <f aca="false">IF(OR(E1502="",G1502=""),"",E1502*G1502)</f>
        <v/>
      </c>
      <c r="J1502" s="17" t="str">
        <f aca="false">IF(H1502="","",H1502-I1502)</f>
        <v/>
      </c>
    </row>
    <row r="1503" customFormat="false" ht="15" hidden="false" customHeight="true" outlineLevel="0" collapsed="false">
      <c r="A1503" s="7"/>
      <c r="B1503" s="18" t="str">
        <f aca="false">IF(A1503="","",IFERROR(INDEX(Sales_Memo!$B$2:$B$1001,MATCH(A1503,Sales_Memo!$A$2:$A$1001,0)),""))</f>
        <v/>
      </c>
      <c r="C1503" s="7"/>
      <c r="D1503" s="16" t="str">
        <f aca="false">IF(C1503="","",IFERROR(INDEX(Products!$B$2:$B$501,MATCH(C1503,Products!$A$2:$A$501,0)),"CODE NOT FOUND"))</f>
        <v/>
      </c>
      <c r="E1503" s="7"/>
      <c r="F1503" s="13"/>
      <c r="G1503" s="13"/>
      <c r="H1503" s="17" t="str">
        <f aca="false">IF(OR(E1503="",F1503=""),"",E1503*F1503)</f>
        <v/>
      </c>
      <c r="I1503" s="17" t="str">
        <f aca="false">IF(OR(E1503="",G1503=""),"",E1503*G1503)</f>
        <v/>
      </c>
      <c r="J1503" s="17" t="str">
        <f aca="false">IF(H1503="","",H1503-I1503)</f>
        <v/>
      </c>
    </row>
    <row r="1504" customFormat="false" ht="15" hidden="false" customHeight="true" outlineLevel="0" collapsed="false">
      <c r="A1504" s="7"/>
      <c r="B1504" s="18" t="str">
        <f aca="false">IF(A1504="","",IFERROR(INDEX(Sales_Memo!$B$2:$B$1001,MATCH(A1504,Sales_Memo!$A$2:$A$1001,0)),""))</f>
        <v/>
      </c>
      <c r="C1504" s="7"/>
      <c r="D1504" s="16" t="str">
        <f aca="false">IF(C1504="","",IFERROR(INDEX(Products!$B$2:$B$501,MATCH(C1504,Products!$A$2:$A$501,0)),"CODE NOT FOUND"))</f>
        <v/>
      </c>
      <c r="E1504" s="7"/>
      <c r="F1504" s="13"/>
      <c r="G1504" s="13"/>
      <c r="H1504" s="17" t="str">
        <f aca="false">IF(OR(E1504="",F1504=""),"",E1504*F1504)</f>
        <v/>
      </c>
      <c r="I1504" s="17" t="str">
        <f aca="false">IF(OR(E1504="",G1504=""),"",E1504*G1504)</f>
        <v/>
      </c>
      <c r="J1504" s="17" t="str">
        <f aca="false">IF(H1504="","",H1504-I1504)</f>
        <v/>
      </c>
    </row>
    <row r="1505" customFormat="false" ht="15" hidden="false" customHeight="true" outlineLevel="0" collapsed="false">
      <c r="A1505" s="7"/>
      <c r="B1505" s="18" t="str">
        <f aca="false">IF(A1505="","",IFERROR(INDEX(Sales_Memo!$B$2:$B$1001,MATCH(A1505,Sales_Memo!$A$2:$A$1001,0)),""))</f>
        <v/>
      </c>
      <c r="C1505" s="7"/>
      <c r="D1505" s="16" t="str">
        <f aca="false">IF(C1505="","",IFERROR(INDEX(Products!$B$2:$B$501,MATCH(C1505,Products!$A$2:$A$501,0)),"CODE NOT FOUND"))</f>
        <v/>
      </c>
      <c r="E1505" s="7"/>
      <c r="F1505" s="13"/>
      <c r="G1505" s="13"/>
      <c r="H1505" s="17" t="str">
        <f aca="false">IF(OR(E1505="",F1505=""),"",E1505*F1505)</f>
        <v/>
      </c>
      <c r="I1505" s="17" t="str">
        <f aca="false">IF(OR(E1505="",G1505=""),"",E1505*G1505)</f>
        <v/>
      </c>
      <c r="J1505" s="17" t="str">
        <f aca="false">IF(H1505="","",H1505-I1505)</f>
        <v/>
      </c>
    </row>
    <row r="1506" customFormat="false" ht="15" hidden="false" customHeight="true" outlineLevel="0" collapsed="false">
      <c r="A1506" s="7"/>
      <c r="B1506" s="18" t="str">
        <f aca="false">IF(A1506="","",IFERROR(INDEX(Sales_Memo!$B$2:$B$1001,MATCH(A1506,Sales_Memo!$A$2:$A$1001,0)),""))</f>
        <v/>
      </c>
      <c r="C1506" s="7"/>
      <c r="D1506" s="16" t="str">
        <f aca="false">IF(C1506="","",IFERROR(INDEX(Products!$B$2:$B$501,MATCH(C1506,Products!$A$2:$A$501,0)),"CODE NOT FOUND"))</f>
        <v/>
      </c>
      <c r="E1506" s="7"/>
      <c r="F1506" s="13"/>
      <c r="G1506" s="13"/>
      <c r="H1506" s="17" t="str">
        <f aca="false">IF(OR(E1506="",F1506=""),"",E1506*F1506)</f>
        <v/>
      </c>
      <c r="I1506" s="17" t="str">
        <f aca="false">IF(OR(E1506="",G1506=""),"",E1506*G1506)</f>
        <v/>
      </c>
      <c r="J1506" s="17" t="str">
        <f aca="false">IF(H1506="","",H1506-I1506)</f>
        <v/>
      </c>
    </row>
    <row r="1507" customFormat="false" ht="15" hidden="false" customHeight="true" outlineLevel="0" collapsed="false">
      <c r="A1507" s="7"/>
      <c r="B1507" s="18" t="str">
        <f aca="false">IF(A1507="","",IFERROR(INDEX(Sales_Memo!$B$2:$B$1001,MATCH(A1507,Sales_Memo!$A$2:$A$1001,0)),""))</f>
        <v/>
      </c>
      <c r="C1507" s="7"/>
      <c r="D1507" s="16" t="str">
        <f aca="false">IF(C1507="","",IFERROR(INDEX(Products!$B$2:$B$501,MATCH(C1507,Products!$A$2:$A$501,0)),"CODE NOT FOUND"))</f>
        <v/>
      </c>
      <c r="E1507" s="7"/>
      <c r="F1507" s="13"/>
      <c r="G1507" s="13"/>
      <c r="H1507" s="17" t="str">
        <f aca="false">IF(OR(E1507="",F1507=""),"",E1507*F1507)</f>
        <v/>
      </c>
      <c r="I1507" s="17" t="str">
        <f aca="false">IF(OR(E1507="",G1507=""),"",E1507*G1507)</f>
        <v/>
      </c>
      <c r="J1507" s="17" t="str">
        <f aca="false">IF(H1507="","",H1507-I1507)</f>
        <v/>
      </c>
    </row>
    <row r="1508" customFormat="false" ht="15" hidden="false" customHeight="true" outlineLevel="0" collapsed="false">
      <c r="A1508" s="7"/>
      <c r="B1508" s="18" t="str">
        <f aca="false">IF(A1508="","",IFERROR(INDEX(Sales_Memo!$B$2:$B$1001,MATCH(A1508,Sales_Memo!$A$2:$A$1001,0)),""))</f>
        <v/>
      </c>
      <c r="C1508" s="7"/>
      <c r="D1508" s="16" t="str">
        <f aca="false">IF(C1508="","",IFERROR(INDEX(Products!$B$2:$B$501,MATCH(C1508,Products!$A$2:$A$501,0)),"CODE NOT FOUND"))</f>
        <v/>
      </c>
      <c r="E1508" s="7"/>
      <c r="F1508" s="13"/>
      <c r="G1508" s="13"/>
      <c r="H1508" s="17" t="str">
        <f aca="false">IF(OR(E1508="",F1508=""),"",E1508*F1508)</f>
        <v/>
      </c>
      <c r="I1508" s="17" t="str">
        <f aca="false">IF(OR(E1508="",G1508=""),"",E1508*G1508)</f>
        <v/>
      </c>
      <c r="J1508" s="17" t="str">
        <f aca="false">IF(H1508="","",H1508-I1508)</f>
        <v/>
      </c>
    </row>
    <row r="1509" customFormat="false" ht="15" hidden="false" customHeight="true" outlineLevel="0" collapsed="false">
      <c r="A1509" s="7"/>
      <c r="B1509" s="18" t="str">
        <f aca="false">IF(A1509="","",IFERROR(INDEX(Sales_Memo!$B$2:$B$1001,MATCH(A1509,Sales_Memo!$A$2:$A$1001,0)),""))</f>
        <v/>
      </c>
      <c r="C1509" s="7"/>
      <c r="D1509" s="16" t="str">
        <f aca="false">IF(C1509="","",IFERROR(INDEX(Products!$B$2:$B$501,MATCH(C1509,Products!$A$2:$A$501,0)),"CODE NOT FOUND"))</f>
        <v/>
      </c>
      <c r="E1509" s="7"/>
      <c r="F1509" s="13"/>
      <c r="G1509" s="13"/>
      <c r="H1509" s="17" t="str">
        <f aca="false">IF(OR(E1509="",F1509=""),"",E1509*F1509)</f>
        <v/>
      </c>
      <c r="I1509" s="17" t="str">
        <f aca="false">IF(OR(E1509="",G1509=""),"",E1509*G1509)</f>
        <v/>
      </c>
      <c r="J1509" s="17" t="str">
        <f aca="false">IF(H1509="","",H1509-I1509)</f>
        <v/>
      </c>
    </row>
    <row r="1510" customFormat="false" ht="15" hidden="false" customHeight="true" outlineLevel="0" collapsed="false">
      <c r="A1510" s="7"/>
      <c r="B1510" s="18" t="str">
        <f aca="false">IF(A1510="","",IFERROR(INDEX(Sales_Memo!$B$2:$B$1001,MATCH(A1510,Sales_Memo!$A$2:$A$1001,0)),""))</f>
        <v/>
      </c>
      <c r="C1510" s="7"/>
      <c r="D1510" s="16" t="str">
        <f aca="false">IF(C1510="","",IFERROR(INDEX(Products!$B$2:$B$501,MATCH(C1510,Products!$A$2:$A$501,0)),"CODE NOT FOUND"))</f>
        <v/>
      </c>
      <c r="E1510" s="7"/>
      <c r="F1510" s="13"/>
      <c r="G1510" s="13"/>
      <c r="H1510" s="17" t="str">
        <f aca="false">IF(OR(E1510="",F1510=""),"",E1510*F1510)</f>
        <v/>
      </c>
      <c r="I1510" s="17" t="str">
        <f aca="false">IF(OR(E1510="",G1510=""),"",E1510*G1510)</f>
        <v/>
      </c>
      <c r="J1510" s="17" t="str">
        <f aca="false">IF(H1510="","",H1510-I1510)</f>
        <v/>
      </c>
    </row>
    <row r="1511" customFormat="false" ht="15" hidden="false" customHeight="true" outlineLevel="0" collapsed="false">
      <c r="A1511" s="7"/>
      <c r="B1511" s="18" t="str">
        <f aca="false">IF(A1511="","",IFERROR(INDEX(Sales_Memo!$B$2:$B$1001,MATCH(A1511,Sales_Memo!$A$2:$A$1001,0)),""))</f>
        <v/>
      </c>
      <c r="C1511" s="7"/>
      <c r="D1511" s="16" t="str">
        <f aca="false">IF(C1511="","",IFERROR(INDEX(Products!$B$2:$B$501,MATCH(C1511,Products!$A$2:$A$501,0)),"CODE NOT FOUND"))</f>
        <v/>
      </c>
      <c r="E1511" s="7"/>
      <c r="F1511" s="13"/>
      <c r="G1511" s="13"/>
      <c r="H1511" s="17" t="str">
        <f aca="false">IF(OR(E1511="",F1511=""),"",E1511*F1511)</f>
        <v/>
      </c>
      <c r="I1511" s="17" t="str">
        <f aca="false">IF(OR(E1511="",G1511=""),"",E1511*G1511)</f>
        <v/>
      </c>
      <c r="J1511" s="17" t="str">
        <f aca="false">IF(H1511="","",H1511-I1511)</f>
        <v/>
      </c>
    </row>
    <row r="1512" customFormat="false" ht="15" hidden="false" customHeight="true" outlineLevel="0" collapsed="false">
      <c r="A1512" s="7"/>
      <c r="B1512" s="18" t="str">
        <f aca="false">IF(A1512="","",IFERROR(INDEX(Sales_Memo!$B$2:$B$1001,MATCH(A1512,Sales_Memo!$A$2:$A$1001,0)),""))</f>
        <v/>
      </c>
      <c r="C1512" s="7"/>
      <c r="D1512" s="16" t="str">
        <f aca="false">IF(C1512="","",IFERROR(INDEX(Products!$B$2:$B$501,MATCH(C1512,Products!$A$2:$A$501,0)),"CODE NOT FOUND"))</f>
        <v/>
      </c>
      <c r="E1512" s="7"/>
      <c r="F1512" s="13"/>
      <c r="G1512" s="13"/>
      <c r="H1512" s="17" t="str">
        <f aca="false">IF(OR(E1512="",F1512=""),"",E1512*F1512)</f>
        <v/>
      </c>
      <c r="I1512" s="17" t="str">
        <f aca="false">IF(OR(E1512="",G1512=""),"",E1512*G1512)</f>
        <v/>
      </c>
      <c r="J1512" s="17" t="str">
        <f aca="false">IF(H1512="","",H1512-I1512)</f>
        <v/>
      </c>
    </row>
    <row r="1513" customFormat="false" ht="15" hidden="false" customHeight="true" outlineLevel="0" collapsed="false">
      <c r="A1513" s="7"/>
      <c r="B1513" s="18" t="str">
        <f aca="false">IF(A1513="","",IFERROR(INDEX(Sales_Memo!$B$2:$B$1001,MATCH(A1513,Sales_Memo!$A$2:$A$1001,0)),""))</f>
        <v/>
      </c>
      <c r="C1513" s="7"/>
      <c r="D1513" s="16" t="str">
        <f aca="false">IF(C1513="","",IFERROR(INDEX(Products!$B$2:$B$501,MATCH(C1513,Products!$A$2:$A$501,0)),"CODE NOT FOUND"))</f>
        <v/>
      </c>
      <c r="E1513" s="7"/>
      <c r="F1513" s="13"/>
      <c r="G1513" s="13"/>
      <c r="H1513" s="17" t="str">
        <f aca="false">IF(OR(E1513="",F1513=""),"",E1513*F1513)</f>
        <v/>
      </c>
      <c r="I1513" s="17" t="str">
        <f aca="false">IF(OR(E1513="",G1513=""),"",E1513*G1513)</f>
        <v/>
      </c>
      <c r="J1513" s="17" t="str">
        <f aca="false">IF(H1513="","",H1513-I1513)</f>
        <v/>
      </c>
    </row>
    <row r="1514" customFormat="false" ht="15" hidden="false" customHeight="true" outlineLevel="0" collapsed="false">
      <c r="A1514" s="7"/>
      <c r="B1514" s="18" t="str">
        <f aca="false">IF(A1514="","",IFERROR(INDEX(Sales_Memo!$B$2:$B$1001,MATCH(A1514,Sales_Memo!$A$2:$A$1001,0)),""))</f>
        <v/>
      </c>
      <c r="C1514" s="7"/>
      <c r="D1514" s="16" t="str">
        <f aca="false">IF(C1514="","",IFERROR(INDEX(Products!$B$2:$B$501,MATCH(C1514,Products!$A$2:$A$501,0)),"CODE NOT FOUND"))</f>
        <v/>
      </c>
      <c r="E1514" s="7"/>
      <c r="F1514" s="13"/>
      <c r="G1514" s="13"/>
      <c r="H1514" s="17" t="str">
        <f aca="false">IF(OR(E1514="",F1514=""),"",E1514*F1514)</f>
        <v/>
      </c>
      <c r="I1514" s="17" t="str">
        <f aca="false">IF(OR(E1514="",G1514=""),"",E1514*G1514)</f>
        <v/>
      </c>
      <c r="J1514" s="17" t="str">
        <f aca="false">IF(H1514="","",H1514-I1514)</f>
        <v/>
      </c>
    </row>
    <row r="1515" customFormat="false" ht="15" hidden="false" customHeight="true" outlineLevel="0" collapsed="false">
      <c r="A1515" s="7"/>
      <c r="B1515" s="18" t="str">
        <f aca="false">IF(A1515="","",IFERROR(INDEX(Sales_Memo!$B$2:$B$1001,MATCH(A1515,Sales_Memo!$A$2:$A$1001,0)),""))</f>
        <v/>
      </c>
      <c r="C1515" s="7"/>
      <c r="D1515" s="16" t="str">
        <f aca="false">IF(C1515="","",IFERROR(INDEX(Products!$B$2:$B$501,MATCH(C1515,Products!$A$2:$A$501,0)),"CODE NOT FOUND"))</f>
        <v/>
      </c>
      <c r="E1515" s="7"/>
      <c r="F1515" s="13"/>
      <c r="G1515" s="13"/>
      <c r="H1515" s="17" t="str">
        <f aca="false">IF(OR(E1515="",F1515=""),"",E1515*F1515)</f>
        <v/>
      </c>
      <c r="I1515" s="17" t="str">
        <f aca="false">IF(OR(E1515="",G1515=""),"",E1515*G1515)</f>
        <v/>
      </c>
      <c r="J1515" s="17" t="str">
        <f aca="false">IF(H1515="","",H1515-I1515)</f>
        <v/>
      </c>
    </row>
    <row r="1516" customFormat="false" ht="15" hidden="false" customHeight="true" outlineLevel="0" collapsed="false">
      <c r="A1516" s="7"/>
      <c r="B1516" s="18" t="str">
        <f aca="false">IF(A1516="","",IFERROR(INDEX(Sales_Memo!$B$2:$B$1001,MATCH(A1516,Sales_Memo!$A$2:$A$1001,0)),""))</f>
        <v/>
      </c>
      <c r="C1516" s="7"/>
      <c r="D1516" s="16" t="str">
        <f aca="false">IF(C1516="","",IFERROR(INDEX(Products!$B$2:$B$501,MATCH(C1516,Products!$A$2:$A$501,0)),"CODE NOT FOUND"))</f>
        <v/>
      </c>
      <c r="E1516" s="7"/>
      <c r="F1516" s="13"/>
      <c r="G1516" s="13"/>
      <c r="H1516" s="17" t="str">
        <f aca="false">IF(OR(E1516="",F1516=""),"",E1516*F1516)</f>
        <v/>
      </c>
      <c r="I1516" s="17" t="str">
        <f aca="false">IF(OR(E1516="",G1516=""),"",E1516*G1516)</f>
        <v/>
      </c>
      <c r="J1516" s="17" t="str">
        <f aca="false">IF(H1516="","",H1516-I1516)</f>
        <v/>
      </c>
    </row>
    <row r="1517" customFormat="false" ht="15" hidden="false" customHeight="true" outlineLevel="0" collapsed="false">
      <c r="A1517" s="7"/>
      <c r="B1517" s="18" t="str">
        <f aca="false">IF(A1517="","",IFERROR(INDEX(Sales_Memo!$B$2:$B$1001,MATCH(A1517,Sales_Memo!$A$2:$A$1001,0)),""))</f>
        <v/>
      </c>
      <c r="C1517" s="7"/>
      <c r="D1517" s="16" t="str">
        <f aca="false">IF(C1517="","",IFERROR(INDEX(Products!$B$2:$B$501,MATCH(C1517,Products!$A$2:$A$501,0)),"CODE NOT FOUND"))</f>
        <v/>
      </c>
      <c r="E1517" s="7"/>
      <c r="F1517" s="13"/>
      <c r="G1517" s="13"/>
      <c r="H1517" s="17" t="str">
        <f aca="false">IF(OR(E1517="",F1517=""),"",E1517*F1517)</f>
        <v/>
      </c>
      <c r="I1517" s="17" t="str">
        <f aca="false">IF(OR(E1517="",G1517=""),"",E1517*G1517)</f>
        <v/>
      </c>
      <c r="J1517" s="17" t="str">
        <f aca="false">IF(H1517="","",H1517-I1517)</f>
        <v/>
      </c>
    </row>
    <row r="1518" customFormat="false" ht="15" hidden="false" customHeight="true" outlineLevel="0" collapsed="false">
      <c r="A1518" s="7"/>
      <c r="B1518" s="18" t="str">
        <f aca="false">IF(A1518="","",IFERROR(INDEX(Sales_Memo!$B$2:$B$1001,MATCH(A1518,Sales_Memo!$A$2:$A$1001,0)),""))</f>
        <v/>
      </c>
      <c r="C1518" s="7"/>
      <c r="D1518" s="16" t="str">
        <f aca="false">IF(C1518="","",IFERROR(INDEX(Products!$B$2:$B$501,MATCH(C1518,Products!$A$2:$A$501,0)),"CODE NOT FOUND"))</f>
        <v/>
      </c>
      <c r="E1518" s="7"/>
      <c r="F1518" s="13"/>
      <c r="G1518" s="13"/>
      <c r="H1518" s="17" t="str">
        <f aca="false">IF(OR(E1518="",F1518=""),"",E1518*F1518)</f>
        <v/>
      </c>
      <c r="I1518" s="17" t="str">
        <f aca="false">IF(OR(E1518="",G1518=""),"",E1518*G1518)</f>
        <v/>
      </c>
      <c r="J1518" s="17" t="str">
        <f aca="false">IF(H1518="","",H1518-I1518)</f>
        <v/>
      </c>
    </row>
    <row r="1519" customFormat="false" ht="15" hidden="false" customHeight="true" outlineLevel="0" collapsed="false">
      <c r="A1519" s="7"/>
      <c r="B1519" s="18" t="str">
        <f aca="false">IF(A1519="","",IFERROR(INDEX(Sales_Memo!$B$2:$B$1001,MATCH(A1519,Sales_Memo!$A$2:$A$1001,0)),""))</f>
        <v/>
      </c>
      <c r="C1519" s="7"/>
      <c r="D1519" s="16" t="str">
        <f aca="false">IF(C1519="","",IFERROR(INDEX(Products!$B$2:$B$501,MATCH(C1519,Products!$A$2:$A$501,0)),"CODE NOT FOUND"))</f>
        <v/>
      </c>
      <c r="E1519" s="7"/>
      <c r="F1519" s="13"/>
      <c r="G1519" s="13"/>
      <c r="H1519" s="17" t="str">
        <f aca="false">IF(OR(E1519="",F1519=""),"",E1519*F1519)</f>
        <v/>
      </c>
      <c r="I1519" s="17" t="str">
        <f aca="false">IF(OR(E1519="",G1519=""),"",E1519*G1519)</f>
        <v/>
      </c>
      <c r="J1519" s="17" t="str">
        <f aca="false">IF(H1519="","",H1519-I1519)</f>
        <v/>
      </c>
    </row>
    <row r="1520" customFormat="false" ht="15" hidden="false" customHeight="true" outlineLevel="0" collapsed="false">
      <c r="A1520" s="7"/>
      <c r="B1520" s="18" t="str">
        <f aca="false">IF(A1520="","",IFERROR(INDEX(Sales_Memo!$B$2:$B$1001,MATCH(A1520,Sales_Memo!$A$2:$A$1001,0)),""))</f>
        <v/>
      </c>
      <c r="C1520" s="7"/>
      <c r="D1520" s="16" t="str">
        <f aca="false">IF(C1520="","",IFERROR(INDEX(Products!$B$2:$B$501,MATCH(C1520,Products!$A$2:$A$501,0)),"CODE NOT FOUND"))</f>
        <v/>
      </c>
      <c r="E1520" s="7"/>
      <c r="F1520" s="13"/>
      <c r="G1520" s="13"/>
      <c r="H1520" s="17" t="str">
        <f aca="false">IF(OR(E1520="",F1520=""),"",E1520*F1520)</f>
        <v/>
      </c>
      <c r="I1520" s="17" t="str">
        <f aca="false">IF(OR(E1520="",G1520=""),"",E1520*G1520)</f>
        <v/>
      </c>
      <c r="J1520" s="17" t="str">
        <f aca="false">IF(H1520="","",H1520-I1520)</f>
        <v/>
      </c>
    </row>
    <row r="1521" customFormat="false" ht="15" hidden="false" customHeight="true" outlineLevel="0" collapsed="false">
      <c r="A1521" s="7"/>
      <c r="B1521" s="18" t="str">
        <f aca="false">IF(A1521="","",IFERROR(INDEX(Sales_Memo!$B$2:$B$1001,MATCH(A1521,Sales_Memo!$A$2:$A$1001,0)),""))</f>
        <v/>
      </c>
      <c r="C1521" s="7"/>
      <c r="D1521" s="16" t="str">
        <f aca="false">IF(C1521="","",IFERROR(INDEX(Products!$B$2:$B$501,MATCH(C1521,Products!$A$2:$A$501,0)),"CODE NOT FOUND"))</f>
        <v/>
      </c>
      <c r="E1521" s="7"/>
      <c r="F1521" s="13"/>
      <c r="G1521" s="13"/>
      <c r="H1521" s="17" t="str">
        <f aca="false">IF(OR(E1521="",F1521=""),"",E1521*F1521)</f>
        <v/>
      </c>
      <c r="I1521" s="17" t="str">
        <f aca="false">IF(OR(E1521="",G1521=""),"",E1521*G1521)</f>
        <v/>
      </c>
      <c r="J1521" s="17" t="str">
        <f aca="false">IF(H1521="","",H1521-I1521)</f>
        <v/>
      </c>
    </row>
    <row r="1522" customFormat="false" ht="15" hidden="false" customHeight="true" outlineLevel="0" collapsed="false">
      <c r="A1522" s="7"/>
      <c r="B1522" s="18" t="str">
        <f aca="false">IF(A1522="","",IFERROR(INDEX(Sales_Memo!$B$2:$B$1001,MATCH(A1522,Sales_Memo!$A$2:$A$1001,0)),""))</f>
        <v/>
      </c>
      <c r="C1522" s="7"/>
      <c r="D1522" s="16" t="str">
        <f aca="false">IF(C1522="","",IFERROR(INDEX(Products!$B$2:$B$501,MATCH(C1522,Products!$A$2:$A$501,0)),"CODE NOT FOUND"))</f>
        <v/>
      </c>
      <c r="E1522" s="7"/>
      <c r="F1522" s="13"/>
      <c r="G1522" s="13"/>
      <c r="H1522" s="17" t="str">
        <f aca="false">IF(OR(E1522="",F1522=""),"",E1522*F1522)</f>
        <v/>
      </c>
      <c r="I1522" s="17" t="str">
        <f aca="false">IF(OR(E1522="",G1522=""),"",E1522*G1522)</f>
        <v/>
      </c>
      <c r="J1522" s="17" t="str">
        <f aca="false">IF(H1522="","",H1522-I1522)</f>
        <v/>
      </c>
    </row>
    <row r="1523" customFormat="false" ht="15" hidden="false" customHeight="true" outlineLevel="0" collapsed="false">
      <c r="A1523" s="7"/>
      <c r="B1523" s="18" t="str">
        <f aca="false">IF(A1523="","",IFERROR(INDEX(Sales_Memo!$B$2:$B$1001,MATCH(A1523,Sales_Memo!$A$2:$A$1001,0)),""))</f>
        <v/>
      </c>
      <c r="C1523" s="7"/>
      <c r="D1523" s="16" t="str">
        <f aca="false">IF(C1523="","",IFERROR(INDEX(Products!$B$2:$B$501,MATCH(C1523,Products!$A$2:$A$501,0)),"CODE NOT FOUND"))</f>
        <v/>
      </c>
      <c r="E1523" s="7"/>
      <c r="F1523" s="13"/>
      <c r="G1523" s="13"/>
      <c r="H1523" s="17" t="str">
        <f aca="false">IF(OR(E1523="",F1523=""),"",E1523*F1523)</f>
        <v/>
      </c>
      <c r="I1523" s="17" t="str">
        <f aca="false">IF(OR(E1523="",G1523=""),"",E1523*G1523)</f>
        <v/>
      </c>
      <c r="J1523" s="17" t="str">
        <f aca="false">IF(H1523="","",H1523-I1523)</f>
        <v/>
      </c>
    </row>
    <row r="1524" customFormat="false" ht="15" hidden="false" customHeight="true" outlineLevel="0" collapsed="false">
      <c r="A1524" s="7"/>
      <c r="B1524" s="18" t="str">
        <f aca="false">IF(A1524="","",IFERROR(INDEX(Sales_Memo!$B$2:$B$1001,MATCH(A1524,Sales_Memo!$A$2:$A$1001,0)),""))</f>
        <v/>
      </c>
      <c r="C1524" s="7"/>
      <c r="D1524" s="16" t="str">
        <f aca="false">IF(C1524="","",IFERROR(INDEX(Products!$B$2:$B$501,MATCH(C1524,Products!$A$2:$A$501,0)),"CODE NOT FOUND"))</f>
        <v/>
      </c>
      <c r="E1524" s="7"/>
      <c r="F1524" s="13"/>
      <c r="G1524" s="13"/>
      <c r="H1524" s="17" t="str">
        <f aca="false">IF(OR(E1524="",F1524=""),"",E1524*F1524)</f>
        <v/>
      </c>
      <c r="I1524" s="17" t="str">
        <f aca="false">IF(OR(E1524="",G1524=""),"",E1524*G1524)</f>
        <v/>
      </c>
      <c r="J1524" s="17" t="str">
        <f aca="false">IF(H1524="","",H1524-I1524)</f>
        <v/>
      </c>
    </row>
    <row r="1525" customFormat="false" ht="15" hidden="false" customHeight="true" outlineLevel="0" collapsed="false">
      <c r="A1525" s="7"/>
      <c r="B1525" s="18" t="str">
        <f aca="false">IF(A1525="","",IFERROR(INDEX(Sales_Memo!$B$2:$B$1001,MATCH(A1525,Sales_Memo!$A$2:$A$1001,0)),""))</f>
        <v/>
      </c>
      <c r="C1525" s="7"/>
      <c r="D1525" s="16" t="str">
        <f aca="false">IF(C1525="","",IFERROR(INDEX(Products!$B$2:$B$501,MATCH(C1525,Products!$A$2:$A$501,0)),"CODE NOT FOUND"))</f>
        <v/>
      </c>
      <c r="E1525" s="7"/>
      <c r="F1525" s="13"/>
      <c r="G1525" s="13"/>
      <c r="H1525" s="17" t="str">
        <f aca="false">IF(OR(E1525="",F1525=""),"",E1525*F1525)</f>
        <v/>
      </c>
      <c r="I1525" s="17" t="str">
        <f aca="false">IF(OR(E1525="",G1525=""),"",E1525*G1525)</f>
        <v/>
      </c>
      <c r="J1525" s="17" t="str">
        <f aca="false">IF(H1525="","",H1525-I1525)</f>
        <v/>
      </c>
    </row>
    <row r="1526" customFormat="false" ht="15" hidden="false" customHeight="true" outlineLevel="0" collapsed="false">
      <c r="A1526" s="7"/>
      <c r="B1526" s="18" t="str">
        <f aca="false">IF(A1526="","",IFERROR(INDEX(Sales_Memo!$B$2:$B$1001,MATCH(A1526,Sales_Memo!$A$2:$A$1001,0)),""))</f>
        <v/>
      </c>
      <c r="C1526" s="7"/>
      <c r="D1526" s="16" t="str">
        <f aca="false">IF(C1526="","",IFERROR(INDEX(Products!$B$2:$B$501,MATCH(C1526,Products!$A$2:$A$501,0)),"CODE NOT FOUND"))</f>
        <v/>
      </c>
      <c r="E1526" s="7"/>
      <c r="F1526" s="13"/>
      <c r="G1526" s="13"/>
      <c r="H1526" s="17" t="str">
        <f aca="false">IF(OR(E1526="",F1526=""),"",E1526*F1526)</f>
        <v/>
      </c>
      <c r="I1526" s="17" t="str">
        <f aca="false">IF(OR(E1526="",G1526=""),"",E1526*G1526)</f>
        <v/>
      </c>
      <c r="J1526" s="17" t="str">
        <f aca="false">IF(H1526="","",H1526-I1526)</f>
        <v/>
      </c>
    </row>
    <row r="1527" customFormat="false" ht="15" hidden="false" customHeight="true" outlineLevel="0" collapsed="false">
      <c r="A1527" s="7"/>
      <c r="B1527" s="18" t="str">
        <f aca="false">IF(A1527="","",IFERROR(INDEX(Sales_Memo!$B$2:$B$1001,MATCH(A1527,Sales_Memo!$A$2:$A$1001,0)),""))</f>
        <v/>
      </c>
      <c r="C1527" s="7"/>
      <c r="D1527" s="16" t="str">
        <f aca="false">IF(C1527="","",IFERROR(INDEX(Products!$B$2:$B$501,MATCH(C1527,Products!$A$2:$A$501,0)),"CODE NOT FOUND"))</f>
        <v/>
      </c>
      <c r="E1527" s="7"/>
      <c r="F1527" s="13"/>
      <c r="G1527" s="13"/>
      <c r="H1527" s="17" t="str">
        <f aca="false">IF(OR(E1527="",F1527=""),"",E1527*F1527)</f>
        <v/>
      </c>
      <c r="I1527" s="17" t="str">
        <f aca="false">IF(OR(E1527="",G1527=""),"",E1527*G1527)</f>
        <v/>
      </c>
      <c r="J1527" s="17" t="str">
        <f aca="false">IF(H1527="","",H1527-I1527)</f>
        <v/>
      </c>
    </row>
    <row r="1528" customFormat="false" ht="15" hidden="false" customHeight="true" outlineLevel="0" collapsed="false">
      <c r="A1528" s="7"/>
      <c r="B1528" s="18" t="str">
        <f aca="false">IF(A1528="","",IFERROR(INDEX(Sales_Memo!$B$2:$B$1001,MATCH(A1528,Sales_Memo!$A$2:$A$1001,0)),""))</f>
        <v/>
      </c>
      <c r="C1528" s="7"/>
      <c r="D1528" s="16" t="str">
        <f aca="false">IF(C1528="","",IFERROR(INDEX(Products!$B$2:$B$501,MATCH(C1528,Products!$A$2:$A$501,0)),"CODE NOT FOUND"))</f>
        <v/>
      </c>
      <c r="E1528" s="7"/>
      <c r="F1528" s="13"/>
      <c r="G1528" s="13"/>
      <c r="H1528" s="17" t="str">
        <f aca="false">IF(OR(E1528="",F1528=""),"",E1528*F1528)</f>
        <v/>
      </c>
      <c r="I1528" s="17" t="str">
        <f aca="false">IF(OR(E1528="",G1528=""),"",E1528*G1528)</f>
        <v/>
      </c>
      <c r="J1528" s="17" t="str">
        <f aca="false">IF(H1528="","",H1528-I1528)</f>
        <v/>
      </c>
    </row>
    <row r="1529" customFormat="false" ht="15" hidden="false" customHeight="true" outlineLevel="0" collapsed="false">
      <c r="A1529" s="7"/>
      <c r="B1529" s="18" t="str">
        <f aca="false">IF(A1529="","",IFERROR(INDEX(Sales_Memo!$B$2:$B$1001,MATCH(A1529,Sales_Memo!$A$2:$A$1001,0)),""))</f>
        <v/>
      </c>
      <c r="C1529" s="7"/>
      <c r="D1529" s="16" t="str">
        <f aca="false">IF(C1529="","",IFERROR(INDEX(Products!$B$2:$B$501,MATCH(C1529,Products!$A$2:$A$501,0)),"CODE NOT FOUND"))</f>
        <v/>
      </c>
      <c r="E1529" s="7"/>
      <c r="F1529" s="13"/>
      <c r="G1529" s="13"/>
      <c r="H1529" s="17" t="str">
        <f aca="false">IF(OR(E1529="",F1529=""),"",E1529*F1529)</f>
        <v/>
      </c>
      <c r="I1529" s="17" t="str">
        <f aca="false">IF(OR(E1529="",G1529=""),"",E1529*G1529)</f>
        <v/>
      </c>
      <c r="J1529" s="17" t="str">
        <f aca="false">IF(H1529="","",H1529-I1529)</f>
        <v/>
      </c>
    </row>
    <row r="1530" customFormat="false" ht="15" hidden="false" customHeight="true" outlineLevel="0" collapsed="false">
      <c r="A1530" s="7"/>
      <c r="B1530" s="18" t="str">
        <f aca="false">IF(A1530="","",IFERROR(INDEX(Sales_Memo!$B$2:$B$1001,MATCH(A1530,Sales_Memo!$A$2:$A$1001,0)),""))</f>
        <v/>
      </c>
      <c r="C1530" s="7"/>
      <c r="D1530" s="16" t="str">
        <f aca="false">IF(C1530="","",IFERROR(INDEX(Products!$B$2:$B$501,MATCH(C1530,Products!$A$2:$A$501,0)),"CODE NOT FOUND"))</f>
        <v/>
      </c>
      <c r="E1530" s="7"/>
      <c r="F1530" s="13"/>
      <c r="G1530" s="13"/>
      <c r="H1530" s="17" t="str">
        <f aca="false">IF(OR(E1530="",F1530=""),"",E1530*F1530)</f>
        <v/>
      </c>
      <c r="I1530" s="17" t="str">
        <f aca="false">IF(OR(E1530="",G1530=""),"",E1530*G1530)</f>
        <v/>
      </c>
      <c r="J1530" s="17" t="str">
        <f aca="false">IF(H1530="","",H1530-I1530)</f>
        <v/>
      </c>
    </row>
    <row r="1531" customFormat="false" ht="15" hidden="false" customHeight="true" outlineLevel="0" collapsed="false">
      <c r="A1531" s="7"/>
      <c r="B1531" s="18" t="str">
        <f aca="false">IF(A1531="","",IFERROR(INDEX(Sales_Memo!$B$2:$B$1001,MATCH(A1531,Sales_Memo!$A$2:$A$1001,0)),""))</f>
        <v/>
      </c>
      <c r="C1531" s="7"/>
      <c r="D1531" s="16" t="str">
        <f aca="false">IF(C1531="","",IFERROR(INDEX(Products!$B$2:$B$501,MATCH(C1531,Products!$A$2:$A$501,0)),"CODE NOT FOUND"))</f>
        <v/>
      </c>
      <c r="E1531" s="7"/>
      <c r="F1531" s="13"/>
      <c r="G1531" s="13"/>
      <c r="H1531" s="17" t="str">
        <f aca="false">IF(OR(E1531="",F1531=""),"",E1531*F1531)</f>
        <v/>
      </c>
      <c r="I1531" s="17" t="str">
        <f aca="false">IF(OR(E1531="",G1531=""),"",E1531*G1531)</f>
        <v/>
      </c>
      <c r="J1531" s="17" t="str">
        <f aca="false">IF(H1531="","",H1531-I1531)</f>
        <v/>
      </c>
    </row>
    <row r="1532" customFormat="false" ht="15" hidden="false" customHeight="true" outlineLevel="0" collapsed="false">
      <c r="A1532" s="7"/>
      <c r="B1532" s="18" t="str">
        <f aca="false">IF(A1532="","",IFERROR(INDEX(Sales_Memo!$B$2:$B$1001,MATCH(A1532,Sales_Memo!$A$2:$A$1001,0)),""))</f>
        <v/>
      </c>
      <c r="C1532" s="7"/>
      <c r="D1532" s="16" t="str">
        <f aca="false">IF(C1532="","",IFERROR(INDEX(Products!$B$2:$B$501,MATCH(C1532,Products!$A$2:$A$501,0)),"CODE NOT FOUND"))</f>
        <v/>
      </c>
      <c r="E1532" s="7"/>
      <c r="F1532" s="13"/>
      <c r="G1532" s="13"/>
      <c r="H1532" s="17" t="str">
        <f aca="false">IF(OR(E1532="",F1532=""),"",E1532*F1532)</f>
        <v/>
      </c>
      <c r="I1532" s="17" t="str">
        <f aca="false">IF(OR(E1532="",G1532=""),"",E1532*G1532)</f>
        <v/>
      </c>
      <c r="J1532" s="17" t="str">
        <f aca="false">IF(H1532="","",H1532-I1532)</f>
        <v/>
      </c>
    </row>
    <row r="1533" customFormat="false" ht="15" hidden="false" customHeight="true" outlineLevel="0" collapsed="false">
      <c r="A1533" s="7"/>
      <c r="B1533" s="18" t="str">
        <f aca="false">IF(A1533="","",IFERROR(INDEX(Sales_Memo!$B$2:$B$1001,MATCH(A1533,Sales_Memo!$A$2:$A$1001,0)),""))</f>
        <v/>
      </c>
      <c r="C1533" s="7"/>
      <c r="D1533" s="16" t="str">
        <f aca="false">IF(C1533="","",IFERROR(INDEX(Products!$B$2:$B$501,MATCH(C1533,Products!$A$2:$A$501,0)),"CODE NOT FOUND"))</f>
        <v/>
      </c>
      <c r="E1533" s="7"/>
      <c r="F1533" s="13"/>
      <c r="G1533" s="13"/>
      <c r="H1533" s="17" t="str">
        <f aca="false">IF(OR(E1533="",F1533=""),"",E1533*F1533)</f>
        <v/>
      </c>
      <c r="I1533" s="17" t="str">
        <f aca="false">IF(OR(E1533="",G1533=""),"",E1533*G1533)</f>
        <v/>
      </c>
      <c r="J1533" s="17" t="str">
        <f aca="false">IF(H1533="","",H1533-I1533)</f>
        <v/>
      </c>
    </row>
    <row r="1534" customFormat="false" ht="15" hidden="false" customHeight="true" outlineLevel="0" collapsed="false">
      <c r="A1534" s="7"/>
      <c r="B1534" s="18" t="str">
        <f aca="false">IF(A1534="","",IFERROR(INDEX(Sales_Memo!$B$2:$B$1001,MATCH(A1534,Sales_Memo!$A$2:$A$1001,0)),""))</f>
        <v/>
      </c>
      <c r="C1534" s="7"/>
      <c r="D1534" s="16" t="str">
        <f aca="false">IF(C1534="","",IFERROR(INDEX(Products!$B$2:$B$501,MATCH(C1534,Products!$A$2:$A$501,0)),"CODE NOT FOUND"))</f>
        <v/>
      </c>
      <c r="E1534" s="7"/>
      <c r="F1534" s="13"/>
      <c r="G1534" s="13"/>
      <c r="H1534" s="17" t="str">
        <f aca="false">IF(OR(E1534="",F1534=""),"",E1534*F1534)</f>
        <v/>
      </c>
      <c r="I1534" s="17" t="str">
        <f aca="false">IF(OR(E1534="",G1534=""),"",E1534*G1534)</f>
        <v/>
      </c>
      <c r="J1534" s="17" t="str">
        <f aca="false">IF(H1534="","",H1534-I1534)</f>
        <v/>
      </c>
    </row>
    <row r="1535" customFormat="false" ht="15" hidden="false" customHeight="true" outlineLevel="0" collapsed="false">
      <c r="A1535" s="7"/>
      <c r="B1535" s="18" t="str">
        <f aca="false">IF(A1535="","",IFERROR(INDEX(Sales_Memo!$B$2:$B$1001,MATCH(A1535,Sales_Memo!$A$2:$A$1001,0)),""))</f>
        <v/>
      </c>
      <c r="C1535" s="7"/>
      <c r="D1535" s="16" t="str">
        <f aca="false">IF(C1535="","",IFERROR(INDEX(Products!$B$2:$B$501,MATCH(C1535,Products!$A$2:$A$501,0)),"CODE NOT FOUND"))</f>
        <v/>
      </c>
      <c r="E1535" s="7"/>
      <c r="F1535" s="13"/>
      <c r="G1535" s="13"/>
      <c r="H1535" s="17" t="str">
        <f aca="false">IF(OR(E1535="",F1535=""),"",E1535*F1535)</f>
        <v/>
      </c>
      <c r="I1535" s="17" t="str">
        <f aca="false">IF(OR(E1535="",G1535=""),"",E1535*G1535)</f>
        <v/>
      </c>
      <c r="J1535" s="17" t="str">
        <f aca="false">IF(H1535="","",H1535-I1535)</f>
        <v/>
      </c>
    </row>
    <row r="1536" customFormat="false" ht="15" hidden="false" customHeight="true" outlineLevel="0" collapsed="false">
      <c r="A1536" s="7"/>
      <c r="B1536" s="18" t="str">
        <f aca="false">IF(A1536="","",IFERROR(INDEX(Sales_Memo!$B$2:$B$1001,MATCH(A1536,Sales_Memo!$A$2:$A$1001,0)),""))</f>
        <v/>
      </c>
      <c r="C1536" s="7"/>
      <c r="D1536" s="16" t="str">
        <f aca="false">IF(C1536="","",IFERROR(INDEX(Products!$B$2:$B$501,MATCH(C1536,Products!$A$2:$A$501,0)),"CODE NOT FOUND"))</f>
        <v/>
      </c>
      <c r="E1536" s="7"/>
      <c r="F1536" s="13"/>
      <c r="G1536" s="13"/>
      <c r="H1536" s="17" t="str">
        <f aca="false">IF(OR(E1536="",F1536=""),"",E1536*F1536)</f>
        <v/>
      </c>
      <c r="I1536" s="17" t="str">
        <f aca="false">IF(OR(E1536="",G1536=""),"",E1536*G1536)</f>
        <v/>
      </c>
      <c r="J1536" s="17" t="str">
        <f aca="false">IF(H1536="","",H1536-I1536)</f>
        <v/>
      </c>
    </row>
    <row r="1537" customFormat="false" ht="15" hidden="false" customHeight="true" outlineLevel="0" collapsed="false">
      <c r="A1537" s="7"/>
      <c r="B1537" s="18" t="str">
        <f aca="false">IF(A1537="","",IFERROR(INDEX(Sales_Memo!$B$2:$B$1001,MATCH(A1537,Sales_Memo!$A$2:$A$1001,0)),""))</f>
        <v/>
      </c>
      <c r="C1537" s="7"/>
      <c r="D1537" s="16" t="str">
        <f aca="false">IF(C1537="","",IFERROR(INDEX(Products!$B$2:$B$501,MATCH(C1537,Products!$A$2:$A$501,0)),"CODE NOT FOUND"))</f>
        <v/>
      </c>
      <c r="E1537" s="7"/>
      <c r="F1537" s="13"/>
      <c r="G1537" s="13"/>
      <c r="H1537" s="17" t="str">
        <f aca="false">IF(OR(E1537="",F1537=""),"",E1537*F1537)</f>
        <v/>
      </c>
      <c r="I1537" s="17" t="str">
        <f aca="false">IF(OR(E1537="",G1537=""),"",E1537*G1537)</f>
        <v/>
      </c>
      <c r="J1537" s="17" t="str">
        <f aca="false">IF(H1537="","",H1537-I1537)</f>
        <v/>
      </c>
    </row>
    <row r="1538" customFormat="false" ht="15" hidden="false" customHeight="true" outlineLevel="0" collapsed="false">
      <c r="A1538" s="7"/>
      <c r="B1538" s="18" t="str">
        <f aca="false">IF(A1538="","",IFERROR(INDEX(Sales_Memo!$B$2:$B$1001,MATCH(A1538,Sales_Memo!$A$2:$A$1001,0)),""))</f>
        <v/>
      </c>
      <c r="C1538" s="7"/>
      <c r="D1538" s="16" t="str">
        <f aca="false">IF(C1538="","",IFERROR(INDEX(Products!$B$2:$B$501,MATCH(C1538,Products!$A$2:$A$501,0)),"CODE NOT FOUND"))</f>
        <v/>
      </c>
      <c r="E1538" s="7"/>
      <c r="F1538" s="13"/>
      <c r="G1538" s="13"/>
      <c r="H1538" s="17" t="str">
        <f aca="false">IF(OR(E1538="",F1538=""),"",E1538*F1538)</f>
        <v/>
      </c>
      <c r="I1538" s="17" t="str">
        <f aca="false">IF(OR(E1538="",G1538=""),"",E1538*G1538)</f>
        <v/>
      </c>
      <c r="J1538" s="17" t="str">
        <f aca="false">IF(H1538="","",H1538-I1538)</f>
        <v/>
      </c>
    </row>
    <row r="1539" customFormat="false" ht="15" hidden="false" customHeight="true" outlineLevel="0" collapsed="false">
      <c r="A1539" s="7"/>
      <c r="B1539" s="18" t="str">
        <f aca="false">IF(A1539="","",IFERROR(INDEX(Sales_Memo!$B$2:$B$1001,MATCH(A1539,Sales_Memo!$A$2:$A$1001,0)),""))</f>
        <v/>
      </c>
      <c r="C1539" s="7"/>
      <c r="D1539" s="16" t="str">
        <f aca="false">IF(C1539="","",IFERROR(INDEX(Products!$B$2:$B$501,MATCH(C1539,Products!$A$2:$A$501,0)),"CODE NOT FOUND"))</f>
        <v/>
      </c>
      <c r="E1539" s="7"/>
      <c r="F1539" s="13"/>
      <c r="G1539" s="13"/>
      <c r="H1539" s="17" t="str">
        <f aca="false">IF(OR(E1539="",F1539=""),"",E1539*F1539)</f>
        <v/>
      </c>
      <c r="I1539" s="17" t="str">
        <f aca="false">IF(OR(E1539="",G1539=""),"",E1539*G1539)</f>
        <v/>
      </c>
      <c r="J1539" s="17" t="str">
        <f aca="false">IF(H1539="","",H1539-I1539)</f>
        <v/>
      </c>
    </row>
    <row r="1540" customFormat="false" ht="15" hidden="false" customHeight="true" outlineLevel="0" collapsed="false">
      <c r="A1540" s="7"/>
      <c r="B1540" s="18" t="str">
        <f aca="false">IF(A1540="","",IFERROR(INDEX(Sales_Memo!$B$2:$B$1001,MATCH(A1540,Sales_Memo!$A$2:$A$1001,0)),""))</f>
        <v/>
      </c>
      <c r="C1540" s="7"/>
      <c r="D1540" s="16" t="str">
        <f aca="false">IF(C1540="","",IFERROR(INDEX(Products!$B$2:$B$501,MATCH(C1540,Products!$A$2:$A$501,0)),"CODE NOT FOUND"))</f>
        <v/>
      </c>
      <c r="E1540" s="7"/>
      <c r="F1540" s="13"/>
      <c r="G1540" s="13"/>
      <c r="H1540" s="17" t="str">
        <f aca="false">IF(OR(E1540="",F1540=""),"",E1540*F1540)</f>
        <v/>
      </c>
      <c r="I1540" s="17" t="str">
        <f aca="false">IF(OR(E1540="",G1540=""),"",E1540*G1540)</f>
        <v/>
      </c>
      <c r="J1540" s="17" t="str">
        <f aca="false">IF(H1540="","",H1540-I1540)</f>
        <v/>
      </c>
    </row>
    <row r="1541" customFormat="false" ht="15" hidden="false" customHeight="true" outlineLevel="0" collapsed="false">
      <c r="A1541" s="7"/>
      <c r="B1541" s="18" t="str">
        <f aca="false">IF(A1541="","",IFERROR(INDEX(Sales_Memo!$B$2:$B$1001,MATCH(A1541,Sales_Memo!$A$2:$A$1001,0)),""))</f>
        <v/>
      </c>
      <c r="C1541" s="7"/>
      <c r="D1541" s="16" t="str">
        <f aca="false">IF(C1541="","",IFERROR(INDEX(Products!$B$2:$B$501,MATCH(C1541,Products!$A$2:$A$501,0)),"CODE NOT FOUND"))</f>
        <v/>
      </c>
      <c r="E1541" s="7"/>
      <c r="F1541" s="13"/>
      <c r="G1541" s="13"/>
      <c r="H1541" s="17" t="str">
        <f aca="false">IF(OR(E1541="",F1541=""),"",E1541*F1541)</f>
        <v/>
      </c>
      <c r="I1541" s="17" t="str">
        <f aca="false">IF(OR(E1541="",G1541=""),"",E1541*G1541)</f>
        <v/>
      </c>
      <c r="J1541" s="17" t="str">
        <f aca="false">IF(H1541="","",H1541-I1541)</f>
        <v/>
      </c>
    </row>
    <row r="1542" customFormat="false" ht="15" hidden="false" customHeight="true" outlineLevel="0" collapsed="false">
      <c r="A1542" s="7"/>
      <c r="B1542" s="18" t="str">
        <f aca="false">IF(A1542="","",IFERROR(INDEX(Sales_Memo!$B$2:$B$1001,MATCH(A1542,Sales_Memo!$A$2:$A$1001,0)),""))</f>
        <v/>
      </c>
      <c r="C1542" s="7"/>
      <c r="D1542" s="16" t="str">
        <f aca="false">IF(C1542="","",IFERROR(INDEX(Products!$B$2:$B$501,MATCH(C1542,Products!$A$2:$A$501,0)),"CODE NOT FOUND"))</f>
        <v/>
      </c>
      <c r="E1542" s="7"/>
      <c r="F1542" s="13"/>
      <c r="G1542" s="13"/>
      <c r="H1542" s="17" t="str">
        <f aca="false">IF(OR(E1542="",F1542=""),"",E1542*F1542)</f>
        <v/>
      </c>
      <c r="I1542" s="17" t="str">
        <f aca="false">IF(OR(E1542="",G1542=""),"",E1542*G1542)</f>
        <v/>
      </c>
      <c r="J1542" s="17" t="str">
        <f aca="false">IF(H1542="","",H1542-I1542)</f>
        <v/>
      </c>
    </row>
    <row r="1543" customFormat="false" ht="15" hidden="false" customHeight="true" outlineLevel="0" collapsed="false">
      <c r="A1543" s="7"/>
      <c r="B1543" s="18" t="str">
        <f aca="false">IF(A1543="","",IFERROR(INDEX(Sales_Memo!$B$2:$B$1001,MATCH(A1543,Sales_Memo!$A$2:$A$1001,0)),""))</f>
        <v/>
      </c>
      <c r="C1543" s="7"/>
      <c r="D1543" s="16" t="str">
        <f aca="false">IF(C1543="","",IFERROR(INDEX(Products!$B$2:$B$501,MATCH(C1543,Products!$A$2:$A$501,0)),"CODE NOT FOUND"))</f>
        <v/>
      </c>
      <c r="E1543" s="7"/>
      <c r="F1543" s="13"/>
      <c r="G1543" s="13"/>
      <c r="H1543" s="17" t="str">
        <f aca="false">IF(OR(E1543="",F1543=""),"",E1543*F1543)</f>
        <v/>
      </c>
      <c r="I1543" s="17" t="str">
        <f aca="false">IF(OR(E1543="",G1543=""),"",E1543*G1543)</f>
        <v/>
      </c>
      <c r="J1543" s="17" t="str">
        <f aca="false">IF(H1543="","",H1543-I1543)</f>
        <v/>
      </c>
    </row>
    <row r="1544" customFormat="false" ht="15" hidden="false" customHeight="true" outlineLevel="0" collapsed="false">
      <c r="A1544" s="7"/>
      <c r="B1544" s="18" t="str">
        <f aca="false">IF(A1544="","",IFERROR(INDEX(Sales_Memo!$B$2:$B$1001,MATCH(A1544,Sales_Memo!$A$2:$A$1001,0)),""))</f>
        <v/>
      </c>
      <c r="C1544" s="7"/>
      <c r="D1544" s="16" t="str">
        <f aca="false">IF(C1544="","",IFERROR(INDEX(Products!$B$2:$B$501,MATCH(C1544,Products!$A$2:$A$501,0)),"CODE NOT FOUND"))</f>
        <v/>
      </c>
      <c r="E1544" s="7"/>
      <c r="F1544" s="13"/>
      <c r="G1544" s="13"/>
      <c r="H1544" s="17" t="str">
        <f aca="false">IF(OR(E1544="",F1544=""),"",E1544*F1544)</f>
        <v/>
      </c>
      <c r="I1544" s="17" t="str">
        <f aca="false">IF(OR(E1544="",G1544=""),"",E1544*G1544)</f>
        <v/>
      </c>
      <c r="J1544" s="17" t="str">
        <f aca="false">IF(H1544="","",H1544-I1544)</f>
        <v/>
      </c>
    </row>
    <row r="1545" customFormat="false" ht="15" hidden="false" customHeight="true" outlineLevel="0" collapsed="false">
      <c r="A1545" s="7"/>
      <c r="B1545" s="18" t="str">
        <f aca="false">IF(A1545="","",IFERROR(INDEX(Sales_Memo!$B$2:$B$1001,MATCH(A1545,Sales_Memo!$A$2:$A$1001,0)),""))</f>
        <v/>
      </c>
      <c r="C1545" s="7"/>
      <c r="D1545" s="16" t="str">
        <f aca="false">IF(C1545="","",IFERROR(INDEX(Products!$B$2:$B$501,MATCH(C1545,Products!$A$2:$A$501,0)),"CODE NOT FOUND"))</f>
        <v/>
      </c>
      <c r="E1545" s="7"/>
      <c r="F1545" s="13"/>
      <c r="G1545" s="13"/>
      <c r="H1545" s="17" t="str">
        <f aca="false">IF(OR(E1545="",F1545=""),"",E1545*F1545)</f>
        <v/>
      </c>
      <c r="I1545" s="17" t="str">
        <f aca="false">IF(OR(E1545="",G1545=""),"",E1545*G1545)</f>
        <v/>
      </c>
      <c r="J1545" s="17" t="str">
        <f aca="false">IF(H1545="","",H1545-I1545)</f>
        <v/>
      </c>
    </row>
    <row r="1546" customFormat="false" ht="15" hidden="false" customHeight="true" outlineLevel="0" collapsed="false">
      <c r="A1546" s="7"/>
      <c r="B1546" s="18" t="str">
        <f aca="false">IF(A1546="","",IFERROR(INDEX(Sales_Memo!$B$2:$B$1001,MATCH(A1546,Sales_Memo!$A$2:$A$1001,0)),""))</f>
        <v/>
      </c>
      <c r="C1546" s="7"/>
      <c r="D1546" s="16" t="str">
        <f aca="false">IF(C1546="","",IFERROR(INDEX(Products!$B$2:$B$501,MATCH(C1546,Products!$A$2:$A$501,0)),"CODE NOT FOUND"))</f>
        <v/>
      </c>
      <c r="E1546" s="7"/>
      <c r="F1546" s="13"/>
      <c r="G1546" s="13"/>
      <c r="H1546" s="17" t="str">
        <f aca="false">IF(OR(E1546="",F1546=""),"",E1546*F1546)</f>
        <v/>
      </c>
      <c r="I1546" s="17" t="str">
        <f aca="false">IF(OR(E1546="",G1546=""),"",E1546*G1546)</f>
        <v/>
      </c>
      <c r="J1546" s="17" t="str">
        <f aca="false">IF(H1546="","",H1546-I1546)</f>
        <v/>
      </c>
    </row>
    <row r="1547" customFormat="false" ht="15" hidden="false" customHeight="true" outlineLevel="0" collapsed="false">
      <c r="A1547" s="7"/>
      <c r="B1547" s="18" t="str">
        <f aca="false">IF(A1547="","",IFERROR(INDEX(Sales_Memo!$B$2:$B$1001,MATCH(A1547,Sales_Memo!$A$2:$A$1001,0)),""))</f>
        <v/>
      </c>
      <c r="C1547" s="7"/>
      <c r="D1547" s="16" t="str">
        <f aca="false">IF(C1547="","",IFERROR(INDEX(Products!$B$2:$B$501,MATCH(C1547,Products!$A$2:$A$501,0)),"CODE NOT FOUND"))</f>
        <v/>
      </c>
      <c r="E1547" s="7"/>
      <c r="F1547" s="13"/>
      <c r="G1547" s="13"/>
      <c r="H1547" s="17" t="str">
        <f aca="false">IF(OR(E1547="",F1547=""),"",E1547*F1547)</f>
        <v/>
      </c>
      <c r="I1547" s="17" t="str">
        <f aca="false">IF(OR(E1547="",G1547=""),"",E1547*G1547)</f>
        <v/>
      </c>
      <c r="J1547" s="17" t="str">
        <f aca="false">IF(H1547="","",H1547-I1547)</f>
        <v/>
      </c>
    </row>
    <row r="1548" customFormat="false" ht="15" hidden="false" customHeight="true" outlineLevel="0" collapsed="false">
      <c r="A1548" s="7"/>
      <c r="B1548" s="18" t="str">
        <f aca="false">IF(A1548="","",IFERROR(INDEX(Sales_Memo!$B$2:$B$1001,MATCH(A1548,Sales_Memo!$A$2:$A$1001,0)),""))</f>
        <v/>
      </c>
      <c r="C1548" s="7"/>
      <c r="D1548" s="16" t="str">
        <f aca="false">IF(C1548="","",IFERROR(INDEX(Products!$B$2:$B$501,MATCH(C1548,Products!$A$2:$A$501,0)),"CODE NOT FOUND"))</f>
        <v/>
      </c>
      <c r="E1548" s="7"/>
      <c r="F1548" s="13"/>
      <c r="G1548" s="13"/>
      <c r="H1548" s="17" t="str">
        <f aca="false">IF(OR(E1548="",F1548=""),"",E1548*F1548)</f>
        <v/>
      </c>
      <c r="I1548" s="17" t="str">
        <f aca="false">IF(OR(E1548="",G1548=""),"",E1548*G1548)</f>
        <v/>
      </c>
      <c r="J1548" s="17" t="str">
        <f aca="false">IF(H1548="","",H1548-I1548)</f>
        <v/>
      </c>
    </row>
    <row r="1549" customFormat="false" ht="15" hidden="false" customHeight="true" outlineLevel="0" collapsed="false">
      <c r="A1549" s="7"/>
      <c r="B1549" s="18" t="str">
        <f aca="false">IF(A1549="","",IFERROR(INDEX(Sales_Memo!$B$2:$B$1001,MATCH(A1549,Sales_Memo!$A$2:$A$1001,0)),""))</f>
        <v/>
      </c>
      <c r="C1549" s="7"/>
      <c r="D1549" s="16" t="str">
        <f aca="false">IF(C1549="","",IFERROR(INDEX(Products!$B$2:$B$501,MATCH(C1549,Products!$A$2:$A$501,0)),"CODE NOT FOUND"))</f>
        <v/>
      </c>
      <c r="E1549" s="7"/>
      <c r="F1549" s="13"/>
      <c r="G1549" s="13"/>
      <c r="H1549" s="17" t="str">
        <f aca="false">IF(OR(E1549="",F1549=""),"",E1549*F1549)</f>
        <v/>
      </c>
      <c r="I1549" s="17" t="str">
        <f aca="false">IF(OR(E1549="",G1549=""),"",E1549*G1549)</f>
        <v/>
      </c>
      <c r="J1549" s="17" t="str">
        <f aca="false">IF(H1549="","",H1549-I1549)</f>
        <v/>
      </c>
    </row>
    <row r="1550" customFormat="false" ht="15" hidden="false" customHeight="true" outlineLevel="0" collapsed="false">
      <c r="A1550" s="7"/>
      <c r="B1550" s="18" t="str">
        <f aca="false">IF(A1550="","",IFERROR(INDEX(Sales_Memo!$B$2:$B$1001,MATCH(A1550,Sales_Memo!$A$2:$A$1001,0)),""))</f>
        <v/>
      </c>
      <c r="C1550" s="7"/>
      <c r="D1550" s="16" t="str">
        <f aca="false">IF(C1550="","",IFERROR(INDEX(Products!$B$2:$B$501,MATCH(C1550,Products!$A$2:$A$501,0)),"CODE NOT FOUND"))</f>
        <v/>
      </c>
      <c r="E1550" s="7"/>
      <c r="F1550" s="13"/>
      <c r="G1550" s="13"/>
      <c r="H1550" s="17" t="str">
        <f aca="false">IF(OR(E1550="",F1550=""),"",E1550*F1550)</f>
        <v/>
      </c>
      <c r="I1550" s="17" t="str">
        <f aca="false">IF(OR(E1550="",G1550=""),"",E1550*G1550)</f>
        <v/>
      </c>
      <c r="J1550" s="17" t="str">
        <f aca="false">IF(H1550="","",H1550-I1550)</f>
        <v/>
      </c>
    </row>
    <row r="1551" customFormat="false" ht="15" hidden="false" customHeight="true" outlineLevel="0" collapsed="false">
      <c r="A1551" s="7"/>
      <c r="B1551" s="18" t="str">
        <f aca="false">IF(A1551="","",IFERROR(INDEX(Sales_Memo!$B$2:$B$1001,MATCH(A1551,Sales_Memo!$A$2:$A$1001,0)),""))</f>
        <v/>
      </c>
      <c r="C1551" s="7"/>
      <c r="D1551" s="16" t="str">
        <f aca="false">IF(C1551="","",IFERROR(INDEX(Products!$B$2:$B$501,MATCH(C1551,Products!$A$2:$A$501,0)),"CODE NOT FOUND"))</f>
        <v/>
      </c>
      <c r="E1551" s="7"/>
      <c r="F1551" s="13"/>
      <c r="G1551" s="13"/>
      <c r="H1551" s="17" t="str">
        <f aca="false">IF(OR(E1551="",F1551=""),"",E1551*F1551)</f>
        <v/>
      </c>
      <c r="I1551" s="17" t="str">
        <f aca="false">IF(OR(E1551="",G1551=""),"",E1551*G1551)</f>
        <v/>
      </c>
      <c r="J1551" s="17" t="str">
        <f aca="false">IF(H1551="","",H1551-I1551)</f>
        <v/>
      </c>
    </row>
    <row r="1552" customFormat="false" ht="15" hidden="false" customHeight="true" outlineLevel="0" collapsed="false">
      <c r="A1552" s="7"/>
      <c r="B1552" s="18" t="str">
        <f aca="false">IF(A1552="","",IFERROR(INDEX(Sales_Memo!$B$2:$B$1001,MATCH(A1552,Sales_Memo!$A$2:$A$1001,0)),""))</f>
        <v/>
      </c>
      <c r="C1552" s="7"/>
      <c r="D1552" s="16" t="str">
        <f aca="false">IF(C1552="","",IFERROR(INDEX(Products!$B$2:$B$501,MATCH(C1552,Products!$A$2:$A$501,0)),"CODE NOT FOUND"))</f>
        <v/>
      </c>
      <c r="E1552" s="7"/>
      <c r="F1552" s="13"/>
      <c r="G1552" s="13"/>
      <c r="H1552" s="17" t="str">
        <f aca="false">IF(OR(E1552="",F1552=""),"",E1552*F1552)</f>
        <v/>
      </c>
      <c r="I1552" s="17" t="str">
        <f aca="false">IF(OR(E1552="",G1552=""),"",E1552*G1552)</f>
        <v/>
      </c>
      <c r="J1552" s="17" t="str">
        <f aca="false">IF(H1552="","",H1552-I1552)</f>
        <v/>
      </c>
    </row>
    <row r="1553" customFormat="false" ht="15" hidden="false" customHeight="true" outlineLevel="0" collapsed="false">
      <c r="A1553" s="7"/>
      <c r="B1553" s="18" t="str">
        <f aca="false">IF(A1553="","",IFERROR(INDEX(Sales_Memo!$B$2:$B$1001,MATCH(A1553,Sales_Memo!$A$2:$A$1001,0)),""))</f>
        <v/>
      </c>
      <c r="C1553" s="7"/>
      <c r="D1553" s="16" t="str">
        <f aca="false">IF(C1553="","",IFERROR(INDEX(Products!$B$2:$B$501,MATCH(C1553,Products!$A$2:$A$501,0)),"CODE NOT FOUND"))</f>
        <v/>
      </c>
      <c r="E1553" s="7"/>
      <c r="F1553" s="13"/>
      <c r="G1553" s="13"/>
      <c r="H1553" s="17" t="str">
        <f aca="false">IF(OR(E1553="",F1553=""),"",E1553*F1553)</f>
        <v/>
      </c>
      <c r="I1553" s="17" t="str">
        <f aca="false">IF(OR(E1553="",G1553=""),"",E1553*G1553)</f>
        <v/>
      </c>
      <c r="J1553" s="17" t="str">
        <f aca="false">IF(H1553="","",H1553-I1553)</f>
        <v/>
      </c>
    </row>
    <row r="1554" customFormat="false" ht="15" hidden="false" customHeight="true" outlineLevel="0" collapsed="false">
      <c r="A1554" s="7"/>
      <c r="B1554" s="18" t="str">
        <f aca="false">IF(A1554="","",IFERROR(INDEX(Sales_Memo!$B$2:$B$1001,MATCH(A1554,Sales_Memo!$A$2:$A$1001,0)),""))</f>
        <v/>
      </c>
      <c r="C1554" s="7"/>
      <c r="D1554" s="16" t="str">
        <f aca="false">IF(C1554="","",IFERROR(INDEX(Products!$B$2:$B$501,MATCH(C1554,Products!$A$2:$A$501,0)),"CODE NOT FOUND"))</f>
        <v/>
      </c>
      <c r="E1554" s="7"/>
      <c r="F1554" s="13"/>
      <c r="G1554" s="13"/>
      <c r="H1554" s="17" t="str">
        <f aca="false">IF(OR(E1554="",F1554=""),"",E1554*F1554)</f>
        <v/>
      </c>
      <c r="I1554" s="17" t="str">
        <f aca="false">IF(OR(E1554="",G1554=""),"",E1554*G1554)</f>
        <v/>
      </c>
      <c r="J1554" s="17" t="str">
        <f aca="false">IF(H1554="","",H1554-I1554)</f>
        <v/>
      </c>
    </row>
    <row r="1555" customFormat="false" ht="15" hidden="false" customHeight="true" outlineLevel="0" collapsed="false">
      <c r="A1555" s="7"/>
      <c r="B1555" s="18" t="str">
        <f aca="false">IF(A1555="","",IFERROR(INDEX(Sales_Memo!$B$2:$B$1001,MATCH(A1555,Sales_Memo!$A$2:$A$1001,0)),""))</f>
        <v/>
      </c>
      <c r="C1555" s="7"/>
      <c r="D1555" s="16" t="str">
        <f aca="false">IF(C1555="","",IFERROR(INDEX(Products!$B$2:$B$501,MATCH(C1555,Products!$A$2:$A$501,0)),"CODE NOT FOUND"))</f>
        <v/>
      </c>
      <c r="E1555" s="7"/>
      <c r="F1555" s="13"/>
      <c r="G1555" s="13"/>
      <c r="H1555" s="17" t="str">
        <f aca="false">IF(OR(E1555="",F1555=""),"",E1555*F1555)</f>
        <v/>
      </c>
      <c r="I1555" s="17" t="str">
        <f aca="false">IF(OR(E1555="",G1555=""),"",E1555*G1555)</f>
        <v/>
      </c>
      <c r="J1555" s="17" t="str">
        <f aca="false">IF(H1555="","",H1555-I1555)</f>
        <v/>
      </c>
    </row>
    <row r="1556" customFormat="false" ht="15" hidden="false" customHeight="true" outlineLevel="0" collapsed="false">
      <c r="A1556" s="7"/>
      <c r="B1556" s="18" t="str">
        <f aca="false">IF(A1556="","",IFERROR(INDEX(Sales_Memo!$B$2:$B$1001,MATCH(A1556,Sales_Memo!$A$2:$A$1001,0)),""))</f>
        <v/>
      </c>
      <c r="C1556" s="7"/>
      <c r="D1556" s="16" t="str">
        <f aca="false">IF(C1556="","",IFERROR(INDEX(Products!$B$2:$B$501,MATCH(C1556,Products!$A$2:$A$501,0)),"CODE NOT FOUND"))</f>
        <v/>
      </c>
      <c r="E1556" s="7"/>
      <c r="F1556" s="13"/>
      <c r="G1556" s="13"/>
      <c r="H1556" s="17" t="str">
        <f aca="false">IF(OR(E1556="",F1556=""),"",E1556*F1556)</f>
        <v/>
      </c>
      <c r="I1556" s="17" t="str">
        <f aca="false">IF(OR(E1556="",G1556=""),"",E1556*G1556)</f>
        <v/>
      </c>
      <c r="J1556" s="17" t="str">
        <f aca="false">IF(H1556="","",H1556-I1556)</f>
        <v/>
      </c>
    </row>
    <row r="1557" customFormat="false" ht="15" hidden="false" customHeight="true" outlineLevel="0" collapsed="false">
      <c r="A1557" s="7"/>
      <c r="B1557" s="18" t="str">
        <f aca="false">IF(A1557="","",IFERROR(INDEX(Sales_Memo!$B$2:$B$1001,MATCH(A1557,Sales_Memo!$A$2:$A$1001,0)),""))</f>
        <v/>
      </c>
      <c r="C1557" s="7"/>
      <c r="D1557" s="16" t="str">
        <f aca="false">IF(C1557="","",IFERROR(INDEX(Products!$B$2:$B$501,MATCH(C1557,Products!$A$2:$A$501,0)),"CODE NOT FOUND"))</f>
        <v/>
      </c>
      <c r="E1557" s="7"/>
      <c r="F1557" s="13"/>
      <c r="G1557" s="13"/>
      <c r="H1557" s="17" t="str">
        <f aca="false">IF(OR(E1557="",F1557=""),"",E1557*F1557)</f>
        <v/>
      </c>
      <c r="I1557" s="17" t="str">
        <f aca="false">IF(OR(E1557="",G1557=""),"",E1557*G1557)</f>
        <v/>
      </c>
      <c r="J1557" s="17" t="str">
        <f aca="false">IF(H1557="","",H1557-I1557)</f>
        <v/>
      </c>
    </row>
    <row r="1558" customFormat="false" ht="15" hidden="false" customHeight="true" outlineLevel="0" collapsed="false">
      <c r="A1558" s="7"/>
      <c r="B1558" s="18" t="str">
        <f aca="false">IF(A1558="","",IFERROR(INDEX(Sales_Memo!$B$2:$B$1001,MATCH(A1558,Sales_Memo!$A$2:$A$1001,0)),""))</f>
        <v/>
      </c>
      <c r="C1558" s="7"/>
      <c r="D1558" s="16" t="str">
        <f aca="false">IF(C1558="","",IFERROR(INDEX(Products!$B$2:$B$501,MATCH(C1558,Products!$A$2:$A$501,0)),"CODE NOT FOUND"))</f>
        <v/>
      </c>
      <c r="E1558" s="7"/>
      <c r="F1558" s="13"/>
      <c r="G1558" s="13"/>
      <c r="H1558" s="17" t="str">
        <f aca="false">IF(OR(E1558="",F1558=""),"",E1558*F1558)</f>
        <v/>
      </c>
      <c r="I1558" s="17" t="str">
        <f aca="false">IF(OR(E1558="",G1558=""),"",E1558*G1558)</f>
        <v/>
      </c>
      <c r="J1558" s="17" t="str">
        <f aca="false">IF(H1558="","",H1558-I1558)</f>
        <v/>
      </c>
    </row>
    <row r="1559" customFormat="false" ht="15" hidden="false" customHeight="true" outlineLevel="0" collapsed="false">
      <c r="A1559" s="7"/>
      <c r="B1559" s="18" t="str">
        <f aca="false">IF(A1559="","",IFERROR(INDEX(Sales_Memo!$B$2:$B$1001,MATCH(A1559,Sales_Memo!$A$2:$A$1001,0)),""))</f>
        <v/>
      </c>
      <c r="C1559" s="7"/>
      <c r="D1559" s="16" t="str">
        <f aca="false">IF(C1559="","",IFERROR(INDEX(Products!$B$2:$B$501,MATCH(C1559,Products!$A$2:$A$501,0)),"CODE NOT FOUND"))</f>
        <v/>
      </c>
      <c r="E1559" s="7"/>
      <c r="F1559" s="13"/>
      <c r="G1559" s="13"/>
      <c r="H1559" s="17" t="str">
        <f aca="false">IF(OR(E1559="",F1559=""),"",E1559*F1559)</f>
        <v/>
      </c>
      <c r="I1559" s="17" t="str">
        <f aca="false">IF(OR(E1559="",G1559=""),"",E1559*G1559)</f>
        <v/>
      </c>
      <c r="J1559" s="17" t="str">
        <f aca="false">IF(H1559="","",H1559-I1559)</f>
        <v/>
      </c>
    </row>
    <row r="1560" customFormat="false" ht="15" hidden="false" customHeight="true" outlineLevel="0" collapsed="false">
      <c r="A1560" s="7"/>
      <c r="B1560" s="18" t="str">
        <f aca="false">IF(A1560="","",IFERROR(INDEX(Sales_Memo!$B$2:$B$1001,MATCH(A1560,Sales_Memo!$A$2:$A$1001,0)),""))</f>
        <v/>
      </c>
      <c r="C1560" s="7"/>
      <c r="D1560" s="16" t="str">
        <f aca="false">IF(C1560="","",IFERROR(INDEX(Products!$B$2:$B$501,MATCH(C1560,Products!$A$2:$A$501,0)),"CODE NOT FOUND"))</f>
        <v/>
      </c>
      <c r="E1560" s="7"/>
      <c r="F1560" s="13"/>
      <c r="G1560" s="13"/>
      <c r="H1560" s="17" t="str">
        <f aca="false">IF(OR(E1560="",F1560=""),"",E1560*F1560)</f>
        <v/>
      </c>
      <c r="I1560" s="17" t="str">
        <f aca="false">IF(OR(E1560="",G1560=""),"",E1560*G1560)</f>
        <v/>
      </c>
      <c r="J1560" s="17" t="str">
        <f aca="false">IF(H1560="","",H1560-I1560)</f>
        <v/>
      </c>
    </row>
    <row r="1561" customFormat="false" ht="15" hidden="false" customHeight="true" outlineLevel="0" collapsed="false">
      <c r="A1561" s="7"/>
      <c r="B1561" s="18" t="str">
        <f aca="false">IF(A1561="","",IFERROR(INDEX(Sales_Memo!$B$2:$B$1001,MATCH(A1561,Sales_Memo!$A$2:$A$1001,0)),""))</f>
        <v/>
      </c>
      <c r="C1561" s="7"/>
      <c r="D1561" s="16" t="str">
        <f aca="false">IF(C1561="","",IFERROR(INDEX(Products!$B$2:$B$501,MATCH(C1561,Products!$A$2:$A$501,0)),"CODE NOT FOUND"))</f>
        <v/>
      </c>
      <c r="E1561" s="7"/>
      <c r="F1561" s="13"/>
      <c r="G1561" s="13"/>
      <c r="H1561" s="17" t="str">
        <f aca="false">IF(OR(E1561="",F1561=""),"",E1561*F1561)</f>
        <v/>
      </c>
      <c r="I1561" s="17" t="str">
        <f aca="false">IF(OR(E1561="",G1561=""),"",E1561*G1561)</f>
        <v/>
      </c>
      <c r="J1561" s="17" t="str">
        <f aca="false">IF(H1561="","",H1561-I1561)</f>
        <v/>
      </c>
    </row>
    <row r="1562" customFormat="false" ht="15" hidden="false" customHeight="true" outlineLevel="0" collapsed="false">
      <c r="A1562" s="7"/>
      <c r="B1562" s="18" t="str">
        <f aca="false">IF(A1562="","",IFERROR(INDEX(Sales_Memo!$B$2:$B$1001,MATCH(A1562,Sales_Memo!$A$2:$A$1001,0)),""))</f>
        <v/>
      </c>
      <c r="C1562" s="7"/>
      <c r="D1562" s="16" t="str">
        <f aca="false">IF(C1562="","",IFERROR(INDEX(Products!$B$2:$B$501,MATCH(C1562,Products!$A$2:$A$501,0)),"CODE NOT FOUND"))</f>
        <v/>
      </c>
      <c r="E1562" s="7"/>
      <c r="F1562" s="13"/>
      <c r="G1562" s="13"/>
      <c r="H1562" s="17" t="str">
        <f aca="false">IF(OR(E1562="",F1562=""),"",E1562*F1562)</f>
        <v/>
      </c>
      <c r="I1562" s="17" t="str">
        <f aca="false">IF(OR(E1562="",G1562=""),"",E1562*G1562)</f>
        <v/>
      </c>
      <c r="J1562" s="17" t="str">
        <f aca="false">IF(H1562="","",H1562-I1562)</f>
        <v/>
      </c>
    </row>
    <row r="1563" customFormat="false" ht="15" hidden="false" customHeight="true" outlineLevel="0" collapsed="false">
      <c r="A1563" s="7"/>
      <c r="B1563" s="18" t="str">
        <f aca="false">IF(A1563="","",IFERROR(INDEX(Sales_Memo!$B$2:$B$1001,MATCH(A1563,Sales_Memo!$A$2:$A$1001,0)),""))</f>
        <v/>
      </c>
      <c r="C1563" s="7"/>
      <c r="D1563" s="16" t="str">
        <f aca="false">IF(C1563="","",IFERROR(INDEX(Products!$B$2:$B$501,MATCH(C1563,Products!$A$2:$A$501,0)),"CODE NOT FOUND"))</f>
        <v/>
      </c>
      <c r="E1563" s="7"/>
      <c r="F1563" s="13"/>
      <c r="G1563" s="13"/>
      <c r="H1563" s="17" t="str">
        <f aca="false">IF(OR(E1563="",F1563=""),"",E1563*F1563)</f>
        <v/>
      </c>
      <c r="I1563" s="17" t="str">
        <f aca="false">IF(OR(E1563="",G1563=""),"",E1563*G1563)</f>
        <v/>
      </c>
      <c r="J1563" s="17" t="str">
        <f aca="false">IF(H1563="","",H1563-I1563)</f>
        <v/>
      </c>
    </row>
    <row r="1564" customFormat="false" ht="15" hidden="false" customHeight="true" outlineLevel="0" collapsed="false">
      <c r="A1564" s="7"/>
      <c r="B1564" s="18" t="str">
        <f aca="false">IF(A1564="","",IFERROR(INDEX(Sales_Memo!$B$2:$B$1001,MATCH(A1564,Sales_Memo!$A$2:$A$1001,0)),""))</f>
        <v/>
      </c>
      <c r="C1564" s="7"/>
      <c r="D1564" s="16" t="str">
        <f aca="false">IF(C1564="","",IFERROR(INDEX(Products!$B$2:$B$501,MATCH(C1564,Products!$A$2:$A$501,0)),"CODE NOT FOUND"))</f>
        <v/>
      </c>
      <c r="E1564" s="7"/>
      <c r="F1564" s="13"/>
      <c r="G1564" s="13"/>
      <c r="H1564" s="17" t="str">
        <f aca="false">IF(OR(E1564="",F1564=""),"",E1564*F1564)</f>
        <v/>
      </c>
      <c r="I1564" s="17" t="str">
        <f aca="false">IF(OR(E1564="",G1564=""),"",E1564*G1564)</f>
        <v/>
      </c>
      <c r="J1564" s="17" t="str">
        <f aca="false">IF(H1564="","",H1564-I1564)</f>
        <v/>
      </c>
    </row>
    <row r="1565" customFormat="false" ht="15" hidden="false" customHeight="true" outlineLevel="0" collapsed="false">
      <c r="A1565" s="7"/>
      <c r="B1565" s="18" t="str">
        <f aca="false">IF(A1565="","",IFERROR(INDEX(Sales_Memo!$B$2:$B$1001,MATCH(A1565,Sales_Memo!$A$2:$A$1001,0)),""))</f>
        <v/>
      </c>
      <c r="C1565" s="7"/>
      <c r="D1565" s="16" t="str">
        <f aca="false">IF(C1565="","",IFERROR(INDEX(Products!$B$2:$B$501,MATCH(C1565,Products!$A$2:$A$501,0)),"CODE NOT FOUND"))</f>
        <v/>
      </c>
      <c r="E1565" s="7"/>
      <c r="F1565" s="13"/>
      <c r="G1565" s="13"/>
      <c r="H1565" s="17" t="str">
        <f aca="false">IF(OR(E1565="",F1565=""),"",E1565*F1565)</f>
        <v/>
      </c>
      <c r="I1565" s="17" t="str">
        <f aca="false">IF(OR(E1565="",G1565=""),"",E1565*G1565)</f>
        <v/>
      </c>
      <c r="J1565" s="17" t="str">
        <f aca="false">IF(H1565="","",H1565-I1565)</f>
        <v/>
      </c>
    </row>
    <row r="1566" customFormat="false" ht="15" hidden="false" customHeight="true" outlineLevel="0" collapsed="false">
      <c r="A1566" s="7"/>
      <c r="B1566" s="18" t="str">
        <f aca="false">IF(A1566="","",IFERROR(INDEX(Sales_Memo!$B$2:$B$1001,MATCH(A1566,Sales_Memo!$A$2:$A$1001,0)),""))</f>
        <v/>
      </c>
      <c r="C1566" s="7"/>
      <c r="D1566" s="16" t="str">
        <f aca="false">IF(C1566="","",IFERROR(INDEX(Products!$B$2:$B$501,MATCH(C1566,Products!$A$2:$A$501,0)),"CODE NOT FOUND"))</f>
        <v/>
      </c>
      <c r="E1566" s="7"/>
      <c r="F1566" s="13"/>
      <c r="G1566" s="13"/>
      <c r="H1566" s="17" t="str">
        <f aca="false">IF(OR(E1566="",F1566=""),"",E1566*F1566)</f>
        <v/>
      </c>
      <c r="I1566" s="17" t="str">
        <f aca="false">IF(OR(E1566="",G1566=""),"",E1566*G1566)</f>
        <v/>
      </c>
      <c r="J1566" s="17" t="str">
        <f aca="false">IF(H1566="","",H1566-I1566)</f>
        <v/>
      </c>
    </row>
    <row r="1567" customFormat="false" ht="15" hidden="false" customHeight="true" outlineLevel="0" collapsed="false">
      <c r="A1567" s="7"/>
      <c r="B1567" s="18" t="str">
        <f aca="false">IF(A1567="","",IFERROR(INDEX(Sales_Memo!$B$2:$B$1001,MATCH(A1567,Sales_Memo!$A$2:$A$1001,0)),""))</f>
        <v/>
      </c>
      <c r="C1567" s="7"/>
      <c r="D1567" s="16" t="str">
        <f aca="false">IF(C1567="","",IFERROR(INDEX(Products!$B$2:$B$501,MATCH(C1567,Products!$A$2:$A$501,0)),"CODE NOT FOUND"))</f>
        <v/>
      </c>
      <c r="E1567" s="7"/>
      <c r="F1567" s="13"/>
      <c r="G1567" s="13"/>
      <c r="H1567" s="17" t="str">
        <f aca="false">IF(OR(E1567="",F1567=""),"",E1567*F1567)</f>
        <v/>
      </c>
      <c r="I1567" s="17" t="str">
        <f aca="false">IF(OR(E1567="",G1567=""),"",E1567*G1567)</f>
        <v/>
      </c>
      <c r="J1567" s="17" t="str">
        <f aca="false">IF(H1567="","",H1567-I1567)</f>
        <v/>
      </c>
    </row>
    <row r="1568" customFormat="false" ht="15" hidden="false" customHeight="true" outlineLevel="0" collapsed="false">
      <c r="A1568" s="7"/>
      <c r="B1568" s="18" t="str">
        <f aca="false">IF(A1568="","",IFERROR(INDEX(Sales_Memo!$B$2:$B$1001,MATCH(A1568,Sales_Memo!$A$2:$A$1001,0)),""))</f>
        <v/>
      </c>
      <c r="C1568" s="7"/>
      <c r="D1568" s="16" t="str">
        <f aca="false">IF(C1568="","",IFERROR(INDEX(Products!$B$2:$B$501,MATCH(C1568,Products!$A$2:$A$501,0)),"CODE NOT FOUND"))</f>
        <v/>
      </c>
      <c r="E1568" s="7"/>
      <c r="F1568" s="13"/>
      <c r="G1568" s="13"/>
      <c r="H1568" s="17" t="str">
        <f aca="false">IF(OR(E1568="",F1568=""),"",E1568*F1568)</f>
        <v/>
      </c>
      <c r="I1568" s="17" t="str">
        <f aca="false">IF(OR(E1568="",G1568=""),"",E1568*G1568)</f>
        <v/>
      </c>
      <c r="J1568" s="17" t="str">
        <f aca="false">IF(H1568="","",H1568-I1568)</f>
        <v/>
      </c>
    </row>
    <row r="1569" customFormat="false" ht="15" hidden="false" customHeight="true" outlineLevel="0" collapsed="false">
      <c r="A1569" s="7"/>
      <c r="B1569" s="18" t="str">
        <f aca="false">IF(A1569="","",IFERROR(INDEX(Sales_Memo!$B$2:$B$1001,MATCH(A1569,Sales_Memo!$A$2:$A$1001,0)),""))</f>
        <v/>
      </c>
      <c r="C1569" s="7"/>
      <c r="D1569" s="16" t="str">
        <f aca="false">IF(C1569="","",IFERROR(INDEX(Products!$B$2:$B$501,MATCH(C1569,Products!$A$2:$A$501,0)),"CODE NOT FOUND"))</f>
        <v/>
      </c>
      <c r="E1569" s="7"/>
      <c r="F1569" s="13"/>
      <c r="G1569" s="13"/>
      <c r="H1569" s="17" t="str">
        <f aca="false">IF(OR(E1569="",F1569=""),"",E1569*F1569)</f>
        <v/>
      </c>
      <c r="I1569" s="17" t="str">
        <f aca="false">IF(OR(E1569="",G1569=""),"",E1569*G1569)</f>
        <v/>
      </c>
      <c r="J1569" s="17" t="str">
        <f aca="false">IF(H1569="","",H1569-I1569)</f>
        <v/>
      </c>
    </row>
    <row r="1570" customFormat="false" ht="15" hidden="false" customHeight="true" outlineLevel="0" collapsed="false">
      <c r="A1570" s="7"/>
      <c r="B1570" s="18" t="str">
        <f aca="false">IF(A1570="","",IFERROR(INDEX(Sales_Memo!$B$2:$B$1001,MATCH(A1570,Sales_Memo!$A$2:$A$1001,0)),""))</f>
        <v/>
      </c>
      <c r="C1570" s="7"/>
      <c r="D1570" s="16" t="str">
        <f aca="false">IF(C1570="","",IFERROR(INDEX(Products!$B$2:$B$501,MATCH(C1570,Products!$A$2:$A$501,0)),"CODE NOT FOUND"))</f>
        <v/>
      </c>
      <c r="E1570" s="7"/>
      <c r="F1570" s="13"/>
      <c r="G1570" s="13"/>
      <c r="H1570" s="17" t="str">
        <f aca="false">IF(OR(E1570="",F1570=""),"",E1570*F1570)</f>
        <v/>
      </c>
      <c r="I1570" s="17" t="str">
        <f aca="false">IF(OR(E1570="",G1570=""),"",E1570*G1570)</f>
        <v/>
      </c>
      <c r="J1570" s="17" t="str">
        <f aca="false">IF(H1570="","",H1570-I1570)</f>
        <v/>
      </c>
    </row>
    <row r="1571" customFormat="false" ht="15" hidden="false" customHeight="true" outlineLevel="0" collapsed="false">
      <c r="A1571" s="7"/>
      <c r="B1571" s="18" t="str">
        <f aca="false">IF(A1571="","",IFERROR(INDEX(Sales_Memo!$B$2:$B$1001,MATCH(A1571,Sales_Memo!$A$2:$A$1001,0)),""))</f>
        <v/>
      </c>
      <c r="C1571" s="7"/>
      <c r="D1571" s="16" t="str">
        <f aca="false">IF(C1571="","",IFERROR(INDEX(Products!$B$2:$B$501,MATCH(C1571,Products!$A$2:$A$501,0)),"CODE NOT FOUND"))</f>
        <v/>
      </c>
      <c r="E1571" s="7"/>
      <c r="F1571" s="13"/>
      <c r="G1571" s="13"/>
      <c r="H1571" s="17" t="str">
        <f aca="false">IF(OR(E1571="",F1571=""),"",E1571*F1571)</f>
        <v/>
      </c>
      <c r="I1571" s="17" t="str">
        <f aca="false">IF(OR(E1571="",G1571=""),"",E1571*G1571)</f>
        <v/>
      </c>
      <c r="J1571" s="17" t="str">
        <f aca="false">IF(H1571="","",H1571-I1571)</f>
        <v/>
      </c>
    </row>
    <row r="1572" customFormat="false" ht="15" hidden="false" customHeight="true" outlineLevel="0" collapsed="false">
      <c r="A1572" s="7"/>
      <c r="B1572" s="18" t="str">
        <f aca="false">IF(A1572="","",IFERROR(INDEX(Sales_Memo!$B$2:$B$1001,MATCH(A1572,Sales_Memo!$A$2:$A$1001,0)),""))</f>
        <v/>
      </c>
      <c r="C1572" s="7"/>
      <c r="D1572" s="16" t="str">
        <f aca="false">IF(C1572="","",IFERROR(INDEX(Products!$B$2:$B$501,MATCH(C1572,Products!$A$2:$A$501,0)),"CODE NOT FOUND"))</f>
        <v/>
      </c>
      <c r="E1572" s="7"/>
      <c r="F1572" s="13"/>
      <c r="G1572" s="13"/>
      <c r="H1572" s="17" t="str">
        <f aca="false">IF(OR(E1572="",F1572=""),"",E1572*F1572)</f>
        <v/>
      </c>
      <c r="I1572" s="17" t="str">
        <f aca="false">IF(OR(E1572="",G1572=""),"",E1572*G1572)</f>
        <v/>
      </c>
      <c r="J1572" s="17" t="str">
        <f aca="false">IF(H1572="","",H1572-I1572)</f>
        <v/>
      </c>
    </row>
    <row r="1573" customFormat="false" ht="15" hidden="false" customHeight="true" outlineLevel="0" collapsed="false">
      <c r="A1573" s="7"/>
      <c r="B1573" s="18" t="str">
        <f aca="false">IF(A1573="","",IFERROR(INDEX(Sales_Memo!$B$2:$B$1001,MATCH(A1573,Sales_Memo!$A$2:$A$1001,0)),""))</f>
        <v/>
      </c>
      <c r="C1573" s="7"/>
      <c r="D1573" s="16" t="str">
        <f aca="false">IF(C1573="","",IFERROR(INDEX(Products!$B$2:$B$501,MATCH(C1573,Products!$A$2:$A$501,0)),"CODE NOT FOUND"))</f>
        <v/>
      </c>
      <c r="E1573" s="7"/>
      <c r="F1573" s="13"/>
      <c r="G1573" s="13"/>
      <c r="H1573" s="17" t="str">
        <f aca="false">IF(OR(E1573="",F1573=""),"",E1573*F1573)</f>
        <v/>
      </c>
      <c r="I1573" s="17" t="str">
        <f aca="false">IF(OR(E1573="",G1573=""),"",E1573*G1573)</f>
        <v/>
      </c>
      <c r="J1573" s="17" t="str">
        <f aca="false">IF(H1573="","",H1573-I1573)</f>
        <v/>
      </c>
    </row>
    <row r="1574" customFormat="false" ht="15" hidden="false" customHeight="true" outlineLevel="0" collapsed="false">
      <c r="A1574" s="7"/>
      <c r="B1574" s="18" t="str">
        <f aca="false">IF(A1574="","",IFERROR(INDEX(Sales_Memo!$B$2:$B$1001,MATCH(A1574,Sales_Memo!$A$2:$A$1001,0)),""))</f>
        <v/>
      </c>
      <c r="C1574" s="7"/>
      <c r="D1574" s="16" t="str">
        <f aca="false">IF(C1574="","",IFERROR(INDEX(Products!$B$2:$B$501,MATCH(C1574,Products!$A$2:$A$501,0)),"CODE NOT FOUND"))</f>
        <v/>
      </c>
      <c r="E1574" s="7"/>
      <c r="F1574" s="13"/>
      <c r="G1574" s="13"/>
      <c r="H1574" s="17" t="str">
        <f aca="false">IF(OR(E1574="",F1574=""),"",E1574*F1574)</f>
        <v/>
      </c>
      <c r="I1574" s="17" t="str">
        <f aca="false">IF(OR(E1574="",G1574=""),"",E1574*G1574)</f>
        <v/>
      </c>
      <c r="J1574" s="17" t="str">
        <f aca="false">IF(H1574="","",H1574-I1574)</f>
        <v/>
      </c>
    </row>
    <row r="1575" customFormat="false" ht="15" hidden="false" customHeight="true" outlineLevel="0" collapsed="false">
      <c r="A1575" s="7"/>
      <c r="B1575" s="18" t="str">
        <f aca="false">IF(A1575="","",IFERROR(INDEX(Sales_Memo!$B$2:$B$1001,MATCH(A1575,Sales_Memo!$A$2:$A$1001,0)),""))</f>
        <v/>
      </c>
      <c r="C1575" s="7"/>
      <c r="D1575" s="16" t="str">
        <f aca="false">IF(C1575="","",IFERROR(INDEX(Products!$B$2:$B$501,MATCH(C1575,Products!$A$2:$A$501,0)),"CODE NOT FOUND"))</f>
        <v/>
      </c>
      <c r="E1575" s="7"/>
      <c r="F1575" s="13"/>
      <c r="G1575" s="13"/>
      <c r="H1575" s="17" t="str">
        <f aca="false">IF(OR(E1575="",F1575=""),"",E1575*F1575)</f>
        <v/>
      </c>
      <c r="I1575" s="17" t="str">
        <f aca="false">IF(OR(E1575="",G1575=""),"",E1575*G1575)</f>
        <v/>
      </c>
      <c r="J1575" s="17" t="str">
        <f aca="false">IF(H1575="","",H1575-I1575)</f>
        <v/>
      </c>
    </row>
    <row r="1576" customFormat="false" ht="15" hidden="false" customHeight="true" outlineLevel="0" collapsed="false">
      <c r="A1576" s="7"/>
      <c r="B1576" s="18" t="str">
        <f aca="false">IF(A1576="","",IFERROR(INDEX(Sales_Memo!$B$2:$B$1001,MATCH(A1576,Sales_Memo!$A$2:$A$1001,0)),""))</f>
        <v/>
      </c>
      <c r="C1576" s="7"/>
      <c r="D1576" s="16" t="str">
        <f aca="false">IF(C1576="","",IFERROR(INDEX(Products!$B$2:$B$501,MATCH(C1576,Products!$A$2:$A$501,0)),"CODE NOT FOUND"))</f>
        <v/>
      </c>
      <c r="E1576" s="7"/>
      <c r="F1576" s="13"/>
      <c r="G1576" s="13"/>
      <c r="H1576" s="17" t="str">
        <f aca="false">IF(OR(E1576="",F1576=""),"",E1576*F1576)</f>
        <v/>
      </c>
      <c r="I1576" s="17" t="str">
        <f aca="false">IF(OR(E1576="",G1576=""),"",E1576*G1576)</f>
        <v/>
      </c>
      <c r="J1576" s="17" t="str">
        <f aca="false">IF(H1576="","",H1576-I1576)</f>
        <v/>
      </c>
    </row>
    <row r="1577" customFormat="false" ht="15" hidden="false" customHeight="true" outlineLevel="0" collapsed="false">
      <c r="A1577" s="7"/>
      <c r="B1577" s="18" t="str">
        <f aca="false">IF(A1577="","",IFERROR(INDEX(Sales_Memo!$B$2:$B$1001,MATCH(A1577,Sales_Memo!$A$2:$A$1001,0)),""))</f>
        <v/>
      </c>
      <c r="C1577" s="7"/>
      <c r="D1577" s="16" t="str">
        <f aca="false">IF(C1577="","",IFERROR(INDEX(Products!$B$2:$B$501,MATCH(C1577,Products!$A$2:$A$501,0)),"CODE NOT FOUND"))</f>
        <v/>
      </c>
      <c r="E1577" s="7"/>
      <c r="F1577" s="13"/>
      <c r="G1577" s="13"/>
      <c r="H1577" s="17" t="str">
        <f aca="false">IF(OR(E1577="",F1577=""),"",E1577*F1577)</f>
        <v/>
      </c>
      <c r="I1577" s="17" t="str">
        <f aca="false">IF(OR(E1577="",G1577=""),"",E1577*G1577)</f>
        <v/>
      </c>
      <c r="J1577" s="17" t="str">
        <f aca="false">IF(H1577="","",H1577-I1577)</f>
        <v/>
      </c>
    </row>
    <row r="1578" customFormat="false" ht="15" hidden="false" customHeight="true" outlineLevel="0" collapsed="false">
      <c r="A1578" s="7"/>
      <c r="B1578" s="18" t="str">
        <f aca="false">IF(A1578="","",IFERROR(INDEX(Sales_Memo!$B$2:$B$1001,MATCH(A1578,Sales_Memo!$A$2:$A$1001,0)),""))</f>
        <v/>
      </c>
      <c r="C1578" s="7"/>
      <c r="D1578" s="16" t="str">
        <f aca="false">IF(C1578="","",IFERROR(INDEX(Products!$B$2:$B$501,MATCH(C1578,Products!$A$2:$A$501,0)),"CODE NOT FOUND"))</f>
        <v/>
      </c>
      <c r="E1578" s="7"/>
      <c r="F1578" s="13"/>
      <c r="G1578" s="13"/>
      <c r="H1578" s="17" t="str">
        <f aca="false">IF(OR(E1578="",F1578=""),"",E1578*F1578)</f>
        <v/>
      </c>
      <c r="I1578" s="17" t="str">
        <f aca="false">IF(OR(E1578="",G1578=""),"",E1578*G1578)</f>
        <v/>
      </c>
      <c r="J1578" s="17" t="str">
        <f aca="false">IF(H1578="","",H1578-I1578)</f>
        <v/>
      </c>
    </row>
    <row r="1579" customFormat="false" ht="15" hidden="false" customHeight="true" outlineLevel="0" collapsed="false">
      <c r="A1579" s="7"/>
      <c r="B1579" s="18" t="str">
        <f aca="false">IF(A1579="","",IFERROR(INDEX(Sales_Memo!$B$2:$B$1001,MATCH(A1579,Sales_Memo!$A$2:$A$1001,0)),""))</f>
        <v/>
      </c>
      <c r="C1579" s="7"/>
      <c r="D1579" s="16" t="str">
        <f aca="false">IF(C1579="","",IFERROR(INDEX(Products!$B$2:$B$501,MATCH(C1579,Products!$A$2:$A$501,0)),"CODE NOT FOUND"))</f>
        <v/>
      </c>
      <c r="E1579" s="7"/>
      <c r="F1579" s="13"/>
      <c r="G1579" s="13"/>
      <c r="H1579" s="17" t="str">
        <f aca="false">IF(OR(E1579="",F1579=""),"",E1579*F1579)</f>
        <v/>
      </c>
      <c r="I1579" s="17" t="str">
        <f aca="false">IF(OR(E1579="",G1579=""),"",E1579*G1579)</f>
        <v/>
      </c>
      <c r="J1579" s="17" t="str">
        <f aca="false">IF(H1579="","",H1579-I1579)</f>
        <v/>
      </c>
    </row>
    <row r="1580" customFormat="false" ht="15" hidden="false" customHeight="true" outlineLevel="0" collapsed="false">
      <c r="A1580" s="7"/>
      <c r="B1580" s="18" t="str">
        <f aca="false">IF(A1580="","",IFERROR(INDEX(Sales_Memo!$B$2:$B$1001,MATCH(A1580,Sales_Memo!$A$2:$A$1001,0)),""))</f>
        <v/>
      </c>
      <c r="C1580" s="7"/>
      <c r="D1580" s="16" t="str">
        <f aca="false">IF(C1580="","",IFERROR(INDEX(Products!$B$2:$B$501,MATCH(C1580,Products!$A$2:$A$501,0)),"CODE NOT FOUND"))</f>
        <v/>
      </c>
      <c r="E1580" s="7"/>
      <c r="F1580" s="13"/>
      <c r="G1580" s="13"/>
      <c r="H1580" s="17" t="str">
        <f aca="false">IF(OR(E1580="",F1580=""),"",E1580*F1580)</f>
        <v/>
      </c>
      <c r="I1580" s="17" t="str">
        <f aca="false">IF(OR(E1580="",G1580=""),"",E1580*G1580)</f>
        <v/>
      </c>
      <c r="J1580" s="17" t="str">
        <f aca="false">IF(H1580="","",H1580-I1580)</f>
        <v/>
      </c>
    </row>
    <row r="1581" customFormat="false" ht="15" hidden="false" customHeight="true" outlineLevel="0" collapsed="false">
      <c r="A1581" s="7"/>
      <c r="B1581" s="18" t="str">
        <f aca="false">IF(A1581="","",IFERROR(INDEX(Sales_Memo!$B$2:$B$1001,MATCH(A1581,Sales_Memo!$A$2:$A$1001,0)),""))</f>
        <v/>
      </c>
      <c r="C1581" s="7"/>
      <c r="D1581" s="16" t="str">
        <f aca="false">IF(C1581="","",IFERROR(INDEX(Products!$B$2:$B$501,MATCH(C1581,Products!$A$2:$A$501,0)),"CODE NOT FOUND"))</f>
        <v/>
      </c>
      <c r="E1581" s="7"/>
      <c r="F1581" s="13"/>
      <c r="G1581" s="13"/>
      <c r="H1581" s="17" t="str">
        <f aca="false">IF(OR(E1581="",F1581=""),"",E1581*F1581)</f>
        <v/>
      </c>
      <c r="I1581" s="17" t="str">
        <f aca="false">IF(OR(E1581="",G1581=""),"",E1581*G1581)</f>
        <v/>
      </c>
      <c r="J1581" s="17" t="str">
        <f aca="false">IF(H1581="","",H1581-I1581)</f>
        <v/>
      </c>
    </row>
    <row r="1582" customFormat="false" ht="15" hidden="false" customHeight="true" outlineLevel="0" collapsed="false">
      <c r="A1582" s="7"/>
      <c r="B1582" s="18" t="str">
        <f aca="false">IF(A1582="","",IFERROR(INDEX(Sales_Memo!$B$2:$B$1001,MATCH(A1582,Sales_Memo!$A$2:$A$1001,0)),""))</f>
        <v/>
      </c>
      <c r="C1582" s="7"/>
      <c r="D1582" s="16" t="str">
        <f aca="false">IF(C1582="","",IFERROR(INDEX(Products!$B$2:$B$501,MATCH(C1582,Products!$A$2:$A$501,0)),"CODE NOT FOUND"))</f>
        <v/>
      </c>
      <c r="E1582" s="7"/>
      <c r="F1582" s="13"/>
      <c r="G1582" s="13"/>
      <c r="H1582" s="17" t="str">
        <f aca="false">IF(OR(E1582="",F1582=""),"",E1582*F1582)</f>
        <v/>
      </c>
      <c r="I1582" s="17" t="str">
        <f aca="false">IF(OR(E1582="",G1582=""),"",E1582*G1582)</f>
        <v/>
      </c>
      <c r="J1582" s="17" t="str">
        <f aca="false">IF(H1582="","",H1582-I1582)</f>
        <v/>
      </c>
    </row>
    <row r="1583" customFormat="false" ht="15" hidden="false" customHeight="true" outlineLevel="0" collapsed="false">
      <c r="A1583" s="7"/>
      <c r="B1583" s="18" t="str">
        <f aca="false">IF(A1583="","",IFERROR(INDEX(Sales_Memo!$B$2:$B$1001,MATCH(A1583,Sales_Memo!$A$2:$A$1001,0)),""))</f>
        <v/>
      </c>
      <c r="C1583" s="7"/>
      <c r="D1583" s="16" t="str">
        <f aca="false">IF(C1583="","",IFERROR(INDEX(Products!$B$2:$B$501,MATCH(C1583,Products!$A$2:$A$501,0)),"CODE NOT FOUND"))</f>
        <v/>
      </c>
      <c r="E1583" s="7"/>
      <c r="F1583" s="13"/>
      <c r="G1583" s="13"/>
      <c r="H1583" s="17" t="str">
        <f aca="false">IF(OR(E1583="",F1583=""),"",E1583*F1583)</f>
        <v/>
      </c>
      <c r="I1583" s="17" t="str">
        <f aca="false">IF(OR(E1583="",G1583=""),"",E1583*G1583)</f>
        <v/>
      </c>
      <c r="J1583" s="17" t="str">
        <f aca="false">IF(H1583="","",H1583-I1583)</f>
        <v/>
      </c>
    </row>
    <row r="1584" customFormat="false" ht="15" hidden="false" customHeight="true" outlineLevel="0" collapsed="false">
      <c r="A1584" s="7"/>
      <c r="B1584" s="18" t="str">
        <f aca="false">IF(A1584="","",IFERROR(INDEX(Sales_Memo!$B$2:$B$1001,MATCH(A1584,Sales_Memo!$A$2:$A$1001,0)),""))</f>
        <v/>
      </c>
      <c r="C1584" s="7"/>
      <c r="D1584" s="16" t="str">
        <f aca="false">IF(C1584="","",IFERROR(INDEX(Products!$B$2:$B$501,MATCH(C1584,Products!$A$2:$A$501,0)),"CODE NOT FOUND"))</f>
        <v/>
      </c>
      <c r="E1584" s="7"/>
      <c r="F1584" s="13"/>
      <c r="G1584" s="13"/>
      <c r="H1584" s="17" t="str">
        <f aca="false">IF(OR(E1584="",F1584=""),"",E1584*F1584)</f>
        <v/>
      </c>
      <c r="I1584" s="17" t="str">
        <f aca="false">IF(OR(E1584="",G1584=""),"",E1584*G1584)</f>
        <v/>
      </c>
      <c r="J1584" s="17" t="str">
        <f aca="false">IF(H1584="","",H1584-I1584)</f>
        <v/>
      </c>
    </row>
    <row r="1585" customFormat="false" ht="15" hidden="false" customHeight="true" outlineLevel="0" collapsed="false">
      <c r="A1585" s="7"/>
      <c r="B1585" s="18" t="str">
        <f aca="false">IF(A1585="","",IFERROR(INDEX(Sales_Memo!$B$2:$B$1001,MATCH(A1585,Sales_Memo!$A$2:$A$1001,0)),""))</f>
        <v/>
      </c>
      <c r="C1585" s="7"/>
      <c r="D1585" s="16" t="str">
        <f aca="false">IF(C1585="","",IFERROR(INDEX(Products!$B$2:$B$501,MATCH(C1585,Products!$A$2:$A$501,0)),"CODE NOT FOUND"))</f>
        <v/>
      </c>
      <c r="E1585" s="7"/>
      <c r="F1585" s="13"/>
      <c r="G1585" s="13"/>
      <c r="H1585" s="17" t="str">
        <f aca="false">IF(OR(E1585="",F1585=""),"",E1585*F1585)</f>
        <v/>
      </c>
      <c r="I1585" s="17" t="str">
        <f aca="false">IF(OR(E1585="",G1585=""),"",E1585*G1585)</f>
        <v/>
      </c>
      <c r="J1585" s="17" t="str">
        <f aca="false">IF(H1585="","",H1585-I1585)</f>
        <v/>
      </c>
    </row>
    <row r="1586" customFormat="false" ht="15" hidden="false" customHeight="true" outlineLevel="0" collapsed="false">
      <c r="A1586" s="7"/>
      <c r="B1586" s="18" t="str">
        <f aca="false">IF(A1586="","",IFERROR(INDEX(Sales_Memo!$B$2:$B$1001,MATCH(A1586,Sales_Memo!$A$2:$A$1001,0)),""))</f>
        <v/>
      </c>
      <c r="C1586" s="7"/>
      <c r="D1586" s="16" t="str">
        <f aca="false">IF(C1586="","",IFERROR(INDEX(Products!$B$2:$B$501,MATCH(C1586,Products!$A$2:$A$501,0)),"CODE NOT FOUND"))</f>
        <v/>
      </c>
      <c r="E1586" s="7"/>
      <c r="F1586" s="13"/>
      <c r="G1586" s="13"/>
      <c r="H1586" s="17" t="str">
        <f aca="false">IF(OR(E1586="",F1586=""),"",E1586*F1586)</f>
        <v/>
      </c>
      <c r="I1586" s="17" t="str">
        <f aca="false">IF(OR(E1586="",G1586=""),"",E1586*G1586)</f>
        <v/>
      </c>
      <c r="J1586" s="17" t="str">
        <f aca="false">IF(H1586="","",H1586-I1586)</f>
        <v/>
      </c>
    </row>
    <row r="1587" customFormat="false" ht="15" hidden="false" customHeight="true" outlineLevel="0" collapsed="false">
      <c r="A1587" s="7"/>
      <c r="B1587" s="18" t="str">
        <f aca="false">IF(A1587="","",IFERROR(INDEX(Sales_Memo!$B$2:$B$1001,MATCH(A1587,Sales_Memo!$A$2:$A$1001,0)),""))</f>
        <v/>
      </c>
      <c r="C1587" s="7"/>
      <c r="D1587" s="16" t="str">
        <f aca="false">IF(C1587="","",IFERROR(INDEX(Products!$B$2:$B$501,MATCH(C1587,Products!$A$2:$A$501,0)),"CODE NOT FOUND"))</f>
        <v/>
      </c>
      <c r="E1587" s="7"/>
      <c r="F1587" s="13"/>
      <c r="G1587" s="13"/>
      <c r="H1587" s="17" t="str">
        <f aca="false">IF(OR(E1587="",F1587=""),"",E1587*F1587)</f>
        <v/>
      </c>
      <c r="I1587" s="17" t="str">
        <f aca="false">IF(OR(E1587="",G1587=""),"",E1587*G1587)</f>
        <v/>
      </c>
      <c r="J1587" s="17" t="str">
        <f aca="false">IF(H1587="","",H1587-I1587)</f>
        <v/>
      </c>
    </row>
    <row r="1588" customFormat="false" ht="15" hidden="false" customHeight="true" outlineLevel="0" collapsed="false">
      <c r="A1588" s="7"/>
      <c r="B1588" s="18" t="str">
        <f aca="false">IF(A1588="","",IFERROR(INDEX(Sales_Memo!$B$2:$B$1001,MATCH(A1588,Sales_Memo!$A$2:$A$1001,0)),""))</f>
        <v/>
      </c>
      <c r="C1588" s="7"/>
      <c r="D1588" s="16" t="str">
        <f aca="false">IF(C1588="","",IFERROR(INDEX(Products!$B$2:$B$501,MATCH(C1588,Products!$A$2:$A$501,0)),"CODE NOT FOUND"))</f>
        <v/>
      </c>
      <c r="E1588" s="7"/>
      <c r="F1588" s="13"/>
      <c r="G1588" s="13"/>
      <c r="H1588" s="17" t="str">
        <f aca="false">IF(OR(E1588="",F1588=""),"",E1588*F1588)</f>
        <v/>
      </c>
      <c r="I1588" s="17" t="str">
        <f aca="false">IF(OR(E1588="",G1588=""),"",E1588*G1588)</f>
        <v/>
      </c>
      <c r="J1588" s="17" t="str">
        <f aca="false">IF(H1588="","",H1588-I1588)</f>
        <v/>
      </c>
    </row>
    <row r="1589" customFormat="false" ht="15" hidden="false" customHeight="true" outlineLevel="0" collapsed="false">
      <c r="A1589" s="7"/>
      <c r="B1589" s="18" t="str">
        <f aca="false">IF(A1589="","",IFERROR(INDEX(Sales_Memo!$B$2:$B$1001,MATCH(A1589,Sales_Memo!$A$2:$A$1001,0)),""))</f>
        <v/>
      </c>
      <c r="C1589" s="7"/>
      <c r="D1589" s="16" t="str">
        <f aca="false">IF(C1589="","",IFERROR(INDEX(Products!$B$2:$B$501,MATCH(C1589,Products!$A$2:$A$501,0)),"CODE NOT FOUND"))</f>
        <v/>
      </c>
      <c r="E1589" s="7"/>
      <c r="F1589" s="13"/>
      <c r="G1589" s="13"/>
      <c r="H1589" s="17" t="str">
        <f aca="false">IF(OR(E1589="",F1589=""),"",E1589*F1589)</f>
        <v/>
      </c>
      <c r="I1589" s="17" t="str">
        <f aca="false">IF(OR(E1589="",G1589=""),"",E1589*G1589)</f>
        <v/>
      </c>
      <c r="J1589" s="17" t="str">
        <f aca="false">IF(H1589="","",H1589-I1589)</f>
        <v/>
      </c>
    </row>
    <row r="1590" customFormat="false" ht="15" hidden="false" customHeight="true" outlineLevel="0" collapsed="false">
      <c r="A1590" s="7"/>
      <c r="B1590" s="18" t="str">
        <f aca="false">IF(A1590="","",IFERROR(INDEX(Sales_Memo!$B$2:$B$1001,MATCH(A1590,Sales_Memo!$A$2:$A$1001,0)),""))</f>
        <v/>
      </c>
      <c r="C1590" s="7"/>
      <c r="D1590" s="16" t="str">
        <f aca="false">IF(C1590="","",IFERROR(INDEX(Products!$B$2:$B$501,MATCH(C1590,Products!$A$2:$A$501,0)),"CODE NOT FOUND"))</f>
        <v/>
      </c>
      <c r="E1590" s="7"/>
      <c r="F1590" s="13"/>
      <c r="G1590" s="13"/>
      <c r="H1590" s="17" t="str">
        <f aca="false">IF(OR(E1590="",F1590=""),"",E1590*F1590)</f>
        <v/>
      </c>
      <c r="I1590" s="17" t="str">
        <f aca="false">IF(OR(E1590="",G1590=""),"",E1590*G1590)</f>
        <v/>
      </c>
      <c r="J1590" s="17" t="str">
        <f aca="false">IF(H1590="","",H1590-I1590)</f>
        <v/>
      </c>
    </row>
    <row r="1591" customFormat="false" ht="15" hidden="false" customHeight="true" outlineLevel="0" collapsed="false">
      <c r="A1591" s="7"/>
      <c r="B1591" s="18" t="str">
        <f aca="false">IF(A1591="","",IFERROR(INDEX(Sales_Memo!$B$2:$B$1001,MATCH(A1591,Sales_Memo!$A$2:$A$1001,0)),""))</f>
        <v/>
      </c>
      <c r="C1591" s="7"/>
      <c r="D1591" s="16" t="str">
        <f aca="false">IF(C1591="","",IFERROR(INDEX(Products!$B$2:$B$501,MATCH(C1591,Products!$A$2:$A$501,0)),"CODE NOT FOUND"))</f>
        <v/>
      </c>
      <c r="E1591" s="7"/>
      <c r="F1591" s="13"/>
      <c r="G1591" s="13"/>
      <c r="H1591" s="17" t="str">
        <f aca="false">IF(OR(E1591="",F1591=""),"",E1591*F1591)</f>
        <v/>
      </c>
      <c r="I1591" s="17" t="str">
        <f aca="false">IF(OR(E1591="",G1591=""),"",E1591*G1591)</f>
        <v/>
      </c>
      <c r="J1591" s="17" t="str">
        <f aca="false">IF(H1591="","",H1591-I1591)</f>
        <v/>
      </c>
    </row>
    <row r="1592" customFormat="false" ht="15" hidden="false" customHeight="true" outlineLevel="0" collapsed="false">
      <c r="A1592" s="7"/>
      <c r="B1592" s="18" t="str">
        <f aca="false">IF(A1592="","",IFERROR(INDEX(Sales_Memo!$B$2:$B$1001,MATCH(A1592,Sales_Memo!$A$2:$A$1001,0)),""))</f>
        <v/>
      </c>
      <c r="C1592" s="7"/>
      <c r="D1592" s="16" t="str">
        <f aca="false">IF(C1592="","",IFERROR(INDEX(Products!$B$2:$B$501,MATCH(C1592,Products!$A$2:$A$501,0)),"CODE NOT FOUND"))</f>
        <v/>
      </c>
      <c r="E1592" s="7"/>
      <c r="F1592" s="13"/>
      <c r="G1592" s="13"/>
      <c r="H1592" s="17" t="str">
        <f aca="false">IF(OR(E1592="",F1592=""),"",E1592*F1592)</f>
        <v/>
      </c>
      <c r="I1592" s="17" t="str">
        <f aca="false">IF(OR(E1592="",G1592=""),"",E1592*G1592)</f>
        <v/>
      </c>
      <c r="J1592" s="17" t="str">
        <f aca="false">IF(H1592="","",H1592-I1592)</f>
        <v/>
      </c>
    </row>
    <row r="1593" customFormat="false" ht="15" hidden="false" customHeight="true" outlineLevel="0" collapsed="false">
      <c r="A1593" s="7"/>
      <c r="B1593" s="18" t="str">
        <f aca="false">IF(A1593="","",IFERROR(INDEX(Sales_Memo!$B$2:$B$1001,MATCH(A1593,Sales_Memo!$A$2:$A$1001,0)),""))</f>
        <v/>
      </c>
      <c r="C1593" s="7"/>
      <c r="D1593" s="16" t="str">
        <f aca="false">IF(C1593="","",IFERROR(INDEX(Products!$B$2:$B$501,MATCH(C1593,Products!$A$2:$A$501,0)),"CODE NOT FOUND"))</f>
        <v/>
      </c>
      <c r="E1593" s="7"/>
      <c r="F1593" s="13"/>
      <c r="G1593" s="13"/>
      <c r="H1593" s="17" t="str">
        <f aca="false">IF(OR(E1593="",F1593=""),"",E1593*F1593)</f>
        <v/>
      </c>
      <c r="I1593" s="17" t="str">
        <f aca="false">IF(OR(E1593="",G1593=""),"",E1593*G1593)</f>
        <v/>
      </c>
      <c r="J1593" s="17" t="str">
        <f aca="false">IF(H1593="","",H1593-I1593)</f>
        <v/>
      </c>
    </row>
    <row r="1594" customFormat="false" ht="15" hidden="false" customHeight="true" outlineLevel="0" collapsed="false">
      <c r="A1594" s="7"/>
      <c r="B1594" s="18" t="str">
        <f aca="false">IF(A1594="","",IFERROR(INDEX(Sales_Memo!$B$2:$B$1001,MATCH(A1594,Sales_Memo!$A$2:$A$1001,0)),""))</f>
        <v/>
      </c>
      <c r="C1594" s="7"/>
      <c r="D1594" s="16" t="str">
        <f aca="false">IF(C1594="","",IFERROR(INDEX(Products!$B$2:$B$501,MATCH(C1594,Products!$A$2:$A$501,0)),"CODE NOT FOUND"))</f>
        <v/>
      </c>
      <c r="E1594" s="7"/>
      <c r="F1594" s="13"/>
      <c r="G1594" s="13"/>
      <c r="H1594" s="17" t="str">
        <f aca="false">IF(OR(E1594="",F1594=""),"",E1594*F1594)</f>
        <v/>
      </c>
      <c r="I1594" s="17" t="str">
        <f aca="false">IF(OR(E1594="",G1594=""),"",E1594*G1594)</f>
        <v/>
      </c>
      <c r="J1594" s="17" t="str">
        <f aca="false">IF(H1594="","",H1594-I1594)</f>
        <v/>
      </c>
    </row>
    <row r="1595" customFormat="false" ht="15" hidden="false" customHeight="true" outlineLevel="0" collapsed="false">
      <c r="A1595" s="7"/>
      <c r="B1595" s="18" t="str">
        <f aca="false">IF(A1595="","",IFERROR(INDEX(Sales_Memo!$B$2:$B$1001,MATCH(A1595,Sales_Memo!$A$2:$A$1001,0)),""))</f>
        <v/>
      </c>
      <c r="C1595" s="7"/>
      <c r="D1595" s="16" t="str">
        <f aca="false">IF(C1595="","",IFERROR(INDEX(Products!$B$2:$B$501,MATCH(C1595,Products!$A$2:$A$501,0)),"CODE NOT FOUND"))</f>
        <v/>
      </c>
      <c r="E1595" s="7"/>
      <c r="F1595" s="13"/>
      <c r="G1595" s="13"/>
      <c r="H1595" s="17" t="str">
        <f aca="false">IF(OR(E1595="",F1595=""),"",E1595*F1595)</f>
        <v/>
      </c>
      <c r="I1595" s="17" t="str">
        <f aca="false">IF(OR(E1595="",G1595=""),"",E1595*G1595)</f>
        <v/>
      </c>
      <c r="J1595" s="17" t="str">
        <f aca="false">IF(H1595="","",H1595-I1595)</f>
        <v/>
      </c>
    </row>
    <row r="1596" customFormat="false" ht="15" hidden="false" customHeight="true" outlineLevel="0" collapsed="false">
      <c r="A1596" s="7"/>
      <c r="B1596" s="18" t="str">
        <f aca="false">IF(A1596="","",IFERROR(INDEX(Sales_Memo!$B$2:$B$1001,MATCH(A1596,Sales_Memo!$A$2:$A$1001,0)),""))</f>
        <v/>
      </c>
      <c r="C1596" s="7"/>
      <c r="D1596" s="16" t="str">
        <f aca="false">IF(C1596="","",IFERROR(INDEX(Products!$B$2:$B$501,MATCH(C1596,Products!$A$2:$A$501,0)),"CODE NOT FOUND"))</f>
        <v/>
      </c>
      <c r="E1596" s="7"/>
      <c r="F1596" s="13"/>
      <c r="G1596" s="13"/>
      <c r="H1596" s="17" t="str">
        <f aca="false">IF(OR(E1596="",F1596=""),"",E1596*F1596)</f>
        <v/>
      </c>
      <c r="I1596" s="17" t="str">
        <f aca="false">IF(OR(E1596="",G1596=""),"",E1596*G1596)</f>
        <v/>
      </c>
      <c r="J1596" s="17" t="str">
        <f aca="false">IF(H1596="","",H1596-I1596)</f>
        <v/>
      </c>
    </row>
    <row r="1597" customFormat="false" ht="15" hidden="false" customHeight="true" outlineLevel="0" collapsed="false">
      <c r="A1597" s="7"/>
      <c r="B1597" s="18" t="str">
        <f aca="false">IF(A1597="","",IFERROR(INDEX(Sales_Memo!$B$2:$B$1001,MATCH(A1597,Sales_Memo!$A$2:$A$1001,0)),""))</f>
        <v/>
      </c>
      <c r="C1597" s="7"/>
      <c r="D1597" s="16" t="str">
        <f aca="false">IF(C1597="","",IFERROR(INDEX(Products!$B$2:$B$501,MATCH(C1597,Products!$A$2:$A$501,0)),"CODE NOT FOUND"))</f>
        <v/>
      </c>
      <c r="E1597" s="7"/>
      <c r="F1597" s="13"/>
      <c r="G1597" s="13"/>
      <c r="H1597" s="17" t="str">
        <f aca="false">IF(OR(E1597="",F1597=""),"",E1597*F1597)</f>
        <v/>
      </c>
      <c r="I1597" s="17" t="str">
        <f aca="false">IF(OR(E1597="",G1597=""),"",E1597*G1597)</f>
        <v/>
      </c>
      <c r="J1597" s="17" t="str">
        <f aca="false">IF(H1597="","",H1597-I1597)</f>
        <v/>
      </c>
    </row>
    <row r="1598" customFormat="false" ht="15" hidden="false" customHeight="true" outlineLevel="0" collapsed="false">
      <c r="A1598" s="7"/>
      <c r="B1598" s="18" t="str">
        <f aca="false">IF(A1598="","",IFERROR(INDEX(Sales_Memo!$B$2:$B$1001,MATCH(A1598,Sales_Memo!$A$2:$A$1001,0)),""))</f>
        <v/>
      </c>
      <c r="C1598" s="7"/>
      <c r="D1598" s="16" t="str">
        <f aca="false">IF(C1598="","",IFERROR(INDEX(Products!$B$2:$B$501,MATCH(C1598,Products!$A$2:$A$501,0)),"CODE NOT FOUND"))</f>
        <v/>
      </c>
      <c r="E1598" s="7"/>
      <c r="F1598" s="13"/>
      <c r="G1598" s="13"/>
      <c r="H1598" s="17" t="str">
        <f aca="false">IF(OR(E1598="",F1598=""),"",E1598*F1598)</f>
        <v/>
      </c>
      <c r="I1598" s="17" t="str">
        <f aca="false">IF(OR(E1598="",G1598=""),"",E1598*G1598)</f>
        <v/>
      </c>
      <c r="J1598" s="17" t="str">
        <f aca="false">IF(H1598="","",H1598-I1598)</f>
        <v/>
      </c>
    </row>
    <row r="1599" customFormat="false" ht="15" hidden="false" customHeight="true" outlineLevel="0" collapsed="false">
      <c r="A1599" s="7"/>
      <c r="B1599" s="18" t="str">
        <f aca="false">IF(A1599="","",IFERROR(INDEX(Sales_Memo!$B$2:$B$1001,MATCH(A1599,Sales_Memo!$A$2:$A$1001,0)),""))</f>
        <v/>
      </c>
      <c r="C1599" s="7"/>
      <c r="D1599" s="16" t="str">
        <f aca="false">IF(C1599="","",IFERROR(INDEX(Products!$B$2:$B$501,MATCH(C1599,Products!$A$2:$A$501,0)),"CODE NOT FOUND"))</f>
        <v/>
      </c>
      <c r="E1599" s="7"/>
      <c r="F1599" s="13"/>
      <c r="G1599" s="13"/>
      <c r="H1599" s="17" t="str">
        <f aca="false">IF(OR(E1599="",F1599=""),"",E1599*F1599)</f>
        <v/>
      </c>
      <c r="I1599" s="17" t="str">
        <f aca="false">IF(OR(E1599="",G1599=""),"",E1599*G1599)</f>
        <v/>
      </c>
      <c r="J1599" s="17" t="str">
        <f aca="false">IF(H1599="","",H1599-I1599)</f>
        <v/>
      </c>
    </row>
    <row r="1600" customFormat="false" ht="15" hidden="false" customHeight="true" outlineLevel="0" collapsed="false">
      <c r="A1600" s="7"/>
      <c r="B1600" s="18" t="str">
        <f aca="false">IF(A1600="","",IFERROR(INDEX(Sales_Memo!$B$2:$B$1001,MATCH(A1600,Sales_Memo!$A$2:$A$1001,0)),""))</f>
        <v/>
      </c>
      <c r="C1600" s="7"/>
      <c r="D1600" s="16" t="str">
        <f aca="false">IF(C1600="","",IFERROR(INDEX(Products!$B$2:$B$501,MATCH(C1600,Products!$A$2:$A$501,0)),"CODE NOT FOUND"))</f>
        <v/>
      </c>
      <c r="E1600" s="7"/>
      <c r="F1600" s="13"/>
      <c r="G1600" s="13"/>
      <c r="H1600" s="17" t="str">
        <f aca="false">IF(OR(E1600="",F1600=""),"",E1600*F1600)</f>
        <v/>
      </c>
      <c r="I1600" s="17" t="str">
        <f aca="false">IF(OR(E1600="",G1600=""),"",E1600*G1600)</f>
        <v/>
      </c>
      <c r="J1600" s="17" t="str">
        <f aca="false">IF(H1600="","",H1600-I1600)</f>
        <v/>
      </c>
    </row>
    <row r="1601" customFormat="false" ht="15" hidden="false" customHeight="true" outlineLevel="0" collapsed="false">
      <c r="A1601" s="7"/>
      <c r="B1601" s="18" t="str">
        <f aca="false">IF(A1601="","",IFERROR(INDEX(Sales_Memo!$B$2:$B$1001,MATCH(A1601,Sales_Memo!$A$2:$A$1001,0)),""))</f>
        <v/>
      </c>
      <c r="C1601" s="7"/>
      <c r="D1601" s="16" t="str">
        <f aca="false">IF(C1601="","",IFERROR(INDEX(Products!$B$2:$B$501,MATCH(C1601,Products!$A$2:$A$501,0)),"CODE NOT FOUND"))</f>
        <v/>
      </c>
      <c r="E1601" s="7"/>
      <c r="F1601" s="13"/>
      <c r="G1601" s="13"/>
      <c r="H1601" s="17" t="str">
        <f aca="false">IF(OR(E1601="",F1601=""),"",E1601*F1601)</f>
        <v/>
      </c>
      <c r="I1601" s="17" t="str">
        <f aca="false">IF(OR(E1601="",G1601=""),"",E1601*G1601)</f>
        <v/>
      </c>
      <c r="J1601" s="17" t="str">
        <f aca="false">IF(H1601="","",H1601-I1601)</f>
        <v/>
      </c>
    </row>
    <row r="1602" customFormat="false" ht="15" hidden="false" customHeight="true" outlineLevel="0" collapsed="false">
      <c r="A1602" s="7"/>
      <c r="B1602" s="18" t="str">
        <f aca="false">IF(A1602="","",IFERROR(INDEX(Sales_Memo!$B$2:$B$1001,MATCH(A1602,Sales_Memo!$A$2:$A$1001,0)),""))</f>
        <v/>
      </c>
      <c r="C1602" s="7"/>
      <c r="D1602" s="16" t="str">
        <f aca="false">IF(C1602="","",IFERROR(INDEX(Products!$B$2:$B$501,MATCH(C1602,Products!$A$2:$A$501,0)),"CODE NOT FOUND"))</f>
        <v/>
      </c>
      <c r="E1602" s="7"/>
      <c r="F1602" s="13"/>
      <c r="G1602" s="13"/>
      <c r="H1602" s="17" t="str">
        <f aca="false">IF(OR(E1602="",F1602=""),"",E1602*F1602)</f>
        <v/>
      </c>
      <c r="I1602" s="17" t="str">
        <f aca="false">IF(OR(E1602="",G1602=""),"",E1602*G1602)</f>
        <v/>
      </c>
      <c r="J1602" s="17" t="str">
        <f aca="false">IF(H1602="","",H1602-I1602)</f>
        <v/>
      </c>
    </row>
    <row r="1603" customFormat="false" ht="15" hidden="false" customHeight="true" outlineLevel="0" collapsed="false">
      <c r="A1603" s="7"/>
      <c r="B1603" s="18" t="str">
        <f aca="false">IF(A1603="","",IFERROR(INDEX(Sales_Memo!$B$2:$B$1001,MATCH(A1603,Sales_Memo!$A$2:$A$1001,0)),""))</f>
        <v/>
      </c>
      <c r="C1603" s="7"/>
      <c r="D1603" s="16" t="str">
        <f aca="false">IF(C1603="","",IFERROR(INDEX(Products!$B$2:$B$501,MATCH(C1603,Products!$A$2:$A$501,0)),"CODE NOT FOUND"))</f>
        <v/>
      </c>
      <c r="E1603" s="7"/>
      <c r="F1603" s="13"/>
      <c r="G1603" s="13"/>
      <c r="H1603" s="17" t="str">
        <f aca="false">IF(OR(E1603="",F1603=""),"",E1603*F1603)</f>
        <v/>
      </c>
      <c r="I1603" s="17" t="str">
        <f aca="false">IF(OR(E1603="",G1603=""),"",E1603*G1603)</f>
        <v/>
      </c>
      <c r="J1603" s="17" t="str">
        <f aca="false">IF(H1603="","",H1603-I1603)</f>
        <v/>
      </c>
    </row>
    <row r="1604" customFormat="false" ht="15" hidden="false" customHeight="true" outlineLevel="0" collapsed="false">
      <c r="A1604" s="7"/>
      <c r="B1604" s="18" t="str">
        <f aca="false">IF(A1604="","",IFERROR(INDEX(Sales_Memo!$B$2:$B$1001,MATCH(A1604,Sales_Memo!$A$2:$A$1001,0)),""))</f>
        <v/>
      </c>
      <c r="C1604" s="7"/>
      <c r="D1604" s="16" t="str">
        <f aca="false">IF(C1604="","",IFERROR(INDEX(Products!$B$2:$B$501,MATCH(C1604,Products!$A$2:$A$501,0)),"CODE NOT FOUND"))</f>
        <v/>
      </c>
      <c r="E1604" s="7"/>
      <c r="F1604" s="13"/>
      <c r="G1604" s="13"/>
      <c r="H1604" s="17" t="str">
        <f aca="false">IF(OR(E1604="",F1604=""),"",E1604*F1604)</f>
        <v/>
      </c>
      <c r="I1604" s="17" t="str">
        <f aca="false">IF(OR(E1604="",G1604=""),"",E1604*G1604)</f>
        <v/>
      </c>
      <c r="J1604" s="17" t="str">
        <f aca="false">IF(H1604="","",H1604-I1604)</f>
        <v/>
      </c>
    </row>
    <row r="1605" customFormat="false" ht="15" hidden="false" customHeight="true" outlineLevel="0" collapsed="false">
      <c r="A1605" s="7"/>
      <c r="B1605" s="18" t="str">
        <f aca="false">IF(A1605="","",IFERROR(INDEX(Sales_Memo!$B$2:$B$1001,MATCH(A1605,Sales_Memo!$A$2:$A$1001,0)),""))</f>
        <v/>
      </c>
      <c r="C1605" s="7"/>
      <c r="D1605" s="16" t="str">
        <f aca="false">IF(C1605="","",IFERROR(INDEX(Products!$B$2:$B$501,MATCH(C1605,Products!$A$2:$A$501,0)),"CODE NOT FOUND"))</f>
        <v/>
      </c>
      <c r="E1605" s="7"/>
      <c r="F1605" s="13"/>
      <c r="G1605" s="13"/>
      <c r="H1605" s="17" t="str">
        <f aca="false">IF(OR(E1605="",F1605=""),"",E1605*F1605)</f>
        <v/>
      </c>
      <c r="I1605" s="17" t="str">
        <f aca="false">IF(OR(E1605="",G1605=""),"",E1605*G1605)</f>
        <v/>
      </c>
      <c r="J1605" s="17" t="str">
        <f aca="false">IF(H1605="","",H1605-I1605)</f>
        <v/>
      </c>
    </row>
    <row r="1606" customFormat="false" ht="15" hidden="false" customHeight="true" outlineLevel="0" collapsed="false">
      <c r="A1606" s="7"/>
      <c r="B1606" s="18" t="str">
        <f aca="false">IF(A1606="","",IFERROR(INDEX(Sales_Memo!$B$2:$B$1001,MATCH(A1606,Sales_Memo!$A$2:$A$1001,0)),""))</f>
        <v/>
      </c>
      <c r="C1606" s="7"/>
      <c r="D1606" s="16" t="str">
        <f aca="false">IF(C1606="","",IFERROR(INDEX(Products!$B$2:$B$501,MATCH(C1606,Products!$A$2:$A$501,0)),"CODE NOT FOUND"))</f>
        <v/>
      </c>
      <c r="E1606" s="7"/>
      <c r="F1606" s="13"/>
      <c r="G1606" s="13"/>
      <c r="H1606" s="17" t="str">
        <f aca="false">IF(OR(E1606="",F1606=""),"",E1606*F1606)</f>
        <v/>
      </c>
      <c r="I1606" s="17" t="str">
        <f aca="false">IF(OR(E1606="",G1606=""),"",E1606*G1606)</f>
        <v/>
      </c>
      <c r="J1606" s="17" t="str">
        <f aca="false">IF(H1606="","",H1606-I1606)</f>
        <v/>
      </c>
    </row>
    <row r="1607" customFormat="false" ht="15" hidden="false" customHeight="true" outlineLevel="0" collapsed="false">
      <c r="A1607" s="7"/>
      <c r="B1607" s="18" t="str">
        <f aca="false">IF(A1607="","",IFERROR(INDEX(Sales_Memo!$B$2:$B$1001,MATCH(A1607,Sales_Memo!$A$2:$A$1001,0)),""))</f>
        <v/>
      </c>
      <c r="C1607" s="7"/>
      <c r="D1607" s="16" t="str">
        <f aca="false">IF(C1607="","",IFERROR(INDEX(Products!$B$2:$B$501,MATCH(C1607,Products!$A$2:$A$501,0)),"CODE NOT FOUND"))</f>
        <v/>
      </c>
      <c r="E1607" s="7"/>
      <c r="F1607" s="13"/>
      <c r="G1607" s="13"/>
      <c r="H1607" s="17" t="str">
        <f aca="false">IF(OR(E1607="",F1607=""),"",E1607*F1607)</f>
        <v/>
      </c>
      <c r="I1607" s="17" t="str">
        <f aca="false">IF(OR(E1607="",G1607=""),"",E1607*G1607)</f>
        <v/>
      </c>
      <c r="J1607" s="17" t="str">
        <f aca="false">IF(H1607="","",H1607-I1607)</f>
        <v/>
      </c>
    </row>
    <row r="1608" customFormat="false" ht="15" hidden="false" customHeight="true" outlineLevel="0" collapsed="false">
      <c r="A1608" s="7"/>
      <c r="B1608" s="18" t="str">
        <f aca="false">IF(A1608="","",IFERROR(INDEX(Sales_Memo!$B$2:$B$1001,MATCH(A1608,Sales_Memo!$A$2:$A$1001,0)),""))</f>
        <v/>
      </c>
      <c r="C1608" s="7"/>
      <c r="D1608" s="16" t="str">
        <f aca="false">IF(C1608="","",IFERROR(INDEX(Products!$B$2:$B$501,MATCH(C1608,Products!$A$2:$A$501,0)),"CODE NOT FOUND"))</f>
        <v/>
      </c>
      <c r="E1608" s="7"/>
      <c r="F1608" s="13"/>
      <c r="G1608" s="13"/>
      <c r="H1608" s="17" t="str">
        <f aca="false">IF(OR(E1608="",F1608=""),"",E1608*F1608)</f>
        <v/>
      </c>
      <c r="I1608" s="17" t="str">
        <f aca="false">IF(OR(E1608="",G1608=""),"",E1608*G1608)</f>
        <v/>
      </c>
      <c r="J1608" s="17" t="str">
        <f aca="false">IF(H1608="","",H1608-I1608)</f>
        <v/>
      </c>
    </row>
    <row r="1609" customFormat="false" ht="15" hidden="false" customHeight="true" outlineLevel="0" collapsed="false">
      <c r="A1609" s="7"/>
      <c r="B1609" s="18" t="str">
        <f aca="false">IF(A1609="","",IFERROR(INDEX(Sales_Memo!$B$2:$B$1001,MATCH(A1609,Sales_Memo!$A$2:$A$1001,0)),""))</f>
        <v/>
      </c>
      <c r="C1609" s="7"/>
      <c r="D1609" s="16" t="str">
        <f aca="false">IF(C1609="","",IFERROR(INDEX(Products!$B$2:$B$501,MATCH(C1609,Products!$A$2:$A$501,0)),"CODE NOT FOUND"))</f>
        <v/>
      </c>
      <c r="E1609" s="7"/>
      <c r="F1609" s="13"/>
      <c r="G1609" s="13"/>
      <c r="H1609" s="17" t="str">
        <f aca="false">IF(OR(E1609="",F1609=""),"",E1609*F1609)</f>
        <v/>
      </c>
      <c r="I1609" s="17" t="str">
        <f aca="false">IF(OR(E1609="",G1609=""),"",E1609*G1609)</f>
        <v/>
      </c>
      <c r="J1609" s="17" t="str">
        <f aca="false">IF(H1609="","",H1609-I1609)</f>
        <v/>
      </c>
    </row>
    <row r="1610" customFormat="false" ht="15" hidden="false" customHeight="true" outlineLevel="0" collapsed="false">
      <c r="A1610" s="7"/>
      <c r="B1610" s="18" t="str">
        <f aca="false">IF(A1610="","",IFERROR(INDEX(Sales_Memo!$B$2:$B$1001,MATCH(A1610,Sales_Memo!$A$2:$A$1001,0)),""))</f>
        <v/>
      </c>
      <c r="C1610" s="7"/>
      <c r="D1610" s="16" t="str">
        <f aca="false">IF(C1610="","",IFERROR(INDEX(Products!$B$2:$B$501,MATCH(C1610,Products!$A$2:$A$501,0)),"CODE NOT FOUND"))</f>
        <v/>
      </c>
      <c r="E1610" s="7"/>
      <c r="F1610" s="13"/>
      <c r="G1610" s="13"/>
      <c r="H1610" s="17" t="str">
        <f aca="false">IF(OR(E1610="",F1610=""),"",E1610*F1610)</f>
        <v/>
      </c>
      <c r="I1610" s="17" t="str">
        <f aca="false">IF(OR(E1610="",G1610=""),"",E1610*G1610)</f>
        <v/>
      </c>
      <c r="J1610" s="17" t="str">
        <f aca="false">IF(H1610="","",H1610-I1610)</f>
        <v/>
      </c>
    </row>
    <row r="1611" customFormat="false" ht="15" hidden="false" customHeight="true" outlineLevel="0" collapsed="false">
      <c r="A1611" s="7"/>
      <c r="B1611" s="18" t="str">
        <f aca="false">IF(A1611="","",IFERROR(INDEX(Sales_Memo!$B$2:$B$1001,MATCH(A1611,Sales_Memo!$A$2:$A$1001,0)),""))</f>
        <v/>
      </c>
      <c r="C1611" s="7"/>
      <c r="D1611" s="16" t="str">
        <f aca="false">IF(C1611="","",IFERROR(INDEX(Products!$B$2:$B$501,MATCH(C1611,Products!$A$2:$A$501,0)),"CODE NOT FOUND"))</f>
        <v/>
      </c>
      <c r="E1611" s="7"/>
      <c r="F1611" s="13"/>
      <c r="G1611" s="13"/>
      <c r="H1611" s="17" t="str">
        <f aca="false">IF(OR(E1611="",F1611=""),"",E1611*F1611)</f>
        <v/>
      </c>
      <c r="I1611" s="17" t="str">
        <f aca="false">IF(OR(E1611="",G1611=""),"",E1611*G1611)</f>
        <v/>
      </c>
      <c r="J1611" s="17" t="str">
        <f aca="false">IF(H1611="","",H1611-I1611)</f>
        <v/>
      </c>
    </row>
    <row r="1612" customFormat="false" ht="15" hidden="false" customHeight="true" outlineLevel="0" collapsed="false">
      <c r="A1612" s="7"/>
      <c r="B1612" s="18" t="str">
        <f aca="false">IF(A1612="","",IFERROR(INDEX(Sales_Memo!$B$2:$B$1001,MATCH(A1612,Sales_Memo!$A$2:$A$1001,0)),""))</f>
        <v/>
      </c>
      <c r="C1612" s="7"/>
      <c r="D1612" s="16" t="str">
        <f aca="false">IF(C1612="","",IFERROR(INDEX(Products!$B$2:$B$501,MATCH(C1612,Products!$A$2:$A$501,0)),"CODE NOT FOUND"))</f>
        <v/>
      </c>
      <c r="E1612" s="7"/>
      <c r="F1612" s="13"/>
      <c r="G1612" s="13"/>
      <c r="H1612" s="17" t="str">
        <f aca="false">IF(OR(E1612="",F1612=""),"",E1612*F1612)</f>
        <v/>
      </c>
      <c r="I1612" s="17" t="str">
        <f aca="false">IF(OR(E1612="",G1612=""),"",E1612*G1612)</f>
        <v/>
      </c>
      <c r="J1612" s="17" t="str">
        <f aca="false">IF(H1612="","",H1612-I1612)</f>
        <v/>
      </c>
    </row>
    <row r="1613" customFormat="false" ht="15" hidden="false" customHeight="true" outlineLevel="0" collapsed="false">
      <c r="A1613" s="7"/>
      <c r="B1613" s="18" t="str">
        <f aca="false">IF(A1613="","",IFERROR(INDEX(Sales_Memo!$B$2:$B$1001,MATCH(A1613,Sales_Memo!$A$2:$A$1001,0)),""))</f>
        <v/>
      </c>
      <c r="C1613" s="7"/>
      <c r="D1613" s="16" t="str">
        <f aca="false">IF(C1613="","",IFERROR(INDEX(Products!$B$2:$B$501,MATCH(C1613,Products!$A$2:$A$501,0)),"CODE NOT FOUND"))</f>
        <v/>
      </c>
      <c r="E1613" s="7"/>
      <c r="F1613" s="13"/>
      <c r="G1613" s="13"/>
      <c r="H1613" s="17" t="str">
        <f aca="false">IF(OR(E1613="",F1613=""),"",E1613*F1613)</f>
        <v/>
      </c>
      <c r="I1613" s="17" t="str">
        <f aca="false">IF(OR(E1613="",G1613=""),"",E1613*G1613)</f>
        <v/>
      </c>
      <c r="J1613" s="17" t="str">
        <f aca="false">IF(H1613="","",H1613-I1613)</f>
        <v/>
      </c>
    </row>
    <row r="1614" customFormat="false" ht="15" hidden="false" customHeight="true" outlineLevel="0" collapsed="false">
      <c r="A1614" s="7"/>
      <c r="B1614" s="18" t="str">
        <f aca="false">IF(A1614="","",IFERROR(INDEX(Sales_Memo!$B$2:$B$1001,MATCH(A1614,Sales_Memo!$A$2:$A$1001,0)),""))</f>
        <v/>
      </c>
      <c r="C1614" s="7"/>
      <c r="D1614" s="16" t="str">
        <f aca="false">IF(C1614="","",IFERROR(INDEX(Products!$B$2:$B$501,MATCH(C1614,Products!$A$2:$A$501,0)),"CODE NOT FOUND"))</f>
        <v/>
      </c>
      <c r="E1614" s="7"/>
      <c r="F1614" s="13"/>
      <c r="G1614" s="13"/>
      <c r="H1614" s="17" t="str">
        <f aca="false">IF(OR(E1614="",F1614=""),"",E1614*F1614)</f>
        <v/>
      </c>
      <c r="I1614" s="17" t="str">
        <f aca="false">IF(OR(E1614="",G1614=""),"",E1614*G1614)</f>
        <v/>
      </c>
      <c r="J1614" s="17" t="str">
        <f aca="false">IF(H1614="","",H1614-I1614)</f>
        <v/>
      </c>
    </row>
    <row r="1615" customFormat="false" ht="15" hidden="false" customHeight="true" outlineLevel="0" collapsed="false">
      <c r="A1615" s="7"/>
      <c r="B1615" s="18" t="str">
        <f aca="false">IF(A1615="","",IFERROR(INDEX(Sales_Memo!$B$2:$B$1001,MATCH(A1615,Sales_Memo!$A$2:$A$1001,0)),""))</f>
        <v/>
      </c>
      <c r="C1615" s="7"/>
      <c r="D1615" s="16" t="str">
        <f aca="false">IF(C1615="","",IFERROR(INDEX(Products!$B$2:$B$501,MATCH(C1615,Products!$A$2:$A$501,0)),"CODE NOT FOUND"))</f>
        <v/>
      </c>
      <c r="E1615" s="7"/>
      <c r="F1615" s="13"/>
      <c r="G1615" s="13"/>
      <c r="H1615" s="17" t="str">
        <f aca="false">IF(OR(E1615="",F1615=""),"",E1615*F1615)</f>
        <v/>
      </c>
      <c r="I1615" s="17" t="str">
        <f aca="false">IF(OR(E1615="",G1615=""),"",E1615*G1615)</f>
        <v/>
      </c>
      <c r="J1615" s="17" t="str">
        <f aca="false">IF(H1615="","",H1615-I1615)</f>
        <v/>
      </c>
    </row>
    <row r="1616" customFormat="false" ht="15" hidden="false" customHeight="true" outlineLevel="0" collapsed="false">
      <c r="A1616" s="7"/>
      <c r="B1616" s="18" t="str">
        <f aca="false">IF(A1616="","",IFERROR(INDEX(Sales_Memo!$B$2:$B$1001,MATCH(A1616,Sales_Memo!$A$2:$A$1001,0)),""))</f>
        <v/>
      </c>
      <c r="C1616" s="7"/>
      <c r="D1616" s="16" t="str">
        <f aca="false">IF(C1616="","",IFERROR(INDEX(Products!$B$2:$B$501,MATCH(C1616,Products!$A$2:$A$501,0)),"CODE NOT FOUND"))</f>
        <v/>
      </c>
      <c r="E1616" s="7"/>
      <c r="F1616" s="13"/>
      <c r="G1616" s="13"/>
      <c r="H1616" s="17" t="str">
        <f aca="false">IF(OR(E1616="",F1616=""),"",E1616*F1616)</f>
        <v/>
      </c>
      <c r="I1616" s="17" t="str">
        <f aca="false">IF(OR(E1616="",G1616=""),"",E1616*G1616)</f>
        <v/>
      </c>
      <c r="J1616" s="17" t="str">
        <f aca="false">IF(H1616="","",H1616-I1616)</f>
        <v/>
      </c>
    </row>
    <row r="1617" customFormat="false" ht="15" hidden="false" customHeight="true" outlineLevel="0" collapsed="false">
      <c r="A1617" s="7"/>
      <c r="B1617" s="18" t="str">
        <f aca="false">IF(A1617="","",IFERROR(INDEX(Sales_Memo!$B$2:$B$1001,MATCH(A1617,Sales_Memo!$A$2:$A$1001,0)),""))</f>
        <v/>
      </c>
      <c r="C1617" s="7"/>
      <c r="D1617" s="16" t="str">
        <f aca="false">IF(C1617="","",IFERROR(INDEX(Products!$B$2:$B$501,MATCH(C1617,Products!$A$2:$A$501,0)),"CODE NOT FOUND"))</f>
        <v/>
      </c>
      <c r="E1617" s="7"/>
      <c r="F1617" s="13"/>
      <c r="G1617" s="13"/>
      <c r="H1617" s="17" t="str">
        <f aca="false">IF(OR(E1617="",F1617=""),"",E1617*F1617)</f>
        <v/>
      </c>
      <c r="I1617" s="17" t="str">
        <f aca="false">IF(OR(E1617="",G1617=""),"",E1617*G1617)</f>
        <v/>
      </c>
      <c r="J1617" s="17" t="str">
        <f aca="false">IF(H1617="","",H1617-I1617)</f>
        <v/>
      </c>
    </row>
    <row r="1618" customFormat="false" ht="15" hidden="false" customHeight="true" outlineLevel="0" collapsed="false">
      <c r="A1618" s="7"/>
      <c r="B1618" s="18" t="str">
        <f aca="false">IF(A1618="","",IFERROR(INDEX(Sales_Memo!$B$2:$B$1001,MATCH(A1618,Sales_Memo!$A$2:$A$1001,0)),""))</f>
        <v/>
      </c>
      <c r="C1618" s="7"/>
      <c r="D1618" s="16" t="str">
        <f aca="false">IF(C1618="","",IFERROR(INDEX(Products!$B$2:$B$501,MATCH(C1618,Products!$A$2:$A$501,0)),"CODE NOT FOUND"))</f>
        <v/>
      </c>
      <c r="E1618" s="7"/>
      <c r="F1618" s="13"/>
      <c r="G1618" s="13"/>
      <c r="H1618" s="17" t="str">
        <f aca="false">IF(OR(E1618="",F1618=""),"",E1618*F1618)</f>
        <v/>
      </c>
      <c r="I1618" s="17" t="str">
        <f aca="false">IF(OR(E1618="",G1618=""),"",E1618*G1618)</f>
        <v/>
      </c>
      <c r="J1618" s="17" t="str">
        <f aca="false">IF(H1618="","",H1618-I1618)</f>
        <v/>
      </c>
    </row>
    <row r="1619" customFormat="false" ht="15" hidden="false" customHeight="true" outlineLevel="0" collapsed="false">
      <c r="A1619" s="7"/>
      <c r="B1619" s="18" t="str">
        <f aca="false">IF(A1619="","",IFERROR(INDEX(Sales_Memo!$B$2:$B$1001,MATCH(A1619,Sales_Memo!$A$2:$A$1001,0)),""))</f>
        <v/>
      </c>
      <c r="C1619" s="7"/>
      <c r="D1619" s="16" t="str">
        <f aca="false">IF(C1619="","",IFERROR(INDEX(Products!$B$2:$B$501,MATCH(C1619,Products!$A$2:$A$501,0)),"CODE NOT FOUND"))</f>
        <v/>
      </c>
      <c r="E1619" s="7"/>
      <c r="F1619" s="13"/>
      <c r="G1619" s="13"/>
      <c r="H1619" s="17" t="str">
        <f aca="false">IF(OR(E1619="",F1619=""),"",E1619*F1619)</f>
        <v/>
      </c>
      <c r="I1619" s="17" t="str">
        <f aca="false">IF(OR(E1619="",G1619=""),"",E1619*G1619)</f>
        <v/>
      </c>
      <c r="J1619" s="17" t="str">
        <f aca="false">IF(H1619="","",H1619-I1619)</f>
        <v/>
      </c>
    </row>
    <row r="1620" customFormat="false" ht="15" hidden="false" customHeight="true" outlineLevel="0" collapsed="false">
      <c r="A1620" s="7"/>
      <c r="B1620" s="18" t="str">
        <f aca="false">IF(A1620="","",IFERROR(INDEX(Sales_Memo!$B$2:$B$1001,MATCH(A1620,Sales_Memo!$A$2:$A$1001,0)),""))</f>
        <v/>
      </c>
      <c r="C1620" s="7"/>
      <c r="D1620" s="16" t="str">
        <f aca="false">IF(C1620="","",IFERROR(INDEX(Products!$B$2:$B$501,MATCH(C1620,Products!$A$2:$A$501,0)),"CODE NOT FOUND"))</f>
        <v/>
      </c>
      <c r="E1620" s="7"/>
      <c r="F1620" s="13"/>
      <c r="G1620" s="13"/>
      <c r="H1620" s="17" t="str">
        <f aca="false">IF(OR(E1620="",F1620=""),"",E1620*F1620)</f>
        <v/>
      </c>
      <c r="I1620" s="17" t="str">
        <f aca="false">IF(OR(E1620="",G1620=""),"",E1620*G1620)</f>
        <v/>
      </c>
      <c r="J1620" s="17" t="str">
        <f aca="false">IF(H1620="","",H1620-I1620)</f>
        <v/>
      </c>
    </row>
    <row r="1621" customFormat="false" ht="15" hidden="false" customHeight="true" outlineLevel="0" collapsed="false">
      <c r="A1621" s="7"/>
      <c r="B1621" s="18" t="str">
        <f aca="false">IF(A1621="","",IFERROR(INDEX(Sales_Memo!$B$2:$B$1001,MATCH(A1621,Sales_Memo!$A$2:$A$1001,0)),""))</f>
        <v/>
      </c>
      <c r="C1621" s="7"/>
      <c r="D1621" s="16" t="str">
        <f aca="false">IF(C1621="","",IFERROR(INDEX(Products!$B$2:$B$501,MATCH(C1621,Products!$A$2:$A$501,0)),"CODE NOT FOUND"))</f>
        <v/>
      </c>
      <c r="E1621" s="7"/>
      <c r="F1621" s="13"/>
      <c r="G1621" s="13"/>
      <c r="H1621" s="17" t="str">
        <f aca="false">IF(OR(E1621="",F1621=""),"",E1621*F1621)</f>
        <v/>
      </c>
      <c r="I1621" s="17" t="str">
        <f aca="false">IF(OR(E1621="",G1621=""),"",E1621*G1621)</f>
        <v/>
      </c>
      <c r="J1621" s="17" t="str">
        <f aca="false">IF(H1621="","",H1621-I1621)</f>
        <v/>
      </c>
    </row>
    <row r="1622" customFormat="false" ht="15" hidden="false" customHeight="true" outlineLevel="0" collapsed="false">
      <c r="A1622" s="7"/>
      <c r="B1622" s="18" t="str">
        <f aca="false">IF(A1622="","",IFERROR(INDEX(Sales_Memo!$B$2:$B$1001,MATCH(A1622,Sales_Memo!$A$2:$A$1001,0)),""))</f>
        <v/>
      </c>
      <c r="C1622" s="7"/>
      <c r="D1622" s="16" t="str">
        <f aca="false">IF(C1622="","",IFERROR(INDEX(Products!$B$2:$B$501,MATCH(C1622,Products!$A$2:$A$501,0)),"CODE NOT FOUND"))</f>
        <v/>
      </c>
      <c r="E1622" s="7"/>
      <c r="F1622" s="13"/>
      <c r="G1622" s="13"/>
      <c r="H1622" s="17" t="str">
        <f aca="false">IF(OR(E1622="",F1622=""),"",E1622*F1622)</f>
        <v/>
      </c>
      <c r="I1622" s="17" t="str">
        <f aca="false">IF(OR(E1622="",G1622=""),"",E1622*G1622)</f>
        <v/>
      </c>
      <c r="J1622" s="17" t="str">
        <f aca="false">IF(H1622="","",H1622-I1622)</f>
        <v/>
      </c>
    </row>
    <row r="1623" customFormat="false" ht="15" hidden="false" customHeight="true" outlineLevel="0" collapsed="false">
      <c r="A1623" s="7"/>
      <c r="B1623" s="18" t="str">
        <f aca="false">IF(A1623="","",IFERROR(INDEX(Sales_Memo!$B$2:$B$1001,MATCH(A1623,Sales_Memo!$A$2:$A$1001,0)),""))</f>
        <v/>
      </c>
      <c r="C1623" s="7"/>
      <c r="D1623" s="16" t="str">
        <f aca="false">IF(C1623="","",IFERROR(INDEX(Products!$B$2:$B$501,MATCH(C1623,Products!$A$2:$A$501,0)),"CODE NOT FOUND"))</f>
        <v/>
      </c>
      <c r="E1623" s="7"/>
      <c r="F1623" s="13"/>
      <c r="G1623" s="13"/>
      <c r="H1623" s="17" t="str">
        <f aca="false">IF(OR(E1623="",F1623=""),"",E1623*F1623)</f>
        <v/>
      </c>
      <c r="I1623" s="17" t="str">
        <f aca="false">IF(OR(E1623="",G1623=""),"",E1623*G1623)</f>
        <v/>
      </c>
      <c r="J1623" s="17" t="str">
        <f aca="false">IF(H1623="","",H1623-I1623)</f>
        <v/>
      </c>
    </row>
    <row r="1624" customFormat="false" ht="15" hidden="false" customHeight="true" outlineLevel="0" collapsed="false">
      <c r="A1624" s="7"/>
      <c r="B1624" s="18" t="str">
        <f aca="false">IF(A1624="","",IFERROR(INDEX(Sales_Memo!$B$2:$B$1001,MATCH(A1624,Sales_Memo!$A$2:$A$1001,0)),""))</f>
        <v/>
      </c>
      <c r="C1624" s="7"/>
      <c r="D1624" s="16" t="str">
        <f aca="false">IF(C1624="","",IFERROR(INDEX(Products!$B$2:$B$501,MATCH(C1624,Products!$A$2:$A$501,0)),"CODE NOT FOUND"))</f>
        <v/>
      </c>
      <c r="E1624" s="7"/>
      <c r="F1624" s="13"/>
      <c r="G1624" s="13"/>
      <c r="H1624" s="17" t="str">
        <f aca="false">IF(OR(E1624="",F1624=""),"",E1624*F1624)</f>
        <v/>
      </c>
      <c r="I1624" s="17" t="str">
        <f aca="false">IF(OR(E1624="",G1624=""),"",E1624*G1624)</f>
        <v/>
      </c>
      <c r="J1624" s="17" t="str">
        <f aca="false">IF(H1624="","",H1624-I1624)</f>
        <v/>
      </c>
    </row>
    <row r="1625" customFormat="false" ht="15" hidden="false" customHeight="true" outlineLevel="0" collapsed="false">
      <c r="A1625" s="7"/>
      <c r="B1625" s="18" t="str">
        <f aca="false">IF(A1625="","",IFERROR(INDEX(Sales_Memo!$B$2:$B$1001,MATCH(A1625,Sales_Memo!$A$2:$A$1001,0)),""))</f>
        <v/>
      </c>
      <c r="C1625" s="7"/>
      <c r="D1625" s="16" t="str">
        <f aca="false">IF(C1625="","",IFERROR(INDEX(Products!$B$2:$B$501,MATCH(C1625,Products!$A$2:$A$501,0)),"CODE NOT FOUND"))</f>
        <v/>
      </c>
      <c r="E1625" s="7"/>
      <c r="F1625" s="13"/>
      <c r="G1625" s="13"/>
      <c r="H1625" s="17" t="str">
        <f aca="false">IF(OR(E1625="",F1625=""),"",E1625*F1625)</f>
        <v/>
      </c>
      <c r="I1625" s="17" t="str">
        <f aca="false">IF(OR(E1625="",G1625=""),"",E1625*G1625)</f>
        <v/>
      </c>
      <c r="J1625" s="17" t="str">
        <f aca="false">IF(H1625="","",H1625-I1625)</f>
        <v/>
      </c>
    </row>
    <row r="1626" customFormat="false" ht="15" hidden="false" customHeight="true" outlineLevel="0" collapsed="false">
      <c r="A1626" s="7"/>
      <c r="B1626" s="18" t="str">
        <f aca="false">IF(A1626="","",IFERROR(INDEX(Sales_Memo!$B$2:$B$1001,MATCH(A1626,Sales_Memo!$A$2:$A$1001,0)),""))</f>
        <v/>
      </c>
      <c r="C1626" s="7"/>
      <c r="D1626" s="16" t="str">
        <f aca="false">IF(C1626="","",IFERROR(INDEX(Products!$B$2:$B$501,MATCH(C1626,Products!$A$2:$A$501,0)),"CODE NOT FOUND"))</f>
        <v/>
      </c>
      <c r="E1626" s="7"/>
      <c r="F1626" s="13"/>
      <c r="G1626" s="13"/>
      <c r="H1626" s="17" t="str">
        <f aca="false">IF(OR(E1626="",F1626=""),"",E1626*F1626)</f>
        <v/>
      </c>
      <c r="I1626" s="17" t="str">
        <f aca="false">IF(OR(E1626="",G1626=""),"",E1626*G1626)</f>
        <v/>
      </c>
      <c r="J1626" s="17" t="str">
        <f aca="false">IF(H1626="","",H1626-I1626)</f>
        <v/>
      </c>
    </row>
    <row r="1627" customFormat="false" ht="15" hidden="false" customHeight="true" outlineLevel="0" collapsed="false">
      <c r="A1627" s="7"/>
      <c r="B1627" s="18" t="str">
        <f aca="false">IF(A1627="","",IFERROR(INDEX(Sales_Memo!$B$2:$B$1001,MATCH(A1627,Sales_Memo!$A$2:$A$1001,0)),""))</f>
        <v/>
      </c>
      <c r="C1627" s="7"/>
      <c r="D1627" s="16" t="str">
        <f aca="false">IF(C1627="","",IFERROR(INDEX(Products!$B$2:$B$501,MATCH(C1627,Products!$A$2:$A$501,0)),"CODE NOT FOUND"))</f>
        <v/>
      </c>
      <c r="E1627" s="7"/>
      <c r="F1627" s="13"/>
      <c r="G1627" s="13"/>
      <c r="H1627" s="17" t="str">
        <f aca="false">IF(OR(E1627="",F1627=""),"",E1627*F1627)</f>
        <v/>
      </c>
      <c r="I1627" s="17" t="str">
        <f aca="false">IF(OR(E1627="",G1627=""),"",E1627*G1627)</f>
        <v/>
      </c>
      <c r="J1627" s="17" t="str">
        <f aca="false">IF(H1627="","",H1627-I1627)</f>
        <v/>
      </c>
    </row>
    <row r="1628" customFormat="false" ht="15" hidden="false" customHeight="true" outlineLevel="0" collapsed="false">
      <c r="A1628" s="7"/>
      <c r="B1628" s="18" t="str">
        <f aca="false">IF(A1628="","",IFERROR(INDEX(Sales_Memo!$B$2:$B$1001,MATCH(A1628,Sales_Memo!$A$2:$A$1001,0)),""))</f>
        <v/>
      </c>
      <c r="C1628" s="7"/>
      <c r="D1628" s="16" t="str">
        <f aca="false">IF(C1628="","",IFERROR(INDEX(Products!$B$2:$B$501,MATCH(C1628,Products!$A$2:$A$501,0)),"CODE NOT FOUND"))</f>
        <v/>
      </c>
      <c r="E1628" s="7"/>
      <c r="F1628" s="13"/>
      <c r="G1628" s="13"/>
      <c r="H1628" s="17" t="str">
        <f aca="false">IF(OR(E1628="",F1628=""),"",E1628*F1628)</f>
        <v/>
      </c>
      <c r="I1628" s="17" t="str">
        <f aca="false">IF(OR(E1628="",G1628=""),"",E1628*G1628)</f>
        <v/>
      </c>
      <c r="J1628" s="17" t="str">
        <f aca="false">IF(H1628="","",H1628-I1628)</f>
        <v/>
      </c>
    </row>
    <row r="1629" customFormat="false" ht="15" hidden="false" customHeight="true" outlineLevel="0" collapsed="false">
      <c r="A1629" s="7"/>
      <c r="B1629" s="18" t="str">
        <f aca="false">IF(A1629="","",IFERROR(INDEX(Sales_Memo!$B$2:$B$1001,MATCH(A1629,Sales_Memo!$A$2:$A$1001,0)),""))</f>
        <v/>
      </c>
      <c r="C1629" s="7"/>
      <c r="D1629" s="16" t="str">
        <f aca="false">IF(C1629="","",IFERROR(INDEX(Products!$B$2:$B$501,MATCH(C1629,Products!$A$2:$A$501,0)),"CODE NOT FOUND"))</f>
        <v/>
      </c>
      <c r="E1629" s="7"/>
      <c r="F1629" s="13"/>
      <c r="G1629" s="13"/>
      <c r="H1629" s="17" t="str">
        <f aca="false">IF(OR(E1629="",F1629=""),"",E1629*F1629)</f>
        <v/>
      </c>
      <c r="I1629" s="17" t="str">
        <f aca="false">IF(OR(E1629="",G1629=""),"",E1629*G1629)</f>
        <v/>
      </c>
      <c r="J1629" s="17" t="str">
        <f aca="false">IF(H1629="","",H1629-I1629)</f>
        <v/>
      </c>
    </row>
    <row r="1630" customFormat="false" ht="15" hidden="false" customHeight="true" outlineLevel="0" collapsed="false">
      <c r="A1630" s="7"/>
      <c r="B1630" s="18" t="str">
        <f aca="false">IF(A1630="","",IFERROR(INDEX(Sales_Memo!$B$2:$B$1001,MATCH(A1630,Sales_Memo!$A$2:$A$1001,0)),""))</f>
        <v/>
      </c>
      <c r="C1630" s="7"/>
      <c r="D1630" s="16" t="str">
        <f aca="false">IF(C1630="","",IFERROR(INDEX(Products!$B$2:$B$501,MATCH(C1630,Products!$A$2:$A$501,0)),"CODE NOT FOUND"))</f>
        <v/>
      </c>
      <c r="E1630" s="7"/>
      <c r="F1630" s="13"/>
      <c r="G1630" s="13"/>
      <c r="H1630" s="17" t="str">
        <f aca="false">IF(OR(E1630="",F1630=""),"",E1630*F1630)</f>
        <v/>
      </c>
      <c r="I1630" s="17" t="str">
        <f aca="false">IF(OR(E1630="",G1630=""),"",E1630*G1630)</f>
        <v/>
      </c>
      <c r="J1630" s="17" t="str">
        <f aca="false">IF(H1630="","",H1630-I1630)</f>
        <v/>
      </c>
    </row>
    <row r="1631" customFormat="false" ht="15" hidden="false" customHeight="true" outlineLevel="0" collapsed="false">
      <c r="A1631" s="7"/>
      <c r="B1631" s="18" t="str">
        <f aca="false">IF(A1631="","",IFERROR(INDEX(Sales_Memo!$B$2:$B$1001,MATCH(A1631,Sales_Memo!$A$2:$A$1001,0)),""))</f>
        <v/>
      </c>
      <c r="C1631" s="7"/>
      <c r="D1631" s="16" t="str">
        <f aca="false">IF(C1631="","",IFERROR(INDEX(Products!$B$2:$B$501,MATCH(C1631,Products!$A$2:$A$501,0)),"CODE NOT FOUND"))</f>
        <v/>
      </c>
      <c r="E1631" s="7"/>
      <c r="F1631" s="13"/>
      <c r="G1631" s="13"/>
      <c r="H1631" s="17" t="str">
        <f aca="false">IF(OR(E1631="",F1631=""),"",E1631*F1631)</f>
        <v/>
      </c>
      <c r="I1631" s="17" t="str">
        <f aca="false">IF(OR(E1631="",G1631=""),"",E1631*G1631)</f>
        <v/>
      </c>
      <c r="J1631" s="17" t="str">
        <f aca="false">IF(H1631="","",H1631-I1631)</f>
        <v/>
      </c>
    </row>
    <row r="1632" customFormat="false" ht="15" hidden="false" customHeight="true" outlineLevel="0" collapsed="false">
      <c r="A1632" s="7"/>
      <c r="B1632" s="18" t="str">
        <f aca="false">IF(A1632="","",IFERROR(INDEX(Sales_Memo!$B$2:$B$1001,MATCH(A1632,Sales_Memo!$A$2:$A$1001,0)),""))</f>
        <v/>
      </c>
      <c r="C1632" s="7"/>
      <c r="D1632" s="16" t="str">
        <f aca="false">IF(C1632="","",IFERROR(INDEX(Products!$B$2:$B$501,MATCH(C1632,Products!$A$2:$A$501,0)),"CODE NOT FOUND"))</f>
        <v/>
      </c>
      <c r="E1632" s="7"/>
      <c r="F1632" s="13"/>
      <c r="G1632" s="13"/>
      <c r="H1632" s="17" t="str">
        <f aca="false">IF(OR(E1632="",F1632=""),"",E1632*F1632)</f>
        <v/>
      </c>
      <c r="I1632" s="17" t="str">
        <f aca="false">IF(OR(E1632="",G1632=""),"",E1632*G1632)</f>
        <v/>
      </c>
      <c r="J1632" s="17" t="str">
        <f aca="false">IF(H1632="","",H1632-I1632)</f>
        <v/>
      </c>
    </row>
    <row r="1633" customFormat="false" ht="15" hidden="false" customHeight="true" outlineLevel="0" collapsed="false">
      <c r="A1633" s="7"/>
      <c r="B1633" s="18" t="str">
        <f aca="false">IF(A1633="","",IFERROR(INDEX(Sales_Memo!$B$2:$B$1001,MATCH(A1633,Sales_Memo!$A$2:$A$1001,0)),""))</f>
        <v/>
      </c>
      <c r="C1633" s="7"/>
      <c r="D1633" s="16" t="str">
        <f aca="false">IF(C1633="","",IFERROR(INDEX(Products!$B$2:$B$501,MATCH(C1633,Products!$A$2:$A$501,0)),"CODE NOT FOUND"))</f>
        <v/>
      </c>
      <c r="E1633" s="7"/>
      <c r="F1633" s="13"/>
      <c r="G1633" s="13"/>
      <c r="H1633" s="17" t="str">
        <f aca="false">IF(OR(E1633="",F1633=""),"",E1633*F1633)</f>
        <v/>
      </c>
      <c r="I1633" s="17" t="str">
        <f aca="false">IF(OR(E1633="",G1633=""),"",E1633*G1633)</f>
        <v/>
      </c>
      <c r="J1633" s="17" t="str">
        <f aca="false">IF(H1633="","",H1633-I1633)</f>
        <v/>
      </c>
    </row>
    <row r="1634" customFormat="false" ht="15" hidden="false" customHeight="true" outlineLevel="0" collapsed="false">
      <c r="A1634" s="7"/>
      <c r="B1634" s="18" t="str">
        <f aca="false">IF(A1634="","",IFERROR(INDEX(Sales_Memo!$B$2:$B$1001,MATCH(A1634,Sales_Memo!$A$2:$A$1001,0)),""))</f>
        <v/>
      </c>
      <c r="C1634" s="7"/>
      <c r="D1634" s="16" t="str">
        <f aca="false">IF(C1634="","",IFERROR(INDEX(Products!$B$2:$B$501,MATCH(C1634,Products!$A$2:$A$501,0)),"CODE NOT FOUND"))</f>
        <v/>
      </c>
      <c r="E1634" s="7"/>
      <c r="F1634" s="13"/>
      <c r="G1634" s="13"/>
      <c r="H1634" s="17" t="str">
        <f aca="false">IF(OR(E1634="",F1634=""),"",E1634*F1634)</f>
        <v/>
      </c>
      <c r="I1634" s="17" t="str">
        <f aca="false">IF(OR(E1634="",G1634=""),"",E1634*G1634)</f>
        <v/>
      </c>
      <c r="J1634" s="17" t="str">
        <f aca="false">IF(H1634="","",H1634-I1634)</f>
        <v/>
      </c>
    </row>
    <row r="1635" customFormat="false" ht="15" hidden="false" customHeight="true" outlineLevel="0" collapsed="false">
      <c r="A1635" s="7"/>
      <c r="B1635" s="18" t="str">
        <f aca="false">IF(A1635="","",IFERROR(INDEX(Sales_Memo!$B$2:$B$1001,MATCH(A1635,Sales_Memo!$A$2:$A$1001,0)),""))</f>
        <v/>
      </c>
      <c r="C1635" s="7"/>
      <c r="D1635" s="16" t="str">
        <f aca="false">IF(C1635="","",IFERROR(INDEX(Products!$B$2:$B$501,MATCH(C1635,Products!$A$2:$A$501,0)),"CODE NOT FOUND"))</f>
        <v/>
      </c>
      <c r="E1635" s="7"/>
      <c r="F1635" s="13"/>
      <c r="G1635" s="13"/>
      <c r="H1635" s="17" t="str">
        <f aca="false">IF(OR(E1635="",F1635=""),"",E1635*F1635)</f>
        <v/>
      </c>
      <c r="I1635" s="17" t="str">
        <f aca="false">IF(OR(E1635="",G1635=""),"",E1635*G1635)</f>
        <v/>
      </c>
      <c r="J1635" s="17" t="str">
        <f aca="false">IF(H1635="","",H1635-I1635)</f>
        <v/>
      </c>
    </row>
    <row r="1636" customFormat="false" ht="15" hidden="false" customHeight="true" outlineLevel="0" collapsed="false">
      <c r="A1636" s="7"/>
      <c r="B1636" s="18" t="str">
        <f aca="false">IF(A1636="","",IFERROR(INDEX(Sales_Memo!$B$2:$B$1001,MATCH(A1636,Sales_Memo!$A$2:$A$1001,0)),""))</f>
        <v/>
      </c>
      <c r="C1636" s="7"/>
      <c r="D1636" s="16" t="str">
        <f aca="false">IF(C1636="","",IFERROR(INDEX(Products!$B$2:$B$501,MATCH(C1636,Products!$A$2:$A$501,0)),"CODE NOT FOUND"))</f>
        <v/>
      </c>
      <c r="E1636" s="7"/>
      <c r="F1636" s="13"/>
      <c r="G1636" s="13"/>
      <c r="H1636" s="17" t="str">
        <f aca="false">IF(OR(E1636="",F1636=""),"",E1636*F1636)</f>
        <v/>
      </c>
      <c r="I1636" s="17" t="str">
        <f aca="false">IF(OR(E1636="",G1636=""),"",E1636*G1636)</f>
        <v/>
      </c>
      <c r="J1636" s="17" t="str">
        <f aca="false">IF(H1636="","",H1636-I1636)</f>
        <v/>
      </c>
    </row>
    <row r="1637" customFormat="false" ht="15" hidden="false" customHeight="true" outlineLevel="0" collapsed="false">
      <c r="A1637" s="7"/>
      <c r="B1637" s="18" t="str">
        <f aca="false">IF(A1637="","",IFERROR(INDEX(Sales_Memo!$B$2:$B$1001,MATCH(A1637,Sales_Memo!$A$2:$A$1001,0)),""))</f>
        <v/>
      </c>
      <c r="C1637" s="7"/>
      <c r="D1637" s="16" t="str">
        <f aca="false">IF(C1637="","",IFERROR(INDEX(Products!$B$2:$B$501,MATCH(C1637,Products!$A$2:$A$501,0)),"CODE NOT FOUND"))</f>
        <v/>
      </c>
      <c r="E1637" s="7"/>
      <c r="F1637" s="13"/>
      <c r="G1637" s="13"/>
      <c r="H1637" s="17" t="str">
        <f aca="false">IF(OR(E1637="",F1637=""),"",E1637*F1637)</f>
        <v/>
      </c>
      <c r="I1637" s="17" t="str">
        <f aca="false">IF(OR(E1637="",G1637=""),"",E1637*G1637)</f>
        <v/>
      </c>
      <c r="J1637" s="17" t="str">
        <f aca="false">IF(H1637="","",H1637-I1637)</f>
        <v/>
      </c>
    </row>
    <row r="1638" customFormat="false" ht="15" hidden="false" customHeight="true" outlineLevel="0" collapsed="false">
      <c r="A1638" s="7"/>
      <c r="B1638" s="18" t="str">
        <f aca="false">IF(A1638="","",IFERROR(INDEX(Sales_Memo!$B$2:$B$1001,MATCH(A1638,Sales_Memo!$A$2:$A$1001,0)),""))</f>
        <v/>
      </c>
      <c r="C1638" s="7"/>
      <c r="D1638" s="16" t="str">
        <f aca="false">IF(C1638="","",IFERROR(INDEX(Products!$B$2:$B$501,MATCH(C1638,Products!$A$2:$A$501,0)),"CODE NOT FOUND"))</f>
        <v/>
      </c>
      <c r="E1638" s="7"/>
      <c r="F1638" s="13"/>
      <c r="G1638" s="13"/>
      <c r="H1638" s="17" t="str">
        <f aca="false">IF(OR(E1638="",F1638=""),"",E1638*F1638)</f>
        <v/>
      </c>
      <c r="I1638" s="17" t="str">
        <f aca="false">IF(OR(E1638="",G1638=""),"",E1638*G1638)</f>
        <v/>
      </c>
      <c r="J1638" s="17" t="str">
        <f aca="false">IF(H1638="","",H1638-I1638)</f>
        <v/>
      </c>
    </row>
    <row r="1639" customFormat="false" ht="15" hidden="false" customHeight="true" outlineLevel="0" collapsed="false">
      <c r="A1639" s="7"/>
      <c r="B1639" s="18" t="str">
        <f aca="false">IF(A1639="","",IFERROR(INDEX(Sales_Memo!$B$2:$B$1001,MATCH(A1639,Sales_Memo!$A$2:$A$1001,0)),""))</f>
        <v/>
      </c>
      <c r="C1639" s="7"/>
      <c r="D1639" s="16" t="str">
        <f aca="false">IF(C1639="","",IFERROR(INDEX(Products!$B$2:$B$501,MATCH(C1639,Products!$A$2:$A$501,0)),"CODE NOT FOUND"))</f>
        <v/>
      </c>
      <c r="E1639" s="7"/>
      <c r="F1639" s="13"/>
      <c r="G1639" s="13"/>
      <c r="H1639" s="17" t="str">
        <f aca="false">IF(OR(E1639="",F1639=""),"",E1639*F1639)</f>
        <v/>
      </c>
      <c r="I1639" s="17" t="str">
        <f aca="false">IF(OR(E1639="",G1639=""),"",E1639*G1639)</f>
        <v/>
      </c>
      <c r="J1639" s="17" t="str">
        <f aca="false">IF(H1639="","",H1639-I1639)</f>
        <v/>
      </c>
    </row>
    <row r="1640" customFormat="false" ht="15" hidden="false" customHeight="true" outlineLevel="0" collapsed="false">
      <c r="A1640" s="7"/>
      <c r="B1640" s="18" t="str">
        <f aca="false">IF(A1640="","",IFERROR(INDEX(Sales_Memo!$B$2:$B$1001,MATCH(A1640,Sales_Memo!$A$2:$A$1001,0)),""))</f>
        <v/>
      </c>
      <c r="C1640" s="7"/>
      <c r="D1640" s="16" t="str">
        <f aca="false">IF(C1640="","",IFERROR(INDEX(Products!$B$2:$B$501,MATCH(C1640,Products!$A$2:$A$501,0)),"CODE NOT FOUND"))</f>
        <v/>
      </c>
      <c r="E1640" s="7"/>
      <c r="F1640" s="13"/>
      <c r="G1640" s="13"/>
      <c r="H1640" s="17" t="str">
        <f aca="false">IF(OR(E1640="",F1640=""),"",E1640*F1640)</f>
        <v/>
      </c>
      <c r="I1640" s="17" t="str">
        <f aca="false">IF(OR(E1640="",G1640=""),"",E1640*G1640)</f>
        <v/>
      </c>
      <c r="J1640" s="17" t="str">
        <f aca="false">IF(H1640="","",H1640-I1640)</f>
        <v/>
      </c>
    </row>
    <row r="1641" customFormat="false" ht="15" hidden="false" customHeight="true" outlineLevel="0" collapsed="false">
      <c r="A1641" s="7"/>
      <c r="B1641" s="18" t="str">
        <f aca="false">IF(A1641="","",IFERROR(INDEX(Sales_Memo!$B$2:$B$1001,MATCH(A1641,Sales_Memo!$A$2:$A$1001,0)),""))</f>
        <v/>
      </c>
      <c r="C1641" s="7"/>
      <c r="D1641" s="16" t="str">
        <f aca="false">IF(C1641="","",IFERROR(INDEX(Products!$B$2:$B$501,MATCH(C1641,Products!$A$2:$A$501,0)),"CODE NOT FOUND"))</f>
        <v/>
      </c>
      <c r="E1641" s="7"/>
      <c r="F1641" s="13"/>
      <c r="G1641" s="13"/>
      <c r="H1641" s="17" t="str">
        <f aca="false">IF(OR(E1641="",F1641=""),"",E1641*F1641)</f>
        <v/>
      </c>
      <c r="I1641" s="17" t="str">
        <f aca="false">IF(OR(E1641="",G1641=""),"",E1641*G1641)</f>
        <v/>
      </c>
      <c r="J1641" s="17" t="str">
        <f aca="false">IF(H1641="","",H1641-I1641)</f>
        <v/>
      </c>
    </row>
    <row r="1642" customFormat="false" ht="15" hidden="false" customHeight="true" outlineLevel="0" collapsed="false">
      <c r="A1642" s="7"/>
      <c r="B1642" s="18" t="str">
        <f aca="false">IF(A1642="","",IFERROR(INDEX(Sales_Memo!$B$2:$B$1001,MATCH(A1642,Sales_Memo!$A$2:$A$1001,0)),""))</f>
        <v/>
      </c>
      <c r="C1642" s="7"/>
      <c r="D1642" s="16" t="str">
        <f aca="false">IF(C1642="","",IFERROR(INDEX(Products!$B$2:$B$501,MATCH(C1642,Products!$A$2:$A$501,0)),"CODE NOT FOUND"))</f>
        <v/>
      </c>
      <c r="E1642" s="7"/>
      <c r="F1642" s="13"/>
      <c r="G1642" s="13"/>
      <c r="H1642" s="17" t="str">
        <f aca="false">IF(OR(E1642="",F1642=""),"",E1642*F1642)</f>
        <v/>
      </c>
      <c r="I1642" s="17" t="str">
        <f aca="false">IF(OR(E1642="",G1642=""),"",E1642*G1642)</f>
        <v/>
      </c>
      <c r="J1642" s="17" t="str">
        <f aca="false">IF(H1642="","",H1642-I1642)</f>
        <v/>
      </c>
    </row>
    <row r="1643" customFormat="false" ht="15" hidden="false" customHeight="true" outlineLevel="0" collapsed="false">
      <c r="A1643" s="7"/>
      <c r="B1643" s="18" t="str">
        <f aca="false">IF(A1643="","",IFERROR(INDEX(Sales_Memo!$B$2:$B$1001,MATCH(A1643,Sales_Memo!$A$2:$A$1001,0)),""))</f>
        <v/>
      </c>
      <c r="C1643" s="7"/>
      <c r="D1643" s="16" t="str">
        <f aca="false">IF(C1643="","",IFERROR(INDEX(Products!$B$2:$B$501,MATCH(C1643,Products!$A$2:$A$501,0)),"CODE NOT FOUND"))</f>
        <v/>
      </c>
      <c r="E1643" s="7"/>
      <c r="F1643" s="13"/>
      <c r="G1643" s="13"/>
      <c r="H1643" s="17" t="str">
        <f aca="false">IF(OR(E1643="",F1643=""),"",E1643*F1643)</f>
        <v/>
      </c>
      <c r="I1643" s="17" t="str">
        <f aca="false">IF(OR(E1643="",G1643=""),"",E1643*G1643)</f>
        <v/>
      </c>
      <c r="J1643" s="17" t="str">
        <f aca="false">IF(H1643="","",H1643-I1643)</f>
        <v/>
      </c>
    </row>
    <row r="1644" customFormat="false" ht="15" hidden="false" customHeight="true" outlineLevel="0" collapsed="false">
      <c r="A1644" s="7"/>
      <c r="B1644" s="18" t="str">
        <f aca="false">IF(A1644="","",IFERROR(INDEX(Sales_Memo!$B$2:$B$1001,MATCH(A1644,Sales_Memo!$A$2:$A$1001,0)),""))</f>
        <v/>
      </c>
      <c r="C1644" s="7"/>
      <c r="D1644" s="16" t="str">
        <f aca="false">IF(C1644="","",IFERROR(INDEX(Products!$B$2:$B$501,MATCH(C1644,Products!$A$2:$A$501,0)),"CODE NOT FOUND"))</f>
        <v/>
      </c>
      <c r="E1644" s="7"/>
      <c r="F1644" s="13"/>
      <c r="G1644" s="13"/>
      <c r="H1644" s="17" t="str">
        <f aca="false">IF(OR(E1644="",F1644=""),"",E1644*F1644)</f>
        <v/>
      </c>
      <c r="I1644" s="17" t="str">
        <f aca="false">IF(OR(E1644="",G1644=""),"",E1644*G1644)</f>
        <v/>
      </c>
      <c r="J1644" s="17" t="str">
        <f aca="false">IF(H1644="","",H1644-I1644)</f>
        <v/>
      </c>
    </row>
    <row r="1645" customFormat="false" ht="15" hidden="false" customHeight="true" outlineLevel="0" collapsed="false">
      <c r="A1645" s="7"/>
      <c r="B1645" s="18" t="str">
        <f aca="false">IF(A1645="","",IFERROR(INDEX(Sales_Memo!$B$2:$B$1001,MATCH(A1645,Sales_Memo!$A$2:$A$1001,0)),""))</f>
        <v/>
      </c>
      <c r="C1645" s="7"/>
      <c r="D1645" s="16" t="str">
        <f aca="false">IF(C1645="","",IFERROR(INDEX(Products!$B$2:$B$501,MATCH(C1645,Products!$A$2:$A$501,0)),"CODE NOT FOUND"))</f>
        <v/>
      </c>
      <c r="E1645" s="7"/>
      <c r="F1645" s="13"/>
      <c r="G1645" s="13"/>
      <c r="H1645" s="17" t="str">
        <f aca="false">IF(OR(E1645="",F1645=""),"",E1645*F1645)</f>
        <v/>
      </c>
      <c r="I1645" s="17" t="str">
        <f aca="false">IF(OR(E1645="",G1645=""),"",E1645*G1645)</f>
        <v/>
      </c>
      <c r="J1645" s="17" t="str">
        <f aca="false">IF(H1645="","",H1645-I1645)</f>
        <v/>
      </c>
    </row>
    <row r="1646" customFormat="false" ht="15" hidden="false" customHeight="true" outlineLevel="0" collapsed="false">
      <c r="A1646" s="7"/>
      <c r="B1646" s="18" t="str">
        <f aca="false">IF(A1646="","",IFERROR(INDEX(Sales_Memo!$B$2:$B$1001,MATCH(A1646,Sales_Memo!$A$2:$A$1001,0)),""))</f>
        <v/>
      </c>
      <c r="C1646" s="7"/>
      <c r="D1646" s="16" t="str">
        <f aca="false">IF(C1646="","",IFERROR(INDEX(Products!$B$2:$B$501,MATCH(C1646,Products!$A$2:$A$501,0)),"CODE NOT FOUND"))</f>
        <v/>
      </c>
      <c r="E1646" s="7"/>
      <c r="F1646" s="13"/>
      <c r="G1646" s="13"/>
      <c r="H1646" s="17" t="str">
        <f aca="false">IF(OR(E1646="",F1646=""),"",E1646*F1646)</f>
        <v/>
      </c>
      <c r="I1646" s="17" t="str">
        <f aca="false">IF(OR(E1646="",G1646=""),"",E1646*G1646)</f>
        <v/>
      </c>
      <c r="J1646" s="17" t="str">
        <f aca="false">IF(H1646="","",H1646-I1646)</f>
        <v/>
      </c>
    </row>
    <row r="1647" customFormat="false" ht="15" hidden="false" customHeight="true" outlineLevel="0" collapsed="false">
      <c r="A1647" s="7"/>
      <c r="B1647" s="18" t="str">
        <f aca="false">IF(A1647="","",IFERROR(INDEX(Sales_Memo!$B$2:$B$1001,MATCH(A1647,Sales_Memo!$A$2:$A$1001,0)),""))</f>
        <v/>
      </c>
      <c r="C1647" s="7"/>
      <c r="D1647" s="16" t="str">
        <f aca="false">IF(C1647="","",IFERROR(INDEX(Products!$B$2:$B$501,MATCH(C1647,Products!$A$2:$A$501,0)),"CODE NOT FOUND"))</f>
        <v/>
      </c>
      <c r="E1647" s="7"/>
      <c r="F1647" s="13"/>
      <c r="G1647" s="13"/>
      <c r="H1647" s="17" t="str">
        <f aca="false">IF(OR(E1647="",F1647=""),"",E1647*F1647)</f>
        <v/>
      </c>
      <c r="I1647" s="17" t="str">
        <f aca="false">IF(OR(E1647="",G1647=""),"",E1647*G1647)</f>
        <v/>
      </c>
      <c r="J1647" s="17" t="str">
        <f aca="false">IF(H1647="","",H1647-I1647)</f>
        <v/>
      </c>
    </row>
    <row r="1648" customFormat="false" ht="15" hidden="false" customHeight="true" outlineLevel="0" collapsed="false">
      <c r="A1648" s="7"/>
      <c r="B1648" s="18" t="str">
        <f aca="false">IF(A1648="","",IFERROR(INDEX(Sales_Memo!$B$2:$B$1001,MATCH(A1648,Sales_Memo!$A$2:$A$1001,0)),""))</f>
        <v/>
      </c>
      <c r="C1648" s="7"/>
      <c r="D1648" s="16" t="str">
        <f aca="false">IF(C1648="","",IFERROR(INDEX(Products!$B$2:$B$501,MATCH(C1648,Products!$A$2:$A$501,0)),"CODE NOT FOUND"))</f>
        <v/>
      </c>
      <c r="E1648" s="7"/>
      <c r="F1648" s="13"/>
      <c r="G1648" s="13"/>
      <c r="H1648" s="17" t="str">
        <f aca="false">IF(OR(E1648="",F1648=""),"",E1648*F1648)</f>
        <v/>
      </c>
      <c r="I1648" s="17" t="str">
        <f aca="false">IF(OR(E1648="",G1648=""),"",E1648*G1648)</f>
        <v/>
      </c>
      <c r="J1648" s="17" t="str">
        <f aca="false">IF(H1648="","",H1648-I1648)</f>
        <v/>
      </c>
    </row>
    <row r="1649" customFormat="false" ht="15" hidden="false" customHeight="true" outlineLevel="0" collapsed="false">
      <c r="A1649" s="7"/>
      <c r="B1649" s="18" t="str">
        <f aca="false">IF(A1649="","",IFERROR(INDEX(Sales_Memo!$B$2:$B$1001,MATCH(A1649,Sales_Memo!$A$2:$A$1001,0)),""))</f>
        <v/>
      </c>
      <c r="C1649" s="7"/>
      <c r="D1649" s="16" t="str">
        <f aca="false">IF(C1649="","",IFERROR(INDEX(Products!$B$2:$B$501,MATCH(C1649,Products!$A$2:$A$501,0)),"CODE NOT FOUND"))</f>
        <v/>
      </c>
      <c r="E1649" s="7"/>
      <c r="F1649" s="13"/>
      <c r="G1649" s="13"/>
      <c r="H1649" s="17" t="str">
        <f aca="false">IF(OR(E1649="",F1649=""),"",E1649*F1649)</f>
        <v/>
      </c>
      <c r="I1649" s="17" t="str">
        <f aca="false">IF(OR(E1649="",G1649=""),"",E1649*G1649)</f>
        <v/>
      </c>
      <c r="J1649" s="17" t="str">
        <f aca="false">IF(H1649="","",H1649-I1649)</f>
        <v/>
      </c>
    </row>
    <row r="1650" customFormat="false" ht="15" hidden="false" customHeight="true" outlineLevel="0" collapsed="false">
      <c r="A1650" s="7"/>
      <c r="B1650" s="18" t="str">
        <f aca="false">IF(A1650="","",IFERROR(INDEX(Sales_Memo!$B$2:$B$1001,MATCH(A1650,Sales_Memo!$A$2:$A$1001,0)),""))</f>
        <v/>
      </c>
      <c r="C1650" s="7"/>
      <c r="D1650" s="16" t="str">
        <f aca="false">IF(C1650="","",IFERROR(INDEX(Products!$B$2:$B$501,MATCH(C1650,Products!$A$2:$A$501,0)),"CODE NOT FOUND"))</f>
        <v/>
      </c>
      <c r="E1650" s="7"/>
      <c r="F1650" s="13"/>
      <c r="G1650" s="13"/>
      <c r="H1650" s="17" t="str">
        <f aca="false">IF(OR(E1650="",F1650=""),"",E1650*F1650)</f>
        <v/>
      </c>
      <c r="I1650" s="17" t="str">
        <f aca="false">IF(OR(E1650="",G1650=""),"",E1650*G1650)</f>
        <v/>
      </c>
      <c r="J1650" s="17" t="str">
        <f aca="false">IF(H1650="","",H1650-I1650)</f>
        <v/>
      </c>
    </row>
    <row r="1651" customFormat="false" ht="15" hidden="false" customHeight="true" outlineLevel="0" collapsed="false">
      <c r="A1651" s="7"/>
      <c r="B1651" s="18" t="str">
        <f aca="false">IF(A1651="","",IFERROR(INDEX(Sales_Memo!$B$2:$B$1001,MATCH(A1651,Sales_Memo!$A$2:$A$1001,0)),""))</f>
        <v/>
      </c>
      <c r="C1651" s="7"/>
      <c r="D1651" s="16" t="str">
        <f aca="false">IF(C1651="","",IFERROR(INDEX(Products!$B$2:$B$501,MATCH(C1651,Products!$A$2:$A$501,0)),"CODE NOT FOUND"))</f>
        <v/>
      </c>
      <c r="E1651" s="7"/>
      <c r="F1651" s="13"/>
      <c r="G1651" s="13"/>
      <c r="H1651" s="17" t="str">
        <f aca="false">IF(OR(E1651="",F1651=""),"",E1651*F1651)</f>
        <v/>
      </c>
      <c r="I1651" s="17" t="str">
        <f aca="false">IF(OR(E1651="",G1651=""),"",E1651*G1651)</f>
        <v/>
      </c>
      <c r="J1651" s="17" t="str">
        <f aca="false">IF(H1651="","",H1651-I1651)</f>
        <v/>
      </c>
    </row>
    <row r="1652" customFormat="false" ht="15" hidden="false" customHeight="true" outlineLevel="0" collapsed="false">
      <c r="A1652" s="7"/>
      <c r="B1652" s="18" t="str">
        <f aca="false">IF(A1652="","",IFERROR(INDEX(Sales_Memo!$B$2:$B$1001,MATCH(A1652,Sales_Memo!$A$2:$A$1001,0)),""))</f>
        <v/>
      </c>
      <c r="C1652" s="7"/>
      <c r="D1652" s="16" t="str">
        <f aca="false">IF(C1652="","",IFERROR(INDEX(Products!$B$2:$B$501,MATCH(C1652,Products!$A$2:$A$501,0)),"CODE NOT FOUND"))</f>
        <v/>
      </c>
      <c r="E1652" s="7"/>
      <c r="F1652" s="13"/>
      <c r="G1652" s="13"/>
      <c r="H1652" s="17" t="str">
        <f aca="false">IF(OR(E1652="",F1652=""),"",E1652*F1652)</f>
        <v/>
      </c>
      <c r="I1652" s="17" t="str">
        <f aca="false">IF(OR(E1652="",G1652=""),"",E1652*G1652)</f>
        <v/>
      </c>
      <c r="J1652" s="17" t="str">
        <f aca="false">IF(H1652="","",H1652-I1652)</f>
        <v/>
      </c>
    </row>
    <row r="1653" customFormat="false" ht="15" hidden="false" customHeight="true" outlineLevel="0" collapsed="false">
      <c r="A1653" s="7"/>
      <c r="B1653" s="18" t="str">
        <f aca="false">IF(A1653="","",IFERROR(INDEX(Sales_Memo!$B$2:$B$1001,MATCH(A1653,Sales_Memo!$A$2:$A$1001,0)),""))</f>
        <v/>
      </c>
      <c r="C1653" s="7"/>
      <c r="D1653" s="16" t="str">
        <f aca="false">IF(C1653="","",IFERROR(INDEX(Products!$B$2:$B$501,MATCH(C1653,Products!$A$2:$A$501,0)),"CODE NOT FOUND"))</f>
        <v/>
      </c>
      <c r="E1653" s="7"/>
      <c r="F1653" s="13"/>
      <c r="G1653" s="13"/>
      <c r="H1653" s="17" t="str">
        <f aca="false">IF(OR(E1653="",F1653=""),"",E1653*F1653)</f>
        <v/>
      </c>
      <c r="I1653" s="17" t="str">
        <f aca="false">IF(OR(E1653="",G1653=""),"",E1653*G1653)</f>
        <v/>
      </c>
      <c r="J1653" s="17" t="str">
        <f aca="false">IF(H1653="","",H1653-I1653)</f>
        <v/>
      </c>
    </row>
    <row r="1654" customFormat="false" ht="15" hidden="false" customHeight="true" outlineLevel="0" collapsed="false">
      <c r="A1654" s="7"/>
      <c r="B1654" s="18" t="str">
        <f aca="false">IF(A1654="","",IFERROR(INDEX(Sales_Memo!$B$2:$B$1001,MATCH(A1654,Sales_Memo!$A$2:$A$1001,0)),""))</f>
        <v/>
      </c>
      <c r="C1654" s="7"/>
      <c r="D1654" s="16" t="str">
        <f aca="false">IF(C1654="","",IFERROR(INDEX(Products!$B$2:$B$501,MATCH(C1654,Products!$A$2:$A$501,0)),"CODE NOT FOUND"))</f>
        <v/>
      </c>
      <c r="E1654" s="7"/>
      <c r="F1654" s="13"/>
      <c r="G1654" s="13"/>
      <c r="H1654" s="17" t="str">
        <f aca="false">IF(OR(E1654="",F1654=""),"",E1654*F1654)</f>
        <v/>
      </c>
      <c r="I1654" s="17" t="str">
        <f aca="false">IF(OR(E1654="",G1654=""),"",E1654*G1654)</f>
        <v/>
      </c>
      <c r="J1654" s="17" t="str">
        <f aca="false">IF(H1654="","",H1654-I1654)</f>
        <v/>
      </c>
    </row>
    <row r="1655" customFormat="false" ht="15" hidden="false" customHeight="true" outlineLevel="0" collapsed="false">
      <c r="A1655" s="7"/>
      <c r="B1655" s="18" t="str">
        <f aca="false">IF(A1655="","",IFERROR(INDEX(Sales_Memo!$B$2:$B$1001,MATCH(A1655,Sales_Memo!$A$2:$A$1001,0)),""))</f>
        <v/>
      </c>
      <c r="C1655" s="7"/>
      <c r="D1655" s="16" t="str">
        <f aca="false">IF(C1655="","",IFERROR(INDEX(Products!$B$2:$B$501,MATCH(C1655,Products!$A$2:$A$501,0)),"CODE NOT FOUND"))</f>
        <v/>
      </c>
      <c r="E1655" s="7"/>
      <c r="F1655" s="13"/>
      <c r="G1655" s="13"/>
      <c r="H1655" s="17" t="str">
        <f aca="false">IF(OR(E1655="",F1655=""),"",E1655*F1655)</f>
        <v/>
      </c>
      <c r="I1655" s="17" t="str">
        <f aca="false">IF(OR(E1655="",G1655=""),"",E1655*G1655)</f>
        <v/>
      </c>
      <c r="J1655" s="17" t="str">
        <f aca="false">IF(H1655="","",H1655-I1655)</f>
        <v/>
      </c>
    </row>
    <row r="1656" customFormat="false" ht="15" hidden="false" customHeight="true" outlineLevel="0" collapsed="false">
      <c r="A1656" s="7"/>
      <c r="B1656" s="18" t="str">
        <f aca="false">IF(A1656="","",IFERROR(INDEX(Sales_Memo!$B$2:$B$1001,MATCH(A1656,Sales_Memo!$A$2:$A$1001,0)),""))</f>
        <v/>
      </c>
      <c r="C1656" s="7"/>
      <c r="D1656" s="16" t="str">
        <f aca="false">IF(C1656="","",IFERROR(INDEX(Products!$B$2:$B$501,MATCH(C1656,Products!$A$2:$A$501,0)),"CODE NOT FOUND"))</f>
        <v/>
      </c>
      <c r="E1656" s="7"/>
      <c r="F1656" s="13"/>
      <c r="G1656" s="13"/>
      <c r="H1656" s="17" t="str">
        <f aca="false">IF(OR(E1656="",F1656=""),"",E1656*F1656)</f>
        <v/>
      </c>
      <c r="I1656" s="17" t="str">
        <f aca="false">IF(OR(E1656="",G1656=""),"",E1656*G1656)</f>
        <v/>
      </c>
      <c r="J1656" s="17" t="str">
        <f aca="false">IF(H1656="","",H1656-I1656)</f>
        <v/>
      </c>
    </row>
    <row r="1657" customFormat="false" ht="15" hidden="false" customHeight="true" outlineLevel="0" collapsed="false">
      <c r="A1657" s="7"/>
      <c r="B1657" s="18" t="str">
        <f aca="false">IF(A1657="","",IFERROR(INDEX(Sales_Memo!$B$2:$B$1001,MATCH(A1657,Sales_Memo!$A$2:$A$1001,0)),""))</f>
        <v/>
      </c>
      <c r="C1657" s="7"/>
      <c r="D1657" s="16" t="str">
        <f aca="false">IF(C1657="","",IFERROR(INDEX(Products!$B$2:$B$501,MATCH(C1657,Products!$A$2:$A$501,0)),"CODE NOT FOUND"))</f>
        <v/>
      </c>
      <c r="E1657" s="7"/>
      <c r="F1657" s="13"/>
      <c r="G1657" s="13"/>
      <c r="H1657" s="17" t="str">
        <f aca="false">IF(OR(E1657="",F1657=""),"",E1657*F1657)</f>
        <v/>
      </c>
      <c r="I1657" s="17" t="str">
        <f aca="false">IF(OR(E1657="",G1657=""),"",E1657*G1657)</f>
        <v/>
      </c>
      <c r="J1657" s="17" t="str">
        <f aca="false">IF(H1657="","",H1657-I1657)</f>
        <v/>
      </c>
    </row>
    <row r="1658" customFormat="false" ht="15" hidden="false" customHeight="true" outlineLevel="0" collapsed="false">
      <c r="A1658" s="7"/>
      <c r="B1658" s="18" t="str">
        <f aca="false">IF(A1658="","",IFERROR(INDEX(Sales_Memo!$B$2:$B$1001,MATCH(A1658,Sales_Memo!$A$2:$A$1001,0)),""))</f>
        <v/>
      </c>
      <c r="C1658" s="7"/>
      <c r="D1658" s="16" t="str">
        <f aca="false">IF(C1658="","",IFERROR(INDEX(Products!$B$2:$B$501,MATCH(C1658,Products!$A$2:$A$501,0)),"CODE NOT FOUND"))</f>
        <v/>
      </c>
      <c r="E1658" s="7"/>
      <c r="F1658" s="13"/>
      <c r="G1658" s="13"/>
      <c r="H1658" s="17" t="str">
        <f aca="false">IF(OR(E1658="",F1658=""),"",E1658*F1658)</f>
        <v/>
      </c>
      <c r="I1658" s="17" t="str">
        <f aca="false">IF(OR(E1658="",G1658=""),"",E1658*G1658)</f>
        <v/>
      </c>
      <c r="J1658" s="17" t="str">
        <f aca="false">IF(H1658="","",H1658-I1658)</f>
        <v/>
      </c>
    </row>
    <row r="1659" customFormat="false" ht="15" hidden="false" customHeight="true" outlineLevel="0" collapsed="false">
      <c r="A1659" s="7"/>
      <c r="B1659" s="18" t="str">
        <f aca="false">IF(A1659="","",IFERROR(INDEX(Sales_Memo!$B$2:$B$1001,MATCH(A1659,Sales_Memo!$A$2:$A$1001,0)),""))</f>
        <v/>
      </c>
      <c r="C1659" s="7"/>
      <c r="D1659" s="16" t="str">
        <f aca="false">IF(C1659="","",IFERROR(INDEX(Products!$B$2:$B$501,MATCH(C1659,Products!$A$2:$A$501,0)),"CODE NOT FOUND"))</f>
        <v/>
      </c>
      <c r="E1659" s="7"/>
      <c r="F1659" s="13"/>
      <c r="G1659" s="13"/>
      <c r="H1659" s="17" t="str">
        <f aca="false">IF(OR(E1659="",F1659=""),"",E1659*F1659)</f>
        <v/>
      </c>
      <c r="I1659" s="17" t="str">
        <f aca="false">IF(OR(E1659="",G1659=""),"",E1659*G1659)</f>
        <v/>
      </c>
      <c r="J1659" s="17" t="str">
        <f aca="false">IF(H1659="","",H1659-I1659)</f>
        <v/>
      </c>
    </row>
    <row r="1660" customFormat="false" ht="15" hidden="false" customHeight="true" outlineLevel="0" collapsed="false">
      <c r="A1660" s="7"/>
      <c r="B1660" s="18" t="str">
        <f aca="false">IF(A1660="","",IFERROR(INDEX(Sales_Memo!$B$2:$B$1001,MATCH(A1660,Sales_Memo!$A$2:$A$1001,0)),""))</f>
        <v/>
      </c>
      <c r="C1660" s="7"/>
      <c r="D1660" s="16" t="str">
        <f aca="false">IF(C1660="","",IFERROR(INDEX(Products!$B$2:$B$501,MATCH(C1660,Products!$A$2:$A$501,0)),"CODE NOT FOUND"))</f>
        <v/>
      </c>
      <c r="E1660" s="7"/>
      <c r="F1660" s="13"/>
      <c r="G1660" s="13"/>
      <c r="H1660" s="17" t="str">
        <f aca="false">IF(OR(E1660="",F1660=""),"",E1660*F1660)</f>
        <v/>
      </c>
      <c r="I1660" s="17" t="str">
        <f aca="false">IF(OR(E1660="",G1660=""),"",E1660*G1660)</f>
        <v/>
      </c>
      <c r="J1660" s="17" t="str">
        <f aca="false">IF(H1660="","",H1660-I1660)</f>
        <v/>
      </c>
    </row>
    <row r="1661" customFormat="false" ht="15" hidden="false" customHeight="true" outlineLevel="0" collapsed="false">
      <c r="A1661" s="7"/>
      <c r="B1661" s="18" t="str">
        <f aca="false">IF(A1661="","",IFERROR(INDEX(Sales_Memo!$B$2:$B$1001,MATCH(A1661,Sales_Memo!$A$2:$A$1001,0)),""))</f>
        <v/>
      </c>
      <c r="C1661" s="7"/>
      <c r="D1661" s="16" t="str">
        <f aca="false">IF(C1661="","",IFERROR(INDEX(Products!$B$2:$B$501,MATCH(C1661,Products!$A$2:$A$501,0)),"CODE NOT FOUND"))</f>
        <v/>
      </c>
      <c r="E1661" s="7"/>
      <c r="F1661" s="13"/>
      <c r="G1661" s="13"/>
      <c r="H1661" s="17" t="str">
        <f aca="false">IF(OR(E1661="",F1661=""),"",E1661*F1661)</f>
        <v/>
      </c>
      <c r="I1661" s="17" t="str">
        <f aca="false">IF(OR(E1661="",G1661=""),"",E1661*G1661)</f>
        <v/>
      </c>
      <c r="J1661" s="17" t="str">
        <f aca="false">IF(H1661="","",H1661-I1661)</f>
        <v/>
      </c>
    </row>
    <row r="1662" customFormat="false" ht="15" hidden="false" customHeight="true" outlineLevel="0" collapsed="false">
      <c r="A1662" s="7"/>
      <c r="B1662" s="18" t="str">
        <f aca="false">IF(A1662="","",IFERROR(INDEX(Sales_Memo!$B$2:$B$1001,MATCH(A1662,Sales_Memo!$A$2:$A$1001,0)),""))</f>
        <v/>
      </c>
      <c r="C1662" s="7"/>
      <c r="D1662" s="16" t="str">
        <f aca="false">IF(C1662="","",IFERROR(INDEX(Products!$B$2:$B$501,MATCH(C1662,Products!$A$2:$A$501,0)),"CODE NOT FOUND"))</f>
        <v/>
      </c>
      <c r="E1662" s="7"/>
      <c r="F1662" s="13"/>
      <c r="G1662" s="13"/>
      <c r="H1662" s="17" t="str">
        <f aca="false">IF(OR(E1662="",F1662=""),"",E1662*F1662)</f>
        <v/>
      </c>
      <c r="I1662" s="17" t="str">
        <f aca="false">IF(OR(E1662="",G1662=""),"",E1662*G1662)</f>
        <v/>
      </c>
      <c r="J1662" s="17" t="str">
        <f aca="false">IF(H1662="","",H1662-I1662)</f>
        <v/>
      </c>
    </row>
    <row r="1663" customFormat="false" ht="15" hidden="false" customHeight="true" outlineLevel="0" collapsed="false">
      <c r="A1663" s="7"/>
      <c r="B1663" s="18" t="str">
        <f aca="false">IF(A1663="","",IFERROR(INDEX(Sales_Memo!$B$2:$B$1001,MATCH(A1663,Sales_Memo!$A$2:$A$1001,0)),""))</f>
        <v/>
      </c>
      <c r="C1663" s="7"/>
      <c r="D1663" s="16" t="str">
        <f aca="false">IF(C1663="","",IFERROR(INDEX(Products!$B$2:$B$501,MATCH(C1663,Products!$A$2:$A$501,0)),"CODE NOT FOUND"))</f>
        <v/>
      </c>
      <c r="E1663" s="7"/>
      <c r="F1663" s="13"/>
      <c r="G1663" s="13"/>
      <c r="H1663" s="17" t="str">
        <f aca="false">IF(OR(E1663="",F1663=""),"",E1663*F1663)</f>
        <v/>
      </c>
      <c r="I1663" s="17" t="str">
        <f aca="false">IF(OR(E1663="",G1663=""),"",E1663*G1663)</f>
        <v/>
      </c>
      <c r="J1663" s="17" t="str">
        <f aca="false">IF(H1663="","",H1663-I1663)</f>
        <v/>
      </c>
    </row>
    <row r="1664" customFormat="false" ht="15" hidden="false" customHeight="true" outlineLevel="0" collapsed="false">
      <c r="A1664" s="7"/>
      <c r="B1664" s="18" t="str">
        <f aca="false">IF(A1664="","",IFERROR(INDEX(Sales_Memo!$B$2:$B$1001,MATCH(A1664,Sales_Memo!$A$2:$A$1001,0)),""))</f>
        <v/>
      </c>
      <c r="C1664" s="7"/>
      <c r="D1664" s="16" t="str">
        <f aca="false">IF(C1664="","",IFERROR(INDEX(Products!$B$2:$B$501,MATCH(C1664,Products!$A$2:$A$501,0)),"CODE NOT FOUND"))</f>
        <v/>
      </c>
      <c r="E1664" s="7"/>
      <c r="F1664" s="13"/>
      <c r="G1664" s="13"/>
      <c r="H1664" s="17" t="str">
        <f aca="false">IF(OR(E1664="",F1664=""),"",E1664*F1664)</f>
        <v/>
      </c>
      <c r="I1664" s="17" t="str">
        <f aca="false">IF(OR(E1664="",G1664=""),"",E1664*G1664)</f>
        <v/>
      </c>
      <c r="J1664" s="17" t="str">
        <f aca="false">IF(H1664="","",H1664-I1664)</f>
        <v/>
      </c>
    </row>
    <row r="1665" customFormat="false" ht="15" hidden="false" customHeight="true" outlineLevel="0" collapsed="false">
      <c r="A1665" s="7"/>
      <c r="B1665" s="18" t="str">
        <f aca="false">IF(A1665="","",IFERROR(INDEX(Sales_Memo!$B$2:$B$1001,MATCH(A1665,Sales_Memo!$A$2:$A$1001,0)),""))</f>
        <v/>
      </c>
      <c r="C1665" s="7"/>
      <c r="D1665" s="16" t="str">
        <f aca="false">IF(C1665="","",IFERROR(INDEX(Products!$B$2:$B$501,MATCH(C1665,Products!$A$2:$A$501,0)),"CODE NOT FOUND"))</f>
        <v/>
      </c>
      <c r="E1665" s="7"/>
      <c r="F1665" s="13"/>
      <c r="G1665" s="13"/>
      <c r="H1665" s="17" t="str">
        <f aca="false">IF(OR(E1665="",F1665=""),"",E1665*F1665)</f>
        <v/>
      </c>
      <c r="I1665" s="17" t="str">
        <f aca="false">IF(OR(E1665="",G1665=""),"",E1665*G1665)</f>
        <v/>
      </c>
      <c r="J1665" s="17" t="str">
        <f aca="false">IF(H1665="","",H1665-I1665)</f>
        <v/>
      </c>
    </row>
    <row r="1666" customFormat="false" ht="15" hidden="false" customHeight="true" outlineLevel="0" collapsed="false">
      <c r="A1666" s="7"/>
      <c r="B1666" s="18" t="str">
        <f aca="false">IF(A1666="","",IFERROR(INDEX(Sales_Memo!$B$2:$B$1001,MATCH(A1666,Sales_Memo!$A$2:$A$1001,0)),""))</f>
        <v/>
      </c>
      <c r="C1666" s="7"/>
      <c r="D1666" s="16" t="str">
        <f aca="false">IF(C1666="","",IFERROR(INDEX(Products!$B$2:$B$501,MATCH(C1666,Products!$A$2:$A$501,0)),"CODE NOT FOUND"))</f>
        <v/>
      </c>
      <c r="E1666" s="7"/>
      <c r="F1666" s="13"/>
      <c r="G1666" s="13"/>
      <c r="H1666" s="17" t="str">
        <f aca="false">IF(OR(E1666="",F1666=""),"",E1666*F1666)</f>
        <v/>
      </c>
      <c r="I1666" s="17" t="str">
        <f aca="false">IF(OR(E1666="",G1666=""),"",E1666*G1666)</f>
        <v/>
      </c>
      <c r="J1666" s="17" t="str">
        <f aca="false">IF(H1666="","",H1666-I1666)</f>
        <v/>
      </c>
    </row>
    <row r="1667" customFormat="false" ht="15" hidden="false" customHeight="true" outlineLevel="0" collapsed="false">
      <c r="A1667" s="7"/>
      <c r="B1667" s="18" t="str">
        <f aca="false">IF(A1667="","",IFERROR(INDEX(Sales_Memo!$B$2:$B$1001,MATCH(A1667,Sales_Memo!$A$2:$A$1001,0)),""))</f>
        <v/>
      </c>
      <c r="C1667" s="7"/>
      <c r="D1667" s="16" t="str">
        <f aca="false">IF(C1667="","",IFERROR(INDEX(Products!$B$2:$B$501,MATCH(C1667,Products!$A$2:$A$501,0)),"CODE NOT FOUND"))</f>
        <v/>
      </c>
      <c r="E1667" s="7"/>
      <c r="F1667" s="13"/>
      <c r="G1667" s="13"/>
      <c r="H1667" s="17" t="str">
        <f aca="false">IF(OR(E1667="",F1667=""),"",E1667*F1667)</f>
        <v/>
      </c>
      <c r="I1667" s="17" t="str">
        <f aca="false">IF(OR(E1667="",G1667=""),"",E1667*G1667)</f>
        <v/>
      </c>
      <c r="J1667" s="17" t="str">
        <f aca="false">IF(H1667="","",H1667-I1667)</f>
        <v/>
      </c>
    </row>
    <row r="1668" customFormat="false" ht="15" hidden="false" customHeight="true" outlineLevel="0" collapsed="false">
      <c r="A1668" s="7"/>
      <c r="B1668" s="18" t="str">
        <f aca="false">IF(A1668="","",IFERROR(INDEX(Sales_Memo!$B$2:$B$1001,MATCH(A1668,Sales_Memo!$A$2:$A$1001,0)),""))</f>
        <v/>
      </c>
      <c r="C1668" s="7"/>
      <c r="D1668" s="16" t="str">
        <f aca="false">IF(C1668="","",IFERROR(INDEX(Products!$B$2:$B$501,MATCH(C1668,Products!$A$2:$A$501,0)),"CODE NOT FOUND"))</f>
        <v/>
      </c>
      <c r="E1668" s="7"/>
      <c r="F1668" s="13"/>
      <c r="G1668" s="13"/>
      <c r="H1668" s="17" t="str">
        <f aca="false">IF(OR(E1668="",F1668=""),"",E1668*F1668)</f>
        <v/>
      </c>
      <c r="I1668" s="17" t="str">
        <f aca="false">IF(OR(E1668="",G1668=""),"",E1668*G1668)</f>
        <v/>
      </c>
      <c r="J1668" s="17" t="str">
        <f aca="false">IF(H1668="","",H1668-I1668)</f>
        <v/>
      </c>
    </row>
    <row r="1669" customFormat="false" ht="15" hidden="false" customHeight="true" outlineLevel="0" collapsed="false">
      <c r="A1669" s="7"/>
      <c r="B1669" s="18" t="str">
        <f aca="false">IF(A1669="","",IFERROR(INDEX(Sales_Memo!$B$2:$B$1001,MATCH(A1669,Sales_Memo!$A$2:$A$1001,0)),""))</f>
        <v/>
      </c>
      <c r="C1669" s="7"/>
      <c r="D1669" s="16" t="str">
        <f aca="false">IF(C1669="","",IFERROR(INDEX(Products!$B$2:$B$501,MATCH(C1669,Products!$A$2:$A$501,0)),"CODE NOT FOUND"))</f>
        <v/>
      </c>
      <c r="E1669" s="7"/>
      <c r="F1669" s="13"/>
      <c r="G1669" s="13"/>
      <c r="H1669" s="17" t="str">
        <f aca="false">IF(OR(E1669="",F1669=""),"",E1669*F1669)</f>
        <v/>
      </c>
      <c r="I1669" s="17" t="str">
        <f aca="false">IF(OR(E1669="",G1669=""),"",E1669*G1669)</f>
        <v/>
      </c>
      <c r="J1669" s="17" t="str">
        <f aca="false">IF(H1669="","",H1669-I1669)</f>
        <v/>
      </c>
    </row>
    <row r="1670" customFormat="false" ht="15" hidden="false" customHeight="true" outlineLevel="0" collapsed="false">
      <c r="A1670" s="7"/>
      <c r="B1670" s="18" t="str">
        <f aca="false">IF(A1670="","",IFERROR(INDEX(Sales_Memo!$B$2:$B$1001,MATCH(A1670,Sales_Memo!$A$2:$A$1001,0)),""))</f>
        <v/>
      </c>
      <c r="C1670" s="7"/>
      <c r="D1670" s="16" t="str">
        <f aca="false">IF(C1670="","",IFERROR(INDEX(Products!$B$2:$B$501,MATCH(C1670,Products!$A$2:$A$501,0)),"CODE NOT FOUND"))</f>
        <v/>
      </c>
      <c r="E1670" s="7"/>
      <c r="F1670" s="13"/>
      <c r="G1670" s="13"/>
      <c r="H1670" s="17" t="str">
        <f aca="false">IF(OR(E1670="",F1670=""),"",E1670*F1670)</f>
        <v/>
      </c>
      <c r="I1670" s="17" t="str">
        <f aca="false">IF(OR(E1670="",G1670=""),"",E1670*G1670)</f>
        <v/>
      </c>
      <c r="J1670" s="17" t="str">
        <f aca="false">IF(H1670="","",H1670-I1670)</f>
        <v/>
      </c>
    </row>
    <row r="1671" customFormat="false" ht="15" hidden="false" customHeight="true" outlineLevel="0" collapsed="false">
      <c r="A1671" s="7"/>
      <c r="B1671" s="18" t="str">
        <f aca="false">IF(A1671="","",IFERROR(INDEX(Sales_Memo!$B$2:$B$1001,MATCH(A1671,Sales_Memo!$A$2:$A$1001,0)),""))</f>
        <v/>
      </c>
      <c r="C1671" s="7"/>
      <c r="D1671" s="16" t="str">
        <f aca="false">IF(C1671="","",IFERROR(INDEX(Products!$B$2:$B$501,MATCH(C1671,Products!$A$2:$A$501,0)),"CODE NOT FOUND"))</f>
        <v/>
      </c>
      <c r="E1671" s="7"/>
      <c r="F1671" s="13"/>
      <c r="G1671" s="13"/>
      <c r="H1671" s="17" t="str">
        <f aca="false">IF(OR(E1671="",F1671=""),"",E1671*F1671)</f>
        <v/>
      </c>
      <c r="I1671" s="17" t="str">
        <f aca="false">IF(OR(E1671="",G1671=""),"",E1671*G1671)</f>
        <v/>
      </c>
      <c r="J1671" s="17" t="str">
        <f aca="false">IF(H1671="","",H1671-I1671)</f>
        <v/>
      </c>
    </row>
    <row r="1672" customFormat="false" ht="15" hidden="false" customHeight="true" outlineLevel="0" collapsed="false">
      <c r="A1672" s="7"/>
      <c r="B1672" s="18" t="str">
        <f aca="false">IF(A1672="","",IFERROR(INDEX(Sales_Memo!$B$2:$B$1001,MATCH(A1672,Sales_Memo!$A$2:$A$1001,0)),""))</f>
        <v/>
      </c>
      <c r="C1672" s="7"/>
      <c r="D1672" s="16" t="str">
        <f aca="false">IF(C1672="","",IFERROR(INDEX(Products!$B$2:$B$501,MATCH(C1672,Products!$A$2:$A$501,0)),"CODE NOT FOUND"))</f>
        <v/>
      </c>
      <c r="E1672" s="7"/>
      <c r="F1672" s="13"/>
      <c r="G1672" s="13"/>
      <c r="H1672" s="17" t="str">
        <f aca="false">IF(OR(E1672="",F1672=""),"",E1672*F1672)</f>
        <v/>
      </c>
      <c r="I1672" s="17" t="str">
        <f aca="false">IF(OR(E1672="",G1672=""),"",E1672*G1672)</f>
        <v/>
      </c>
      <c r="J1672" s="17" t="str">
        <f aca="false">IF(H1672="","",H1672-I1672)</f>
        <v/>
      </c>
    </row>
    <row r="1673" customFormat="false" ht="15" hidden="false" customHeight="true" outlineLevel="0" collapsed="false">
      <c r="A1673" s="7"/>
      <c r="B1673" s="18" t="str">
        <f aca="false">IF(A1673="","",IFERROR(INDEX(Sales_Memo!$B$2:$B$1001,MATCH(A1673,Sales_Memo!$A$2:$A$1001,0)),""))</f>
        <v/>
      </c>
      <c r="C1673" s="7"/>
      <c r="D1673" s="16" t="str">
        <f aca="false">IF(C1673="","",IFERROR(INDEX(Products!$B$2:$B$501,MATCH(C1673,Products!$A$2:$A$501,0)),"CODE NOT FOUND"))</f>
        <v/>
      </c>
      <c r="E1673" s="7"/>
      <c r="F1673" s="13"/>
      <c r="G1673" s="13"/>
      <c r="H1673" s="17" t="str">
        <f aca="false">IF(OR(E1673="",F1673=""),"",E1673*F1673)</f>
        <v/>
      </c>
      <c r="I1673" s="17" t="str">
        <f aca="false">IF(OR(E1673="",G1673=""),"",E1673*G1673)</f>
        <v/>
      </c>
      <c r="J1673" s="17" t="str">
        <f aca="false">IF(H1673="","",H1673-I1673)</f>
        <v/>
      </c>
    </row>
    <row r="1674" customFormat="false" ht="15" hidden="false" customHeight="true" outlineLevel="0" collapsed="false">
      <c r="A1674" s="7"/>
      <c r="B1674" s="18" t="str">
        <f aca="false">IF(A1674="","",IFERROR(INDEX(Sales_Memo!$B$2:$B$1001,MATCH(A1674,Sales_Memo!$A$2:$A$1001,0)),""))</f>
        <v/>
      </c>
      <c r="C1674" s="7"/>
      <c r="D1674" s="16" t="str">
        <f aca="false">IF(C1674="","",IFERROR(INDEX(Products!$B$2:$B$501,MATCH(C1674,Products!$A$2:$A$501,0)),"CODE NOT FOUND"))</f>
        <v/>
      </c>
      <c r="E1674" s="7"/>
      <c r="F1674" s="13"/>
      <c r="G1674" s="13"/>
      <c r="H1674" s="17" t="str">
        <f aca="false">IF(OR(E1674="",F1674=""),"",E1674*F1674)</f>
        <v/>
      </c>
      <c r="I1674" s="17" t="str">
        <f aca="false">IF(OR(E1674="",G1674=""),"",E1674*G1674)</f>
        <v/>
      </c>
      <c r="J1674" s="17" t="str">
        <f aca="false">IF(H1674="","",H1674-I1674)</f>
        <v/>
      </c>
    </row>
    <row r="1675" customFormat="false" ht="15" hidden="false" customHeight="true" outlineLevel="0" collapsed="false">
      <c r="A1675" s="7"/>
      <c r="B1675" s="18" t="str">
        <f aca="false">IF(A1675="","",IFERROR(INDEX(Sales_Memo!$B$2:$B$1001,MATCH(A1675,Sales_Memo!$A$2:$A$1001,0)),""))</f>
        <v/>
      </c>
      <c r="C1675" s="7"/>
      <c r="D1675" s="16" t="str">
        <f aca="false">IF(C1675="","",IFERROR(INDEX(Products!$B$2:$B$501,MATCH(C1675,Products!$A$2:$A$501,0)),"CODE NOT FOUND"))</f>
        <v/>
      </c>
      <c r="E1675" s="7"/>
      <c r="F1675" s="13"/>
      <c r="G1675" s="13"/>
      <c r="H1675" s="17" t="str">
        <f aca="false">IF(OR(E1675="",F1675=""),"",E1675*F1675)</f>
        <v/>
      </c>
      <c r="I1675" s="17" t="str">
        <f aca="false">IF(OR(E1675="",G1675=""),"",E1675*G1675)</f>
        <v/>
      </c>
      <c r="J1675" s="17" t="str">
        <f aca="false">IF(H1675="","",H1675-I1675)</f>
        <v/>
      </c>
    </row>
    <row r="1676" customFormat="false" ht="15" hidden="false" customHeight="true" outlineLevel="0" collapsed="false">
      <c r="A1676" s="7"/>
      <c r="B1676" s="18" t="str">
        <f aca="false">IF(A1676="","",IFERROR(INDEX(Sales_Memo!$B$2:$B$1001,MATCH(A1676,Sales_Memo!$A$2:$A$1001,0)),""))</f>
        <v/>
      </c>
      <c r="C1676" s="7"/>
      <c r="D1676" s="16" t="str">
        <f aca="false">IF(C1676="","",IFERROR(INDEX(Products!$B$2:$B$501,MATCH(C1676,Products!$A$2:$A$501,0)),"CODE NOT FOUND"))</f>
        <v/>
      </c>
      <c r="E1676" s="7"/>
      <c r="F1676" s="13"/>
      <c r="G1676" s="13"/>
      <c r="H1676" s="17" t="str">
        <f aca="false">IF(OR(E1676="",F1676=""),"",E1676*F1676)</f>
        <v/>
      </c>
      <c r="I1676" s="17" t="str">
        <f aca="false">IF(OR(E1676="",G1676=""),"",E1676*G1676)</f>
        <v/>
      </c>
      <c r="J1676" s="17" t="str">
        <f aca="false">IF(H1676="","",H1676-I1676)</f>
        <v/>
      </c>
    </row>
    <row r="1677" customFormat="false" ht="15" hidden="false" customHeight="true" outlineLevel="0" collapsed="false">
      <c r="A1677" s="7"/>
      <c r="B1677" s="18" t="str">
        <f aca="false">IF(A1677="","",IFERROR(INDEX(Sales_Memo!$B$2:$B$1001,MATCH(A1677,Sales_Memo!$A$2:$A$1001,0)),""))</f>
        <v/>
      </c>
      <c r="C1677" s="7"/>
      <c r="D1677" s="16" t="str">
        <f aca="false">IF(C1677="","",IFERROR(INDEX(Products!$B$2:$B$501,MATCH(C1677,Products!$A$2:$A$501,0)),"CODE NOT FOUND"))</f>
        <v/>
      </c>
      <c r="E1677" s="7"/>
      <c r="F1677" s="13"/>
      <c r="G1677" s="13"/>
      <c r="H1677" s="17" t="str">
        <f aca="false">IF(OR(E1677="",F1677=""),"",E1677*F1677)</f>
        <v/>
      </c>
      <c r="I1677" s="17" t="str">
        <f aca="false">IF(OR(E1677="",G1677=""),"",E1677*G1677)</f>
        <v/>
      </c>
      <c r="J1677" s="17" t="str">
        <f aca="false">IF(H1677="","",H1677-I1677)</f>
        <v/>
      </c>
    </row>
    <row r="1678" customFormat="false" ht="15" hidden="false" customHeight="true" outlineLevel="0" collapsed="false">
      <c r="A1678" s="7"/>
      <c r="B1678" s="18" t="str">
        <f aca="false">IF(A1678="","",IFERROR(INDEX(Sales_Memo!$B$2:$B$1001,MATCH(A1678,Sales_Memo!$A$2:$A$1001,0)),""))</f>
        <v/>
      </c>
      <c r="C1678" s="7"/>
      <c r="D1678" s="16" t="str">
        <f aca="false">IF(C1678="","",IFERROR(INDEX(Products!$B$2:$B$501,MATCH(C1678,Products!$A$2:$A$501,0)),"CODE NOT FOUND"))</f>
        <v/>
      </c>
      <c r="E1678" s="7"/>
      <c r="F1678" s="13"/>
      <c r="G1678" s="13"/>
      <c r="H1678" s="17" t="str">
        <f aca="false">IF(OR(E1678="",F1678=""),"",E1678*F1678)</f>
        <v/>
      </c>
      <c r="I1678" s="17" t="str">
        <f aca="false">IF(OR(E1678="",G1678=""),"",E1678*G1678)</f>
        <v/>
      </c>
      <c r="J1678" s="17" t="str">
        <f aca="false">IF(H1678="","",H1678-I1678)</f>
        <v/>
      </c>
    </row>
    <row r="1679" customFormat="false" ht="15" hidden="false" customHeight="true" outlineLevel="0" collapsed="false">
      <c r="A1679" s="7"/>
      <c r="B1679" s="18" t="str">
        <f aca="false">IF(A1679="","",IFERROR(INDEX(Sales_Memo!$B$2:$B$1001,MATCH(A1679,Sales_Memo!$A$2:$A$1001,0)),""))</f>
        <v/>
      </c>
      <c r="C1679" s="7"/>
      <c r="D1679" s="16" t="str">
        <f aca="false">IF(C1679="","",IFERROR(INDEX(Products!$B$2:$B$501,MATCH(C1679,Products!$A$2:$A$501,0)),"CODE NOT FOUND"))</f>
        <v/>
      </c>
      <c r="E1679" s="7"/>
      <c r="F1679" s="13"/>
      <c r="G1679" s="13"/>
      <c r="H1679" s="17" t="str">
        <f aca="false">IF(OR(E1679="",F1679=""),"",E1679*F1679)</f>
        <v/>
      </c>
      <c r="I1679" s="17" t="str">
        <f aca="false">IF(OR(E1679="",G1679=""),"",E1679*G1679)</f>
        <v/>
      </c>
      <c r="J1679" s="17" t="str">
        <f aca="false">IF(H1679="","",H1679-I1679)</f>
        <v/>
      </c>
    </row>
    <row r="1680" customFormat="false" ht="15" hidden="false" customHeight="true" outlineLevel="0" collapsed="false">
      <c r="A1680" s="7"/>
      <c r="B1680" s="18" t="str">
        <f aca="false">IF(A1680="","",IFERROR(INDEX(Sales_Memo!$B$2:$B$1001,MATCH(A1680,Sales_Memo!$A$2:$A$1001,0)),""))</f>
        <v/>
      </c>
      <c r="C1680" s="7"/>
      <c r="D1680" s="16" t="str">
        <f aca="false">IF(C1680="","",IFERROR(INDEX(Products!$B$2:$B$501,MATCH(C1680,Products!$A$2:$A$501,0)),"CODE NOT FOUND"))</f>
        <v/>
      </c>
      <c r="E1680" s="7"/>
      <c r="F1680" s="13"/>
      <c r="G1680" s="13"/>
      <c r="H1680" s="17" t="str">
        <f aca="false">IF(OR(E1680="",F1680=""),"",E1680*F1680)</f>
        <v/>
      </c>
      <c r="I1680" s="17" t="str">
        <f aca="false">IF(OR(E1680="",G1680=""),"",E1680*G1680)</f>
        <v/>
      </c>
      <c r="J1680" s="17" t="str">
        <f aca="false">IF(H1680="","",H1680-I1680)</f>
        <v/>
      </c>
    </row>
    <row r="1681" customFormat="false" ht="15" hidden="false" customHeight="true" outlineLevel="0" collapsed="false">
      <c r="A1681" s="7"/>
      <c r="B1681" s="18" t="str">
        <f aca="false">IF(A1681="","",IFERROR(INDEX(Sales_Memo!$B$2:$B$1001,MATCH(A1681,Sales_Memo!$A$2:$A$1001,0)),""))</f>
        <v/>
      </c>
      <c r="C1681" s="7"/>
      <c r="D1681" s="16" t="str">
        <f aca="false">IF(C1681="","",IFERROR(INDEX(Products!$B$2:$B$501,MATCH(C1681,Products!$A$2:$A$501,0)),"CODE NOT FOUND"))</f>
        <v/>
      </c>
      <c r="E1681" s="7"/>
      <c r="F1681" s="13"/>
      <c r="G1681" s="13"/>
      <c r="H1681" s="17" t="str">
        <f aca="false">IF(OR(E1681="",F1681=""),"",E1681*F1681)</f>
        <v/>
      </c>
      <c r="I1681" s="17" t="str">
        <f aca="false">IF(OR(E1681="",G1681=""),"",E1681*G1681)</f>
        <v/>
      </c>
      <c r="J1681" s="17" t="str">
        <f aca="false">IF(H1681="","",H1681-I1681)</f>
        <v/>
      </c>
    </row>
    <row r="1682" customFormat="false" ht="15" hidden="false" customHeight="true" outlineLevel="0" collapsed="false">
      <c r="A1682" s="7"/>
      <c r="B1682" s="18" t="str">
        <f aca="false">IF(A1682="","",IFERROR(INDEX(Sales_Memo!$B$2:$B$1001,MATCH(A1682,Sales_Memo!$A$2:$A$1001,0)),""))</f>
        <v/>
      </c>
      <c r="C1682" s="7"/>
      <c r="D1682" s="16" t="str">
        <f aca="false">IF(C1682="","",IFERROR(INDEX(Products!$B$2:$B$501,MATCH(C1682,Products!$A$2:$A$501,0)),"CODE NOT FOUND"))</f>
        <v/>
      </c>
      <c r="E1682" s="7"/>
      <c r="F1682" s="13"/>
      <c r="G1682" s="13"/>
      <c r="H1682" s="17" t="str">
        <f aca="false">IF(OR(E1682="",F1682=""),"",E1682*F1682)</f>
        <v/>
      </c>
      <c r="I1682" s="17" t="str">
        <f aca="false">IF(OR(E1682="",G1682=""),"",E1682*G1682)</f>
        <v/>
      </c>
      <c r="J1682" s="17" t="str">
        <f aca="false">IF(H1682="","",H1682-I1682)</f>
        <v/>
      </c>
    </row>
    <row r="1683" customFormat="false" ht="15" hidden="false" customHeight="true" outlineLevel="0" collapsed="false">
      <c r="A1683" s="7"/>
      <c r="B1683" s="18" t="str">
        <f aca="false">IF(A1683="","",IFERROR(INDEX(Sales_Memo!$B$2:$B$1001,MATCH(A1683,Sales_Memo!$A$2:$A$1001,0)),""))</f>
        <v/>
      </c>
      <c r="C1683" s="7"/>
      <c r="D1683" s="16" t="str">
        <f aca="false">IF(C1683="","",IFERROR(INDEX(Products!$B$2:$B$501,MATCH(C1683,Products!$A$2:$A$501,0)),"CODE NOT FOUND"))</f>
        <v/>
      </c>
      <c r="E1683" s="7"/>
      <c r="F1683" s="13"/>
      <c r="G1683" s="13"/>
      <c r="H1683" s="17" t="str">
        <f aca="false">IF(OR(E1683="",F1683=""),"",E1683*F1683)</f>
        <v/>
      </c>
      <c r="I1683" s="17" t="str">
        <f aca="false">IF(OR(E1683="",G1683=""),"",E1683*G1683)</f>
        <v/>
      </c>
      <c r="J1683" s="17" t="str">
        <f aca="false">IF(H1683="","",H1683-I1683)</f>
        <v/>
      </c>
    </row>
    <row r="1684" customFormat="false" ht="15" hidden="false" customHeight="true" outlineLevel="0" collapsed="false">
      <c r="A1684" s="7"/>
      <c r="B1684" s="18" t="str">
        <f aca="false">IF(A1684="","",IFERROR(INDEX(Sales_Memo!$B$2:$B$1001,MATCH(A1684,Sales_Memo!$A$2:$A$1001,0)),""))</f>
        <v/>
      </c>
      <c r="C1684" s="7"/>
      <c r="D1684" s="16" t="str">
        <f aca="false">IF(C1684="","",IFERROR(INDEX(Products!$B$2:$B$501,MATCH(C1684,Products!$A$2:$A$501,0)),"CODE NOT FOUND"))</f>
        <v/>
      </c>
      <c r="E1684" s="7"/>
      <c r="F1684" s="13"/>
      <c r="G1684" s="13"/>
      <c r="H1684" s="17" t="str">
        <f aca="false">IF(OR(E1684="",F1684=""),"",E1684*F1684)</f>
        <v/>
      </c>
      <c r="I1684" s="17" t="str">
        <f aca="false">IF(OR(E1684="",G1684=""),"",E1684*G1684)</f>
        <v/>
      </c>
      <c r="J1684" s="17" t="str">
        <f aca="false">IF(H1684="","",H1684-I1684)</f>
        <v/>
      </c>
    </row>
    <row r="1685" customFormat="false" ht="15" hidden="false" customHeight="true" outlineLevel="0" collapsed="false">
      <c r="A1685" s="7"/>
      <c r="B1685" s="18" t="str">
        <f aca="false">IF(A1685="","",IFERROR(INDEX(Sales_Memo!$B$2:$B$1001,MATCH(A1685,Sales_Memo!$A$2:$A$1001,0)),""))</f>
        <v/>
      </c>
      <c r="C1685" s="7"/>
      <c r="D1685" s="16" t="str">
        <f aca="false">IF(C1685="","",IFERROR(INDEX(Products!$B$2:$B$501,MATCH(C1685,Products!$A$2:$A$501,0)),"CODE NOT FOUND"))</f>
        <v/>
      </c>
      <c r="E1685" s="7"/>
      <c r="F1685" s="13"/>
      <c r="G1685" s="13"/>
      <c r="H1685" s="17" t="str">
        <f aca="false">IF(OR(E1685="",F1685=""),"",E1685*F1685)</f>
        <v/>
      </c>
      <c r="I1685" s="17" t="str">
        <f aca="false">IF(OR(E1685="",G1685=""),"",E1685*G1685)</f>
        <v/>
      </c>
      <c r="J1685" s="17" t="str">
        <f aca="false">IF(H1685="","",H1685-I1685)</f>
        <v/>
      </c>
    </row>
    <row r="1686" customFormat="false" ht="15" hidden="false" customHeight="true" outlineLevel="0" collapsed="false">
      <c r="A1686" s="7"/>
      <c r="B1686" s="18" t="str">
        <f aca="false">IF(A1686="","",IFERROR(INDEX(Sales_Memo!$B$2:$B$1001,MATCH(A1686,Sales_Memo!$A$2:$A$1001,0)),""))</f>
        <v/>
      </c>
      <c r="C1686" s="7"/>
      <c r="D1686" s="16" t="str">
        <f aca="false">IF(C1686="","",IFERROR(INDEX(Products!$B$2:$B$501,MATCH(C1686,Products!$A$2:$A$501,0)),"CODE NOT FOUND"))</f>
        <v/>
      </c>
      <c r="E1686" s="7"/>
      <c r="F1686" s="13"/>
      <c r="G1686" s="13"/>
      <c r="H1686" s="17" t="str">
        <f aca="false">IF(OR(E1686="",F1686=""),"",E1686*F1686)</f>
        <v/>
      </c>
      <c r="I1686" s="17" t="str">
        <f aca="false">IF(OR(E1686="",G1686=""),"",E1686*G1686)</f>
        <v/>
      </c>
      <c r="J1686" s="17" t="str">
        <f aca="false">IF(H1686="","",H1686-I1686)</f>
        <v/>
      </c>
    </row>
    <row r="1687" customFormat="false" ht="15" hidden="false" customHeight="true" outlineLevel="0" collapsed="false">
      <c r="A1687" s="7"/>
      <c r="B1687" s="18" t="str">
        <f aca="false">IF(A1687="","",IFERROR(INDEX(Sales_Memo!$B$2:$B$1001,MATCH(A1687,Sales_Memo!$A$2:$A$1001,0)),""))</f>
        <v/>
      </c>
      <c r="C1687" s="7"/>
      <c r="D1687" s="16" t="str">
        <f aca="false">IF(C1687="","",IFERROR(INDEX(Products!$B$2:$B$501,MATCH(C1687,Products!$A$2:$A$501,0)),"CODE NOT FOUND"))</f>
        <v/>
      </c>
      <c r="E1687" s="7"/>
      <c r="F1687" s="13"/>
      <c r="G1687" s="13"/>
      <c r="H1687" s="17" t="str">
        <f aca="false">IF(OR(E1687="",F1687=""),"",E1687*F1687)</f>
        <v/>
      </c>
      <c r="I1687" s="17" t="str">
        <f aca="false">IF(OR(E1687="",G1687=""),"",E1687*G1687)</f>
        <v/>
      </c>
      <c r="J1687" s="17" t="str">
        <f aca="false">IF(H1687="","",H1687-I1687)</f>
        <v/>
      </c>
    </row>
    <row r="1688" customFormat="false" ht="15" hidden="false" customHeight="true" outlineLevel="0" collapsed="false">
      <c r="A1688" s="7"/>
      <c r="B1688" s="18" t="str">
        <f aca="false">IF(A1688="","",IFERROR(INDEX(Sales_Memo!$B$2:$B$1001,MATCH(A1688,Sales_Memo!$A$2:$A$1001,0)),""))</f>
        <v/>
      </c>
      <c r="C1688" s="7"/>
      <c r="D1688" s="16" t="str">
        <f aca="false">IF(C1688="","",IFERROR(INDEX(Products!$B$2:$B$501,MATCH(C1688,Products!$A$2:$A$501,0)),"CODE NOT FOUND"))</f>
        <v/>
      </c>
      <c r="E1688" s="7"/>
      <c r="F1688" s="13"/>
      <c r="G1688" s="13"/>
      <c r="H1688" s="17" t="str">
        <f aca="false">IF(OR(E1688="",F1688=""),"",E1688*F1688)</f>
        <v/>
      </c>
      <c r="I1688" s="17" t="str">
        <f aca="false">IF(OR(E1688="",G1688=""),"",E1688*G1688)</f>
        <v/>
      </c>
      <c r="J1688" s="17" t="str">
        <f aca="false">IF(H1688="","",H1688-I1688)</f>
        <v/>
      </c>
    </row>
    <row r="1689" customFormat="false" ht="15" hidden="false" customHeight="true" outlineLevel="0" collapsed="false">
      <c r="A1689" s="7"/>
      <c r="B1689" s="18" t="str">
        <f aca="false">IF(A1689="","",IFERROR(INDEX(Sales_Memo!$B$2:$B$1001,MATCH(A1689,Sales_Memo!$A$2:$A$1001,0)),""))</f>
        <v/>
      </c>
      <c r="C1689" s="7"/>
      <c r="D1689" s="16" t="str">
        <f aca="false">IF(C1689="","",IFERROR(INDEX(Products!$B$2:$B$501,MATCH(C1689,Products!$A$2:$A$501,0)),"CODE NOT FOUND"))</f>
        <v/>
      </c>
      <c r="E1689" s="7"/>
      <c r="F1689" s="13"/>
      <c r="G1689" s="13"/>
      <c r="H1689" s="17" t="str">
        <f aca="false">IF(OR(E1689="",F1689=""),"",E1689*F1689)</f>
        <v/>
      </c>
      <c r="I1689" s="17" t="str">
        <f aca="false">IF(OR(E1689="",G1689=""),"",E1689*G1689)</f>
        <v/>
      </c>
      <c r="J1689" s="17" t="str">
        <f aca="false">IF(H1689="","",H1689-I1689)</f>
        <v/>
      </c>
    </row>
    <row r="1690" customFormat="false" ht="15" hidden="false" customHeight="true" outlineLevel="0" collapsed="false">
      <c r="A1690" s="7"/>
      <c r="B1690" s="18" t="str">
        <f aca="false">IF(A1690="","",IFERROR(INDEX(Sales_Memo!$B$2:$B$1001,MATCH(A1690,Sales_Memo!$A$2:$A$1001,0)),""))</f>
        <v/>
      </c>
      <c r="C1690" s="7"/>
      <c r="D1690" s="16" t="str">
        <f aca="false">IF(C1690="","",IFERROR(INDEX(Products!$B$2:$B$501,MATCH(C1690,Products!$A$2:$A$501,0)),"CODE NOT FOUND"))</f>
        <v/>
      </c>
      <c r="E1690" s="7"/>
      <c r="F1690" s="13"/>
      <c r="G1690" s="13"/>
      <c r="H1690" s="17" t="str">
        <f aca="false">IF(OR(E1690="",F1690=""),"",E1690*F1690)</f>
        <v/>
      </c>
      <c r="I1690" s="17" t="str">
        <f aca="false">IF(OR(E1690="",G1690=""),"",E1690*G1690)</f>
        <v/>
      </c>
      <c r="J1690" s="17" t="str">
        <f aca="false">IF(H1690="","",H1690-I1690)</f>
        <v/>
      </c>
    </row>
    <row r="1691" customFormat="false" ht="15" hidden="false" customHeight="true" outlineLevel="0" collapsed="false">
      <c r="A1691" s="7"/>
      <c r="B1691" s="18" t="str">
        <f aca="false">IF(A1691="","",IFERROR(INDEX(Sales_Memo!$B$2:$B$1001,MATCH(A1691,Sales_Memo!$A$2:$A$1001,0)),""))</f>
        <v/>
      </c>
      <c r="C1691" s="7"/>
      <c r="D1691" s="16" t="str">
        <f aca="false">IF(C1691="","",IFERROR(INDEX(Products!$B$2:$B$501,MATCH(C1691,Products!$A$2:$A$501,0)),"CODE NOT FOUND"))</f>
        <v/>
      </c>
      <c r="E1691" s="7"/>
      <c r="F1691" s="13"/>
      <c r="G1691" s="13"/>
      <c r="H1691" s="17" t="str">
        <f aca="false">IF(OR(E1691="",F1691=""),"",E1691*F1691)</f>
        <v/>
      </c>
      <c r="I1691" s="17" t="str">
        <f aca="false">IF(OR(E1691="",G1691=""),"",E1691*G1691)</f>
        <v/>
      </c>
      <c r="J1691" s="17" t="str">
        <f aca="false">IF(H1691="","",H1691-I1691)</f>
        <v/>
      </c>
    </row>
    <row r="1692" customFormat="false" ht="15" hidden="false" customHeight="true" outlineLevel="0" collapsed="false">
      <c r="A1692" s="7"/>
      <c r="B1692" s="18" t="str">
        <f aca="false">IF(A1692="","",IFERROR(INDEX(Sales_Memo!$B$2:$B$1001,MATCH(A1692,Sales_Memo!$A$2:$A$1001,0)),""))</f>
        <v/>
      </c>
      <c r="C1692" s="7"/>
      <c r="D1692" s="16" t="str">
        <f aca="false">IF(C1692="","",IFERROR(INDEX(Products!$B$2:$B$501,MATCH(C1692,Products!$A$2:$A$501,0)),"CODE NOT FOUND"))</f>
        <v/>
      </c>
      <c r="E1692" s="7"/>
      <c r="F1692" s="13"/>
      <c r="G1692" s="13"/>
      <c r="H1692" s="17" t="str">
        <f aca="false">IF(OR(E1692="",F1692=""),"",E1692*F1692)</f>
        <v/>
      </c>
      <c r="I1692" s="17" t="str">
        <f aca="false">IF(OR(E1692="",G1692=""),"",E1692*G1692)</f>
        <v/>
      </c>
      <c r="J1692" s="17" t="str">
        <f aca="false">IF(H1692="","",H1692-I1692)</f>
        <v/>
      </c>
    </row>
    <row r="1693" customFormat="false" ht="15" hidden="false" customHeight="true" outlineLevel="0" collapsed="false">
      <c r="A1693" s="7"/>
      <c r="B1693" s="18" t="str">
        <f aca="false">IF(A1693="","",IFERROR(INDEX(Sales_Memo!$B$2:$B$1001,MATCH(A1693,Sales_Memo!$A$2:$A$1001,0)),""))</f>
        <v/>
      </c>
      <c r="C1693" s="7"/>
      <c r="D1693" s="16" t="str">
        <f aca="false">IF(C1693="","",IFERROR(INDEX(Products!$B$2:$B$501,MATCH(C1693,Products!$A$2:$A$501,0)),"CODE NOT FOUND"))</f>
        <v/>
      </c>
      <c r="E1693" s="7"/>
      <c r="F1693" s="13"/>
      <c r="G1693" s="13"/>
      <c r="H1693" s="17" t="str">
        <f aca="false">IF(OR(E1693="",F1693=""),"",E1693*F1693)</f>
        <v/>
      </c>
      <c r="I1693" s="17" t="str">
        <f aca="false">IF(OR(E1693="",G1693=""),"",E1693*G1693)</f>
        <v/>
      </c>
      <c r="J1693" s="17" t="str">
        <f aca="false">IF(H1693="","",H1693-I1693)</f>
        <v/>
      </c>
    </row>
    <row r="1694" customFormat="false" ht="15" hidden="false" customHeight="true" outlineLevel="0" collapsed="false">
      <c r="A1694" s="7"/>
      <c r="B1694" s="18" t="str">
        <f aca="false">IF(A1694="","",IFERROR(INDEX(Sales_Memo!$B$2:$B$1001,MATCH(A1694,Sales_Memo!$A$2:$A$1001,0)),""))</f>
        <v/>
      </c>
      <c r="C1694" s="7"/>
      <c r="D1694" s="16" t="str">
        <f aca="false">IF(C1694="","",IFERROR(INDEX(Products!$B$2:$B$501,MATCH(C1694,Products!$A$2:$A$501,0)),"CODE NOT FOUND"))</f>
        <v/>
      </c>
      <c r="E1694" s="7"/>
      <c r="F1694" s="13"/>
      <c r="G1694" s="13"/>
      <c r="H1694" s="17" t="str">
        <f aca="false">IF(OR(E1694="",F1694=""),"",E1694*F1694)</f>
        <v/>
      </c>
      <c r="I1694" s="17" t="str">
        <f aca="false">IF(OR(E1694="",G1694=""),"",E1694*G1694)</f>
        <v/>
      </c>
      <c r="J1694" s="17" t="str">
        <f aca="false">IF(H1694="","",H1694-I1694)</f>
        <v/>
      </c>
    </row>
    <row r="1695" customFormat="false" ht="15" hidden="false" customHeight="true" outlineLevel="0" collapsed="false">
      <c r="A1695" s="7"/>
      <c r="B1695" s="18" t="str">
        <f aca="false">IF(A1695="","",IFERROR(INDEX(Sales_Memo!$B$2:$B$1001,MATCH(A1695,Sales_Memo!$A$2:$A$1001,0)),""))</f>
        <v/>
      </c>
      <c r="C1695" s="7"/>
      <c r="D1695" s="16" t="str">
        <f aca="false">IF(C1695="","",IFERROR(INDEX(Products!$B$2:$B$501,MATCH(C1695,Products!$A$2:$A$501,0)),"CODE NOT FOUND"))</f>
        <v/>
      </c>
      <c r="E1695" s="7"/>
      <c r="F1695" s="13"/>
      <c r="G1695" s="13"/>
      <c r="H1695" s="17" t="str">
        <f aca="false">IF(OR(E1695="",F1695=""),"",E1695*F1695)</f>
        <v/>
      </c>
      <c r="I1695" s="17" t="str">
        <f aca="false">IF(OR(E1695="",G1695=""),"",E1695*G1695)</f>
        <v/>
      </c>
      <c r="J1695" s="17" t="str">
        <f aca="false">IF(H1695="","",H1695-I1695)</f>
        <v/>
      </c>
    </row>
    <row r="1696" customFormat="false" ht="15" hidden="false" customHeight="true" outlineLevel="0" collapsed="false">
      <c r="A1696" s="7"/>
      <c r="B1696" s="18" t="str">
        <f aca="false">IF(A1696="","",IFERROR(INDEX(Sales_Memo!$B$2:$B$1001,MATCH(A1696,Sales_Memo!$A$2:$A$1001,0)),""))</f>
        <v/>
      </c>
      <c r="C1696" s="7"/>
      <c r="D1696" s="16" t="str">
        <f aca="false">IF(C1696="","",IFERROR(INDEX(Products!$B$2:$B$501,MATCH(C1696,Products!$A$2:$A$501,0)),"CODE NOT FOUND"))</f>
        <v/>
      </c>
      <c r="E1696" s="7"/>
      <c r="F1696" s="13"/>
      <c r="G1696" s="13"/>
      <c r="H1696" s="17" t="str">
        <f aca="false">IF(OR(E1696="",F1696=""),"",E1696*F1696)</f>
        <v/>
      </c>
      <c r="I1696" s="17" t="str">
        <f aca="false">IF(OR(E1696="",G1696=""),"",E1696*G1696)</f>
        <v/>
      </c>
      <c r="J1696" s="17" t="str">
        <f aca="false">IF(H1696="","",H1696-I1696)</f>
        <v/>
      </c>
    </row>
    <row r="1697" customFormat="false" ht="15" hidden="false" customHeight="true" outlineLevel="0" collapsed="false">
      <c r="A1697" s="7"/>
      <c r="B1697" s="18" t="str">
        <f aca="false">IF(A1697="","",IFERROR(INDEX(Sales_Memo!$B$2:$B$1001,MATCH(A1697,Sales_Memo!$A$2:$A$1001,0)),""))</f>
        <v/>
      </c>
      <c r="C1697" s="7"/>
      <c r="D1697" s="16" t="str">
        <f aca="false">IF(C1697="","",IFERROR(INDEX(Products!$B$2:$B$501,MATCH(C1697,Products!$A$2:$A$501,0)),"CODE NOT FOUND"))</f>
        <v/>
      </c>
      <c r="E1697" s="7"/>
      <c r="F1697" s="13"/>
      <c r="G1697" s="13"/>
      <c r="H1697" s="17" t="str">
        <f aca="false">IF(OR(E1697="",F1697=""),"",E1697*F1697)</f>
        <v/>
      </c>
      <c r="I1697" s="17" t="str">
        <f aca="false">IF(OR(E1697="",G1697=""),"",E1697*G1697)</f>
        <v/>
      </c>
      <c r="J1697" s="17" t="str">
        <f aca="false">IF(H1697="","",H1697-I1697)</f>
        <v/>
      </c>
    </row>
    <row r="1698" customFormat="false" ht="15" hidden="false" customHeight="true" outlineLevel="0" collapsed="false">
      <c r="A1698" s="7"/>
      <c r="B1698" s="18" t="str">
        <f aca="false">IF(A1698="","",IFERROR(INDEX(Sales_Memo!$B$2:$B$1001,MATCH(A1698,Sales_Memo!$A$2:$A$1001,0)),""))</f>
        <v/>
      </c>
      <c r="C1698" s="7"/>
      <c r="D1698" s="16" t="str">
        <f aca="false">IF(C1698="","",IFERROR(INDEX(Products!$B$2:$B$501,MATCH(C1698,Products!$A$2:$A$501,0)),"CODE NOT FOUND"))</f>
        <v/>
      </c>
      <c r="E1698" s="7"/>
      <c r="F1698" s="13"/>
      <c r="G1698" s="13"/>
      <c r="H1698" s="17" t="str">
        <f aca="false">IF(OR(E1698="",F1698=""),"",E1698*F1698)</f>
        <v/>
      </c>
      <c r="I1698" s="17" t="str">
        <f aca="false">IF(OR(E1698="",G1698=""),"",E1698*G1698)</f>
        <v/>
      </c>
      <c r="J1698" s="17" t="str">
        <f aca="false">IF(H1698="","",H1698-I1698)</f>
        <v/>
      </c>
    </row>
    <row r="1699" customFormat="false" ht="15" hidden="false" customHeight="true" outlineLevel="0" collapsed="false">
      <c r="A1699" s="7"/>
      <c r="B1699" s="18" t="str">
        <f aca="false">IF(A1699="","",IFERROR(INDEX(Sales_Memo!$B$2:$B$1001,MATCH(A1699,Sales_Memo!$A$2:$A$1001,0)),""))</f>
        <v/>
      </c>
      <c r="C1699" s="7"/>
      <c r="D1699" s="16" t="str">
        <f aca="false">IF(C1699="","",IFERROR(INDEX(Products!$B$2:$B$501,MATCH(C1699,Products!$A$2:$A$501,0)),"CODE NOT FOUND"))</f>
        <v/>
      </c>
      <c r="E1699" s="7"/>
      <c r="F1699" s="13"/>
      <c r="G1699" s="13"/>
      <c r="H1699" s="17" t="str">
        <f aca="false">IF(OR(E1699="",F1699=""),"",E1699*F1699)</f>
        <v/>
      </c>
      <c r="I1699" s="17" t="str">
        <f aca="false">IF(OR(E1699="",G1699=""),"",E1699*G1699)</f>
        <v/>
      </c>
      <c r="J1699" s="17" t="str">
        <f aca="false">IF(H1699="","",H1699-I1699)</f>
        <v/>
      </c>
    </row>
    <row r="1700" customFormat="false" ht="15" hidden="false" customHeight="true" outlineLevel="0" collapsed="false">
      <c r="A1700" s="7"/>
      <c r="B1700" s="18" t="str">
        <f aca="false">IF(A1700="","",IFERROR(INDEX(Sales_Memo!$B$2:$B$1001,MATCH(A1700,Sales_Memo!$A$2:$A$1001,0)),""))</f>
        <v/>
      </c>
      <c r="C1700" s="7"/>
      <c r="D1700" s="16" t="str">
        <f aca="false">IF(C1700="","",IFERROR(INDEX(Products!$B$2:$B$501,MATCH(C1700,Products!$A$2:$A$501,0)),"CODE NOT FOUND"))</f>
        <v/>
      </c>
      <c r="E1700" s="7"/>
      <c r="F1700" s="13"/>
      <c r="G1700" s="13"/>
      <c r="H1700" s="17" t="str">
        <f aca="false">IF(OR(E1700="",F1700=""),"",E1700*F1700)</f>
        <v/>
      </c>
      <c r="I1700" s="17" t="str">
        <f aca="false">IF(OR(E1700="",G1700=""),"",E1700*G1700)</f>
        <v/>
      </c>
      <c r="J1700" s="17" t="str">
        <f aca="false">IF(H1700="","",H1700-I1700)</f>
        <v/>
      </c>
    </row>
    <row r="1701" customFormat="false" ht="15" hidden="false" customHeight="true" outlineLevel="0" collapsed="false">
      <c r="A1701" s="7"/>
      <c r="B1701" s="18" t="str">
        <f aca="false">IF(A1701="","",IFERROR(INDEX(Sales_Memo!$B$2:$B$1001,MATCH(A1701,Sales_Memo!$A$2:$A$1001,0)),""))</f>
        <v/>
      </c>
      <c r="C1701" s="7"/>
      <c r="D1701" s="16" t="str">
        <f aca="false">IF(C1701="","",IFERROR(INDEX(Products!$B$2:$B$501,MATCH(C1701,Products!$A$2:$A$501,0)),"CODE NOT FOUND"))</f>
        <v/>
      </c>
      <c r="E1701" s="7"/>
      <c r="F1701" s="13"/>
      <c r="G1701" s="13"/>
      <c r="H1701" s="17" t="str">
        <f aca="false">IF(OR(E1701="",F1701=""),"",E1701*F1701)</f>
        <v/>
      </c>
      <c r="I1701" s="17" t="str">
        <f aca="false">IF(OR(E1701="",G1701=""),"",E1701*G1701)</f>
        <v/>
      </c>
      <c r="J1701" s="17" t="str">
        <f aca="false">IF(H1701="","",H1701-I1701)</f>
        <v/>
      </c>
    </row>
    <row r="1702" customFormat="false" ht="15" hidden="false" customHeight="true" outlineLevel="0" collapsed="false">
      <c r="A1702" s="7"/>
      <c r="B1702" s="18" t="str">
        <f aca="false">IF(A1702="","",IFERROR(INDEX(Sales_Memo!$B$2:$B$1001,MATCH(A1702,Sales_Memo!$A$2:$A$1001,0)),""))</f>
        <v/>
      </c>
      <c r="C1702" s="7"/>
      <c r="D1702" s="16" t="str">
        <f aca="false">IF(C1702="","",IFERROR(INDEX(Products!$B$2:$B$501,MATCH(C1702,Products!$A$2:$A$501,0)),"CODE NOT FOUND"))</f>
        <v/>
      </c>
      <c r="E1702" s="7"/>
      <c r="F1702" s="13"/>
      <c r="G1702" s="13"/>
      <c r="H1702" s="17" t="str">
        <f aca="false">IF(OR(E1702="",F1702=""),"",E1702*F1702)</f>
        <v/>
      </c>
      <c r="I1702" s="17" t="str">
        <f aca="false">IF(OR(E1702="",G1702=""),"",E1702*G1702)</f>
        <v/>
      </c>
      <c r="J1702" s="17" t="str">
        <f aca="false">IF(H1702="","",H1702-I1702)</f>
        <v/>
      </c>
    </row>
    <row r="1703" customFormat="false" ht="15" hidden="false" customHeight="true" outlineLevel="0" collapsed="false">
      <c r="A1703" s="7"/>
      <c r="B1703" s="18" t="str">
        <f aca="false">IF(A1703="","",IFERROR(INDEX(Sales_Memo!$B$2:$B$1001,MATCH(A1703,Sales_Memo!$A$2:$A$1001,0)),""))</f>
        <v/>
      </c>
      <c r="C1703" s="7"/>
      <c r="D1703" s="16" t="str">
        <f aca="false">IF(C1703="","",IFERROR(INDEX(Products!$B$2:$B$501,MATCH(C1703,Products!$A$2:$A$501,0)),"CODE NOT FOUND"))</f>
        <v/>
      </c>
      <c r="E1703" s="7"/>
      <c r="F1703" s="13"/>
      <c r="G1703" s="13"/>
      <c r="H1703" s="17" t="str">
        <f aca="false">IF(OR(E1703="",F1703=""),"",E1703*F1703)</f>
        <v/>
      </c>
      <c r="I1703" s="17" t="str">
        <f aca="false">IF(OR(E1703="",G1703=""),"",E1703*G1703)</f>
        <v/>
      </c>
      <c r="J1703" s="17" t="str">
        <f aca="false">IF(H1703="","",H1703-I1703)</f>
        <v/>
      </c>
    </row>
    <row r="1704" customFormat="false" ht="15" hidden="false" customHeight="true" outlineLevel="0" collapsed="false">
      <c r="A1704" s="7"/>
      <c r="B1704" s="18" t="str">
        <f aca="false">IF(A1704="","",IFERROR(INDEX(Sales_Memo!$B$2:$B$1001,MATCH(A1704,Sales_Memo!$A$2:$A$1001,0)),""))</f>
        <v/>
      </c>
      <c r="C1704" s="7"/>
      <c r="D1704" s="16" t="str">
        <f aca="false">IF(C1704="","",IFERROR(INDEX(Products!$B$2:$B$501,MATCH(C1704,Products!$A$2:$A$501,0)),"CODE NOT FOUND"))</f>
        <v/>
      </c>
      <c r="E1704" s="7"/>
      <c r="F1704" s="13"/>
      <c r="G1704" s="13"/>
      <c r="H1704" s="17" t="str">
        <f aca="false">IF(OR(E1704="",F1704=""),"",E1704*F1704)</f>
        <v/>
      </c>
      <c r="I1704" s="17" t="str">
        <f aca="false">IF(OR(E1704="",G1704=""),"",E1704*G1704)</f>
        <v/>
      </c>
      <c r="J1704" s="17" t="str">
        <f aca="false">IF(H1704="","",H1704-I1704)</f>
        <v/>
      </c>
    </row>
    <row r="1705" customFormat="false" ht="15" hidden="false" customHeight="true" outlineLevel="0" collapsed="false">
      <c r="A1705" s="7"/>
      <c r="B1705" s="18" t="str">
        <f aca="false">IF(A1705="","",IFERROR(INDEX(Sales_Memo!$B$2:$B$1001,MATCH(A1705,Sales_Memo!$A$2:$A$1001,0)),""))</f>
        <v/>
      </c>
      <c r="C1705" s="7"/>
      <c r="D1705" s="16" t="str">
        <f aca="false">IF(C1705="","",IFERROR(INDEX(Products!$B$2:$B$501,MATCH(C1705,Products!$A$2:$A$501,0)),"CODE NOT FOUND"))</f>
        <v/>
      </c>
      <c r="E1705" s="7"/>
      <c r="F1705" s="13"/>
      <c r="G1705" s="13"/>
      <c r="H1705" s="17" t="str">
        <f aca="false">IF(OR(E1705="",F1705=""),"",E1705*F1705)</f>
        <v/>
      </c>
      <c r="I1705" s="17" t="str">
        <f aca="false">IF(OR(E1705="",G1705=""),"",E1705*G1705)</f>
        <v/>
      </c>
      <c r="J1705" s="17" t="str">
        <f aca="false">IF(H1705="","",H1705-I1705)</f>
        <v/>
      </c>
    </row>
    <row r="1706" customFormat="false" ht="15" hidden="false" customHeight="true" outlineLevel="0" collapsed="false">
      <c r="A1706" s="7"/>
      <c r="B1706" s="18" t="str">
        <f aca="false">IF(A1706="","",IFERROR(INDEX(Sales_Memo!$B$2:$B$1001,MATCH(A1706,Sales_Memo!$A$2:$A$1001,0)),""))</f>
        <v/>
      </c>
      <c r="C1706" s="7"/>
      <c r="D1706" s="16" t="str">
        <f aca="false">IF(C1706="","",IFERROR(INDEX(Products!$B$2:$B$501,MATCH(C1706,Products!$A$2:$A$501,0)),"CODE NOT FOUND"))</f>
        <v/>
      </c>
      <c r="E1706" s="7"/>
      <c r="F1706" s="13"/>
      <c r="G1706" s="13"/>
      <c r="H1706" s="17" t="str">
        <f aca="false">IF(OR(E1706="",F1706=""),"",E1706*F1706)</f>
        <v/>
      </c>
      <c r="I1706" s="17" t="str">
        <f aca="false">IF(OR(E1706="",G1706=""),"",E1706*G1706)</f>
        <v/>
      </c>
      <c r="J1706" s="17" t="str">
        <f aca="false">IF(H1706="","",H1706-I1706)</f>
        <v/>
      </c>
    </row>
    <row r="1707" customFormat="false" ht="15" hidden="false" customHeight="true" outlineLevel="0" collapsed="false">
      <c r="A1707" s="7"/>
      <c r="B1707" s="18" t="str">
        <f aca="false">IF(A1707="","",IFERROR(INDEX(Sales_Memo!$B$2:$B$1001,MATCH(A1707,Sales_Memo!$A$2:$A$1001,0)),""))</f>
        <v/>
      </c>
      <c r="C1707" s="7"/>
      <c r="D1707" s="16" t="str">
        <f aca="false">IF(C1707="","",IFERROR(INDEX(Products!$B$2:$B$501,MATCH(C1707,Products!$A$2:$A$501,0)),"CODE NOT FOUND"))</f>
        <v/>
      </c>
      <c r="E1707" s="7"/>
      <c r="F1707" s="13"/>
      <c r="G1707" s="13"/>
      <c r="H1707" s="17" t="str">
        <f aca="false">IF(OR(E1707="",F1707=""),"",E1707*F1707)</f>
        <v/>
      </c>
      <c r="I1707" s="17" t="str">
        <f aca="false">IF(OR(E1707="",G1707=""),"",E1707*G1707)</f>
        <v/>
      </c>
      <c r="J1707" s="17" t="str">
        <f aca="false">IF(H1707="","",H1707-I1707)</f>
        <v/>
      </c>
    </row>
    <row r="1708" customFormat="false" ht="15" hidden="false" customHeight="true" outlineLevel="0" collapsed="false">
      <c r="A1708" s="7"/>
      <c r="B1708" s="18" t="str">
        <f aca="false">IF(A1708="","",IFERROR(INDEX(Sales_Memo!$B$2:$B$1001,MATCH(A1708,Sales_Memo!$A$2:$A$1001,0)),""))</f>
        <v/>
      </c>
      <c r="C1708" s="7"/>
      <c r="D1708" s="16" t="str">
        <f aca="false">IF(C1708="","",IFERROR(INDEX(Products!$B$2:$B$501,MATCH(C1708,Products!$A$2:$A$501,0)),"CODE NOT FOUND"))</f>
        <v/>
      </c>
      <c r="E1708" s="7"/>
      <c r="F1708" s="13"/>
      <c r="G1708" s="13"/>
      <c r="H1708" s="17" t="str">
        <f aca="false">IF(OR(E1708="",F1708=""),"",E1708*F1708)</f>
        <v/>
      </c>
      <c r="I1708" s="17" t="str">
        <f aca="false">IF(OR(E1708="",G1708=""),"",E1708*G1708)</f>
        <v/>
      </c>
      <c r="J1708" s="17" t="str">
        <f aca="false">IF(H1708="","",H1708-I1708)</f>
        <v/>
      </c>
    </row>
    <row r="1709" customFormat="false" ht="15" hidden="false" customHeight="true" outlineLevel="0" collapsed="false">
      <c r="A1709" s="7"/>
      <c r="B1709" s="18" t="str">
        <f aca="false">IF(A1709="","",IFERROR(INDEX(Sales_Memo!$B$2:$B$1001,MATCH(A1709,Sales_Memo!$A$2:$A$1001,0)),""))</f>
        <v/>
      </c>
      <c r="C1709" s="7"/>
      <c r="D1709" s="16" t="str">
        <f aca="false">IF(C1709="","",IFERROR(INDEX(Products!$B$2:$B$501,MATCH(C1709,Products!$A$2:$A$501,0)),"CODE NOT FOUND"))</f>
        <v/>
      </c>
      <c r="E1709" s="7"/>
      <c r="F1709" s="13"/>
      <c r="G1709" s="13"/>
      <c r="H1709" s="17" t="str">
        <f aca="false">IF(OR(E1709="",F1709=""),"",E1709*F1709)</f>
        <v/>
      </c>
      <c r="I1709" s="17" t="str">
        <f aca="false">IF(OR(E1709="",G1709=""),"",E1709*G1709)</f>
        <v/>
      </c>
      <c r="J1709" s="17" t="str">
        <f aca="false">IF(H1709="","",H1709-I1709)</f>
        <v/>
      </c>
    </row>
    <row r="1710" customFormat="false" ht="15" hidden="false" customHeight="true" outlineLevel="0" collapsed="false">
      <c r="A1710" s="7"/>
      <c r="B1710" s="18" t="str">
        <f aca="false">IF(A1710="","",IFERROR(INDEX(Sales_Memo!$B$2:$B$1001,MATCH(A1710,Sales_Memo!$A$2:$A$1001,0)),""))</f>
        <v/>
      </c>
      <c r="C1710" s="7"/>
      <c r="D1710" s="16" t="str">
        <f aca="false">IF(C1710="","",IFERROR(INDEX(Products!$B$2:$B$501,MATCH(C1710,Products!$A$2:$A$501,0)),"CODE NOT FOUND"))</f>
        <v/>
      </c>
      <c r="E1710" s="7"/>
      <c r="F1710" s="13"/>
      <c r="G1710" s="13"/>
      <c r="H1710" s="17" t="str">
        <f aca="false">IF(OR(E1710="",F1710=""),"",E1710*F1710)</f>
        <v/>
      </c>
      <c r="I1710" s="17" t="str">
        <f aca="false">IF(OR(E1710="",G1710=""),"",E1710*G1710)</f>
        <v/>
      </c>
      <c r="J1710" s="17" t="str">
        <f aca="false">IF(H1710="","",H1710-I1710)</f>
        <v/>
      </c>
    </row>
    <row r="1711" customFormat="false" ht="15" hidden="false" customHeight="true" outlineLevel="0" collapsed="false">
      <c r="A1711" s="7"/>
      <c r="B1711" s="18" t="str">
        <f aca="false">IF(A1711="","",IFERROR(INDEX(Sales_Memo!$B$2:$B$1001,MATCH(A1711,Sales_Memo!$A$2:$A$1001,0)),""))</f>
        <v/>
      </c>
      <c r="C1711" s="7"/>
      <c r="D1711" s="16" t="str">
        <f aca="false">IF(C1711="","",IFERROR(INDEX(Products!$B$2:$B$501,MATCH(C1711,Products!$A$2:$A$501,0)),"CODE NOT FOUND"))</f>
        <v/>
      </c>
      <c r="E1711" s="7"/>
      <c r="F1711" s="13"/>
      <c r="G1711" s="13"/>
      <c r="H1711" s="17" t="str">
        <f aca="false">IF(OR(E1711="",F1711=""),"",E1711*F1711)</f>
        <v/>
      </c>
      <c r="I1711" s="17" t="str">
        <f aca="false">IF(OR(E1711="",G1711=""),"",E1711*G1711)</f>
        <v/>
      </c>
      <c r="J1711" s="17" t="str">
        <f aca="false">IF(H1711="","",H1711-I1711)</f>
        <v/>
      </c>
    </row>
    <row r="1712" customFormat="false" ht="15" hidden="false" customHeight="true" outlineLevel="0" collapsed="false">
      <c r="A1712" s="7"/>
      <c r="B1712" s="18" t="str">
        <f aca="false">IF(A1712="","",IFERROR(INDEX(Sales_Memo!$B$2:$B$1001,MATCH(A1712,Sales_Memo!$A$2:$A$1001,0)),""))</f>
        <v/>
      </c>
      <c r="C1712" s="7"/>
      <c r="D1712" s="16" t="str">
        <f aca="false">IF(C1712="","",IFERROR(INDEX(Products!$B$2:$B$501,MATCH(C1712,Products!$A$2:$A$501,0)),"CODE NOT FOUND"))</f>
        <v/>
      </c>
      <c r="E1712" s="7"/>
      <c r="F1712" s="13"/>
      <c r="G1712" s="13"/>
      <c r="H1712" s="17" t="str">
        <f aca="false">IF(OR(E1712="",F1712=""),"",E1712*F1712)</f>
        <v/>
      </c>
      <c r="I1712" s="17" t="str">
        <f aca="false">IF(OR(E1712="",G1712=""),"",E1712*G1712)</f>
        <v/>
      </c>
      <c r="J1712" s="17" t="str">
        <f aca="false">IF(H1712="","",H1712-I1712)</f>
        <v/>
      </c>
    </row>
    <row r="1713" customFormat="false" ht="15" hidden="false" customHeight="true" outlineLevel="0" collapsed="false">
      <c r="A1713" s="7"/>
      <c r="B1713" s="18" t="str">
        <f aca="false">IF(A1713="","",IFERROR(INDEX(Sales_Memo!$B$2:$B$1001,MATCH(A1713,Sales_Memo!$A$2:$A$1001,0)),""))</f>
        <v/>
      </c>
      <c r="C1713" s="7"/>
      <c r="D1713" s="16" t="str">
        <f aca="false">IF(C1713="","",IFERROR(INDEX(Products!$B$2:$B$501,MATCH(C1713,Products!$A$2:$A$501,0)),"CODE NOT FOUND"))</f>
        <v/>
      </c>
      <c r="E1713" s="7"/>
      <c r="F1713" s="13"/>
      <c r="G1713" s="13"/>
      <c r="H1713" s="17" t="str">
        <f aca="false">IF(OR(E1713="",F1713=""),"",E1713*F1713)</f>
        <v/>
      </c>
      <c r="I1713" s="17" t="str">
        <f aca="false">IF(OR(E1713="",G1713=""),"",E1713*G1713)</f>
        <v/>
      </c>
      <c r="J1713" s="17" t="str">
        <f aca="false">IF(H1713="","",H1713-I1713)</f>
        <v/>
      </c>
    </row>
    <row r="1714" customFormat="false" ht="15" hidden="false" customHeight="true" outlineLevel="0" collapsed="false">
      <c r="A1714" s="7"/>
      <c r="B1714" s="18" t="str">
        <f aca="false">IF(A1714="","",IFERROR(INDEX(Sales_Memo!$B$2:$B$1001,MATCH(A1714,Sales_Memo!$A$2:$A$1001,0)),""))</f>
        <v/>
      </c>
      <c r="C1714" s="7"/>
      <c r="D1714" s="16" t="str">
        <f aca="false">IF(C1714="","",IFERROR(INDEX(Products!$B$2:$B$501,MATCH(C1714,Products!$A$2:$A$501,0)),"CODE NOT FOUND"))</f>
        <v/>
      </c>
      <c r="E1714" s="7"/>
      <c r="F1714" s="13"/>
      <c r="G1714" s="13"/>
      <c r="H1714" s="17" t="str">
        <f aca="false">IF(OR(E1714="",F1714=""),"",E1714*F1714)</f>
        <v/>
      </c>
      <c r="I1714" s="17" t="str">
        <f aca="false">IF(OR(E1714="",G1714=""),"",E1714*G1714)</f>
        <v/>
      </c>
      <c r="J1714" s="17" t="str">
        <f aca="false">IF(H1714="","",H1714-I1714)</f>
        <v/>
      </c>
    </row>
    <row r="1715" customFormat="false" ht="15" hidden="false" customHeight="true" outlineLevel="0" collapsed="false">
      <c r="A1715" s="7"/>
      <c r="B1715" s="18" t="str">
        <f aca="false">IF(A1715="","",IFERROR(INDEX(Sales_Memo!$B$2:$B$1001,MATCH(A1715,Sales_Memo!$A$2:$A$1001,0)),""))</f>
        <v/>
      </c>
      <c r="C1715" s="7"/>
      <c r="D1715" s="16" t="str">
        <f aca="false">IF(C1715="","",IFERROR(INDEX(Products!$B$2:$B$501,MATCH(C1715,Products!$A$2:$A$501,0)),"CODE NOT FOUND"))</f>
        <v/>
      </c>
      <c r="E1715" s="7"/>
      <c r="F1715" s="13"/>
      <c r="G1715" s="13"/>
      <c r="H1715" s="17" t="str">
        <f aca="false">IF(OR(E1715="",F1715=""),"",E1715*F1715)</f>
        <v/>
      </c>
      <c r="I1715" s="17" t="str">
        <f aca="false">IF(OR(E1715="",G1715=""),"",E1715*G1715)</f>
        <v/>
      </c>
      <c r="J1715" s="17" t="str">
        <f aca="false">IF(H1715="","",H1715-I1715)</f>
        <v/>
      </c>
    </row>
    <row r="1716" customFormat="false" ht="15" hidden="false" customHeight="true" outlineLevel="0" collapsed="false">
      <c r="A1716" s="7"/>
      <c r="B1716" s="18" t="str">
        <f aca="false">IF(A1716="","",IFERROR(INDEX(Sales_Memo!$B$2:$B$1001,MATCH(A1716,Sales_Memo!$A$2:$A$1001,0)),""))</f>
        <v/>
      </c>
      <c r="C1716" s="7"/>
      <c r="D1716" s="16" t="str">
        <f aca="false">IF(C1716="","",IFERROR(INDEX(Products!$B$2:$B$501,MATCH(C1716,Products!$A$2:$A$501,0)),"CODE NOT FOUND"))</f>
        <v/>
      </c>
      <c r="E1716" s="7"/>
      <c r="F1716" s="13"/>
      <c r="G1716" s="13"/>
      <c r="H1716" s="17" t="str">
        <f aca="false">IF(OR(E1716="",F1716=""),"",E1716*F1716)</f>
        <v/>
      </c>
      <c r="I1716" s="17" t="str">
        <f aca="false">IF(OR(E1716="",G1716=""),"",E1716*G1716)</f>
        <v/>
      </c>
      <c r="J1716" s="17" t="str">
        <f aca="false">IF(H1716="","",H1716-I1716)</f>
        <v/>
      </c>
    </row>
    <row r="1717" customFormat="false" ht="15" hidden="false" customHeight="true" outlineLevel="0" collapsed="false">
      <c r="A1717" s="7"/>
      <c r="B1717" s="18" t="str">
        <f aca="false">IF(A1717="","",IFERROR(INDEX(Sales_Memo!$B$2:$B$1001,MATCH(A1717,Sales_Memo!$A$2:$A$1001,0)),""))</f>
        <v/>
      </c>
      <c r="C1717" s="7"/>
      <c r="D1717" s="16" t="str">
        <f aca="false">IF(C1717="","",IFERROR(INDEX(Products!$B$2:$B$501,MATCH(C1717,Products!$A$2:$A$501,0)),"CODE NOT FOUND"))</f>
        <v/>
      </c>
      <c r="E1717" s="7"/>
      <c r="F1717" s="13"/>
      <c r="G1717" s="13"/>
      <c r="H1717" s="17" t="str">
        <f aca="false">IF(OR(E1717="",F1717=""),"",E1717*F1717)</f>
        <v/>
      </c>
      <c r="I1717" s="17" t="str">
        <f aca="false">IF(OR(E1717="",G1717=""),"",E1717*G1717)</f>
        <v/>
      </c>
      <c r="J1717" s="17" t="str">
        <f aca="false">IF(H1717="","",H1717-I1717)</f>
        <v/>
      </c>
    </row>
    <row r="1718" customFormat="false" ht="15" hidden="false" customHeight="true" outlineLevel="0" collapsed="false">
      <c r="A1718" s="7"/>
      <c r="B1718" s="18" t="str">
        <f aca="false">IF(A1718="","",IFERROR(INDEX(Sales_Memo!$B$2:$B$1001,MATCH(A1718,Sales_Memo!$A$2:$A$1001,0)),""))</f>
        <v/>
      </c>
      <c r="C1718" s="7"/>
      <c r="D1718" s="16" t="str">
        <f aca="false">IF(C1718="","",IFERROR(INDEX(Products!$B$2:$B$501,MATCH(C1718,Products!$A$2:$A$501,0)),"CODE NOT FOUND"))</f>
        <v/>
      </c>
      <c r="E1718" s="7"/>
      <c r="F1718" s="13"/>
      <c r="G1718" s="13"/>
      <c r="H1718" s="17" t="str">
        <f aca="false">IF(OR(E1718="",F1718=""),"",E1718*F1718)</f>
        <v/>
      </c>
      <c r="I1718" s="17" t="str">
        <f aca="false">IF(OR(E1718="",G1718=""),"",E1718*G1718)</f>
        <v/>
      </c>
      <c r="J1718" s="17" t="str">
        <f aca="false">IF(H1718="","",H1718-I1718)</f>
        <v/>
      </c>
    </row>
    <row r="1719" customFormat="false" ht="15" hidden="false" customHeight="true" outlineLevel="0" collapsed="false">
      <c r="A1719" s="7"/>
      <c r="B1719" s="18" t="str">
        <f aca="false">IF(A1719="","",IFERROR(INDEX(Sales_Memo!$B$2:$B$1001,MATCH(A1719,Sales_Memo!$A$2:$A$1001,0)),""))</f>
        <v/>
      </c>
      <c r="C1719" s="7"/>
      <c r="D1719" s="16" t="str">
        <f aca="false">IF(C1719="","",IFERROR(INDEX(Products!$B$2:$B$501,MATCH(C1719,Products!$A$2:$A$501,0)),"CODE NOT FOUND"))</f>
        <v/>
      </c>
      <c r="E1719" s="7"/>
      <c r="F1719" s="13"/>
      <c r="G1719" s="13"/>
      <c r="H1719" s="17" t="str">
        <f aca="false">IF(OR(E1719="",F1719=""),"",E1719*F1719)</f>
        <v/>
      </c>
      <c r="I1719" s="17" t="str">
        <f aca="false">IF(OR(E1719="",G1719=""),"",E1719*G1719)</f>
        <v/>
      </c>
      <c r="J1719" s="17" t="str">
        <f aca="false">IF(H1719="","",H1719-I1719)</f>
        <v/>
      </c>
    </row>
    <row r="1720" customFormat="false" ht="15" hidden="false" customHeight="true" outlineLevel="0" collapsed="false">
      <c r="A1720" s="7"/>
      <c r="B1720" s="18" t="str">
        <f aca="false">IF(A1720="","",IFERROR(INDEX(Sales_Memo!$B$2:$B$1001,MATCH(A1720,Sales_Memo!$A$2:$A$1001,0)),""))</f>
        <v/>
      </c>
      <c r="C1720" s="7"/>
      <c r="D1720" s="16" t="str">
        <f aca="false">IF(C1720="","",IFERROR(INDEX(Products!$B$2:$B$501,MATCH(C1720,Products!$A$2:$A$501,0)),"CODE NOT FOUND"))</f>
        <v/>
      </c>
      <c r="E1720" s="7"/>
      <c r="F1720" s="13"/>
      <c r="G1720" s="13"/>
      <c r="H1720" s="17" t="str">
        <f aca="false">IF(OR(E1720="",F1720=""),"",E1720*F1720)</f>
        <v/>
      </c>
      <c r="I1720" s="17" t="str">
        <f aca="false">IF(OR(E1720="",G1720=""),"",E1720*G1720)</f>
        <v/>
      </c>
      <c r="J1720" s="17" t="str">
        <f aca="false">IF(H1720="","",H1720-I1720)</f>
        <v/>
      </c>
    </row>
    <row r="1721" customFormat="false" ht="15" hidden="false" customHeight="true" outlineLevel="0" collapsed="false">
      <c r="A1721" s="7"/>
      <c r="B1721" s="18" t="str">
        <f aca="false">IF(A1721="","",IFERROR(INDEX(Sales_Memo!$B$2:$B$1001,MATCH(A1721,Sales_Memo!$A$2:$A$1001,0)),""))</f>
        <v/>
      </c>
      <c r="C1721" s="7"/>
      <c r="D1721" s="16" t="str">
        <f aca="false">IF(C1721="","",IFERROR(INDEX(Products!$B$2:$B$501,MATCH(C1721,Products!$A$2:$A$501,0)),"CODE NOT FOUND"))</f>
        <v/>
      </c>
      <c r="E1721" s="7"/>
      <c r="F1721" s="13"/>
      <c r="G1721" s="13"/>
      <c r="H1721" s="17" t="str">
        <f aca="false">IF(OR(E1721="",F1721=""),"",E1721*F1721)</f>
        <v/>
      </c>
      <c r="I1721" s="17" t="str">
        <f aca="false">IF(OR(E1721="",G1721=""),"",E1721*G1721)</f>
        <v/>
      </c>
      <c r="J1721" s="17" t="str">
        <f aca="false">IF(H1721="","",H1721-I1721)</f>
        <v/>
      </c>
    </row>
    <row r="1722" customFormat="false" ht="15" hidden="false" customHeight="true" outlineLevel="0" collapsed="false">
      <c r="A1722" s="7"/>
      <c r="B1722" s="18" t="str">
        <f aca="false">IF(A1722="","",IFERROR(INDEX(Sales_Memo!$B$2:$B$1001,MATCH(A1722,Sales_Memo!$A$2:$A$1001,0)),""))</f>
        <v/>
      </c>
      <c r="C1722" s="7"/>
      <c r="D1722" s="16" t="str">
        <f aca="false">IF(C1722="","",IFERROR(INDEX(Products!$B$2:$B$501,MATCH(C1722,Products!$A$2:$A$501,0)),"CODE NOT FOUND"))</f>
        <v/>
      </c>
      <c r="E1722" s="7"/>
      <c r="F1722" s="13"/>
      <c r="G1722" s="13"/>
      <c r="H1722" s="17" t="str">
        <f aca="false">IF(OR(E1722="",F1722=""),"",E1722*F1722)</f>
        <v/>
      </c>
      <c r="I1722" s="17" t="str">
        <f aca="false">IF(OR(E1722="",G1722=""),"",E1722*G1722)</f>
        <v/>
      </c>
      <c r="J1722" s="17" t="str">
        <f aca="false">IF(H1722="","",H1722-I1722)</f>
        <v/>
      </c>
    </row>
    <row r="1723" customFormat="false" ht="15" hidden="false" customHeight="true" outlineLevel="0" collapsed="false">
      <c r="A1723" s="7"/>
      <c r="B1723" s="18" t="str">
        <f aca="false">IF(A1723="","",IFERROR(INDEX(Sales_Memo!$B$2:$B$1001,MATCH(A1723,Sales_Memo!$A$2:$A$1001,0)),""))</f>
        <v/>
      </c>
      <c r="C1723" s="7"/>
      <c r="D1723" s="16" t="str">
        <f aca="false">IF(C1723="","",IFERROR(INDEX(Products!$B$2:$B$501,MATCH(C1723,Products!$A$2:$A$501,0)),"CODE NOT FOUND"))</f>
        <v/>
      </c>
      <c r="E1723" s="7"/>
      <c r="F1723" s="13"/>
      <c r="G1723" s="13"/>
      <c r="H1723" s="17" t="str">
        <f aca="false">IF(OR(E1723="",F1723=""),"",E1723*F1723)</f>
        <v/>
      </c>
      <c r="I1723" s="17" t="str">
        <f aca="false">IF(OR(E1723="",G1723=""),"",E1723*G1723)</f>
        <v/>
      </c>
      <c r="J1723" s="17" t="str">
        <f aca="false">IF(H1723="","",H1723-I1723)</f>
        <v/>
      </c>
    </row>
    <row r="1724" customFormat="false" ht="15" hidden="false" customHeight="true" outlineLevel="0" collapsed="false">
      <c r="A1724" s="7"/>
      <c r="B1724" s="18" t="str">
        <f aca="false">IF(A1724="","",IFERROR(INDEX(Sales_Memo!$B$2:$B$1001,MATCH(A1724,Sales_Memo!$A$2:$A$1001,0)),""))</f>
        <v/>
      </c>
      <c r="C1724" s="7"/>
      <c r="D1724" s="16" t="str">
        <f aca="false">IF(C1724="","",IFERROR(INDEX(Products!$B$2:$B$501,MATCH(C1724,Products!$A$2:$A$501,0)),"CODE NOT FOUND"))</f>
        <v/>
      </c>
      <c r="E1724" s="7"/>
      <c r="F1724" s="13"/>
      <c r="G1724" s="13"/>
      <c r="H1724" s="17" t="str">
        <f aca="false">IF(OR(E1724="",F1724=""),"",E1724*F1724)</f>
        <v/>
      </c>
      <c r="I1724" s="17" t="str">
        <f aca="false">IF(OR(E1724="",G1724=""),"",E1724*G1724)</f>
        <v/>
      </c>
      <c r="J1724" s="17" t="str">
        <f aca="false">IF(H1724="","",H1724-I1724)</f>
        <v/>
      </c>
    </row>
    <row r="1725" customFormat="false" ht="15" hidden="false" customHeight="true" outlineLevel="0" collapsed="false">
      <c r="A1725" s="7"/>
      <c r="B1725" s="18" t="str">
        <f aca="false">IF(A1725="","",IFERROR(INDEX(Sales_Memo!$B$2:$B$1001,MATCH(A1725,Sales_Memo!$A$2:$A$1001,0)),""))</f>
        <v/>
      </c>
      <c r="C1725" s="7"/>
      <c r="D1725" s="16" t="str">
        <f aca="false">IF(C1725="","",IFERROR(INDEX(Products!$B$2:$B$501,MATCH(C1725,Products!$A$2:$A$501,0)),"CODE NOT FOUND"))</f>
        <v/>
      </c>
      <c r="E1725" s="7"/>
      <c r="F1725" s="13"/>
      <c r="G1725" s="13"/>
      <c r="H1725" s="17" t="str">
        <f aca="false">IF(OR(E1725="",F1725=""),"",E1725*F1725)</f>
        <v/>
      </c>
      <c r="I1725" s="17" t="str">
        <f aca="false">IF(OR(E1725="",G1725=""),"",E1725*G1725)</f>
        <v/>
      </c>
      <c r="J1725" s="17" t="str">
        <f aca="false">IF(H1725="","",H1725-I1725)</f>
        <v/>
      </c>
    </row>
    <row r="1726" customFormat="false" ht="15" hidden="false" customHeight="true" outlineLevel="0" collapsed="false">
      <c r="A1726" s="7"/>
      <c r="B1726" s="18" t="str">
        <f aca="false">IF(A1726="","",IFERROR(INDEX(Sales_Memo!$B$2:$B$1001,MATCH(A1726,Sales_Memo!$A$2:$A$1001,0)),""))</f>
        <v/>
      </c>
      <c r="C1726" s="7"/>
      <c r="D1726" s="16" t="str">
        <f aca="false">IF(C1726="","",IFERROR(INDEX(Products!$B$2:$B$501,MATCH(C1726,Products!$A$2:$A$501,0)),"CODE NOT FOUND"))</f>
        <v/>
      </c>
      <c r="E1726" s="7"/>
      <c r="F1726" s="13"/>
      <c r="G1726" s="13"/>
      <c r="H1726" s="17" t="str">
        <f aca="false">IF(OR(E1726="",F1726=""),"",E1726*F1726)</f>
        <v/>
      </c>
      <c r="I1726" s="17" t="str">
        <f aca="false">IF(OR(E1726="",G1726=""),"",E1726*G1726)</f>
        <v/>
      </c>
      <c r="J1726" s="17" t="str">
        <f aca="false">IF(H1726="","",H1726-I1726)</f>
        <v/>
      </c>
    </row>
    <row r="1727" customFormat="false" ht="15" hidden="false" customHeight="true" outlineLevel="0" collapsed="false">
      <c r="A1727" s="7"/>
      <c r="B1727" s="18" t="str">
        <f aca="false">IF(A1727="","",IFERROR(INDEX(Sales_Memo!$B$2:$B$1001,MATCH(A1727,Sales_Memo!$A$2:$A$1001,0)),""))</f>
        <v/>
      </c>
      <c r="C1727" s="7"/>
      <c r="D1727" s="16" t="str">
        <f aca="false">IF(C1727="","",IFERROR(INDEX(Products!$B$2:$B$501,MATCH(C1727,Products!$A$2:$A$501,0)),"CODE NOT FOUND"))</f>
        <v/>
      </c>
      <c r="E1727" s="7"/>
      <c r="F1727" s="13"/>
      <c r="G1727" s="13"/>
      <c r="H1727" s="17" t="str">
        <f aca="false">IF(OR(E1727="",F1727=""),"",E1727*F1727)</f>
        <v/>
      </c>
      <c r="I1727" s="17" t="str">
        <f aca="false">IF(OR(E1727="",G1727=""),"",E1727*G1727)</f>
        <v/>
      </c>
      <c r="J1727" s="17" t="str">
        <f aca="false">IF(H1727="","",H1727-I1727)</f>
        <v/>
      </c>
    </row>
    <row r="1728" customFormat="false" ht="15" hidden="false" customHeight="true" outlineLevel="0" collapsed="false">
      <c r="A1728" s="7"/>
      <c r="B1728" s="18" t="str">
        <f aca="false">IF(A1728="","",IFERROR(INDEX(Sales_Memo!$B$2:$B$1001,MATCH(A1728,Sales_Memo!$A$2:$A$1001,0)),""))</f>
        <v/>
      </c>
      <c r="C1728" s="7"/>
      <c r="D1728" s="16" t="str">
        <f aca="false">IF(C1728="","",IFERROR(INDEX(Products!$B$2:$B$501,MATCH(C1728,Products!$A$2:$A$501,0)),"CODE NOT FOUND"))</f>
        <v/>
      </c>
      <c r="E1728" s="7"/>
      <c r="F1728" s="13"/>
      <c r="G1728" s="13"/>
      <c r="H1728" s="17" t="str">
        <f aca="false">IF(OR(E1728="",F1728=""),"",E1728*F1728)</f>
        <v/>
      </c>
      <c r="I1728" s="17" t="str">
        <f aca="false">IF(OR(E1728="",G1728=""),"",E1728*G1728)</f>
        <v/>
      </c>
      <c r="J1728" s="17" t="str">
        <f aca="false">IF(H1728="","",H1728-I1728)</f>
        <v/>
      </c>
    </row>
    <row r="1729" customFormat="false" ht="15" hidden="false" customHeight="true" outlineLevel="0" collapsed="false">
      <c r="A1729" s="7"/>
      <c r="B1729" s="18" t="str">
        <f aca="false">IF(A1729="","",IFERROR(INDEX(Sales_Memo!$B$2:$B$1001,MATCH(A1729,Sales_Memo!$A$2:$A$1001,0)),""))</f>
        <v/>
      </c>
      <c r="C1729" s="7"/>
      <c r="D1729" s="16" t="str">
        <f aca="false">IF(C1729="","",IFERROR(INDEX(Products!$B$2:$B$501,MATCH(C1729,Products!$A$2:$A$501,0)),"CODE NOT FOUND"))</f>
        <v/>
      </c>
      <c r="E1729" s="7"/>
      <c r="F1729" s="13"/>
      <c r="G1729" s="13"/>
      <c r="H1729" s="17" t="str">
        <f aca="false">IF(OR(E1729="",F1729=""),"",E1729*F1729)</f>
        <v/>
      </c>
      <c r="I1729" s="17" t="str">
        <f aca="false">IF(OR(E1729="",G1729=""),"",E1729*G1729)</f>
        <v/>
      </c>
      <c r="J1729" s="17" t="str">
        <f aca="false">IF(H1729="","",H1729-I1729)</f>
        <v/>
      </c>
    </row>
    <row r="1730" customFormat="false" ht="15" hidden="false" customHeight="true" outlineLevel="0" collapsed="false">
      <c r="A1730" s="7"/>
      <c r="B1730" s="18" t="str">
        <f aca="false">IF(A1730="","",IFERROR(INDEX(Sales_Memo!$B$2:$B$1001,MATCH(A1730,Sales_Memo!$A$2:$A$1001,0)),""))</f>
        <v/>
      </c>
      <c r="C1730" s="7"/>
      <c r="D1730" s="16" t="str">
        <f aca="false">IF(C1730="","",IFERROR(INDEX(Products!$B$2:$B$501,MATCH(C1730,Products!$A$2:$A$501,0)),"CODE NOT FOUND"))</f>
        <v/>
      </c>
      <c r="E1730" s="7"/>
      <c r="F1730" s="13"/>
      <c r="G1730" s="13"/>
      <c r="H1730" s="17" t="str">
        <f aca="false">IF(OR(E1730="",F1730=""),"",E1730*F1730)</f>
        <v/>
      </c>
      <c r="I1730" s="17" t="str">
        <f aca="false">IF(OR(E1730="",G1730=""),"",E1730*G1730)</f>
        <v/>
      </c>
      <c r="J1730" s="17" t="str">
        <f aca="false">IF(H1730="","",H1730-I1730)</f>
        <v/>
      </c>
    </row>
    <row r="1731" customFormat="false" ht="15" hidden="false" customHeight="true" outlineLevel="0" collapsed="false">
      <c r="A1731" s="7"/>
      <c r="B1731" s="18" t="str">
        <f aca="false">IF(A1731="","",IFERROR(INDEX(Sales_Memo!$B$2:$B$1001,MATCH(A1731,Sales_Memo!$A$2:$A$1001,0)),""))</f>
        <v/>
      </c>
      <c r="C1731" s="7"/>
      <c r="D1731" s="16" t="str">
        <f aca="false">IF(C1731="","",IFERROR(INDEX(Products!$B$2:$B$501,MATCH(C1731,Products!$A$2:$A$501,0)),"CODE NOT FOUND"))</f>
        <v/>
      </c>
      <c r="E1731" s="7"/>
      <c r="F1731" s="13"/>
      <c r="G1731" s="13"/>
      <c r="H1731" s="17" t="str">
        <f aca="false">IF(OR(E1731="",F1731=""),"",E1731*F1731)</f>
        <v/>
      </c>
      <c r="I1731" s="17" t="str">
        <f aca="false">IF(OR(E1731="",G1731=""),"",E1731*G1731)</f>
        <v/>
      </c>
      <c r="J1731" s="17" t="str">
        <f aca="false">IF(H1731="","",H1731-I1731)</f>
        <v/>
      </c>
    </row>
    <row r="1732" customFormat="false" ht="15" hidden="false" customHeight="true" outlineLevel="0" collapsed="false">
      <c r="A1732" s="7"/>
      <c r="B1732" s="18" t="str">
        <f aca="false">IF(A1732="","",IFERROR(INDEX(Sales_Memo!$B$2:$B$1001,MATCH(A1732,Sales_Memo!$A$2:$A$1001,0)),""))</f>
        <v/>
      </c>
      <c r="C1732" s="7"/>
      <c r="D1732" s="16" t="str">
        <f aca="false">IF(C1732="","",IFERROR(INDEX(Products!$B$2:$B$501,MATCH(C1732,Products!$A$2:$A$501,0)),"CODE NOT FOUND"))</f>
        <v/>
      </c>
      <c r="E1732" s="7"/>
      <c r="F1732" s="13"/>
      <c r="G1732" s="13"/>
      <c r="H1732" s="17" t="str">
        <f aca="false">IF(OR(E1732="",F1732=""),"",E1732*F1732)</f>
        <v/>
      </c>
      <c r="I1732" s="17" t="str">
        <f aca="false">IF(OR(E1732="",G1732=""),"",E1732*G1732)</f>
        <v/>
      </c>
      <c r="J1732" s="17" t="str">
        <f aca="false">IF(H1732="","",H1732-I1732)</f>
        <v/>
      </c>
    </row>
    <row r="1733" customFormat="false" ht="15" hidden="false" customHeight="true" outlineLevel="0" collapsed="false">
      <c r="A1733" s="7"/>
      <c r="B1733" s="18" t="str">
        <f aca="false">IF(A1733="","",IFERROR(INDEX(Sales_Memo!$B$2:$B$1001,MATCH(A1733,Sales_Memo!$A$2:$A$1001,0)),""))</f>
        <v/>
      </c>
      <c r="C1733" s="7"/>
      <c r="D1733" s="16" t="str">
        <f aca="false">IF(C1733="","",IFERROR(INDEX(Products!$B$2:$B$501,MATCH(C1733,Products!$A$2:$A$501,0)),"CODE NOT FOUND"))</f>
        <v/>
      </c>
      <c r="E1733" s="7"/>
      <c r="F1733" s="13"/>
      <c r="G1733" s="13"/>
      <c r="H1733" s="17" t="str">
        <f aca="false">IF(OR(E1733="",F1733=""),"",E1733*F1733)</f>
        <v/>
      </c>
      <c r="I1733" s="17" t="str">
        <f aca="false">IF(OR(E1733="",G1733=""),"",E1733*G1733)</f>
        <v/>
      </c>
      <c r="J1733" s="17" t="str">
        <f aca="false">IF(H1733="","",H1733-I1733)</f>
        <v/>
      </c>
    </row>
    <row r="1734" customFormat="false" ht="15" hidden="false" customHeight="true" outlineLevel="0" collapsed="false">
      <c r="A1734" s="7"/>
      <c r="B1734" s="18" t="str">
        <f aca="false">IF(A1734="","",IFERROR(INDEX(Sales_Memo!$B$2:$B$1001,MATCH(A1734,Sales_Memo!$A$2:$A$1001,0)),""))</f>
        <v/>
      </c>
      <c r="C1734" s="7"/>
      <c r="D1734" s="16" t="str">
        <f aca="false">IF(C1734="","",IFERROR(INDEX(Products!$B$2:$B$501,MATCH(C1734,Products!$A$2:$A$501,0)),"CODE NOT FOUND"))</f>
        <v/>
      </c>
      <c r="E1734" s="7"/>
      <c r="F1734" s="13"/>
      <c r="G1734" s="13"/>
      <c r="H1734" s="17" t="str">
        <f aca="false">IF(OR(E1734="",F1734=""),"",E1734*F1734)</f>
        <v/>
      </c>
      <c r="I1734" s="17" t="str">
        <f aca="false">IF(OR(E1734="",G1734=""),"",E1734*G1734)</f>
        <v/>
      </c>
      <c r="J1734" s="17" t="str">
        <f aca="false">IF(H1734="","",H1734-I1734)</f>
        <v/>
      </c>
    </row>
    <row r="1735" customFormat="false" ht="15" hidden="false" customHeight="true" outlineLevel="0" collapsed="false">
      <c r="A1735" s="7"/>
      <c r="B1735" s="18" t="str">
        <f aca="false">IF(A1735="","",IFERROR(INDEX(Sales_Memo!$B$2:$B$1001,MATCH(A1735,Sales_Memo!$A$2:$A$1001,0)),""))</f>
        <v/>
      </c>
      <c r="C1735" s="7"/>
      <c r="D1735" s="16" t="str">
        <f aca="false">IF(C1735="","",IFERROR(INDEX(Products!$B$2:$B$501,MATCH(C1735,Products!$A$2:$A$501,0)),"CODE NOT FOUND"))</f>
        <v/>
      </c>
      <c r="E1735" s="7"/>
      <c r="F1735" s="13"/>
      <c r="G1735" s="13"/>
      <c r="H1735" s="17" t="str">
        <f aca="false">IF(OR(E1735="",F1735=""),"",E1735*F1735)</f>
        <v/>
      </c>
      <c r="I1735" s="17" t="str">
        <f aca="false">IF(OR(E1735="",G1735=""),"",E1735*G1735)</f>
        <v/>
      </c>
      <c r="J1735" s="17" t="str">
        <f aca="false">IF(H1735="","",H1735-I1735)</f>
        <v/>
      </c>
    </row>
    <row r="1736" customFormat="false" ht="15" hidden="false" customHeight="true" outlineLevel="0" collapsed="false">
      <c r="A1736" s="7"/>
      <c r="B1736" s="18" t="str">
        <f aca="false">IF(A1736="","",IFERROR(INDEX(Sales_Memo!$B$2:$B$1001,MATCH(A1736,Sales_Memo!$A$2:$A$1001,0)),""))</f>
        <v/>
      </c>
      <c r="C1736" s="7"/>
      <c r="D1736" s="16" t="str">
        <f aca="false">IF(C1736="","",IFERROR(INDEX(Products!$B$2:$B$501,MATCH(C1736,Products!$A$2:$A$501,0)),"CODE NOT FOUND"))</f>
        <v/>
      </c>
      <c r="E1736" s="7"/>
      <c r="F1736" s="13"/>
      <c r="G1736" s="13"/>
      <c r="H1736" s="17" t="str">
        <f aca="false">IF(OR(E1736="",F1736=""),"",E1736*F1736)</f>
        <v/>
      </c>
      <c r="I1736" s="17" t="str">
        <f aca="false">IF(OR(E1736="",G1736=""),"",E1736*G1736)</f>
        <v/>
      </c>
      <c r="J1736" s="17" t="str">
        <f aca="false">IF(H1736="","",H1736-I1736)</f>
        <v/>
      </c>
    </row>
    <row r="1737" customFormat="false" ht="15" hidden="false" customHeight="true" outlineLevel="0" collapsed="false">
      <c r="A1737" s="7"/>
      <c r="B1737" s="18" t="str">
        <f aca="false">IF(A1737="","",IFERROR(INDEX(Sales_Memo!$B$2:$B$1001,MATCH(A1737,Sales_Memo!$A$2:$A$1001,0)),""))</f>
        <v/>
      </c>
      <c r="C1737" s="7"/>
      <c r="D1737" s="16" t="str">
        <f aca="false">IF(C1737="","",IFERROR(INDEX(Products!$B$2:$B$501,MATCH(C1737,Products!$A$2:$A$501,0)),"CODE NOT FOUND"))</f>
        <v/>
      </c>
      <c r="E1737" s="7"/>
      <c r="F1737" s="13"/>
      <c r="G1737" s="13"/>
      <c r="H1737" s="17" t="str">
        <f aca="false">IF(OR(E1737="",F1737=""),"",E1737*F1737)</f>
        <v/>
      </c>
      <c r="I1737" s="17" t="str">
        <f aca="false">IF(OR(E1737="",G1737=""),"",E1737*G1737)</f>
        <v/>
      </c>
      <c r="J1737" s="17" t="str">
        <f aca="false">IF(H1737="","",H1737-I1737)</f>
        <v/>
      </c>
    </row>
    <row r="1738" customFormat="false" ht="15" hidden="false" customHeight="true" outlineLevel="0" collapsed="false">
      <c r="A1738" s="7"/>
      <c r="B1738" s="18" t="str">
        <f aca="false">IF(A1738="","",IFERROR(INDEX(Sales_Memo!$B$2:$B$1001,MATCH(A1738,Sales_Memo!$A$2:$A$1001,0)),""))</f>
        <v/>
      </c>
      <c r="C1738" s="7"/>
      <c r="D1738" s="16" t="str">
        <f aca="false">IF(C1738="","",IFERROR(INDEX(Products!$B$2:$B$501,MATCH(C1738,Products!$A$2:$A$501,0)),"CODE NOT FOUND"))</f>
        <v/>
      </c>
      <c r="E1738" s="7"/>
      <c r="F1738" s="13"/>
      <c r="G1738" s="13"/>
      <c r="H1738" s="17" t="str">
        <f aca="false">IF(OR(E1738="",F1738=""),"",E1738*F1738)</f>
        <v/>
      </c>
      <c r="I1738" s="17" t="str">
        <f aca="false">IF(OR(E1738="",G1738=""),"",E1738*G1738)</f>
        <v/>
      </c>
      <c r="J1738" s="17" t="str">
        <f aca="false">IF(H1738="","",H1738-I1738)</f>
        <v/>
      </c>
    </row>
    <row r="1739" customFormat="false" ht="15" hidden="false" customHeight="true" outlineLevel="0" collapsed="false">
      <c r="A1739" s="7"/>
      <c r="B1739" s="18" t="str">
        <f aca="false">IF(A1739="","",IFERROR(INDEX(Sales_Memo!$B$2:$B$1001,MATCH(A1739,Sales_Memo!$A$2:$A$1001,0)),""))</f>
        <v/>
      </c>
      <c r="C1739" s="7"/>
      <c r="D1739" s="16" t="str">
        <f aca="false">IF(C1739="","",IFERROR(INDEX(Products!$B$2:$B$501,MATCH(C1739,Products!$A$2:$A$501,0)),"CODE NOT FOUND"))</f>
        <v/>
      </c>
      <c r="E1739" s="7"/>
      <c r="F1739" s="13"/>
      <c r="G1739" s="13"/>
      <c r="H1739" s="17" t="str">
        <f aca="false">IF(OR(E1739="",F1739=""),"",E1739*F1739)</f>
        <v/>
      </c>
      <c r="I1739" s="17" t="str">
        <f aca="false">IF(OR(E1739="",G1739=""),"",E1739*G1739)</f>
        <v/>
      </c>
      <c r="J1739" s="17" t="str">
        <f aca="false">IF(H1739="","",H1739-I1739)</f>
        <v/>
      </c>
    </row>
    <row r="1740" customFormat="false" ht="15" hidden="false" customHeight="true" outlineLevel="0" collapsed="false">
      <c r="A1740" s="7"/>
      <c r="B1740" s="18" t="str">
        <f aca="false">IF(A1740="","",IFERROR(INDEX(Sales_Memo!$B$2:$B$1001,MATCH(A1740,Sales_Memo!$A$2:$A$1001,0)),""))</f>
        <v/>
      </c>
      <c r="C1740" s="7"/>
      <c r="D1740" s="16" t="str">
        <f aca="false">IF(C1740="","",IFERROR(INDEX(Products!$B$2:$B$501,MATCH(C1740,Products!$A$2:$A$501,0)),"CODE NOT FOUND"))</f>
        <v/>
      </c>
      <c r="E1740" s="7"/>
      <c r="F1740" s="13"/>
      <c r="G1740" s="13"/>
      <c r="H1740" s="17" t="str">
        <f aca="false">IF(OR(E1740="",F1740=""),"",E1740*F1740)</f>
        <v/>
      </c>
      <c r="I1740" s="17" t="str">
        <f aca="false">IF(OR(E1740="",G1740=""),"",E1740*G1740)</f>
        <v/>
      </c>
      <c r="J1740" s="17" t="str">
        <f aca="false">IF(H1740="","",H1740-I1740)</f>
        <v/>
      </c>
    </row>
    <row r="1741" customFormat="false" ht="15" hidden="false" customHeight="true" outlineLevel="0" collapsed="false">
      <c r="A1741" s="7"/>
      <c r="B1741" s="18" t="str">
        <f aca="false">IF(A1741="","",IFERROR(INDEX(Sales_Memo!$B$2:$B$1001,MATCH(A1741,Sales_Memo!$A$2:$A$1001,0)),""))</f>
        <v/>
      </c>
      <c r="C1741" s="7"/>
      <c r="D1741" s="16" t="str">
        <f aca="false">IF(C1741="","",IFERROR(INDEX(Products!$B$2:$B$501,MATCH(C1741,Products!$A$2:$A$501,0)),"CODE NOT FOUND"))</f>
        <v/>
      </c>
      <c r="E1741" s="7"/>
      <c r="F1741" s="13"/>
      <c r="G1741" s="13"/>
      <c r="H1741" s="17" t="str">
        <f aca="false">IF(OR(E1741="",F1741=""),"",E1741*F1741)</f>
        <v/>
      </c>
      <c r="I1741" s="17" t="str">
        <f aca="false">IF(OR(E1741="",G1741=""),"",E1741*G1741)</f>
        <v/>
      </c>
      <c r="J1741" s="17" t="str">
        <f aca="false">IF(H1741="","",H1741-I1741)</f>
        <v/>
      </c>
    </row>
    <row r="1742" customFormat="false" ht="15" hidden="false" customHeight="true" outlineLevel="0" collapsed="false">
      <c r="A1742" s="7"/>
      <c r="B1742" s="18" t="str">
        <f aca="false">IF(A1742="","",IFERROR(INDEX(Sales_Memo!$B$2:$B$1001,MATCH(A1742,Sales_Memo!$A$2:$A$1001,0)),""))</f>
        <v/>
      </c>
      <c r="C1742" s="7"/>
      <c r="D1742" s="16" t="str">
        <f aca="false">IF(C1742="","",IFERROR(INDEX(Products!$B$2:$B$501,MATCH(C1742,Products!$A$2:$A$501,0)),"CODE NOT FOUND"))</f>
        <v/>
      </c>
      <c r="E1742" s="7"/>
      <c r="F1742" s="13"/>
      <c r="G1742" s="13"/>
      <c r="H1742" s="17" t="str">
        <f aca="false">IF(OR(E1742="",F1742=""),"",E1742*F1742)</f>
        <v/>
      </c>
      <c r="I1742" s="17" t="str">
        <f aca="false">IF(OR(E1742="",G1742=""),"",E1742*G1742)</f>
        <v/>
      </c>
      <c r="J1742" s="17" t="str">
        <f aca="false">IF(H1742="","",H1742-I1742)</f>
        <v/>
      </c>
    </row>
    <row r="1743" customFormat="false" ht="15" hidden="false" customHeight="true" outlineLevel="0" collapsed="false">
      <c r="A1743" s="7"/>
      <c r="B1743" s="18" t="str">
        <f aca="false">IF(A1743="","",IFERROR(INDEX(Sales_Memo!$B$2:$B$1001,MATCH(A1743,Sales_Memo!$A$2:$A$1001,0)),""))</f>
        <v/>
      </c>
      <c r="C1743" s="7"/>
      <c r="D1743" s="16" t="str">
        <f aca="false">IF(C1743="","",IFERROR(INDEX(Products!$B$2:$B$501,MATCH(C1743,Products!$A$2:$A$501,0)),"CODE NOT FOUND"))</f>
        <v/>
      </c>
      <c r="E1743" s="7"/>
      <c r="F1743" s="13"/>
      <c r="G1743" s="13"/>
      <c r="H1743" s="17" t="str">
        <f aca="false">IF(OR(E1743="",F1743=""),"",E1743*F1743)</f>
        <v/>
      </c>
      <c r="I1743" s="17" t="str">
        <f aca="false">IF(OR(E1743="",G1743=""),"",E1743*G1743)</f>
        <v/>
      </c>
      <c r="J1743" s="17" t="str">
        <f aca="false">IF(H1743="","",H1743-I1743)</f>
        <v/>
      </c>
    </row>
    <row r="1744" customFormat="false" ht="15" hidden="false" customHeight="true" outlineLevel="0" collapsed="false">
      <c r="A1744" s="7"/>
      <c r="B1744" s="18" t="str">
        <f aca="false">IF(A1744="","",IFERROR(INDEX(Sales_Memo!$B$2:$B$1001,MATCH(A1744,Sales_Memo!$A$2:$A$1001,0)),""))</f>
        <v/>
      </c>
      <c r="C1744" s="7"/>
      <c r="D1744" s="16" t="str">
        <f aca="false">IF(C1744="","",IFERROR(INDEX(Products!$B$2:$B$501,MATCH(C1744,Products!$A$2:$A$501,0)),"CODE NOT FOUND"))</f>
        <v/>
      </c>
      <c r="E1744" s="7"/>
      <c r="F1744" s="13"/>
      <c r="G1744" s="13"/>
      <c r="H1744" s="17" t="str">
        <f aca="false">IF(OR(E1744="",F1744=""),"",E1744*F1744)</f>
        <v/>
      </c>
      <c r="I1744" s="17" t="str">
        <f aca="false">IF(OR(E1744="",G1744=""),"",E1744*G1744)</f>
        <v/>
      </c>
      <c r="J1744" s="17" t="str">
        <f aca="false">IF(H1744="","",H1744-I1744)</f>
        <v/>
      </c>
    </row>
    <row r="1745" customFormat="false" ht="15" hidden="false" customHeight="true" outlineLevel="0" collapsed="false">
      <c r="A1745" s="7"/>
      <c r="B1745" s="18" t="str">
        <f aca="false">IF(A1745="","",IFERROR(INDEX(Sales_Memo!$B$2:$B$1001,MATCH(A1745,Sales_Memo!$A$2:$A$1001,0)),""))</f>
        <v/>
      </c>
      <c r="C1745" s="7"/>
      <c r="D1745" s="16" t="str">
        <f aca="false">IF(C1745="","",IFERROR(INDEX(Products!$B$2:$B$501,MATCH(C1745,Products!$A$2:$A$501,0)),"CODE NOT FOUND"))</f>
        <v/>
      </c>
      <c r="E1745" s="7"/>
      <c r="F1745" s="13"/>
      <c r="G1745" s="13"/>
      <c r="H1745" s="17" t="str">
        <f aca="false">IF(OR(E1745="",F1745=""),"",E1745*F1745)</f>
        <v/>
      </c>
      <c r="I1745" s="17" t="str">
        <f aca="false">IF(OR(E1745="",G1745=""),"",E1745*G1745)</f>
        <v/>
      </c>
      <c r="J1745" s="17" t="str">
        <f aca="false">IF(H1745="","",H1745-I1745)</f>
        <v/>
      </c>
    </row>
    <row r="1746" customFormat="false" ht="15" hidden="false" customHeight="true" outlineLevel="0" collapsed="false">
      <c r="A1746" s="7"/>
      <c r="B1746" s="18" t="str">
        <f aca="false">IF(A1746="","",IFERROR(INDEX(Sales_Memo!$B$2:$B$1001,MATCH(A1746,Sales_Memo!$A$2:$A$1001,0)),""))</f>
        <v/>
      </c>
      <c r="C1746" s="7"/>
      <c r="D1746" s="16" t="str">
        <f aca="false">IF(C1746="","",IFERROR(INDEX(Products!$B$2:$B$501,MATCH(C1746,Products!$A$2:$A$501,0)),"CODE NOT FOUND"))</f>
        <v/>
      </c>
      <c r="E1746" s="7"/>
      <c r="F1746" s="13"/>
      <c r="G1746" s="13"/>
      <c r="H1746" s="17" t="str">
        <f aca="false">IF(OR(E1746="",F1746=""),"",E1746*F1746)</f>
        <v/>
      </c>
      <c r="I1746" s="17" t="str">
        <f aca="false">IF(OR(E1746="",G1746=""),"",E1746*G1746)</f>
        <v/>
      </c>
      <c r="J1746" s="17" t="str">
        <f aca="false">IF(H1746="","",H1746-I1746)</f>
        <v/>
      </c>
    </row>
    <row r="1747" customFormat="false" ht="15" hidden="false" customHeight="true" outlineLevel="0" collapsed="false">
      <c r="A1747" s="7"/>
      <c r="B1747" s="18" t="str">
        <f aca="false">IF(A1747="","",IFERROR(INDEX(Sales_Memo!$B$2:$B$1001,MATCH(A1747,Sales_Memo!$A$2:$A$1001,0)),""))</f>
        <v/>
      </c>
      <c r="C1747" s="7"/>
      <c r="D1747" s="16" t="str">
        <f aca="false">IF(C1747="","",IFERROR(INDEX(Products!$B$2:$B$501,MATCH(C1747,Products!$A$2:$A$501,0)),"CODE NOT FOUND"))</f>
        <v/>
      </c>
      <c r="E1747" s="7"/>
      <c r="F1747" s="13"/>
      <c r="G1747" s="13"/>
      <c r="H1747" s="17" t="str">
        <f aca="false">IF(OR(E1747="",F1747=""),"",E1747*F1747)</f>
        <v/>
      </c>
      <c r="I1747" s="17" t="str">
        <f aca="false">IF(OR(E1747="",G1747=""),"",E1747*G1747)</f>
        <v/>
      </c>
      <c r="J1747" s="17" t="str">
        <f aca="false">IF(H1747="","",H1747-I1747)</f>
        <v/>
      </c>
    </row>
    <row r="1748" customFormat="false" ht="15" hidden="false" customHeight="true" outlineLevel="0" collapsed="false">
      <c r="A1748" s="7"/>
      <c r="B1748" s="18" t="str">
        <f aca="false">IF(A1748="","",IFERROR(INDEX(Sales_Memo!$B$2:$B$1001,MATCH(A1748,Sales_Memo!$A$2:$A$1001,0)),""))</f>
        <v/>
      </c>
      <c r="C1748" s="7"/>
      <c r="D1748" s="16" t="str">
        <f aca="false">IF(C1748="","",IFERROR(INDEX(Products!$B$2:$B$501,MATCH(C1748,Products!$A$2:$A$501,0)),"CODE NOT FOUND"))</f>
        <v/>
      </c>
      <c r="E1748" s="7"/>
      <c r="F1748" s="13"/>
      <c r="G1748" s="13"/>
      <c r="H1748" s="17" t="str">
        <f aca="false">IF(OR(E1748="",F1748=""),"",E1748*F1748)</f>
        <v/>
      </c>
      <c r="I1748" s="17" t="str">
        <f aca="false">IF(OR(E1748="",G1748=""),"",E1748*G1748)</f>
        <v/>
      </c>
      <c r="J1748" s="17" t="str">
        <f aca="false">IF(H1748="","",H1748-I1748)</f>
        <v/>
      </c>
    </row>
    <row r="1749" customFormat="false" ht="15" hidden="false" customHeight="true" outlineLevel="0" collapsed="false">
      <c r="A1749" s="7"/>
      <c r="B1749" s="18" t="str">
        <f aca="false">IF(A1749="","",IFERROR(INDEX(Sales_Memo!$B$2:$B$1001,MATCH(A1749,Sales_Memo!$A$2:$A$1001,0)),""))</f>
        <v/>
      </c>
      <c r="C1749" s="7"/>
      <c r="D1749" s="16" t="str">
        <f aca="false">IF(C1749="","",IFERROR(INDEX(Products!$B$2:$B$501,MATCH(C1749,Products!$A$2:$A$501,0)),"CODE NOT FOUND"))</f>
        <v/>
      </c>
      <c r="E1749" s="7"/>
      <c r="F1749" s="13"/>
      <c r="G1749" s="13"/>
      <c r="H1749" s="17" t="str">
        <f aca="false">IF(OR(E1749="",F1749=""),"",E1749*F1749)</f>
        <v/>
      </c>
      <c r="I1749" s="17" t="str">
        <f aca="false">IF(OR(E1749="",G1749=""),"",E1749*G1749)</f>
        <v/>
      </c>
      <c r="J1749" s="17" t="str">
        <f aca="false">IF(H1749="","",H1749-I1749)</f>
        <v/>
      </c>
    </row>
    <row r="1750" customFormat="false" ht="15" hidden="false" customHeight="true" outlineLevel="0" collapsed="false">
      <c r="A1750" s="7"/>
      <c r="B1750" s="18" t="str">
        <f aca="false">IF(A1750="","",IFERROR(INDEX(Sales_Memo!$B$2:$B$1001,MATCH(A1750,Sales_Memo!$A$2:$A$1001,0)),""))</f>
        <v/>
      </c>
      <c r="C1750" s="7"/>
      <c r="D1750" s="16" t="str">
        <f aca="false">IF(C1750="","",IFERROR(INDEX(Products!$B$2:$B$501,MATCH(C1750,Products!$A$2:$A$501,0)),"CODE NOT FOUND"))</f>
        <v/>
      </c>
      <c r="E1750" s="7"/>
      <c r="F1750" s="13"/>
      <c r="G1750" s="13"/>
      <c r="H1750" s="17" t="str">
        <f aca="false">IF(OR(E1750="",F1750=""),"",E1750*F1750)</f>
        <v/>
      </c>
      <c r="I1750" s="17" t="str">
        <f aca="false">IF(OR(E1750="",G1750=""),"",E1750*G1750)</f>
        <v/>
      </c>
      <c r="J1750" s="17" t="str">
        <f aca="false">IF(H1750="","",H1750-I1750)</f>
        <v/>
      </c>
    </row>
    <row r="1751" customFormat="false" ht="15" hidden="false" customHeight="true" outlineLevel="0" collapsed="false">
      <c r="A1751" s="7"/>
      <c r="B1751" s="18" t="str">
        <f aca="false">IF(A1751="","",IFERROR(INDEX(Sales_Memo!$B$2:$B$1001,MATCH(A1751,Sales_Memo!$A$2:$A$1001,0)),""))</f>
        <v/>
      </c>
      <c r="C1751" s="7"/>
      <c r="D1751" s="16" t="str">
        <f aca="false">IF(C1751="","",IFERROR(INDEX(Products!$B$2:$B$501,MATCH(C1751,Products!$A$2:$A$501,0)),"CODE NOT FOUND"))</f>
        <v/>
      </c>
      <c r="E1751" s="7"/>
      <c r="F1751" s="13"/>
      <c r="G1751" s="13"/>
      <c r="H1751" s="17" t="str">
        <f aca="false">IF(OR(E1751="",F1751=""),"",E1751*F1751)</f>
        <v/>
      </c>
      <c r="I1751" s="17" t="str">
        <f aca="false">IF(OR(E1751="",G1751=""),"",E1751*G1751)</f>
        <v/>
      </c>
      <c r="J1751" s="17" t="str">
        <f aca="false">IF(H1751="","",H1751-I1751)</f>
        <v/>
      </c>
    </row>
    <row r="1752" customFormat="false" ht="15" hidden="false" customHeight="true" outlineLevel="0" collapsed="false">
      <c r="A1752" s="7"/>
      <c r="B1752" s="18" t="str">
        <f aca="false">IF(A1752="","",IFERROR(INDEX(Sales_Memo!$B$2:$B$1001,MATCH(A1752,Sales_Memo!$A$2:$A$1001,0)),""))</f>
        <v/>
      </c>
      <c r="C1752" s="7"/>
      <c r="D1752" s="16" t="str">
        <f aca="false">IF(C1752="","",IFERROR(INDEX(Products!$B$2:$B$501,MATCH(C1752,Products!$A$2:$A$501,0)),"CODE NOT FOUND"))</f>
        <v/>
      </c>
      <c r="E1752" s="7"/>
      <c r="F1752" s="13"/>
      <c r="G1752" s="13"/>
      <c r="H1752" s="17" t="str">
        <f aca="false">IF(OR(E1752="",F1752=""),"",E1752*F1752)</f>
        <v/>
      </c>
      <c r="I1752" s="17" t="str">
        <f aca="false">IF(OR(E1752="",G1752=""),"",E1752*G1752)</f>
        <v/>
      </c>
      <c r="J1752" s="17" t="str">
        <f aca="false">IF(H1752="","",H1752-I1752)</f>
        <v/>
      </c>
    </row>
    <row r="1753" customFormat="false" ht="15" hidden="false" customHeight="true" outlineLevel="0" collapsed="false">
      <c r="A1753" s="7"/>
      <c r="B1753" s="18" t="str">
        <f aca="false">IF(A1753="","",IFERROR(INDEX(Sales_Memo!$B$2:$B$1001,MATCH(A1753,Sales_Memo!$A$2:$A$1001,0)),""))</f>
        <v/>
      </c>
      <c r="C1753" s="7"/>
      <c r="D1753" s="16" t="str">
        <f aca="false">IF(C1753="","",IFERROR(INDEX(Products!$B$2:$B$501,MATCH(C1753,Products!$A$2:$A$501,0)),"CODE NOT FOUND"))</f>
        <v/>
      </c>
      <c r="E1753" s="7"/>
      <c r="F1753" s="13"/>
      <c r="G1753" s="13"/>
      <c r="H1753" s="17" t="str">
        <f aca="false">IF(OR(E1753="",F1753=""),"",E1753*F1753)</f>
        <v/>
      </c>
      <c r="I1753" s="17" t="str">
        <f aca="false">IF(OR(E1753="",G1753=""),"",E1753*G1753)</f>
        <v/>
      </c>
      <c r="J1753" s="17" t="str">
        <f aca="false">IF(H1753="","",H1753-I1753)</f>
        <v/>
      </c>
    </row>
    <row r="1754" customFormat="false" ht="15" hidden="false" customHeight="true" outlineLevel="0" collapsed="false">
      <c r="A1754" s="7"/>
      <c r="B1754" s="18" t="str">
        <f aca="false">IF(A1754="","",IFERROR(INDEX(Sales_Memo!$B$2:$B$1001,MATCH(A1754,Sales_Memo!$A$2:$A$1001,0)),""))</f>
        <v/>
      </c>
      <c r="C1754" s="7"/>
      <c r="D1754" s="16" t="str">
        <f aca="false">IF(C1754="","",IFERROR(INDEX(Products!$B$2:$B$501,MATCH(C1754,Products!$A$2:$A$501,0)),"CODE NOT FOUND"))</f>
        <v/>
      </c>
      <c r="E1754" s="7"/>
      <c r="F1754" s="13"/>
      <c r="G1754" s="13"/>
      <c r="H1754" s="17" t="str">
        <f aca="false">IF(OR(E1754="",F1754=""),"",E1754*F1754)</f>
        <v/>
      </c>
      <c r="I1754" s="17" t="str">
        <f aca="false">IF(OR(E1754="",G1754=""),"",E1754*G1754)</f>
        <v/>
      </c>
      <c r="J1754" s="17" t="str">
        <f aca="false">IF(H1754="","",H1754-I1754)</f>
        <v/>
      </c>
    </row>
    <row r="1755" customFormat="false" ht="15" hidden="false" customHeight="true" outlineLevel="0" collapsed="false">
      <c r="A1755" s="7"/>
      <c r="B1755" s="18" t="str">
        <f aca="false">IF(A1755="","",IFERROR(INDEX(Sales_Memo!$B$2:$B$1001,MATCH(A1755,Sales_Memo!$A$2:$A$1001,0)),""))</f>
        <v/>
      </c>
      <c r="C1755" s="7"/>
      <c r="D1755" s="16" t="str">
        <f aca="false">IF(C1755="","",IFERROR(INDEX(Products!$B$2:$B$501,MATCH(C1755,Products!$A$2:$A$501,0)),"CODE NOT FOUND"))</f>
        <v/>
      </c>
      <c r="E1755" s="7"/>
      <c r="F1755" s="13"/>
      <c r="G1755" s="13"/>
      <c r="H1755" s="17" t="str">
        <f aca="false">IF(OR(E1755="",F1755=""),"",E1755*F1755)</f>
        <v/>
      </c>
      <c r="I1755" s="17" t="str">
        <f aca="false">IF(OR(E1755="",G1755=""),"",E1755*G1755)</f>
        <v/>
      </c>
      <c r="J1755" s="17" t="str">
        <f aca="false">IF(H1755="","",H1755-I1755)</f>
        <v/>
      </c>
    </row>
    <row r="1756" customFormat="false" ht="15" hidden="false" customHeight="true" outlineLevel="0" collapsed="false">
      <c r="A1756" s="7"/>
      <c r="B1756" s="18" t="str">
        <f aca="false">IF(A1756="","",IFERROR(INDEX(Sales_Memo!$B$2:$B$1001,MATCH(A1756,Sales_Memo!$A$2:$A$1001,0)),""))</f>
        <v/>
      </c>
      <c r="C1756" s="7"/>
      <c r="D1756" s="16" t="str">
        <f aca="false">IF(C1756="","",IFERROR(INDEX(Products!$B$2:$B$501,MATCH(C1756,Products!$A$2:$A$501,0)),"CODE NOT FOUND"))</f>
        <v/>
      </c>
      <c r="E1756" s="7"/>
      <c r="F1756" s="13"/>
      <c r="G1756" s="13"/>
      <c r="H1756" s="17" t="str">
        <f aca="false">IF(OR(E1756="",F1756=""),"",E1756*F1756)</f>
        <v/>
      </c>
      <c r="I1756" s="17" t="str">
        <f aca="false">IF(OR(E1756="",G1756=""),"",E1756*G1756)</f>
        <v/>
      </c>
      <c r="J1756" s="17" t="str">
        <f aca="false">IF(H1756="","",H1756-I1756)</f>
        <v/>
      </c>
    </row>
    <row r="1757" customFormat="false" ht="15" hidden="false" customHeight="true" outlineLevel="0" collapsed="false">
      <c r="A1757" s="7"/>
      <c r="B1757" s="18" t="str">
        <f aca="false">IF(A1757="","",IFERROR(INDEX(Sales_Memo!$B$2:$B$1001,MATCH(A1757,Sales_Memo!$A$2:$A$1001,0)),""))</f>
        <v/>
      </c>
      <c r="C1757" s="7"/>
      <c r="D1757" s="16" t="str">
        <f aca="false">IF(C1757="","",IFERROR(INDEX(Products!$B$2:$B$501,MATCH(C1757,Products!$A$2:$A$501,0)),"CODE NOT FOUND"))</f>
        <v/>
      </c>
      <c r="E1757" s="7"/>
      <c r="F1757" s="13"/>
      <c r="G1757" s="13"/>
      <c r="H1757" s="17" t="str">
        <f aca="false">IF(OR(E1757="",F1757=""),"",E1757*F1757)</f>
        <v/>
      </c>
      <c r="I1757" s="17" t="str">
        <f aca="false">IF(OR(E1757="",G1757=""),"",E1757*G1757)</f>
        <v/>
      </c>
      <c r="J1757" s="17" t="str">
        <f aca="false">IF(H1757="","",H1757-I1757)</f>
        <v/>
      </c>
    </row>
    <row r="1758" customFormat="false" ht="15" hidden="false" customHeight="true" outlineLevel="0" collapsed="false">
      <c r="A1758" s="7"/>
      <c r="B1758" s="18" t="str">
        <f aca="false">IF(A1758="","",IFERROR(INDEX(Sales_Memo!$B$2:$B$1001,MATCH(A1758,Sales_Memo!$A$2:$A$1001,0)),""))</f>
        <v/>
      </c>
      <c r="C1758" s="7"/>
      <c r="D1758" s="16" t="str">
        <f aca="false">IF(C1758="","",IFERROR(INDEX(Products!$B$2:$B$501,MATCH(C1758,Products!$A$2:$A$501,0)),"CODE NOT FOUND"))</f>
        <v/>
      </c>
      <c r="E1758" s="7"/>
      <c r="F1758" s="13"/>
      <c r="G1758" s="13"/>
      <c r="H1758" s="17" t="str">
        <f aca="false">IF(OR(E1758="",F1758=""),"",E1758*F1758)</f>
        <v/>
      </c>
      <c r="I1758" s="17" t="str">
        <f aca="false">IF(OR(E1758="",G1758=""),"",E1758*G1758)</f>
        <v/>
      </c>
      <c r="J1758" s="17" t="str">
        <f aca="false">IF(H1758="","",H1758-I1758)</f>
        <v/>
      </c>
    </row>
    <row r="1759" customFormat="false" ht="15" hidden="false" customHeight="true" outlineLevel="0" collapsed="false">
      <c r="A1759" s="7"/>
      <c r="B1759" s="18" t="str">
        <f aca="false">IF(A1759="","",IFERROR(INDEX(Sales_Memo!$B$2:$B$1001,MATCH(A1759,Sales_Memo!$A$2:$A$1001,0)),""))</f>
        <v/>
      </c>
      <c r="C1759" s="7"/>
      <c r="D1759" s="16" t="str">
        <f aca="false">IF(C1759="","",IFERROR(INDEX(Products!$B$2:$B$501,MATCH(C1759,Products!$A$2:$A$501,0)),"CODE NOT FOUND"))</f>
        <v/>
      </c>
      <c r="E1759" s="7"/>
      <c r="F1759" s="13"/>
      <c r="G1759" s="13"/>
      <c r="H1759" s="17" t="str">
        <f aca="false">IF(OR(E1759="",F1759=""),"",E1759*F1759)</f>
        <v/>
      </c>
      <c r="I1759" s="17" t="str">
        <f aca="false">IF(OR(E1759="",G1759=""),"",E1759*G1759)</f>
        <v/>
      </c>
      <c r="J1759" s="17" t="str">
        <f aca="false">IF(H1759="","",H1759-I1759)</f>
        <v/>
      </c>
    </row>
    <row r="1760" customFormat="false" ht="15" hidden="false" customHeight="true" outlineLevel="0" collapsed="false">
      <c r="A1760" s="7"/>
      <c r="B1760" s="18" t="str">
        <f aca="false">IF(A1760="","",IFERROR(INDEX(Sales_Memo!$B$2:$B$1001,MATCH(A1760,Sales_Memo!$A$2:$A$1001,0)),""))</f>
        <v/>
      </c>
      <c r="C1760" s="7"/>
      <c r="D1760" s="16" t="str">
        <f aca="false">IF(C1760="","",IFERROR(INDEX(Products!$B$2:$B$501,MATCH(C1760,Products!$A$2:$A$501,0)),"CODE NOT FOUND"))</f>
        <v/>
      </c>
      <c r="E1760" s="7"/>
      <c r="F1760" s="13"/>
      <c r="G1760" s="13"/>
      <c r="H1760" s="17" t="str">
        <f aca="false">IF(OR(E1760="",F1760=""),"",E1760*F1760)</f>
        <v/>
      </c>
      <c r="I1760" s="17" t="str">
        <f aca="false">IF(OR(E1760="",G1760=""),"",E1760*G1760)</f>
        <v/>
      </c>
      <c r="J1760" s="17" t="str">
        <f aca="false">IF(H1760="","",H1760-I1760)</f>
        <v/>
      </c>
    </row>
    <row r="1761" customFormat="false" ht="15" hidden="false" customHeight="true" outlineLevel="0" collapsed="false">
      <c r="A1761" s="7"/>
      <c r="B1761" s="18" t="str">
        <f aca="false">IF(A1761="","",IFERROR(INDEX(Sales_Memo!$B$2:$B$1001,MATCH(A1761,Sales_Memo!$A$2:$A$1001,0)),""))</f>
        <v/>
      </c>
      <c r="C1761" s="7"/>
      <c r="D1761" s="16" t="str">
        <f aca="false">IF(C1761="","",IFERROR(INDEX(Products!$B$2:$B$501,MATCH(C1761,Products!$A$2:$A$501,0)),"CODE NOT FOUND"))</f>
        <v/>
      </c>
      <c r="E1761" s="7"/>
      <c r="F1761" s="13"/>
      <c r="G1761" s="13"/>
      <c r="H1761" s="17" t="str">
        <f aca="false">IF(OR(E1761="",F1761=""),"",E1761*F1761)</f>
        <v/>
      </c>
      <c r="I1761" s="17" t="str">
        <f aca="false">IF(OR(E1761="",G1761=""),"",E1761*G1761)</f>
        <v/>
      </c>
      <c r="J1761" s="17" t="str">
        <f aca="false">IF(H1761="","",H1761-I1761)</f>
        <v/>
      </c>
    </row>
    <row r="1762" customFormat="false" ht="15" hidden="false" customHeight="true" outlineLevel="0" collapsed="false">
      <c r="A1762" s="7"/>
      <c r="B1762" s="18" t="str">
        <f aca="false">IF(A1762="","",IFERROR(INDEX(Sales_Memo!$B$2:$B$1001,MATCH(A1762,Sales_Memo!$A$2:$A$1001,0)),""))</f>
        <v/>
      </c>
      <c r="C1762" s="7"/>
      <c r="D1762" s="16" t="str">
        <f aca="false">IF(C1762="","",IFERROR(INDEX(Products!$B$2:$B$501,MATCH(C1762,Products!$A$2:$A$501,0)),"CODE NOT FOUND"))</f>
        <v/>
      </c>
      <c r="E1762" s="7"/>
      <c r="F1762" s="13"/>
      <c r="G1762" s="13"/>
      <c r="H1762" s="17" t="str">
        <f aca="false">IF(OR(E1762="",F1762=""),"",E1762*F1762)</f>
        <v/>
      </c>
      <c r="I1762" s="17" t="str">
        <f aca="false">IF(OR(E1762="",G1762=""),"",E1762*G1762)</f>
        <v/>
      </c>
      <c r="J1762" s="17" t="str">
        <f aca="false">IF(H1762="","",H1762-I1762)</f>
        <v/>
      </c>
    </row>
    <row r="1763" customFormat="false" ht="15" hidden="false" customHeight="true" outlineLevel="0" collapsed="false">
      <c r="A1763" s="7"/>
      <c r="B1763" s="18" t="str">
        <f aca="false">IF(A1763="","",IFERROR(INDEX(Sales_Memo!$B$2:$B$1001,MATCH(A1763,Sales_Memo!$A$2:$A$1001,0)),""))</f>
        <v/>
      </c>
      <c r="C1763" s="7"/>
      <c r="D1763" s="16" t="str">
        <f aca="false">IF(C1763="","",IFERROR(INDEX(Products!$B$2:$B$501,MATCH(C1763,Products!$A$2:$A$501,0)),"CODE NOT FOUND"))</f>
        <v/>
      </c>
      <c r="E1763" s="7"/>
      <c r="F1763" s="13"/>
      <c r="G1763" s="13"/>
      <c r="H1763" s="17" t="str">
        <f aca="false">IF(OR(E1763="",F1763=""),"",E1763*F1763)</f>
        <v/>
      </c>
      <c r="I1763" s="17" t="str">
        <f aca="false">IF(OR(E1763="",G1763=""),"",E1763*G1763)</f>
        <v/>
      </c>
      <c r="J1763" s="17" t="str">
        <f aca="false">IF(H1763="","",H1763-I1763)</f>
        <v/>
      </c>
    </row>
    <row r="1764" customFormat="false" ht="15" hidden="false" customHeight="true" outlineLevel="0" collapsed="false">
      <c r="A1764" s="7"/>
      <c r="B1764" s="18" t="str">
        <f aca="false">IF(A1764="","",IFERROR(INDEX(Sales_Memo!$B$2:$B$1001,MATCH(A1764,Sales_Memo!$A$2:$A$1001,0)),""))</f>
        <v/>
      </c>
      <c r="C1764" s="7"/>
      <c r="D1764" s="16" t="str">
        <f aca="false">IF(C1764="","",IFERROR(INDEX(Products!$B$2:$B$501,MATCH(C1764,Products!$A$2:$A$501,0)),"CODE NOT FOUND"))</f>
        <v/>
      </c>
      <c r="E1764" s="7"/>
      <c r="F1764" s="13"/>
      <c r="G1764" s="13"/>
      <c r="H1764" s="17" t="str">
        <f aca="false">IF(OR(E1764="",F1764=""),"",E1764*F1764)</f>
        <v/>
      </c>
      <c r="I1764" s="17" t="str">
        <f aca="false">IF(OR(E1764="",G1764=""),"",E1764*G1764)</f>
        <v/>
      </c>
      <c r="J1764" s="17" t="str">
        <f aca="false">IF(H1764="","",H1764-I1764)</f>
        <v/>
      </c>
    </row>
    <row r="1765" customFormat="false" ht="15" hidden="false" customHeight="true" outlineLevel="0" collapsed="false">
      <c r="A1765" s="7"/>
      <c r="B1765" s="18" t="str">
        <f aca="false">IF(A1765="","",IFERROR(INDEX(Sales_Memo!$B$2:$B$1001,MATCH(A1765,Sales_Memo!$A$2:$A$1001,0)),""))</f>
        <v/>
      </c>
      <c r="C1765" s="7"/>
      <c r="D1765" s="16" t="str">
        <f aca="false">IF(C1765="","",IFERROR(INDEX(Products!$B$2:$B$501,MATCH(C1765,Products!$A$2:$A$501,0)),"CODE NOT FOUND"))</f>
        <v/>
      </c>
      <c r="E1765" s="7"/>
      <c r="F1765" s="13"/>
      <c r="G1765" s="13"/>
      <c r="H1765" s="17" t="str">
        <f aca="false">IF(OR(E1765="",F1765=""),"",E1765*F1765)</f>
        <v/>
      </c>
      <c r="I1765" s="17" t="str">
        <f aca="false">IF(OR(E1765="",G1765=""),"",E1765*G1765)</f>
        <v/>
      </c>
      <c r="J1765" s="17" t="str">
        <f aca="false">IF(H1765="","",H1765-I1765)</f>
        <v/>
      </c>
    </row>
    <row r="1766" customFormat="false" ht="15" hidden="false" customHeight="true" outlineLevel="0" collapsed="false">
      <c r="A1766" s="7"/>
      <c r="B1766" s="18" t="str">
        <f aca="false">IF(A1766="","",IFERROR(INDEX(Sales_Memo!$B$2:$B$1001,MATCH(A1766,Sales_Memo!$A$2:$A$1001,0)),""))</f>
        <v/>
      </c>
      <c r="C1766" s="7"/>
      <c r="D1766" s="16" t="str">
        <f aca="false">IF(C1766="","",IFERROR(INDEX(Products!$B$2:$B$501,MATCH(C1766,Products!$A$2:$A$501,0)),"CODE NOT FOUND"))</f>
        <v/>
      </c>
      <c r="E1766" s="7"/>
      <c r="F1766" s="13"/>
      <c r="G1766" s="13"/>
      <c r="H1766" s="17" t="str">
        <f aca="false">IF(OR(E1766="",F1766=""),"",E1766*F1766)</f>
        <v/>
      </c>
      <c r="I1766" s="17" t="str">
        <f aca="false">IF(OR(E1766="",G1766=""),"",E1766*G1766)</f>
        <v/>
      </c>
      <c r="J1766" s="17" t="str">
        <f aca="false">IF(H1766="","",H1766-I1766)</f>
        <v/>
      </c>
    </row>
    <row r="1767" customFormat="false" ht="15" hidden="false" customHeight="true" outlineLevel="0" collapsed="false">
      <c r="A1767" s="7"/>
      <c r="B1767" s="18" t="str">
        <f aca="false">IF(A1767="","",IFERROR(INDEX(Sales_Memo!$B$2:$B$1001,MATCH(A1767,Sales_Memo!$A$2:$A$1001,0)),""))</f>
        <v/>
      </c>
      <c r="C1767" s="7"/>
      <c r="D1767" s="16" t="str">
        <f aca="false">IF(C1767="","",IFERROR(INDEX(Products!$B$2:$B$501,MATCH(C1767,Products!$A$2:$A$501,0)),"CODE NOT FOUND"))</f>
        <v/>
      </c>
      <c r="E1767" s="7"/>
      <c r="F1767" s="13"/>
      <c r="G1767" s="13"/>
      <c r="H1767" s="17" t="str">
        <f aca="false">IF(OR(E1767="",F1767=""),"",E1767*F1767)</f>
        <v/>
      </c>
      <c r="I1767" s="17" t="str">
        <f aca="false">IF(OR(E1767="",G1767=""),"",E1767*G1767)</f>
        <v/>
      </c>
      <c r="J1767" s="17" t="str">
        <f aca="false">IF(H1767="","",H1767-I1767)</f>
        <v/>
      </c>
    </row>
    <row r="1768" customFormat="false" ht="15" hidden="false" customHeight="true" outlineLevel="0" collapsed="false">
      <c r="A1768" s="7"/>
      <c r="B1768" s="18" t="str">
        <f aca="false">IF(A1768="","",IFERROR(INDEX(Sales_Memo!$B$2:$B$1001,MATCH(A1768,Sales_Memo!$A$2:$A$1001,0)),""))</f>
        <v/>
      </c>
      <c r="C1768" s="7"/>
      <c r="D1768" s="16" t="str">
        <f aca="false">IF(C1768="","",IFERROR(INDEX(Products!$B$2:$B$501,MATCH(C1768,Products!$A$2:$A$501,0)),"CODE NOT FOUND"))</f>
        <v/>
      </c>
      <c r="E1768" s="7"/>
      <c r="F1768" s="13"/>
      <c r="G1768" s="13"/>
      <c r="H1768" s="17" t="str">
        <f aca="false">IF(OR(E1768="",F1768=""),"",E1768*F1768)</f>
        <v/>
      </c>
      <c r="I1768" s="17" t="str">
        <f aca="false">IF(OR(E1768="",G1768=""),"",E1768*G1768)</f>
        <v/>
      </c>
      <c r="J1768" s="17" t="str">
        <f aca="false">IF(H1768="","",H1768-I1768)</f>
        <v/>
      </c>
    </row>
    <row r="1769" customFormat="false" ht="15" hidden="false" customHeight="true" outlineLevel="0" collapsed="false">
      <c r="A1769" s="7"/>
      <c r="B1769" s="18" t="str">
        <f aca="false">IF(A1769="","",IFERROR(INDEX(Sales_Memo!$B$2:$B$1001,MATCH(A1769,Sales_Memo!$A$2:$A$1001,0)),""))</f>
        <v/>
      </c>
      <c r="C1769" s="7"/>
      <c r="D1769" s="16" t="str">
        <f aca="false">IF(C1769="","",IFERROR(INDEX(Products!$B$2:$B$501,MATCH(C1769,Products!$A$2:$A$501,0)),"CODE NOT FOUND"))</f>
        <v/>
      </c>
      <c r="E1769" s="7"/>
      <c r="F1769" s="13"/>
      <c r="G1769" s="13"/>
      <c r="H1769" s="17" t="str">
        <f aca="false">IF(OR(E1769="",F1769=""),"",E1769*F1769)</f>
        <v/>
      </c>
      <c r="I1769" s="17" t="str">
        <f aca="false">IF(OR(E1769="",G1769=""),"",E1769*G1769)</f>
        <v/>
      </c>
      <c r="J1769" s="17" t="str">
        <f aca="false">IF(H1769="","",H1769-I1769)</f>
        <v/>
      </c>
    </row>
    <row r="1770" customFormat="false" ht="15" hidden="false" customHeight="true" outlineLevel="0" collapsed="false">
      <c r="A1770" s="7"/>
      <c r="B1770" s="18" t="str">
        <f aca="false">IF(A1770="","",IFERROR(INDEX(Sales_Memo!$B$2:$B$1001,MATCH(A1770,Sales_Memo!$A$2:$A$1001,0)),""))</f>
        <v/>
      </c>
      <c r="C1770" s="7"/>
      <c r="D1770" s="16" t="str">
        <f aca="false">IF(C1770="","",IFERROR(INDEX(Products!$B$2:$B$501,MATCH(C1770,Products!$A$2:$A$501,0)),"CODE NOT FOUND"))</f>
        <v/>
      </c>
      <c r="E1770" s="7"/>
      <c r="F1770" s="13"/>
      <c r="G1770" s="13"/>
      <c r="H1770" s="17" t="str">
        <f aca="false">IF(OR(E1770="",F1770=""),"",E1770*F1770)</f>
        <v/>
      </c>
      <c r="I1770" s="17" t="str">
        <f aca="false">IF(OR(E1770="",G1770=""),"",E1770*G1770)</f>
        <v/>
      </c>
      <c r="J1770" s="17" t="str">
        <f aca="false">IF(H1770="","",H1770-I1770)</f>
        <v/>
      </c>
    </row>
    <row r="1771" customFormat="false" ht="15" hidden="false" customHeight="true" outlineLevel="0" collapsed="false">
      <c r="A1771" s="7"/>
      <c r="B1771" s="18" t="str">
        <f aca="false">IF(A1771="","",IFERROR(INDEX(Sales_Memo!$B$2:$B$1001,MATCH(A1771,Sales_Memo!$A$2:$A$1001,0)),""))</f>
        <v/>
      </c>
      <c r="C1771" s="7"/>
      <c r="D1771" s="16" t="str">
        <f aca="false">IF(C1771="","",IFERROR(INDEX(Products!$B$2:$B$501,MATCH(C1771,Products!$A$2:$A$501,0)),"CODE NOT FOUND"))</f>
        <v/>
      </c>
      <c r="E1771" s="7"/>
      <c r="F1771" s="13"/>
      <c r="G1771" s="13"/>
      <c r="H1771" s="17" t="str">
        <f aca="false">IF(OR(E1771="",F1771=""),"",E1771*F1771)</f>
        <v/>
      </c>
      <c r="I1771" s="17" t="str">
        <f aca="false">IF(OR(E1771="",G1771=""),"",E1771*G1771)</f>
        <v/>
      </c>
      <c r="J1771" s="17" t="str">
        <f aca="false">IF(H1771="","",H1771-I1771)</f>
        <v/>
      </c>
    </row>
    <row r="1772" customFormat="false" ht="15" hidden="false" customHeight="true" outlineLevel="0" collapsed="false">
      <c r="A1772" s="7"/>
      <c r="B1772" s="18" t="str">
        <f aca="false">IF(A1772="","",IFERROR(INDEX(Sales_Memo!$B$2:$B$1001,MATCH(A1772,Sales_Memo!$A$2:$A$1001,0)),""))</f>
        <v/>
      </c>
      <c r="C1772" s="7"/>
      <c r="D1772" s="16" t="str">
        <f aca="false">IF(C1772="","",IFERROR(INDEX(Products!$B$2:$B$501,MATCH(C1772,Products!$A$2:$A$501,0)),"CODE NOT FOUND"))</f>
        <v/>
      </c>
      <c r="E1772" s="7"/>
      <c r="F1772" s="13"/>
      <c r="G1772" s="13"/>
      <c r="H1772" s="17" t="str">
        <f aca="false">IF(OR(E1772="",F1772=""),"",E1772*F1772)</f>
        <v/>
      </c>
      <c r="I1772" s="17" t="str">
        <f aca="false">IF(OR(E1772="",G1772=""),"",E1772*G1772)</f>
        <v/>
      </c>
      <c r="J1772" s="17" t="str">
        <f aca="false">IF(H1772="","",H1772-I1772)</f>
        <v/>
      </c>
    </row>
    <row r="1773" customFormat="false" ht="15" hidden="false" customHeight="true" outlineLevel="0" collapsed="false">
      <c r="A1773" s="7"/>
      <c r="B1773" s="18" t="str">
        <f aca="false">IF(A1773="","",IFERROR(INDEX(Sales_Memo!$B$2:$B$1001,MATCH(A1773,Sales_Memo!$A$2:$A$1001,0)),""))</f>
        <v/>
      </c>
      <c r="C1773" s="7"/>
      <c r="D1773" s="16" t="str">
        <f aca="false">IF(C1773="","",IFERROR(INDEX(Products!$B$2:$B$501,MATCH(C1773,Products!$A$2:$A$501,0)),"CODE NOT FOUND"))</f>
        <v/>
      </c>
      <c r="E1773" s="7"/>
      <c r="F1773" s="13"/>
      <c r="G1773" s="13"/>
      <c r="H1773" s="17" t="str">
        <f aca="false">IF(OR(E1773="",F1773=""),"",E1773*F1773)</f>
        <v/>
      </c>
      <c r="I1773" s="17" t="str">
        <f aca="false">IF(OR(E1773="",G1773=""),"",E1773*G1773)</f>
        <v/>
      </c>
      <c r="J1773" s="17" t="str">
        <f aca="false">IF(H1773="","",H1773-I1773)</f>
        <v/>
      </c>
    </row>
    <row r="1774" customFormat="false" ht="15" hidden="false" customHeight="true" outlineLevel="0" collapsed="false">
      <c r="A1774" s="7"/>
      <c r="B1774" s="18" t="str">
        <f aca="false">IF(A1774="","",IFERROR(INDEX(Sales_Memo!$B$2:$B$1001,MATCH(A1774,Sales_Memo!$A$2:$A$1001,0)),""))</f>
        <v/>
      </c>
      <c r="C1774" s="7"/>
      <c r="D1774" s="16" t="str">
        <f aca="false">IF(C1774="","",IFERROR(INDEX(Products!$B$2:$B$501,MATCH(C1774,Products!$A$2:$A$501,0)),"CODE NOT FOUND"))</f>
        <v/>
      </c>
      <c r="E1774" s="7"/>
      <c r="F1774" s="13"/>
      <c r="G1774" s="13"/>
      <c r="H1774" s="17" t="str">
        <f aca="false">IF(OR(E1774="",F1774=""),"",E1774*F1774)</f>
        <v/>
      </c>
      <c r="I1774" s="17" t="str">
        <f aca="false">IF(OR(E1774="",G1774=""),"",E1774*G1774)</f>
        <v/>
      </c>
      <c r="J1774" s="17" t="str">
        <f aca="false">IF(H1774="","",H1774-I1774)</f>
        <v/>
      </c>
    </row>
    <row r="1775" customFormat="false" ht="15" hidden="false" customHeight="true" outlineLevel="0" collapsed="false">
      <c r="A1775" s="7"/>
      <c r="B1775" s="18" t="str">
        <f aca="false">IF(A1775="","",IFERROR(INDEX(Sales_Memo!$B$2:$B$1001,MATCH(A1775,Sales_Memo!$A$2:$A$1001,0)),""))</f>
        <v/>
      </c>
      <c r="C1775" s="7"/>
      <c r="D1775" s="16" t="str">
        <f aca="false">IF(C1775="","",IFERROR(INDEX(Products!$B$2:$B$501,MATCH(C1775,Products!$A$2:$A$501,0)),"CODE NOT FOUND"))</f>
        <v/>
      </c>
      <c r="E1775" s="7"/>
      <c r="F1775" s="13"/>
      <c r="G1775" s="13"/>
      <c r="H1775" s="17" t="str">
        <f aca="false">IF(OR(E1775="",F1775=""),"",E1775*F1775)</f>
        <v/>
      </c>
      <c r="I1775" s="17" t="str">
        <f aca="false">IF(OR(E1775="",G1775=""),"",E1775*G1775)</f>
        <v/>
      </c>
      <c r="J1775" s="17" t="str">
        <f aca="false">IF(H1775="","",H1775-I1775)</f>
        <v/>
      </c>
    </row>
    <row r="1776" customFormat="false" ht="15" hidden="false" customHeight="true" outlineLevel="0" collapsed="false">
      <c r="A1776" s="7"/>
      <c r="B1776" s="18" t="str">
        <f aca="false">IF(A1776="","",IFERROR(INDEX(Sales_Memo!$B$2:$B$1001,MATCH(A1776,Sales_Memo!$A$2:$A$1001,0)),""))</f>
        <v/>
      </c>
      <c r="C1776" s="7"/>
      <c r="D1776" s="16" t="str">
        <f aca="false">IF(C1776="","",IFERROR(INDEX(Products!$B$2:$B$501,MATCH(C1776,Products!$A$2:$A$501,0)),"CODE NOT FOUND"))</f>
        <v/>
      </c>
      <c r="E1776" s="7"/>
      <c r="F1776" s="13"/>
      <c r="G1776" s="13"/>
      <c r="H1776" s="17" t="str">
        <f aca="false">IF(OR(E1776="",F1776=""),"",E1776*F1776)</f>
        <v/>
      </c>
      <c r="I1776" s="17" t="str">
        <f aca="false">IF(OR(E1776="",G1776=""),"",E1776*G1776)</f>
        <v/>
      </c>
      <c r="J1776" s="17" t="str">
        <f aca="false">IF(H1776="","",H1776-I1776)</f>
        <v/>
      </c>
    </row>
    <row r="1777" customFormat="false" ht="15" hidden="false" customHeight="true" outlineLevel="0" collapsed="false">
      <c r="A1777" s="7"/>
      <c r="B1777" s="18" t="str">
        <f aca="false">IF(A1777="","",IFERROR(INDEX(Sales_Memo!$B$2:$B$1001,MATCH(A1777,Sales_Memo!$A$2:$A$1001,0)),""))</f>
        <v/>
      </c>
      <c r="C1777" s="7"/>
      <c r="D1777" s="16" t="str">
        <f aca="false">IF(C1777="","",IFERROR(INDEX(Products!$B$2:$B$501,MATCH(C1777,Products!$A$2:$A$501,0)),"CODE NOT FOUND"))</f>
        <v/>
      </c>
      <c r="E1777" s="7"/>
      <c r="F1777" s="13"/>
      <c r="G1777" s="13"/>
      <c r="H1777" s="17" t="str">
        <f aca="false">IF(OR(E1777="",F1777=""),"",E1777*F1777)</f>
        <v/>
      </c>
      <c r="I1777" s="17" t="str">
        <f aca="false">IF(OR(E1777="",G1777=""),"",E1777*G1777)</f>
        <v/>
      </c>
      <c r="J1777" s="17" t="str">
        <f aca="false">IF(H1777="","",H1777-I1777)</f>
        <v/>
      </c>
    </row>
    <row r="1778" customFormat="false" ht="15" hidden="false" customHeight="true" outlineLevel="0" collapsed="false">
      <c r="A1778" s="7"/>
      <c r="B1778" s="18" t="str">
        <f aca="false">IF(A1778="","",IFERROR(INDEX(Sales_Memo!$B$2:$B$1001,MATCH(A1778,Sales_Memo!$A$2:$A$1001,0)),""))</f>
        <v/>
      </c>
      <c r="C1778" s="7"/>
      <c r="D1778" s="16" t="str">
        <f aca="false">IF(C1778="","",IFERROR(INDEX(Products!$B$2:$B$501,MATCH(C1778,Products!$A$2:$A$501,0)),"CODE NOT FOUND"))</f>
        <v/>
      </c>
      <c r="E1778" s="7"/>
      <c r="F1778" s="13"/>
      <c r="G1778" s="13"/>
      <c r="H1778" s="17" t="str">
        <f aca="false">IF(OR(E1778="",F1778=""),"",E1778*F1778)</f>
        <v/>
      </c>
      <c r="I1778" s="17" t="str">
        <f aca="false">IF(OR(E1778="",G1778=""),"",E1778*G1778)</f>
        <v/>
      </c>
      <c r="J1778" s="17" t="str">
        <f aca="false">IF(H1778="","",H1778-I1778)</f>
        <v/>
      </c>
    </row>
    <row r="1779" customFormat="false" ht="15" hidden="false" customHeight="true" outlineLevel="0" collapsed="false">
      <c r="A1779" s="7"/>
      <c r="B1779" s="18" t="str">
        <f aca="false">IF(A1779="","",IFERROR(INDEX(Sales_Memo!$B$2:$B$1001,MATCH(A1779,Sales_Memo!$A$2:$A$1001,0)),""))</f>
        <v/>
      </c>
      <c r="C1779" s="7"/>
      <c r="D1779" s="16" t="str">
        <f aca="false">IF(C1779="","",IFERROR(INDEX(Products!$B$2:$B$501,MATCH(C1779,Products!$A$2:$A$501,0)),"CODE NOT FOUND"))</f>
        <v/>
      </c>
      <c r="E1779" s="7"/>
      <c r="F1779" s="13"/>
      <c r="G1779" s="13"/>
      <c r="H1779" s="17" t="str">
        <f aca="false">IF(OR(E1779="",F1779=""),"",E1779*F1779)</f>
        <v/>
      </c>
      <c r="I1779" s="17" t="str">
        <f aca="false">IF(OR(E1779="",G1779=""),"",E1779*G1779)</f>
        <v/>
      </c>
      <c r="J1779" s="17" t="str">
        <f aca="false">IF(H1779="","",H1779-I1779)</f>
        <v/>
      </c>
    </row>
    <row r="1780" customFormat="false" ht="15" hidden="false" customHeight="true" outlineLevel="0" collapsed="false">
      <c r="A1780" s="7"/>
      <c r="B1780" s="18" t="str">
        <f aca="false">IF(A1780="","",IFERROR(INDEX(Sales_Memo!$B$2:$B$1001,MATCH(A1780,Sales_Memo!$A$2:$A$1001,0)),""))</f>
        <v/>
      </c>
      <c r="C1780" s="7"/>
      <c r="D1780" s="16" t="str">
        <f aca="false">IF(C1780="","",IFERROR(INDEX(Products!$B$2:$B$501,MATCH(C1780,Products!$A$2:$A$501,0)),"CODE NOT FOUND"))</f>
        <v/>
      </c>
      <c r="E1780" s="7"/>
      <c r="F1780" s="13"/>
      <c r="G1780" s="13"/>
      <c r="H1780" s="17" t="str">
        <f aca="false">IF(OR(E1780="",F1780=""),"",E1780*F1780)</f>
        <v/>
      </c>
      <c r="I1780" s="17" t="str">
        <f aca="false">IF(OR(E1780="",G1780=""),"",E1780*G1780)</f>
        <v/>
      </c>
      <c r="J1780" s="17" t="str">
        <f aca="false">IF(H1780="","",H1780-I1780)</f>
        <v/>
      </c>
    </row>
    <row r="1781" customFormat="false" ht="15" hidden="false" customHeight="true" outlineLevel="0" collapsed="false">
      <c r="A1781" s="7"/>
      <c r="B1781" s="18" t="str">
        <f aca="false">IF(A1781="","",IFERROR(INDEX(Sales_Memo!$B$2:$B$1001,MATCH(A1781,Sales_Memo!$A$2:$A$1001,0)),""))</f>
        <v/>
      </c>
      <c r="C1781" s="7"/>
      <c r="D1781" s="16" t="str">
        <f aca="false">IF(C1781="","",IFERROR(INDEX(Products!$B$2:$B$501,MATCH(C1781,Products!$A$2:$A$501,0)),"CODE NOT FOUND"))</f>
        <v/>
      </c>
      <c r="E1781" s="7"/>
      <c r="F1781" s="13"/>
      <c r="G1781" s="13"/>
      <c r="H1781" s="17" t="str">
        <f aca="false">IF(OR(E1781="",F1781=""),"",E1781*F1781)</f>
        <v/>
      </c>
      <c r="I1781" s="17" t="str">
        <f aca="false">IF(OR(E1781="",G1781=""),"",E1781*G1781)</f>
        <v/>
      </c>
      <c r="J1781" s="17" t="str">
        <f aca="false">IF(H1781="","",H1781-I1781)</f>
        <v/>
      </c>
    </row>
    <row r="1782" customFormat="false" ht="15" hidden="false" customHeight="true" outlineLevel="0" collapsed="false">
      <c r="A1782" s="7"/>
      <c r="B1782" s="18" t="str">
        <f aca="false">IF(A1782="","",IFERROR(INDEX(Sales_Memo!$B$2:$B$1001,MATCH(A1782,Sales_Memo!$A$2:$A$1001,0)),""))</f>
        <v/>
      </c>
      <c r="C1782" s="7"/>
      <c r="D1782" s="16" t="str">
        <f aca="false">IF(C1782="","",IFERROR(INDEX(Products!$B$2:$B$501,MATCH(C1782,Products!$A$2:$A$501,0)),"CODE NOT FOUND"))</f>
        <v/>
      </c>
      <c r="E1782" s="7"/>
      <c r="F1782" s="13"/>
      <c r="G1782" s="13"/>
      <c r="H1782" s="17" t="str">
        <f aca="false">IF(OR(E1782="",F1782=""),"",E1782*F1782)</f>
        <v/>
      </c>
      <c r="I1782" s="17" t="str">
        <f aca="false">IF(OR(E1782="",G1782=""),"",E1782*G1782)</f>
        <v/>
      </c>
      <c r="J1782" s="17" t="str">
        <f aca="false">IF(H1782="","",H1782-I1782)</f>
        <v/>
      </c>
    </row>
    <row r="1783" customFormat="false" ht="15" hidden="false" customHeight="true" outlineLevel="0" collapsed="false">
      <c r="A1783" s="7"/>
      <c r="B1783" s="18" t="str">
        <f aca="false">IF(A1783="","",IFERROR(INDEX(Sales_Memo!$B$2:$B$1001,MATCH(A1783,Sales_Memo!$A$2:$A$1001,0)),""))</f>
        <v/>
      </c>
      <c r="C1783" s="7"/>
      <c r="D1783" s="16" t="str">
        <f aca="false">IF(C1783="","",IFERROR(INDEX(Products!$B$2:$B$501,MATCH(C1783,Products!$A$2:$A$501,0)),"CODE NOT FOUND"))</f>
        <v/>
      </c>
      <c r="E1783" s="7"/>
      <c r="F1783" s="13"/>
      <c r="G1783" s="13"/>
      <c r="H1783" s="17" t="str">
        <f aca="false">IF(OR(E1783="",F1783=""),"",E1783*F1783)</f>
        <v/>
      </c>
      <c r="I1783" s="17" t="str">
        <f aca="false">IF(OR(E1783="",G1783=""),"",E1783*G1783)</f>
        <v/>
      </c>
      <c r="J1783" s="17" t="str">
        <f aca="false">IF(H1783="","",H1783-I1783)</f>
        <v/>
      </c>
    </row>
    <row r="1784" customFormat="false" ht="15" hidden="false" customHeight="true" outlineLevel="0" collapsed="false">
      <c r="A1784" s="7"/>
      <c r="B1784" s="18" t="str">
        <f aca="false">IF(A1784="","",IFERROR(INDEX(Sales_Memo!$B$2:$B$1001,MATCH(A1784,Sales_Memo!$A$2:$A$1001,0)),""))</f>
        <v/>
      </c>
      <c r="C1784" s="7"/>
      <c r="D1784" s="16" t="str">
        <f aca="false">IF(C1784="","",IFERROR(INDEX(Products!$B$2:$B$501,MATCH(C1784,Products!$A$2:$A$501,0)),"CODE NOT FOUND"))</f>
        <v/>
      </c>
      <c r="E1784" s="7"/>
      <c r="F1784" s="13"/>
      <c r="G1784" s="13"/>
      <c r="H1784" s="17" t="str">
        <f aca="false">IF(OR(E1784="",F1784=""),"",E1784*F1784)</f>
        <v/>
      </c>
      <c r="I1784" s="17" t="str">
        <f aca="false">IF(OR(E1784="",G1784=""),"",E1784*G1784)</f>
        <v/>
      </c>
      <c r="J1784" s="17" t="str">
        <f aca="false">IF(H1784="","",H1784-I1784)</f>
        <v/>
      </c>
    </row>
    <row r="1785" customFormat="false" ht="15" hidden="false" customHeight="true" outlineLevel="0" collapsed="false">
      <c r="A1785" s="7"/>
      <c r="B1785" s="18" t="str">
        <f aca="false">IF(A1785="","",IFERROR(INDEX(Sales_Memo!$B$2:$B$1001,MATCH(A1785,Sales_Memo!$A$2:$A$1001,0)),""))</f>
        <v/>
      </c>
      <c r="C1785" s="7"/>
      <c r="D1785" s="16" t="str">
        <f aca="false">IF(C1785="","",IFERROR(INDEX(Products!$B$2:$B$501,MATCH(C1785,Products!$A$2:$A$501,0)),"CODE NOT FOUND"))</f>
        <v/>
      </c>
      <c r="E1785" s="7"/>
      <c r="F1785" s="13"/>
      <c r="G1785" s="13"/>
      <c r="H1785" s="17" t="str">
        <f aca="false">IF(OR(E1785="",F1785=""),"",E1785*F1785)</f>
        <v/>
      </c>
      <c r="I1785" s="17" t="str">
        <f aca="false">IF(OR(E1785="",G1785=""),"",E1785*G1785)</f>
        <v/>
      </c>
      <c r="J1785" s="17" t="str">
        <f aca="false">IF(H1785="","",H1785-I1785)</f>
        <v/>
      </c>
    </row>
    <row r="1786" customFormat="false" ht="15" hidden="false" customHeight="true" outlineLevel="0" collapsed="false">
      <c r="A1786" s="7"/>
      <c r="B1786" s="18" t="str">
        <f aca="false">IF(A1786="","",IFERROR(INDEX(Sales_Memo!$B$2:$B$1001,MATCH(A1786,Sales_Memo!$A$2:$A$1001,0)),""))</f>
        <v/>
      </c>
      <c r="C1786" s="7"/>
      <c r="D1786" s="16" t="str">
        <f aca="false">IF(C1786="","",IFERROR(INDEX(Products!$B$2:$B$501,MATCH(C1786,Products!$A$2:$A$501,0)),"CODE NOT FOUND"))</f>
        <v/>
      </c>
      <c r="E1786" s="7"/>
      <c r="F1786" s="13"/>
      <c r="G1786" s="13"/>
      <c r="H1786" s="17" t="str">
        <f aca="false">IF(OR(E1786="",F1786=""),"",E1786*F1786)</f>
        <v/>
      </c>
      <c r="I1786" s="17" t="str">
        <f aca="false">IF(OR(E1786="",G1786=""),"",E1786*G1786)</f>
        <v/>
      </c>
      <c r="J1786" s="17" t="str">
        <f aca="false">IF(H1786="","",H1786-I1786)</f>
        <v/>
      </c>
    </row>
    <row r="1787" customFormat="false" ht="15" hidden="false" customHeight="true" outlineLevel="0" collapsed="false">
      <c r="A1787" s="7"/>
      <c r="B1787" s="18" t="str">
        <f aca="false">IF(A1787="","",IFERROR(INDEX(Sales_Memo!$B$2:$B$1001,MATCH(A1787,Sales_Memo!$A$2:$A$1001,0)),""))</f>
        <v/>
      </c>
      <c r="C1787" s="7"/>
      <c r="D1787" s="16" t="str">
        <f aca="false">IF(C1787="","",IFERROR(INDEX(Products!$B$2:$B$501,MATCH(C1787,Products!$A$2:$A$501,0)),"CODE NOT FOUND"))</f>
        <v/>
      </c>
      <c r="E1787" s="7"/>
      <c r="F1787" s="13"/>
      <c r="G1787" s="13"/>
      <c r="H1787" s="17" t="str">
        <f aca="false">IF(OR(E1787="",F1787=""),"",E1787*F1787)</f>
        <v/>
      </c>
      <c r="I1787" s="17" t="str">
        <f aca="false">IF(OR(E1787="",G1787=""),"",E1787*G1787)</f>
        <v/>
      </c>
      <c r="J1787" s="17" t="str">
        <f aca="false">IF(H1787="","",H1787-I1787)</f>
        <v/>
      </c>
    </row>
    <row r="1788" customFormat="false" ht="15" hidden="false" customHeight="true" outlineLevel="0" collapsed="false">
      <c r="A1788" s="7"/>
      <c r="B1788" s="18" t="str">
        <f aca="false">IF(A1788="","",IFERROR(INDEX(Sales_Memo!$B$2:$B$1001,MATCH(A1788,Sales_Memo!$A$2:$A$1001,0)),""))</f>
        <v/>
      </c>
      <c r="C1788" s="7"/>
      <c r="D1788" s="16" t="str">
        <f aca="false">IF(C1788="","",IFERROR(INDEX(Products!$B$2:$B$501,MATCH(C1788,Products!$A$2:$A$501,0)),"CODE NOT FOUND"))</f>
        <v/>
      </c>
      <c r="E1788" s="7"/>
      <c r="F1788" s="13"/>
      <c r="G1788" s="13"/>
      <c r="H1788" s="17" t="str">
        <f aca="false">IF(OR(E1788="",F1788=""),"",E1788*F1788)</f>
        <v/>
      </c>
      <c r="I1788" s="17" t="str">
        <f aca="false">IF(OR(E1788="",G1788=""),"",E1788*G1788)</f>
        <v/>
      </c>
      <c r="J1788" s="17" t="str">
        <f aca="false">IF(H1788="","",H1788-I1788)</f>
        <v/>
      </c>
    </row>
    <row r="1789" customFormat="false" ht="15" hidden="false" customHeight="true" outlineLevel="0" collapsed="false">
      <c r="A1789" s="7"/>
      <c r="B1789" s="18" t="str">
        <f aca="false">IF(A1789="","",IFERROR(INDEX(Sales_Memo!$B$2:$B$1001,MATCH(A1789,Sales_Memo!$A$2:$A$1001,0)),""))</f>
        <v/>
      </c>
      <c r="C1789" s="7"/>
      <c r="D1789" s="16" t="str">
        <f aca="false">IF(C1789="","",IFERROR(INDEX(Products!$B$2:$B$501,MATCH(C1789,Products!$A$2:$A$501,0)),"CODE NOT FOUND"))</f>
        <v/>
      </c>
      <c r="E1789" s="7"/>
      <c r="F1789" s="13"/>
      <c r="G1789" s="13"/>
      <c r="H1789" s="17" t="str">
        <f aca="false">IF(OR(E1789="",F1789=""),"",E1789*F1789)</f>
        <v/>
      </c>
      <c r="I1789" s="17" t="str">
        <f aca="false">IF(OR(E1789="",G1789=""),"",E1789*G1789)</f>
        <v/>
      </c>
      <c r="J1789" s="17" t="str">
        <f aca="false">IF(H1789="","",H1789-I1789)</f>
        <v/>
      </c>
    </row>
    <row r="1790" customFormat="false" ht="15" hidden="false" customHeight="true" outlineLevel="0" collapsed="false">
      <c r="A1790" s="7"/>
      <c r="B1790" s="18" t="str">
        <f aca="false">IF(A1790="","",IFERROR(INDEX(Sales_Memo!$B$2:$B$1001,MATCH(A1790,Sales_Memo!$A$2:$A$1001,0)),""))</f>
        <v/>
      </c>
      <c r="C1790" s="7"/>
      <c r="D1790" s="16" t="str">
        <f aca="false">IF(C1790="","",IFERROR(INDEX(Products!$B$2:$B$501,MATCH(C1790,Products!$A$2:$A$501,0)),"CODE NOT FOUND"))</f>
        <v/>
      </c>
      <c r="E1790" s="7"/>
      <c r="F1790" s="13"/>
      <c r="G1790" s="13"/>
      <c r="H1790" s="17" t="str">
        <f aca="false">IF(OR(E1790="",F1790=""),"",E1790*F1790)</f>
        <v/>
      </c>
      <c r="I1790" s="17" t="str">
        <f aca="false">IF(OR(E1790="",G1790=""),"",E1790*G1790)</f>
        <v/>
      </c>
      <c r="J1790" s="17" t="str">
        <f aca="false">IF(H1790="","",H1790-I1790)</f>
        <v/>
      </c>
    </row>
    <row r="1791" customFormat="false" ht="15" hidden="false" customHeight="true" outlineLevel="0" collapsed="false">
      <c r="A1791" s="7"/>
      <c r="B1791" s="18" t="str">
        <f aca="false">IF(A1791="","",IFERROR(INDEX(Sales_Memo!$B$2:$B$1001,MATCH(A1791,Sales_Memo!$A$2:$A$1001,0)),""))</f>
        <v/>
      </c>
      <c r="C1791" s="7"/>
      <c r="D1791" s="16" t="str">
        <f aca="false">IF(C1791="","",IFERROR(INDEX(Products!$B$2:$B$501,MATCH(C1791,Products!$A$2:$A$501,0)),"CODE NOT FOUND"))</f>
        <v/>
      </c>
      <c r="E1791" s="7"/>
      <c r="F1791" s="13"/>
      <c r="G1791" s="13"/>
      <c r="H1791" s="17" t="str">
        <f aca="false">IF(OR(E1791="",F1791=""),"",E1791*F1791)</f>
        <v/>
      </c>
      <c r="I1791" s="17" t="str">
        <f aca="false">IF(OR(E1791="",G1791=""),"",E1791*G1791)</f>
        <v/>
      </c>
      <c r="J1791" s="17" t="str">
        <f aca="false">IF(H1791="","",H1791-I1791)</f>
        <v/>
      </c>
    </row>
    <row r="1792" customFormat="false" ht="15" hidden="false" customHeight="true" outlineLevel="0" collapsed="false">
      <c r="A1792" s="7"/>
      <c r="B1792" s="18" t="str">
        <f aca="false">IF(A1792="","",IFERROR(INDEX(Sales_Memo!$B$2:$B$1001,MATCH(A1792,Sales_Memo!$A$2:$A$1001,0)),""))</f>
        <v/>
      </c>
      <c r="C1792" s="7"/>
      <c r="D1792" s="16" t="str">
        <f aca="false">IF(C1792="","",IFERROR(INDEX(Products!$B$2:$B$501,MATCH(C1792,Products!$A$2:$A$501,0)),"CODE NOT FOUND"))</f>
        <v/>
      </c>
      <c r="E1792" s="7"/>
      <c r="F1792" s="13"/>
      <c r="G1792" s="13"/>
      <c r="H1792" s="17" t="str">
        <f aca="false">IF(OR(E1792="",F1792=""),"",E1792*F1792)</f>
        <v/>
      </c>
      <c r="I1792" s="17" t="str">
        <f aca="false">IF(OR(E1792="",G1792=""),"",E1792*G1792)</f>
        <v/>
      </c>
      <c r="J1792" s="17" t="str">
        <f aca="false">IF(H1792="","",H1792-I1792)</f>
        <v/>
      </c>
    </row>
    <row r="1793" customFormat="false" ht="15" hidden="false" customHeight="true" outlineLevel="0" collapsed="false">
      <c r="A1793" s="7"/>
      <c r="B1793" s="18" t="str">
        <f aca="false">IF(A1793="","",IFERROR(INDEX(Sales_Memo!$B$2:$B$1001,MATCH(A1793,Sales_Memo!$A$2:$A$1001,0)),""))</f>
        <v/>
      </c>
      <c r="C1793" s="7"/>
      <c r="D1793" s="16" t="str">
        <f aca="false">IF(C1793="","",IFERROR(INDEX(Products!$B$2:$B$501,MATCH(C1793,Products!$A$2:$A$501,0)),"CODE NOT FOUND"))</f>
        <v/>
      </c>
      <c r="E1793" s="7"/>
      <c r="F1793" s="13"/>
      <c r="G1793" s="13"/>
      <c r="H1793" s="17" t="str">
        <f aca="false">IF(OR(E1793="",F1793=""),"",E1793*F1793)</f>
        <v/>
      </c>
      <c r="I1793" s="17" t="str">
        <f aca="false">IF(OR(E1793="",G1793=""),"",E1793*G1793)</f>
        <v/>
      </c>
      <c r="J1793" s="17" t="str">
        <f aca="false">IF(H1793="","",H1793-I1793)</f>
        <v/>
      </c>
    </row>
    <row r="1794" customFormat="false" ht="15" hidden="false" customHeight="true" outlineLevel="0" collapsed="false">
      <c r="A1794" s="7"/>
      <c r="B1794" s="18" t="str">
        <f aca="false">IF(A1794="","",IFERROR(INDEX(Sales_Memo!$B$2:$B$1001,MATCH(A1794,Sales_Memo!$A$2:$A$1001,0)),""))</f>
        <v/>
      </c>
      <c r="C1794" s="7"/>
      <c r="D1794" s="16" t="str">
        <f aca="false">IF(C1794="","",IFERROR(INDEX(Products!$B$2:$B$501,MATCH(C1794,Products!$A$2:$A$501,0)),"CODE NOT FOUND"))</f>
        <v/>
      </c>
      <c r="E1794" s="7"/>
      <c r="F1794" s="13"/>
      <c r="G1794" s="13"/>
      <c r="H1794" s="17" t="str">
        <f aca="false">IF(OR(E1794="",F1794=""),"",E1794*F1794)</f>
        <v/>
      </c>
      <c r="I1794" s="17" t="str">
        <f aca="false">IF(OR(E1794="",G1794=""),"",E1794*G1794)</f>
        <v/>
      </c>
      <c r="J1794" s="17" t="str">
        <f aca="false">IF(H1794="","",H1794-I1794)</f>
        <v/>
      </c>
    </row>
    <row r="1795" customFormat="false" ht="15" hidden="false" customHeight="true" outlineLevel="0" collapsed="false">
      <c r="A1795" s="7"/>
      <c r="B1795" s="18" t="str">
        <f aca="false">IF(A1795="","",IFERROR(INDEX(Sales_Memo!$B$2:$B$1001,MATCH(A1795,Sales_Memo!$A$2:$A$1001,0)),""))</f>
        <v/>
      </c>
      <c r="C1795" s="7"/>
      <c r="D1795" s="16" t="str">
        <f aca="false">IF(C1795="","",IFERROR(INDEX(Products!$B$2:$B$501,MATCH(C1795,Products!$A$2:$A$501,0)),"CODE NOT FOUND"))</f>
        <v/>
      </c>
      <c r="E1795" s="7"/>
      <c r="F1795" s="13"/>
      <c r="G1795" s="13"/>
      <c r="H1795" s="17" t="str">
        <f aca="false">IF(OR(E1795="",F1795=""),"",E1795*F1795)</f>
        <v/>
      </c>
      <c r="I1795" s="17" t="str">
        <f aca="false">IF(OR(E1795="",G1795=""),"",E1795*G1795)</f>
        <v/>
      </c>
      <c r="J1795" s="17" t="str">
        <f aca="false">IF(H1795="","",H1795-I1795)</f>
        <v/>
      </c>
    </row>
    <row r="1796" customFormat="false" ht="15" hidden="false" customHeight="true" outlineLevel="0" collapsed="false">
      <c r="A1796" s="7"/>
      <c r="B1796" s="18" t="str">
        <f aca="false">IF(A1796="","",IFERROR(INDEX(Sales_Memo!$B$2:$B$1001,MATCH(A1796,Sales_Memo!$A$2:$A$1001,0)),""))</f>
        <v/>
      </c>
      <c r="C1796" s="7"/>
      <c r="D1796" s="16" t="str">
        <f aca="false">IF(C1796="","",IFERROR(INDEX(Products!$B$2:$B$501,MATCH(C1796,Products!$A$2:$A$501,0)),"CODE NOT FOUND"))</f>
        <v/>
      </c>
      <c r="E1796" s="7"/>
      <c r="F1796" s="13"/>
      <c r="G1796" s="13"/>
      <c r="H1796" s="17" t="str">
        <f aca="false">IF(OR(E1796="",F1796=""),"",E1796*F1796)</f>
        <v/>
      </c>
      <c r="I1796" s="17" t="str">
        <f aca="false">IF(OR(E1796="",G1796=""),"",E1796*G1796)</f>
        <v/>
      </c>
      <c r="J1796" s="17" t="str">
        <f aca="false">IF(H1796="","",H1796-I1796)</f>
        <v/>
      </c>
    </row>
    <row r="1797" customFormat="false" ht="15" hidden="false" customHeight="true" outlineLevel="0" collapsed="false">
      <c r="A1797" s="7"/>
      <c r="B1797" s="18" t="str">
        <f aca="false">IF(A1797="","",IFERROR(INDEX(Sales_Memo!$B$2:$B$1001,MATCH(A1797,Sales_Memo!$A$2:$A$1001,0)),""))</f>
        <v/>
      </c>
      <c r="C1797" s="7"/>
      <c r="D1797" s="16" t="str">
        <f aca="false">IF(C1797="","",IFERROR(INDEX(Products!$B$2:$B$501,MATCH(C1797,Products!$A$2:$A$501,0)),"CODE NOT FOUND"))</f>
        <v/>
      </c>
      <c r="E1797" s="7"/>
      <c r="F1797" s="13"/>
      <c r="G1797" s="13"/>
      <c r="H1797" s="17" t="str">
        <f aca="false">IF(OR(E1797="",F1797=""),"",E1797*F1797)</f>
        <v/>
      </c>
      <c r="I1797" s="17" t="str">
        <f aca="false">IF(OR(E1797="",G1797=""),"",E1797*G1797)</f>
        <v/>
      </c>
      <c r="J1797" s="17" t="str">
        <f aca="false">IF(H1797="","",H1797-I1797)</f>
        <v/>
      </c>
    </row>
    <row r="1798" customFormat="false" ht="15" hidden="false" customHeight="true" outlineLevel="0" collapsed="false">
      <c r="A1798" s="7"/>
      <c r="B1798" s="18" t="str">
        <f aca="false">IF(A1798="","",IFERROR(INDEX(Sales_Memo!$B$2:$B$1001,MATCH(A1798,Sales_Memo!$A$2:$A$1001,0)),""))</f>
        <v/>
      </c>
      <c r="C1798" s="7"/>
      <c r="D1798" s="16" t="str">
        <f aca="false">IF(C1798="","",IFERROR(INDEX(Products!$B$2:$B$501,MATCH(C1798,Products!$A$2:$A$501,0)),"CODE NOT FOUND"))</f>
        <v/>
      </c>
      <c r="E1798" s="7"/>
      <c r="F1798" s="13"/>
      <c r="G1798" s="13"/>
      <c r="H1798" s="17" t="str">
        <f aca="false">IF(OR(E1798="",F1798=""),"",E1798*F1798)</f>
        <v/>
      </c>
      <c r="I1798" s="17" t="str">
        <f aca="false">IF(OR(E1798="",G1798=""),"",E1798*G1798)</f>
        <v/>
      </c>
      <c r="J1798" s="17" t="str">
        <f aca="false">IF(H1798="","",H1798-I1798)</f>
        <v/>
      </c>
    </row>
    <row r="1799" customFormat="false" ht="15" hidden="false" customHeight="true" outlineLevel="0" collapsed="false">
      <c r="A1799" s="7"/>
      <c r="B1799" s="18" t="str">
        <f aca="false">IF(A1799="","",IFERROR(INDEX(Sales_Memo!$B$2:$B$1001,MATCH(A1799,Sales_Memo!$A$2:$A$1001,0)),""))</f>
        <v/>
      </c>
      <c r="C1799" s="7"/>
      <c r="D1799" s="16" t="str">
        <f aca="false">IF(C1799="","",IFERROR(INDEX(Products!$B$2:$B$501,MATCH(C1799,Products!$A$2:$A$501,0)),"CODE NOT FOUND"))</f>
        <v/>
      </c>
      <c r="E1799" s="7"/>
      <c r="F1799" s="13"/>
      <c r="G1799" s="13"/>
      <c r="H1799" s="17" t="str">
        <f aca="false">IF(OR(E1799="",F1799=""),"",E1799*F1799)</f>
        <v/>
      </c>
      <c r="I1799" s="17" t="str">
        <f aca="false">IF(OR(E1799="",G1799=""),"",E1799*G1799)</f>
        <v/>
      </c>
      <c r="J1799" s="17" t="str">
        <f aca="false">IF(H1799="","",H1799-I1799)</f>
        <v/>
      </c>
    </row>
    <row r="1800" customFormat="false" ht="15" hidden="false" customHeight="true" outlineLevel="0" collapsed="false">
      <c r="A1800" s="7"/>
      <c r="B1800" s="18" t="str">
        <f aca="false">IF(A1800="","",IFERROR(INDEX(Sales_Memo!$B$2:$B$1001,MATCH(A1800,Sales_Memo!$A$2:$A$1001,0)),""))</f>
        <v/>
      </c>
      <c r="C1800" s="7"/>
      <c r="D1800" s="16" t="str">
        <f aca="false">IF(C1800="","",IFERROR(INDEX(Products!$B$2:$B$501,MATCH(C1800,Products!$A$2:$A$501,0)),"CODE NOT FOUND"))</f>
        <v/>
      </c>
      <c r="E1800" s="7"/>
      <c r="F1800" s="13"/>
      <c r="G1800" s="13"/>
      <c r="H1800" s="17" t="str">
        <f aca="false">IF(OR(E1800="",F1800=""),"",E1800*F1800)</f>
        <v/>
      </c>
      <c r="I1800" s="17" t="str">
        <f aca="false">IF(OR(E1800="",G1800=""),"",E1800*G1800)</f>
        <v/>
      </c>
      <c r="J1800" s="17" t="str">
        <f aca="false">IF(H1800="","",H1800-I1800)</f>
        <v/>
      </c>
    </row>
    <row r="1801" customFormat="false" ht="15" hidden="false" customHeight="true" outlineLevel="0" collapsed="false">
      <c r="A1801" s="7"/>
      <c r="B1801" s="18" t="str">
        <f aca="false">IF(A1801="","",IFERROR(INDEX(Sales_Memo!$B$2:$B$1001,MATCH(A1801,Sales_Memo!$A$2:$A$1001,0)),""))</f>
        <v/>
      </c>
      <c r="C1801" s="7"/>
      <c r="D1801" s="16" t="str">
        <f aca="false">IF(C1801="","",IFERROR(INDEX(Products!$B$2:$B$501,MATCH(C1801,Products!$A$2:$A$501,0)),"CODE NOT FOUND"))</f>
        <v/>
      </c>
      <c r="E1801" s="7"/>
      <c r="F1801" s="13"/>
      <c r="G1801" s="13"/>
      <c r="H1801" s="17" t="str">
        <f aca="false">IF(OR(E1801="",F1801=""),"",E1801*F1801)</f>
        <v/>
      </c>
      <c r="I1801" s="17" t="str">
        <f aca="false">IF(OR(E1801="",G1801=""),"",E1801*G1801)</f>
        <v/>
      </c>
      <c r="J1801" s="17" t="str">
        <f aca="false">IF(H1801="","",H1801-I1801)</f>
        <v/>
      </c>
    </row>
    <row r="1802" customFormat="false" ht="15" hidden="false" customHeight="true" outlineLevel="0" collapsed="false">
      <c r="A1802" s="7"/>
      <c r="B1802" s="18" t="str">
        <f aca="false">IF(A1802="","",IFERROR(INDEX(Sales_Memo!$B$2:$B$1001,MATCH(A1802,Sales_Memo!$A$2:$A$1001,0)),""))</f>
        <v/>
      </c>
      <c r="C1802" s="7"/>
      <c r="D1802" s="16" t="str">
        <f aca="false">IF(C1802="","",IFERROR(INDEX(Products!$B$2:$B$501,MATCH(C1802,Products!$A$2:$A$501,0)),"CODE NOT FOUND"))</f>
        <v/>
      </c>
      <c r="E1802" s="7"/>
      <c r="F1802" s="13"/>
      <c r="G1802" s="13"/>
      <c r="H1802" s="17" t="str">
        <f aca="false">IF(OR(E1802="",F1802=""),"",E1802*F1802)</f>
        <v/>
      </c>
      <c r="I1802" s="17" t="str">
        <f aca="false">IF(OR(E1802="",G1802=""),"",E1802*G1802)</f>
        <v/>
      </c>
      <c r="J1802" s="17" t="str">
        <f aca="false">IF(H1802="","",H1802-I1802)</f>
        <v/>
      </c>
    </row>
    <row r="1803" customFormat="false" ht="15" hidden="false" customHeight="true" outlineLevel="0" collapsed="false">
      <c r="A1803" s="7"/>
      <c r="B1803" s="18" t="str">
        <f aca="false">IF(A1803="","",IFERROR(INDEX(Sales_Memo!$B$2:$B$1001,MATCH(A1803,Sales_Memo!$A$2:$A$1001,0)),""))</f>
        <v/>
      </c>
      <c r="C1803" s="7"/>
      <c r="D1803" s="16" t="str">
        <f aca="false">IF(C1803="","",IFERROR(INDEX(Products!$B$2:$B$501,MATCH(C1803,Products!$A$2:$A$501,0)),"CODE NOT FOUND"))</f>
        <v/>
      </c>
      <c r="E1803" s="7"/>
      <c r="F1803" s="13"/>
      <c r="G1803" s="13"/>
      <c r="H1803" s="17" t="str">
        <f aca="false">IF(OR(E1803="",F1803=""),"",E1803*F1803)</f>
        <v/>
      </c>
      <c r="I1803" s="17" t="str">
        <f aca="false">IF(OR(E1803="",G1803=""),"",E1803*G1803)</f>
        <v/>
      </c>
      <c r="J1803" s="17" t="str">
        <f aca="false">IF(H1803="","",H1803-I1803)</f>
        <v/>
      </c>
    </row>
    <row r="1804" customFormat="false" ht="15" hidden="false" customHeight="true" outlineLevel="0" collapsed="false">
      <c r="A1804" s="7"/>
      <c r="B1804" s="18" t="str">
        <f aca="false">IF(A1804="","",IFERROR(INDEX(Sales_Memo!$B$2:$B$1001,MATCH(A1804,Sales_Memo!$A$2:$A$1001,0)),""))</f>
        <v/>
      </c>
      <c r="C1804" s="7"/>
      <c r="D1804" s="16" t="str">
        <f aca="false">IF(C1804="","",IFERROR(INDEX(Products!$B$2:$B$501,MATCH(C1804,Products!$A$2:$A$501,0)),"CODE NOT FOUND"))</f>
        <v/>
      </c>
      <c r="E1804" s="7"/>
      <c r="F1804" s="13"/>
      <c r="G1804" s="13"/>
      <c r="H1804" s="17" t="str">
        <f aca="false">IF(OR(E1804="",F1804=""),"",E1804*F1804)</f>
        <v/>
      </c>
      <c r="I1804" s="17" t="str">
        <f aca="false">IF(OR(E1804="",G1804=""),"",E1804*G1804)</f>
        <v/>
      </c>
      <c r="J1804" s="17" t="str">
        <f aca="false">IF(H1804="","",H1804-I1804)</f>
        <v/>
      </c>
    </row>
    <row r="1805" customFormat="false" ht="15" hidden="false" customHeight="true" outlineLevel="0" collapsed="false">
      <c r="A1805" s="7"/>
      <c r="B1805" s="18" t="str">
        <f aca="false">IF(A1805="","",IFERROR(INDEX(Sales_Memo!$B$2:$B$1001,MATCH(A1805,Sales_Memo!$A$2:$A$1001,0)),""))</f>
        <v/>
      </c>
      <c r="C1805" s="7"/>
      <c r="D1805" s="16" t="str">
        <f aca="false">IF(C1805="","",IFERROR(INDEX(Products!$B$2:$B$501,MATCH(C1805,Products!$A$2:$A$501,0)),"CODE NOT FOUND"))</f>
        <v/>
      </c>
      <c r="E1805" s="7"/>
      <c r="F1805" s="13"/>
      <c r="G1805" s="13"/>
      <c r="H1805" s="17" t="str">
        <f aca="false">IF(OR(E1805="",F1805=""),"",E1805*F1805)</f>
        <v/>
      </c>
      <c r="I1805" s="17" t="str">
        <f aca="false">IF(OR(E1805="",G1805=""),"",E1805*G1805)</f>
        <v/>
      </c>
      <c r="J1805" s="17" t="str">
        <f aca="false">IF(H1805="","",H1805-I1805)</f>
        <v/>
      </c>
    </row>
    <row r="1806" customFormat="false" ht="15" hidden="false" customHeight="true" outlineLevel="0" collapsed="false">
      <c r="A1806" s="7"/>
      <c r="B1806" s="18" t="str">
        <f aca="false">IF(A1806="","",IFERROR(INDEX(Sales_Memo!$B$2:$B$1001,MATCH(A1806,Sales_Memo!$A$2:$A$1001,0)),""))</f>
        <v/>
      </c>
      <c r="C1806" s="7"/>
      <c r="D1806" s="16" t="str">
        <f aca="false">IF(C1806="","",IFERROR(INDEX(Products!$B$2:$B$501,MATCH(C1806,Products!$A$2:$A$501,0)),"CODE NOT FOUND"))</f>
        <v/>
      </c>
      <c r="E1806" s="7"/>
      <c r="F1806" s="13"/>
      <c r="G1806" s="13"/>
      <c r="H1806" s="17" t="str">
        <f aca="false">IF(OR(E1806="",F1806=""),"",E1806*F1806)</f>
        <v/>
      </c>
      <c r="I1806" s="17" t="str">
        <f aca="false">IF(OR(E1806="",G1806=""),"",E1806*G1806)</f>
        <v/>
      </c>
      <c r="J1806" s="17" t="str">
        <f aca="false">IF(H1806="","",H1806-I1806)</f>
        <v/>
      </c>
    </row>
    <row r="1807" customFormat="false" ht="15" hidden="false" customHeight="true" outlineLevel="0" collapsed="false">
      <c r="A1807" s="7"/>
      <c r="B1807" s="18" t="str">
        <f aca="false">IF(A1807="","",IFERROR(INDEX(Sales_Memo!$B$2:$B$1001,MATCH(A1807,Sales_Memo!$A$2:$A$1001,0)),""))</f>
        <v/>
      </c>
      <c r="C1807" s="7"/>
      <c r="D1807" s="16" t="str">
        <f aca="false">IF(C1807="","",IFERROR(INDEX(Products!$B$2:$B$501,MATCH(C1807,Products!$A$2:$A$501,0)),"CODE NOT FOUND"))</f>
        <v/>
      </c>
      <c r="E1807" s="7"/>
      <c r="F1807" s="13"/>
      <c r="G1807" s="13"/>
      <c r="H1807" s="17" t="str">
        <f aca="false">IF(OR(E1807="",F1807=""),"",E1807*F1807)</f>
        <v/>
      </c>
      <c r="I1807" s="17" t="str">
        <f aca="false">IF(OR(E1807="",G1807=""),"",E1807*G1807)</f>
        <v/>
      </c>
      <c r="J1807" s="17" t="str">
        <f aca="false">IF(H1807="","",H1807-I1807)</f>
        <v/>
      </c>
    </row>
    <row r="1808" customFormat="false" ht="15" hidden="false" customHeight="true" outlineLevel="0" collapsed="false">
      <c r="A1808" s="7"/>
      <c r="B1808" s="18" t="str">
        <f aca="false">IF(A1808="","",IFERROR(INDEX(Sales_Memo!$B$2:$B$1001,MATCH(A1808,Sales_Memo!$A$2:$A$1001,0)),""))</f>
        <v/>
      </c>
      <c r="C1808" s="7"/>
      <c r="D1808" s="16" t="str">
        <f aca="false">IF(C1808="","",IFERROR(INDEX(Products!$B$2:$B$501,MATCH(C1808,Products!$A$2:$A$501,0)),"CODE NOT FOUND"))</f>
        <v/>
      </c>
      <c r="E1808" s="7"/>
      <c r="F1808" s="13"/>
      <c r="G1808" s="13"/>
      <c r="H1808" s="17" t="str">
        <f aca="false">IF(OR(E1808="",F1808=""),"",E1808*F1808)</f>
        <v/>
      </c>
      <c r="I1808" s="17" t="str">
        <f aca="false">IF(OR(E1808="",G1808=""),"",E1808*G1808)</f>
        <v/>
      </c>
      <c r="J1808" s="17" t="str">
        <f aca="false">IF(H1808="","",H1808-I1808)</f>
        <v/>
      </c>
    </row>
    <row r="1809" customFormat="false" ht="15" hidden="false" customHeight="true" outlineLevel="0" collapsed="false">
      <c r="A1809" s="7"/>
      <c r="B1809" s="18" t="str">
        <f aca="false">IF(A1809="","",IFERROR(INDEX(Sales_Memo!$B$2:$B$1001,MATCH(A1809,Sales_Memo!$A$2:$A$1001,0)),""))</f>
        <v/>
      </c>
      <c r="C1809" s="7"/>
      <c r="D1809" s="16" t="str">
        <f aca="false">IF(C1809="","",IFERROR(INDEX(Products!$B$2:$B$501,MATCH(C1809,Products!$A$2:$A$501,0)),"CODE NOT FOUND"))</f>
        <v/>
      </c>
      <c r="E1809" s="7"/>
      <c r="F1809" s="13"/>
      <c r="G1809" s="13"/>
      <c r="H1809" s="17" t="str">
        <f aca="false">IF(OR(E1809="",F1809=""),"",E1809*F1809)</f>
        <v/>
      </c>
      <c r="I1809" s="17" t="str">
        <f aca="false">IF(OR(E1809="",G1809=""),"",E1809*G1809)</f>
        <v/>
      </c>
      <c r="J1809" s="17" t="str">
        <f aca="false">IF(H1809="","",H1809-I1809)</f>
        <v/>
      </c>
    </row>
    <row r="1810" customFormat="false" ht="15" hidden="false" customHeight="true" outlineLevel="0" collapsed="false">
      <c r="A1810" s="7"/>
      <c r="B1810" s="18" t="str">
        <f aca="false">IF(A1810="","",IFERROR(INDEX(Sales_Memo!$B$2:$B$1001,MATCH(A1810,Sales_Memo!$A$2:$A$1001,0)),""))</f>
        <v/>
      </c>
      <c r="C1810" s="7"/>
      <c r="D1810" s="16" t="str">
        <f aca="false">IF(C1810="","",IFERROR(INDEX(Products!$B$2:$B$501,MATCH(C1810,Products!$A$2:$A$501,0)),"CODE NOT FOUND"))</f>
        <v/>
      </c>
      <c r="E1810" s="7"/>
      <c r="F1810" s="13"/>
      <c r="G1810" s="13"/>
      <c r="H1810" s="17" t="str">
        <f aca="false">IF(OR(E1810="",F1810=""),"",E1810*F1810)</f>
        <v/>
      </c>
      <c r="I1810" s="17" t="str">
        <f aca="false">IF(OR(E1810="",G1810=""),"",E1810*G1810)</f>
        <v/>
      </c>
      <c r="J1810" s="17" t="str">
        <f aca="false">IF(H1810="","",H1810-I1810)</f>
        <v/>
      </c>
    </row>
    <row r="1811" customFormat="false" ht="15" hidden="false" customHeight="true" outlineLevel="0" collapsed="false">
      <c r="A1811" s="7"/>
      <c r="B1811" s="18" t="str">
        <f aca="false">IF(A1811="","",IFERROR(INDEX(Sales_Memo!$B$2:$B$1001,MATCH(A1811,Sales_Memo!$A$2:$A$1001,0)),""))</f>
        <v/>
      </c>
      <c r="C1811" s="7"/>
      <c r="D1811" s="16" t="str">
        <f aca="false">IF(C1811="","",IFERROR(INDEX(Products!$B$2:$B$501,MATCH(C1811,Products!$A$2:$A$501,0)),"CODE NOT FOUND"))</f>
        <v/>
      </c>
      <c r="E1811" s="7"/>
      <c r="F1811" s="13"/>
      <c r="G1811" s="13"/>
      <c r="H1811" s="17" t="str">
        <f aca="false">IF(OR(E1811="",F1811=""),"",E1811*F1811)</f>
        <v/>
      </c>
      <c r="I1811" s="17" t="str">
        <f aca="false">IF(OR(E1811="",G1811=""),"",E1811*G1811)</f>
        <v/>
      </c>
      <c r="J1811" s="17" t="str">
        <f aca="false">IF(H1811="","",H1811-I1811)</f>
        <v/>
      </c>
    </row>
    <row r="1812" customFormat="false" ht="15" hidden="false" customHeight="true" outlineLevel="0" collapsed="false">
      <c r="A1812" s="7"/>
      <c r="B1812" s="18" t="str">
        <f aca="false">IF(A1812="","",IFERROR(INDEX(Sales_Memo!$B$2:$B$1001,MATCH(A1812,Sales_Memo!$A$2:$A$1001,0)),""))</f>
        <v/>
      </c>
      <c r="C1812" s="7"/>
      <c r="D1812" s="16" t="str">
        <f aca="false">IF(C1812="","",IFERROR(INDEX(Products!$B$2:$B$501,MATCH(C1812,Products!$A$2:$A$501,0)),"CODE NOT FOUND"))</f>
        <v/>
      </c>
      <c r="E1812" s="7"/>
      <c r="F1812" s="13"/>
      <c r="G1812" s="13"/>
      <c r="H1812" s="17" t="str">
        <f aca="false">IF(OR(E1812="",F1812=""),"",E1812*F1812)</f>
        <v/>
      </c>
      <c r="I1812" s="17" t="str">
        <f aca="false">IF(OR(E1812="",G1812=""),"",E1812*G1812)</f>
        <v/>
      </c>
      <c r="J1812" s="17" t="str">
        <f aca="false">IF(H1812="","",H1812-I1812)</f>
        <v/>
      </c>
    </row>
    <row r="1813" customFormat="false" ht="15" hidden="false" customHeight="true" outlineLevel="0" collapsed="false">
      <c r="A1813" s="7"/>
      <c r="B1813" s="18" t="str">
        <f aca="false">IF(A1813="","",IFERROR(INDEX(Sales_Memo!$B$2:$B$1001,MATCH(A1813,Sales_Memo!$A$2:$A$1001,0)),""))</f>
        <v/>
      </c>
      <c r="C1813" s="7"/>
      <c r="D1813" s="16" t="str">
        <f aca="false">IF(C1813="","",IFERROR(INDEX(Products!$B$2:$B$501,MATCH(C1813,Products!$A$2:$A$501,0)),"CODE NOT FOUND"))</f>
        <v/>
      </c>
      <c r="E1813" s="7"/>
      <c r="F1813" s="13"/>
      <c r="G1813" s="13"/>
      <c r="H1813" s="17" t="str">
        <f aca="false">IF(OR(E1813="",F1813=""),"",E1813*F1813)</f>
        <v/>
      </c>
      <c r="I1813" s="17" t="str">
        <f aca="false">IF(OR(E1813="",G1813=""),"",E1813*G1813)</f>
        <v/>
      </c>
      <c r="J1813" s="17" t="str">
        <f aca="false">IF(H1813="","",H1813-I1813)</f>
        <v/>
      </c>
    </row>
    <row r="1814" customFormat="false" ht="15" hidden="false" customHeight="true" outlineLevel="0" collapsed="false">
      <c r="A1814" s="7"/>
      <c r="B1814" s="18" t="str">
        <f aca="false">IF(A1814="","",IFERROR(INDEX(Sales_Memo!$B$2:$B$1001,MATCH(A1814,Sales_Memo!$A$2:$A$1001,0)),""))</f>
        <v/>
      </c>
      <c r="C1814" s="7"/>
      <c r="D1814" s="16" t="str">
        <f aca="false">IF(C1814="","",IFERROR(INDEX(Products!$B$2:$B$501,MATCH(C1814,Products!$A$2:$A$501,0)),"CODE NOT FOUND"))</f>
        <v/>
      </c>
      <c r="E1814" s="7"/>
      <c r="F1814" s="13"/>
      <c r="G1814" s="13"/>
      <c r="H1814" s="17" t="str">
        <f aca="false">IF(OR(E1814="",F1814=""),"",E1814*F1814)</f>
        <v/>
      </c>
      <c r="I1814" s="17" t="str">
        <f aca="false">IF(OR(E1814="",G1814=""),"",E1814*G1814)</f>
        <v/>
      </c>
      <c r="J1814" s="17" t="str">
        <f aca="false">IF(H1814="","",H1814-I1814)</f>
        <v/>
      </c>
    </row>
    <row r="1815" customFormat="false" ht="15" hidden="false" customHeight="true" outlineLevel="0" collapsed="false">
      <c r="A1815" s="7"/>
      <c r="B1815" s="18" t="str">
        <f aca="false">IF(A1815="","",IFERROR(INDEX(Sales_Memo!$B$2:$B$1001,MATCH(A1815,Sales_Memo!$A$2:$A$1001,0)),""))</f>
        <v/>
      </c>
      <c r="C1815" s="7"/>
      <c r="D1815" s="16" t="str">
        <f aca="false">IF(C1815="","",IFERROR(INDEX(Products!$B$2:$B$501,MATCH(C1815,Products!$A$2:$A$501,0)),"CODE NOT FOUND"))</f>
        <v/>
      </c>
      <c r="E1815" s="7"/>
      <c r="F1815" s="13"/>
      <c r="G1815" s="13"/>
      <c r="H1815" s="17" t="str">
        <f aca="false">IF(OR(E1815="",F1815=""),"",E1815*F1815)</f>
        <v/>
      </c>
      <c r="I1815" s="17" t="str">
        <f aca="false">IF(OR(E1815="",G1815=""),"",E1815*G1815)</f>
        <v/>
      </c>
      <c r="J1815" s="17" t="str">
        <f aca="false">IF(H1815="","",H1815-I1815)</f>
        <v/>
      </c>
    </row>
    <row r="1816" customFormat="false" ht="15" hidden="false" customHeight="true" outlineLevel="0" collapsed="false">
      <c r="A1816" s="7"/>
      <c r="B1816" s="18" t="str">
        <f aca="false">IF(A1816="","",IFERROR(INDEX(Sales_Memo!$B$2:$B$1001,MATCH(A1816,Sales_Memo!$A$2:$A$1001,0)),""))</f>
        <v/>
      </c>
      <c r="C1816" s="7"/>
      <c r="D1816" s="16" t="str">
        <f aca="false">IF(C1816="","",IFERROR(INDEX(Products!$B$2:$B$501,MATCH(C1816,Products!$A$2:$A$501,0)),"CODE NOT FOUND"))</f>
        <v/>
      </c>
      <c r="E1816" s="7"/>
      <c r="F1816" s="13"/>
      <c r="G1816" s="13"/>
      <c r="H1816" s="17" t="str">
        <f aca="false">IF(OR(E1816="",F1816=""),"",E1816*F1816)</f>
        <v/>
      </c>
      <c r="I1816" s="17" t="str">
        <f aca="false">IF(OR(E1816="",G1816=""),"",E1816*G1816)</f>
        <v/>
      </c>
      <c r="J1816" s="17" t="str">
        <f aca="false">IF(H1816="","",H1816-I1816)</f>
        <v/>
      </c>
    </row>
    <row r="1817" customFormat="false" ht="15" hidden="false" customHeight="true" outlineLevel="0" collapsed="false">
      <c r="A1817" s="7"/>
      <c r="B1817" s="18" t="str">
        <f aca="false">IF(A1817="","",IFERROR(INDEX(Sales_Memo!$B$2:$B$1001,MATCH(A1817,Sales_Memo!$A$2:$A$1001,0)),""))</f>
        <v/>
      </c>
      <c r="C1817" s="7"/>
      <c r="D1817" s="16" t="str">
        <f aca="false">IF(C1817="","",IFERROR(INDEX(Products!$B$2:$B$501,MATCH(C1817,Products!$A$2:$A$501,0)),"CODE NOT FOUND"))</f>
        <v/>
      </c>
      <c r="E1817" s="7"/>
      <c r="F1817" s="13"/>
      <c r="G1817" s="13"/>
      <c r="H1817" s="17" t="str">
        <f aca="false">IF(OR(E1817="",F1817=""),"",E1817*F1817)</f>
        <v/>
      </c>
      <c r="I1817" s="17" t="str">
        <f aca="false">IF(OR(E1817="",G1817=""),"",E1817*G1817)</f>
        <v/>
      </c>
      <c r="J1817" s="17" t="str">
        <f aca="false">IF(H1817="","",H1817-I1817)</f>
        <v/>
      </c>
    </row>
    <row r="1818" customFormat="false" ht="15" hidden="false" customHeight="true" outlineLevel="0" collapsed="false">
      <c r="A1818" s="7"/>
      <c r="B1818" s="18" t="str">
        <f aca="false">IF(A1818="","",IFERROR(INDEX(Sales_Memo!$B$2:$B$1001,MATCH(A1818,Sales_Memo!$A$2:$A$1001,0)),""))</f>
        <v/>
      </c>
      <c r="C1818" s="7"/>
      <c r="D1818" s="16" t="str">
        <f aca="false">IF(C1818="","",IFERROR(INDEX(Products!$B$2:$B$501,MATCH(C1818,Products!$A$2:$A$501,0)),"CODE NOT FOUND"))</f>
        <v/>
      </c>
      <c r="E1818" s="7"/>
      <c r="F1818" s="13"/>
      <c r="G1818" s="13"/>
      <c r="H1818" s="17" t="str">
        <f aca="false">IF(OR(E1818="",F1818=""),"",E1818*F1818)</f>
        <v/>
      </c>
      <c r="I1818" s="17" t="str">
        <f aca="false">IF(OR(E1818="",G1818=""),"",E1818*G1818)</f>
        <v/>
      </c>
      <c r="J1818" s="17" t="str">
        <f aca="false">IF(H1818="","",H1818-I1818)</f>
        <v/>
      </c>
    </row>
    <row r="1819" customFormat="false" ht="15" hidden="false" customHeight="true" outlineLevel="0" collapsed="false">
      <c r="A1819" s="7"/>
      <c r="B1819" s="18" t="str">
        <f aca="false">IF(A1819="","",IFERROR(INDEX(Sales_Memo!$B$2:$B$1001,MATCH(A1819,Sales_Memo!$A$2:$A$1001,0)),""))</f>
        <v/>
      </c>
      <c r="C1819" s="7"/>
      <c r="D1819" s="16" t="str">
        <f aca="false">IF(C1819="","",IFERROR(INDEX(Products!$B$2:$B$501,MATCH(C1819,Products!$A$2:$A$501,0)),"CODE NOT FOUND"))</f>
        <v/>
      </c>
      <c r="E1819" s="7"/>
      <c r="F1819" s="13"/>
      <c r="G1819" s="13"/>
      <c r="H1819" s="17" t="str">
        <f aca="false">IF(OR(E1819="",F1819=""),"",E1819*F1819)</f>
        <v/>
      </c>
      <c r="I1819" s="17" t="str">
        <f aca="false">IF(OR(E1819="",G1819=""),"",E1819*G1819)</f>
        <v/>
      </c>
      <c r="J1819" s="17" t="str">
        <f aca="false">IF(H1819="","",H1819-I1819)</f>
        <v/>
      </c>
    </row>
    <row r="1820" customFormat="false" ht="15" hidden="false" customHeight="true" outlineLevel="0" collapsed="false">
      <c r="A1820" s="7"/>
      <c r="B1820" s="18" t="str">
        <f aca="false">IF(A1820="","",IFERROR(INDEX(Sales_Memo!$B$2:$B$1001,MATCH(A1820,Sales_Memo!$A$2:$A$1001,0)),""))</f>
        <v/>
      </c>
      <c r="C1820" s="7"/>
      <c r="D1820" s="16" t="str">
        <f aca="false">IF(C1820="","",IFERROR(INDEX(Products!$B$2:$B$501,MATCH(C1820,Products!$A$2:$A$501,0)),"CODE NOT FOUND"))</f>
        <v/>
      </c>
      <c r="E1820" s="7"/>
      <c r="F1820" s="13"/>
      <c r="G1820" s="13"/>
      <c r="H1820" s="17" t="str">
        <f aca="false">IF(OR(E1820="",F1820=""),"",E1820*F1820)</f>
        <v/>
      </c>
      <c r="I1820" s="17" t="str">
        <f aca="false">IF(OR(E1820="",G1820=""),"",E1820*G1820)</f>
        <v/>
      </c>
      <c r="J1820" s="17" t="str">
        <f aca="false">IF(H1820="","",H1820-I1820)</f>
        <v/>
      </c>
    </row>
    <row r="1821" customFormat="false" ht="15" hidden="false" customHeight="true" outlineLevel="0" collapsed="false">
      <c r="A1821" s="7"/>
      <c r="B1821" s="18" t="str">
        <f aca="false">IF(A1821="","",IFERROR(INDEX(Sales_Memo!$B$2:$B$1001,MATCH(A1821,Sales_Memo!$A$2:$A$1001,0)),""))</f>
        <v/>
      </c>
      <c r="C1821" s="7"/>
      <c r="D1821" s="16" t="str">
        <f aca="false">IF(C1821="","",IFERROR(INDEX(Products!$B$2:$B$501,MATCH(C1821,Products!$A$2:$A$501,0)),"CODE NOT FOUND"))</f>
        <v/>
      </c>
      <c r="E1821" s="7"/>
      <c r="F1821" s="13"/>
      <c r="G1821" s="13"/>
      <c r="H1821" s="17" t="str">
        <f aca="false">IF(OR(E1821="",F1821=""),"",E1821*F1821)</f>
        <v/>
      </c>
      <c r="I1821" s="17" t="str">
        <f aca="false">IF(OR(E1821="",G1821=""),"",E1821*G1821)</f>
        <v/>
      </c>
      <c r="J1821" s="17" t="str">
        <f aca="false">IF(H1821="","",H1821-I1821)</f>
        <v/>
      </c>
    </row>
    <row r="1822" customFormat="false" ht="15" hidden="false" customHeight="true" outlineLevel="0" collapsed="false">
      <c r="A1822" s="7"/>
      <c r="B1822" s="18" t="str">
        <f aca="false">IF(A1822="","",IFERROR(INDEX(Sales_Memo!$B$2:$B$1001,MATCH(A1822,Sales_Memo!$A$2:$A$1001,0)),""))</f>
        <v/>
      </c>
      <c r="C1822" s="7"/>
      <c r="D1822" s="16" t="str">
        <f aca="false">IF(C1822="","",IFERROR(INDEX(Products!$B$2:$B$501,MATCH(C1822,Products!$A$2:$A$501,0)),"CODE NOT FOUND"))</f>
        <v/>
      </c>
      <c r="E1822" s="7"/>
      <c r="F1822" s="13"/>
      <c r="G1822" s="13"/>
      <c r="H1822" s="17" t="str">
        <f aca="false">IF(OR(E1822="",F1822=""),"",E1822*F1822)</f>
        <v/>
      </c>
      <c r="I1822" s="17" t="str">
        <f aca="false">IF(OR(E1822="",G1822=""),"",E1822*G1822)</f>
        <v/>
      </c>
      <c r="J1822" s="17" t="str">
        <f aca="false">IF(H1822="","",H1822-I1822)</f>
        <v/>
      </c>
    </row>
    <row r="1823" customFormat="false" ht="15" hidden="false" customHeight="true" outlineLevel="0" collapsed="false">
      <c r="A1823" s="7"/>
      <c r="B1823" s="18" t="str">
        <f aca="false">IF(A1823="","",IFERROR(INDEX(Sales_Memo!$B$2:$B$1001,MATCH(A1823,Sales_Memo!$A$2:$A$1001,0)),""))</f>
        <v/>
      </c>
      <c r="C1823" s="7"/>
      <c r="D1823" s="16" t="str">
        <f aca="false">IF(C1823="","",IFERROR(INDEX(Products!$B$2:$B$501,MATCH(C1823,Products!$A$2:$A$501,0)),"CODE NOT FOUND"))</f>
        <v/>
      </c>
      <c r="E1823" s="7"/>
      <c r="F1823" s="13"/>
      <c r="G1823" s="13"/>
      <c r="H1823" s="17" t="str">
        <f aca="false">IF(OR(E1823="",F1823=""),"",E1823*F1823)</f>
        <v/>
      </c>
      <c r="I1823" s="17" t="str">
        <f aca="false">IF(OR(E1823="",G1823=""),"",E1823*G1823)</f>
        <v/>
      </c>
      <c r="J1823" s="17" t="str">
        <f aca="false">IF(H1823="","",H1823-I1823)</f>
        <v/>
      </c>
    </row>
    <row r="1824" customFormat="false" ht="15" hidden="false" customHeight="true" outlineLevel="0" collapsed="false">
      <c r="A1824" s="7"/>
      <c r="B1824" s="18" t="str">
        <f aca="false">IF(A1824="","",IFERROR(INDEX(Sales_Memo!$B$2:$B$1001,MATCH(A1824,Sales_Memo!$A$2:$A$1001,0)),""))</f>
        <v/>
      </c>
      <c r="C1824" s="7"/>
      <c r="D1824" s="16" t="str">
        <f aca="false">IF(C1824="","",IFERROR(INDEX(Products!$B$2:$B$501,MATCH(C1824,Products!$A$2:$A$501,0)),"CODE NOT FOUND"))</f>
        <v/>
      </c>
      <c r="E1824" s="7"/>
      <c r="F1824" s="13"/>
      <c r="G1824" s="13"/>
      <c r="H1824" s="17" t="str">
        <f aca="false">IF(OR(E1824="",F1824=""),"",E1824*F1824)</f>
        <v/>
      </c>
      <c r="I1824" s="17" t="str">
        <f aca="false">IF(OR(E1824="",G1824=""),"",E1824*G1824)</f>
        <v/>
      </c>
      <c r="J1824" s="17" t="str">
        <f aca="false">IF(H1824="","",H1824-I1824)</f>
        <v/>
      </c>
    </row>
    <row r="1825" customFormat="false" ht="15" hidden="false" customHeight="true" outlineLevel="0" collapsed="false">
      <c r="A1825" s="7"/>
      <c r="B1825" s="18" t="str">
        <f aca="false">IF(A1825="","",IFERROR(INDEX(Sales_Memo!$B$2:$B$1001,MATCH(A1825,Sales_Memo!$A$2:$A$1001,0)),""))</f>
        <v/>
      </c>
      <c r="C1825" s="7"/>
      <c r="D1825" s="16" t="str">
        <f aca="false">IF(C1825="","",IFERROR(INDEX(Products!$B$2:$B$501,MATCH(C1825,Products!$A$2:$A$501,0)),"CODE NOT FOUND"))</f>
        <v/>
      </c>
      <c r="E1825" s="7"/>
      <c r="F1825" s="13"/>
      <c r="G1825" s="13"/>
      <c r="H1825" s="17" t="str">
        <f aca="false">IF(OR(E1825="",F1825=""),"",E1825*F1825)</f>
        <v/>
      </c>
      <c r="I1825" s="17" t="str">
        <f aca="false">IF(OR(E1825="",G1825=""),"",E1825*G1825)</f>
        <v/>
      </c>
      <c r="J1825" s="17" t="str">
        <f aca="false">IF(H1825="","",H1825-I1825)</f>
        <v/>
      </c>
    </row>
    <row r="1826" customFormat="false" ht="15" hidden="false" customHeight="true" outlineLevel="0" collapsed="false">
      <c r="A1826" s="7"/>
      <c r="B1826" s="18" t="str">
        <f aca="false">IF(A1826="","",IFERROR(INDEX(Sales_Memo!$B$2:$B$1001,MATCH(A1826,Sales_Memo!$A$2:$A$1001,0)),""))</f>
        <v/>
      </c>
      <c r="C1826" s="7"/>
      <c r="D1826" s="16" t="str">
        <f aca="false">IF(C1826="","",IFERROR(INDEX(Products!$B$2:$B$501,MATCH(C1826,Products!$A$2:$A$501,0)),"CODE NOT FOUND"))</f>
        <v/>
      </c>
      <c r="E1826" s="7"/>
      <c r="F1826" s="13"/>
      <c r="G1826" s="13"/>
      <c r="H1826" s="17" t="str">
        <f aca="false">IF(OR(E1826="",F1826=""),"",E1826*F1826)</f>
        <v/>
      </c>
      <c r="I1826" s="17" t="str">
        <f aca="false">IF(OR(E1826="",G1826=""),"",E1826*G1826)</f>
        <v/>
      </c>
      <c r="J1826" s="17" t="str">
        <f aca="false">IF(H1826="","",H1826-I1826)</f>
        <v/>
      </c>
    </row>
    <row r="1827" customFormat="false" ht="15" hidden="false" customHeight="true" outlineLevel="0" collapsed="false">
      <c r="A1827" s="7"/>
      <c r="B1827" s="18" t="str">
        <f aca="false">IF(A1827="","",IFERROR(INDEX(Sales_Memo!$B$2:$B$1001,MATCH(A1827,Sales_Memo!$A$2:$A$1001,0)),""))</f>
        <v/>
      </c>
      <c r="C1827" s="7"/>
      <c r="D1827" s="16" t="str">
        <f aca="false">IF(C1827="","",IFERROR(INDEX(Products!$B$2:$B$501,MATCH(C1827,Products!$A$2:$A$501,0)),"CODE NOT FOUND"))</f>
        <v/>
      </c>
      <c r="E1827" s="7"/>
      <c r="F1827" s="13"/>
      <c r="G1827" s="13"/>
      <c r="H1827" s="17" t="str">
        <f aca="false">IF(OR(E1827="",F1827=""),"",E1827*F1827)</f>
        <v/>
      </c>
      <c r="I1827" s="17" t="str">
        <f aca="false">IF(OR(E1827="",G1827=""),"",E1827*G1827)</f>
        <v/>
      </c>
      <c r="J1827" s="17" t="str">
        <f aca="false">IF(H1827="","",H1827-I1827)</f>
        <v/>
      </c>
    </row>
    <row r="1828" customFormat="false" ht="15" hidden="false" customHeight="true" outlineLevel="0" collapsed="false">
      <c r="A1828" s="7"/>
      <c r="B1828" s="18" t="str">
        <f aca="false">IF(A1828="","",IFERROR(INDEX(Sales_Memo!$B$2:$B$1001,MATCH(A1828,Sales_Memo!$A$2:$A$1001,0)),""))</f>
        <v/>
      </c>
      <c r="C1828" s="7"/>
      <c r="D1828" s="16" t="str">
        <f aca="false">IF(C1828="","",IFERROR(INDEX(Products!$B$2:$B$501,MATCH(C1828,Products!$A$2:$A$501,0)),"CODE NOT FOUND"))</f>
        <v/>
      </c>
      <c r="E1828" s="7"/>
      <c r="F1828" s="13"/>
      <c r="G1828" s="13"/>
      <c r="H1828" s="17" t="str">
        <f aca="false">IF(OR(E1828="",F1828=""),"",E1828*F1828)</f>
        <v/>
      </c>
      <c r="I1828" s="17" t="str">
        <f aca="false">IF(OR(E1828="",G1828=""),"",E1828*G1828)</f>
        <v/>
      </c>
      <c r="J1828" s="17" t="str">
        <f aca="false">IF(H1828="","",H1828-I1828)</f>
        <v/>
      </c>
    </row>
    <row r="1829" customFormat="false" ht="15" hidden="false" customHeight="true" outlineLevel="0" collapsed="false">
      <c r="A1829" s="7"/>
      <c r="B1829" s="18" t="str">
        <f aca="false">IF(A1829="","",IFERROR(INDEX(Sales_Memo!$B$2:$B$1001,MATCH(A1829,Sales_Memo!$A$2:$A$1001,0)),""))</f>
        <v/>
      </c>
      <c r="C1829" s="7"/>
      <c r="D1829" s="16" t="str">
        <f aca="false">IF(C1829="","",IFERROR(INDEX(Products!$B$2:$B$501,MATCH(C1829,Products!$A$2:$A$501,0)),"CODE NOT FOUND"))</f>
        <v/>
      </c>
      <c r="E1829" s="7"/>
      <c r="F1829" s="13"/>
      <c r="G1829" s="13"/>
      <c r="H1829" s="17" t="str">
        <f aca="false">IF(OR(E1829="",F1829=""),"",E1829*F1829)</f>
        <v/>
      </c>
      <c r="I1829" s="17" t="str">
        <f aca="false">IF(OR(E1829="",G1829=""),"",E1829*G1829)</f>
        <v/>
      </c>
      <c r="J1829" s="17" t="str">
        <f aca="false">IF(H1829="","",H1829-I1829)</f>
        <v/>
      </c>
    </row>
    <row r="1830" customFormat="false" ht="15" hidden="false" customHeight="true" outlineLevel="0" collapsed="false">
      <c r="A1830" s="7"/>
      <c r="B1830" s="18" t="str">
        <f aca="false">IF(A1830="","",IFERROR(INDEX(Sales_Memo!$B$2:$B$1001,MATCH(A1830,Sales_Memo!$A$2:$A$1001,0)),""))</f>
        <v/>
      </c>
      <c r="C1830" s="7"/>
      <c r="D1830" s="16" t="str">
        <f aca="false">IF(C1830="","",IFERROR(INDEX(Products!$B$2:$B$501,MATCH(C1830,Products!$A$2:$A$501,0)),"CODE NOT FOUND"))</f>
        <v/>
      </c>
      <c r="E1830" s="7"/>
      <c r="F1830" s="13"/>
      <c r="G1830" s="13"/>
      <c r="H1830" s="17" t="str">
        <f aca="false">IF(OR(E1830="",F1830=""),"",E1830*F1830)</f>
        <v/>
      </c>
      <c r="I1830" s="17" t="str">
        <f aca="false">IF(OR(E1830="",G1830=""),"",E1830*G1830)</f>
        <v/>
      </c>
      <c r="J1830" s="17" t="str">
        <f aca="false">IF(H1830="","",H1830-I1830)</f>
        <v/>
      </c>
    </row>
    <row r="1831" customFormat="false" ht="15" hidden="false" customHeight="true" outlineLevel="0" collapsed="false">
      <c r="A1831" s="7"/>
      <c r="B1831" s="18" t="str">
        <f aca="false">IF(A1831="","",IFERROR(INDEX(Sales_Memo!$B$2:$B$1001,MATCH(A1831,Sales_Memo!$A$2:$A$1001,0)),""))</f>
        <v/>
      </c>
      <c r="C1831" s="7"/>
      <c r="D1831" s="16" t="str">
        <f aca="false">IF(C1831="","",IFERROR(INDEX(Products!$B$2:$B$501,MATCH(C1831,Products!$A$2:$A$501,0)),"CODE NOT FOUND"))</f>
        <v/>
      </c>
      <c r="E1831" s="7"/>
      <c r="F1831" s="13"/>
      <c r="G1831" s="13"/>
      <c r="H1831" s="17" t="str">
        <f aca="false">IF(OR(E1831="",F1831=""),"",E1831*F1831)</f>
        <v/>
      </c>
      <c r="I1831" s="17" t="str">
        <f aca="false">IF(OR(E1831="",G1831=""),"",E1831*G1831)</f>
        <v/>
      </c>
      <c r="J1831" s="17" t="str">
        <f aca="false">IF(H1831="","",H1831-I1831)</f>
        <v/>
      </c>
    </row>
    <row r="1832" customFormat="false" ht="15" hidden="false" customHeight="true" outlineLevel="0" collapsed="false">
      <c r="A1832" s="7"/>
      <c r="B1832" s="18" t="str">
        <f aca="false">IF(A1832="","",IFERROR(INDEX(Sales_Memo!$B$2:$B$1001,MATCH(A1832,Sales_Memo!$A$2:$A$1001,0)),""))</f>
        <v/>
      </c>
      <c r="C1832" s="7"/>
      <c r="D1832" s="16" t="str">
        <f aca="false">IF(C1832="","",IFERROR(INDEX(Products!$B$2:$B$501,MATCH(C1832,Products!$A$2:$A$501,0)),"CODE NOT FOUND"))</f>
        <v/>
      </c>
      <c r="E1832" s="7"/>
      <c r="F1832" s="13"/>
      <c r="G1832" s="13"/>
      <c r="H1832" s="17" t="str">
        <f aca="false">IF(OR(E1832="",F1832=""),"",E1832*F1832)</f>
        <v/>
      </c>
      <c r="I1832" s="17" t="str">
        <f aca="false">IF(OR(E1832="",G1832=""),"",E1832*G1832)</f>
        <v/>
      </c>
      <c r="J1832" s="17" t="str">
        <f aca="false">IF(H1832="","",H1832-I1832)</f>
        <v/>
      </c>
    </row>
    <row r="1833" customFormat="false" ht="15" hidden="false" customHeight="true" outlineLevel="0" collapsed="false">
      <c r="A1833" s="7"/>
      <c r="B1833" s="18" t="str">
        <f aca="false">IF(A1833="","",IFERROR(INDEX(Sales_Memo!$B$2:$B$1001,MATCH(A1833,Sales_Memo!$A$2:$A$1001,0)),""))</f>
        <v/>
      </c>
      <c r="C1833" s="7"/>
      <c r="D1833" s="16" t="str">
        <f aca="false">IF(C1833="","",IFERROR(INDEX(Products!$B$2:$B$501,MATCH(C1833,Products!$A$2:$A$501,0)),"CODE NOT FOUND"))</f>
        <v/>
      </c>
      <c r="E1833" s="7"/>
      <c r="F1833" s="13"/>
      <c r="G1833" s="13"/>
      <c r="H1833" s="17" t="str">
        <f aca="false">IF(OR(E1833="",F1833=""),"",E1833*F1833)</f>
        <v/>
      </c>
      <c r="I1833" s="17" t="str">
        <f aca="false">IF(OR(E1833="",G1833=""),"",E1833*G1833)</f>
        <v/>
      </c>
      <c r="J1833" s="17" t="str">
        <f aca="false">IF(H1833="","",H1833-I1833)</f>
        <v/>
      </c>
    </row>
    <row r="1834" customFormat="false" ht="15" hidden="false" customHeight="true" outlineLevel="0" collapsed="false">
      <c r="A1834" s="7"/>
      <c r="B1834" s="18" t="str">
        <f aca="false">IF(A1834="","",IFERROR(INDEX(Sales_Memo!$B$2:$B$1001,MATCH(A1834,Sales_Memo!$A$2:$A$1001,0)),""))</f>
        <v/>
      </c>
      <c r="C1834" s="7"/>
      <c r="D1834" s="16" t="str">
        <f aca="false">IF(C1834="","",IFERROR(INDEX(Products!$B$2:$B$501,MATCH(C1834,Products!$A$2:$A$501,0)),"CODE NOT FOUND"))</f>
        <v/>
      </c>
      <c r="E1834" s="7"/>
      <c r="F1834" s="13"/>
      <c r="G1834" s="13"/>
      <c r="H1834" s="17" t="str">
        <f aca="false">IF(OR(E1834="",F1834=""),"",E1834*F1834)</f>
        <v/>
      </c>
      <c r="I1834" s="17" t="str">
        <f aca="false">IF(OR(E1834="",G1834=""),"",E1834*G1834)</f>
        <v/>
      </c>
      <c r="J1834" s="17" t="str">
        <f aca="false">IF(H1834="","",H1834-I1834)</f>
        <v/>
      </c>
    </row>
    <row r="1835" customFormat="false" ht="15" hidden="false" customHeight="true" outlineLevel="0" collapsed="false">
      <c r="A1835" s="7"/>
      <c r="B1835" s="18" t="str">
        <f aca="false">IF(A1835="","",IFERROR(INDEX(Sales_Memo!$B$2:$B$1001,MATCH(A1835,Sales_Memo!$A$2:$A$1001,0)),""))</f>
        <v/>
      </c>
      <c r="C1835" s="7"/>
      <c r="D1835" s="16" t="str">
        <f aca="false">IF(C1835="","",IFERROR(INDEX(Products!$B$2:$B$501,MATCH(C1835,Products!$A$2:$A$501,0)),"CODE NOT FOUND"))</f>
        <v/>
      </c>
      <c r="E1835" s="7"/>
      <c r="F1835" s="13"/>
      <c r="G1835" s="13"/>
      <c r="H1835" s="17" t="str">
        <f aca="false">IF(OR(E1835="",F1835=""),"",E1835*F1835)</f>
        <v/>
      </c>
      <c r="I1835" s="17" t="str">
        <f aca="false">IF(OR(E1835="",G1835=""),"",E1835*G1835)</f>
        <v/>
      </c>
      <c r="J1835" s="17" t="str">
        <f aca="false">IF(H1835="","",H1835-I1835)</f>
        <v/>
      </c>
    </row>
    <row r="1836" customFormat="false" ht="15" hidden="false" customHeight="true" outlineLevel="0" collapsed="false">
      <c r="A1836" s="7"/>
      <c r="B1836" s="18" t="str">
        <f aca="false">IF(A1836="","",IFERROR(INDEX(Sales_Memo!$B$2:$B$1001,MATCH(A1836,Sales_Memo!$A$2:$A$1001,0)),""))</f>
        <v/>
      </c>
      <c r="C1836" s="7"/>
      <c r="D1836" s="16" t="str">
        <f aca="false">IF(C1836="","",IFERROR(INDEX(Products!$B$2:$B$501,MATCH(C1836,Products!$A$2:$A$501,0)),"CODE NOT FOUND"))</f>
        <v/>
      </c>
      <c r="E1836" s="7"/>
      <c r="F1836" s="13"/>
      <c r="G1836" s="13"/>
      <c r="H1836" s="17" t="str">
        <f aca="false">IF(OR(E1836="",F1836=""),"",E1836*F1836)</f>
        <v/>
      </c>
      <c r="I1836" s="17" t="str">
        <f aca="false">IF(OR(E1836="",G1836=""),"",E1836*G1836)</f>
        <v/>
      </c>
      <c r="J1836" s="17" t="str">
        <f aca="false">IF(H1836="","",H1836-I1836)</f>
        <v/>
      </c>
    </row>
    <row r="1837" customFormat="false" ht="15" hidden="false" customHeight="true" outlineLevel="0" collapsed="false">
      <c r="A1837" s="7"/>
      <c r="B1837" s="18" t="str">
        <f aca="false">IF(A1837="","",IFERROR(INDEX(Sales_Memo!$B$2:$B$1001,MATCH(A1837,Sales_Memo!$A$2:$A$1001,0)),""))</f>
        <v/>
      </c>
      <c r="C1837" s="7"/>
      <c r="D1837" s="16" t="str">
        <f aca="false">IF(C1837="","",IFERROR(INDEX(Products!$B$2:$B$501,MATCH(C1837,Products!$A$2:$A$501,0)),"CODE NOT FOUND"))</f>
        <v/>
      </c>
      <c r="E1837" s="7"/>
      <c r="F1837" s="13"/>
      <c r="G1837" s="13"/>
      <c r="H1837" s="17" t="str">
        <f aca="false">IF(OR(E1837="",F1837=""),"",E1837*F1837)</f>
        <v/>
      </c>
      <c r="I1837" s="17" t="str">
        <f aca="false">IF(OR(E1837="",G1837=""),"",E1837*G1837)</f>
        <v/>
      </c>
      <c r="J1837" s="17" t="str">
        <f aca="false">IF(H1837="","",H1837-I1837)</f>
        <v/>
      </c>
    </row>
    <row r="1838" customFormat="false" ht="15" hidden="false" customHeight="true" outlineLevel="0" collapsed="false">
      <c r="A1838" s="7"/>
      <c r="B1838" s="18" t="str">
        <f aca="false">IF(A1838="","",IFERROR(INDEX(Sales_Memo!$B$2:$B$1001,MATCH(A1838,Sales_Memo!$A$2:$A$1001,0)),""))</f>
        <v/>
      </c>
      <c r="C1838" s="7"/>
      <c r="D1838" s="16" t="str">
        <f aca="false">IF(C1838="","",IFERROR(INDEX(Products!$B$2:$B$501,MATCH(C1838,Products!$A$2:$A$501,0)),"CODE NOT FOUND"))</f>
        <v/>
      </c>
      <c r="E1838" s="7"/>
      <c r="F1838" s="13"/>
      <c r="G1838" s="13"/>
      <c r="H1838" s="17" t="str">
        <f aca="false">IF(OR(E1838="",F1838=""),"",E1838*F1838)</f>
        <v/>
      </c>
      <c r="I1838" s="17" t="str">
        <f aca="false">IF(OR(E1838="",G1838=""),"",E1838*G1838)</f>
        <v/>
      </c>
      <c r="J1838" s="17" t="str">
        <f aca="false">IF(H1838="","",H1838-I1838)</f>
        <v/>
      </c>
    </row>
    <row r="1839" customFormat="false" ht="15" hidden="false" customHeight="true" outlineLevel="0" collapsed="false">
      <c r="A1839" s="7"/>
      <c r="B1839" s="18" t="str">
        <f aca="false">IF(A1839="","",IFERROR(INDEX(Sales_Memo!$B$2:$B$1001,MATCH(A1839,Sales_Memo!$A$2:$A$1001,0)),""))</f>
        <v/>
      </c>
      <c r="C1839" s="7"/>
      <c r="D1839" s="16" t="str">
        <f aca="false">IF(C1839="","",IFERROR(INDEX(Products!$B$2:$B$501,MATCH(C1839,Products!$A$2:$A$501,0)),"CODE NOT FOUND"))</f>
        <v/>
      </c>
      <c r="E1839" s="7"/>
      <c r="F1839" s="13"/>
      <c r="G1839" s="13"/>
      <c r="H1839" s="17" t="str">
        <f aca="false">IF(OR(E1839="",F1839=""),"",E1839*F1839)</f>
        <v/>
      </c>
      <c r="I1839" s="17" t="str">
        <f aca="false">IF(OR(E1839="",G1839=""),"",E1839*G1839)</f>
        <v/>
      </c>
      <c r="J1839" s="17" t="str">
        <f aca="false">IF(H1839="","",H1839-I1839)</f>
        <v/>
      </c>
    </row>
    <row r="1840" customFormat="false" ht="15" hidden="false" customHeight="true" outlineLevel="0" collapsed="false">
      <c r="A1840" s="7"/>
      <c r="B1840" s="18" t="str">
        <f aca="false">IF(A1840="","",IFERROR(INDEX(Sales_Memo!$B$2:$B$1001,MATCH(A1840,Sales_Memo!$A$2:$A$1001,0)),""))</f>
        <v/>
      </c>
      <c r="C1840" s="7"/>
      <c r="D1840" s="16" t="str">
        <f aca="false">IF(C1840="","",IFERROR(INDEX(Products!$B$2:$B$501,MATCH(C1840,Products!$A$2:$A$501,0)),"CODE NOT FOUND"))</f>
        <v/>
      </c>
      <c r="E1840" s="7"/>
      <c r="F1840" s="13"/>
      <c r="G1840" s="13"/>
      <c r="H1840" s="17" t="str">
        <f aca="false">IF(OR(E1840="",F1840=""),"",E1840*F1840)</f>
        <v/>
      </c>
      <c r="I1840" s="17" t="str">
        <f aca="false">IF(OR(E1840="",G1840=""),"",E1840*G1840)</f>
        <v/>
      </c>
      <c r="J1840" s="17" t="str">
        <f aca="false">IF(H1840="","",H1840-I1840)</f>
        <v/>
      </c>
    </row>
    <row r="1841" customFormat="false" ht="15" hidden="false" customHeight="true" outlineLevel="0" collapsed="false">
      <c r="A1841" s="7"/>
      <c r="B1841" s="18" t="str">
        <f aca="false">IF(A1841="","",IFERROR(INDEX(Sales_Memo!$B$2:$B$1001,MATCH(A1841,Sales_Memo!$A$2:$A$1001,0)),""))</f>
        <v/>
      </c>
      <c r="C1841" s="7"/>
      <c r="D1841" s="16" t="str">
        <f aca="false">IF(C1841="","",IFERROR(INDEX(Products!$B$2:$B$501,MATCH(C1841,Products!$A$2:$A$501,0)),"CODE NOT FOUND"))</f>
        <v/>
      </c>
      <c r="E1841" s="7"/>
      <c r="F1841" s="13"/>
      <c r="G1841" s="13"/>
      <c r="H1841" s="17" t="str">
        <f aca="false">IF(OR(E1841="",F1841=""),"",E1841*F1841)</f>
        <v/>
      </c>
      <c r="I1841" s="17" t="str">
        <f aca="false">IF(OR(E1841="",G1841=""),"",E1841*G1841)</f>
        <v/>
      </c>
      <c r="J1841" s="17" t="str">
        <f aca="false">IF(H1841="","",H1841-I1841)</f>
        <v/>
      </c>
    </row>
    <row r="1842" customFormat="false" ht="15" hidden="false" customHeight="true" outlineLevel="0" collapsed="false">
      <c r="A1842" s="7"/>
      <c r="B1842" s="18" t="str">
        <f aca="false">IF(A1842="","",IFERROR(INDEX(Sales_Memo!$B$2:$B$1001,MATCH(A1842,Sales_Memo!$A$2:$A$1001,0)),""))</f>
        <v/>
      </c>
      <c r="C1842" s="7"/>
      <c r="D1842" s="16" t="str">
        <f aca="false">IF(C1842="","",IFERROR(INDEX(Products!$B$2:$B$501,MATCH(C1842,Products!$A$2:$A$501,0)),"CODE NOT FOUND"))</f>
        <v/>
      </c>
      <c r="E1842" s="7"/>
      <c r="F1842" s="13"/>
      <c r="G1842" s="13"/>
      <c r="H1842" s="17" t="str">
        <f aca="false">IF(OR(E1842="",F1842=""),"",E1842*F1842)</f>
        <v/>
      </c>
      <c r="I1842" s="17" t="str">
        <f aca="false">IF(OR(E1842="",G1842=""),"",E1842*G1842)</f>
        <v/>
      </c>
      <c r="J1842" s="17" t="str">
        <f aca="false">IF(H1842="","",H1842-I1842)</f>
        <v/>
      </c>
    </row>
    <row r="1843" customFormat="false" ht="15" hidden="false" customHeight="true" outlineLevel="0" collapsed="false">
      <c r="A1843" s="7"/>
      <c r="B1843" s="18" t="str">
        <f aca="false">IF(A1843="","",IFERROR(INDEX(Sales_Memo!$B$2:$B$1001,MATCH(A1843,Sales_Memo!$A$2:$A$1001,0)),""))</f>
        <v/>
      </c>
      <c r="C1843" s="7"/>
      <c r="D1843" s="16" t="str">
        <f aca="false">IF(C1843="","",IFERROR(INDEX(Products!$B$2:$B$501,MATCH(C1843,Products!$A$2:$A$501,0)),"CODE NOT FOUND"))</f>
        <v/>
      </c>
      <c r="E1843" s="7"/>
      <c r="F1843" s="13"/>
      <c r="G1843" s="13"/>
      <c r="H1843" s="17" t="str">
        <f aca="false">IF(OR(E1843="",F1843=""),"",E1843*F1843)</f>
        <v/>
      </c>
      <c r="I1843" s="17" t="str">
        <f aca="false">IF(OR(E1843="",G1843=""),"",E1843*G1843)</f>
        <v/>
      </c>
      <c r="J1843" s="17" t="str">
        <f aca="false">IF(H1843="","",H1843-I1843)</f>
        <v/>
      </c>
    </row>
    <row r="1844" customFormat="false" ht="15" hidden="false" customHeight="true" outlineLevel="0" collapsed="false">
      <c r="A1844" s="7"/>
      <c r="B1844" s="18" t="str">
        <f aca="false">IF(A1844="","",IFERROR(INDEX(Sales_Memo!$B$2:$B$1001,MATCH(A1844,Sales_Memo!$A$2:$A$1001,0)),""))</f>
        <v/>
      </c>
      <c r="C1844" s="7"/>
      <c r="D1844" s="16" t="str">
        <f aca="false">IF(C1844="","",IFERROR(INDEX(Products!$B$2:$B$501,MATCH(C1844,Products!$A$2:$A$501,0)),"CODE NOT FOUND"))</f>
        <v/>
      </c>
      <c r="E1844" s="7"/>
      <c r="F1844" s="13"/>
      <c r="G1844" s="13"/>
      <c r="H1844" s="17" t="str">
        <f aca="false">IF(OR(E1844="",F1844=""),"",E1844*F1844)</f>
        <v/>
      </c>
      <c r="I1844" s="17" t="str">
        <f aca="false">IF(OR(E1844="",G1844=""),"",E1844*G1844)</f>
        <v/>
      </c>
      <c r="J1844" s="17" t="str">
        <f aca="false">IF(H1844="","",H1844-I1844)</f>
        <v/>
      </c>
    </row>
    <row r="1845" customFormat="false" ht="15" hidden="false" customHeight="true" outlineLevel="0" collapsed="false">
      <c r="A1845" s="7"/>
      <c r="B1845" s="18" t="str">
        <f aca="false">IF(A1845="","",IFERROR(INDEX(Sales_Memo!$B$2:$B$1001,MATCH(A1845,Sales_Memo!$A$2:$A$1001,0)),""))</f>
        <v/>
      </c>
      <c r="C1845" s="7"/>
      <c r="D1845" s="16" t="str">
        <f aca="false">IF(C1845="","",IFERROR(INDEX(Products!$B$2:$B$501,MATCH(C1845,Products!$A$2:$A$501,0)),"CODE NOT FOUND"))</f>
        <v/>
      </c>
      <c r="E1845" s="7"/>
      <c r="F1845" s="13"/>
      <c r="G1845" s="13"/>
      <c r="H1845" s="17" t="str">
        <f aca="false">IF(OR(E1845="",F1845=""),"",E1845*F1845)</f>
        <v/>
      </c>
      <c r="I1845" s="17" t="str">
        <f aca="false">IF(OR(E1845="",G1845=""),"",E1845*G1845)</f>
        <v/>
      </c>
      <c r="J1845" s="17" t="str">
        <f aca="false">IF(H1845="","",H1845-I1845)</f>
        <v/>
      </c>
    </row>
    <row r="1846" customFormat="false" ht="15" hidden="false" customHeight="true" outlineLevel="0" collapsed="false">
      <c r="A1846" s="7"/>
      <c r="B1846" s="18" t="str">
        <f aca="false">IF(A1846="","",IFERROR(INDEX(Sales_Memo!$B$2:$B$1001,MATCH(A1846,Sales_Memo!$A$2:$A$1001,0)),""))</f>
        <v/>
      </c>
      <c r="C1846" s="7"/>
      <c r="D1846" s="16" t="str">
        <f aca="false">IF(C1846="","",IFERROR(INDEX(Products!$B$2:$B$501,MATCH(C1846,Products!$A$2:$A$501,0)),"CODE NOT FOUND"))</f>
        <v/>
      </c>
      <c r="E1846" s="7"/>
      <c r="F1846" s="13"/>
      <c r="G1846" s="13"/>
      <c r="H1846" s="17" t="str">
        <f aca="false">IF(OR(E1846="",F1846=""),"",E1846*F1846)</f>
        <v/>
      </c>
      <c r="I1846" s="17" t="str">
        <f aca="false">IF(OR(E1846="",G1846=""),"",E1846*G1846)</f>
        <v/>
      </c>
      <c r="J1846" s="17" t="str">
        <f aca="false">IF(H1846="","",H1846-I1846)</f>
        <v/>
      </c>
    </row>
    <row r="1847" customFormat="false" ht="15" hidden="false" customHeight="true" outlineLevel="0" collapsed="false">
      <c r="A1847" s="7"/>
      <c r="B1847" s="18" t="str">
        <f aca="false">IF(A1847="","",IFERROR(INDEX(Sales_Memo!$B$2:$B$1001,MATCH(A1847,Sales_Memo!$A$2:$A$1001,0)),""))</f>
        <v/>
      </c>
      <c r="C1847" s="7"/>
      <c r="D1847" s="16" t="str">
        <f aca="false">IF(C1847="","",IFERROR(INDEX(Products!$B$2:$B$501,MATCH(C1847,Products!$A$2:$A$501,0)),"CODE NOT FOUND"))</f>
        <v/>
      </c>
      <c r="E1847" s="7"/>
      <c r="F1847" s="13"/>
      <c r="G1847" s="13"/>
      <c r="H1847" s="17" t="str">
        <f aca="false">IF(OR(E1847="",F1847=""),"",E1847*F1847)</f>
        <v/>
      </c>
      <c r="I1847" s="17" t="str">
        <f aca="false">IF(OR(E1847="",G1847=""),"",E1847*G1847)</f>
        <v/>
      </c>
      <c r="J1847" s="17" t="str">
        <f aca="false">IF(H1847="","",H1847-I1847)</f>
        <v/>
      </c>
    </row>
    <row r="1848" customFormat="false" ht="15" hidden="false" customHeight="true" outlineLevel="0" collapsed="false">
      <c r="A1848" s="7"/>
      <c r="B1848" s="18" t="str">
        <f aca="false">IF(A1848="","",IFERROR(INDEX(Sales_Memo!$B$2:$B$1001,MATCH(A1848,Sales_Memo!$A$2:$A$1001,0)),""))</f>
        <v/>
      </c>
      <c r="C1848" s="7"/>
      <c r="D1848" s="16" t="str">
        <f aca="false">IF(C1848="","",IFERROR(INDEX(Products!$B$2:$B$501,MATCH(C1848,Products!$A$2:$A$501,0)),"CODE NOT FOUND"))</f>
        <v/>
      </c>
      <c r="E1848" s="7"/>
      <c r="F1848" s="13"/>
      <c r="G1848" s="13"/>
      <c r="H1848" s="17" t="str">
        <f aca="false">IF(OR(E1848="",F1848=""),"",E1848*F1848)</f>
        <v/>
      </c>
      <c r="I1848" s="17" t="str">
        <f aca="false">IF(OR(E1848="",G1848=""),"",E1848*G1848)</f>
        <v/>
      </c>
      <c r="J1848" s="17" t="str">
        <f aca="false">IF(H1848="","",H1848-I1848)</f>
        <v/>
      </c>
    </row>
    <row r="1849" customFormat="false" ht="15" hidden="false" customHeight="true" outlineLevel="0" collapsed="false">
      <c r="A1849" s="7"/>
      <c r="B1849" s="18" t="str">
        <f aca="false">IF(A1849="","",IFERROR(INDEX(Sales_Memo!$B$2:$B$1001,MATCH(A1849,Sales_Memo!$A$2:$A$1001,0)),""))</f>
        <v/>
      </c>
      <c r="C1849" s="7"/>
      <c r="D1849" s="16" t="str">
        <f aca="false">IF(C1849="","",IFERROR(INDEX(Products!$B$2:$B$501,MATCH(C1849,Products!$A$2:$A$501,0)),"CODE NOT FOUND"))</f>
        <v/>
      </c>
      <c r="E1849" s="7"/>
      <c r="F1849" s="13"/>
      <c r="G1849" s="13"/>
      <c r="H1849" s="17" t="str">
        <f aca="false">IF(OR(E1849="",F1849=""),"",E1849*F1849)</f>
        <v/>
      </c>
      <c r="I1849" s="17" t="str">
        <f aca="false">IF(OR(E1849="",G1849=""),"",E1849*G1849)</f>
        <v/>
      </c>
      <c r="J1849" s="17" t="str">
        <f aca="false">IF(H1849="","",H1849-I1849)</f>
        <v/>
      </c>
    </row>
    <row r="1850" customFormat="false" ht="15" hidden="false" customHeight="true" outlineLevel="0" collapsed="false">
      <c r="A1850" s="7"/>
      <c r="B1850" s="18" t="str">
        <f aca="false">IF(A1850="","",IFERROR(INDEX(Sales_Memo!$B$2:$B$1001,MATCH(A1850,Sales_Memo!$A$2:$A$1001,0)),""))</f>
        <v/>
      </c>
      <c r="C1850" s="7"/>
      <c r="D1850" s="16" t="str">
        <f aca="false">IF(C1850="","",IFERROR(INDEX(Products!$B$2:$B$501,MATCH(C1850,Products!$A$2:$A$501,0)),"CODE NOT FOUND"))</f>
        <v/>
      </c>
      <c r="E1850" s="7"/>
      <c r="F1850" s="13"/>
      <c r="G1850" s="13"/>
      <c r="H1850" s="17" t="str">
        <f aca="false">IF(OR(E1850="",F1850=""),"",E1850*F1850)</f>
        <v/>
      </c>
      <c r="I1850" s="17" t="str">
        <f aca="false">IF(OR(E1850="",G1850=""),"",E1850*G1850)</f>
        <v/>
      </c>
      <c r="J1850" s="17" t="str">
        <f aca="false">IF(H1850="","",H1850-I1850)</f>
        <v/>
      </c>
    </row>
    <row r="1851" customFormat="false" ht="15" hidden="false" customHeight="true" outlineLevel="0" collapsed="false">
      <c r="A1851" s="7"/>
      <c r="B1851" s="18" t="str">
        <f aca="false">IF(A1851="","",IFERROR(INDEX(Sales_Memo!$B$2:$B$1001,MATCH(A1851,Sales_Memo!$A$2:$A$1001,0)),""))</f>
        <v/>
      </c>
      <c r="C1851" s="7"/>
      <c r="D1851" s="16" t="str">
        <f aca="false">IF(C1851="","",IFERROR(INDEX(Products!$B$2:$B$501,MATCH(C1851,Products!$A$2:$A$501,0)),"CODE NOT FOUND"))</f>
        <v/>
      </c>
      <c r="E1851" s="7"/>
      <c r="F1851" s="13"/>
      <c r="G1851" s="13"/>
      <c r="H1851" s="17" t="str">
        <f aca="false">IF(OR(E1851="",F1851=""),"",E1851*F1851)</f>
        <v/>
      </c>
      <c r="I1851" s="17" t="str">
        <f aca="false">IF(OR(E1851="",G1851=""),"",E1851*G1851)</f>
        <v/>
      </c>
      <c r="J1851" s="17" t="str">
        <f aca="false">IF(H1851="","",H1851-I1851)</f>
        <v/>
      </c>
    </row>
    <row r="1852" customFormat="false" ht="15" hidden="false" customHeight="true" outlineLevel="0" collapsed="false">
      <c r="A1852" s="7"/>
      <c r="B1852" s="18" t="str">
        <f aca="false">IF(A1852="","",IFERROR(INDEX(Sales_Memo!$B$2:$B$1001,MATCH(A1852,Sales_Memo!$A$2:$A$1001,0)),""))</f>
        <v/>
      </c>
      <c r="C1852" s="7"/>
      <c r="D1852" s="16" t="str">
        <f aca="false">IF(C1852="","",IFERROR(INDEX(Products!$B$2:$B$501,MATCH(C1852,Products!$A$2:$A$501,0)),"CODE NOT FOUND"))</f>
        <v/>
      </c>
      <c r="E1852" s="7"/>
      <c r="F1852" s="13"/>
      <c r="G1852" s="13"/>
      <c r="H1852" s="17" t="str">
        <f aca="false">IF(OR(E1852="",F1852=""),"",E1852*F1852)</f>
        <v/>
      </c>
      <c r="I1852" s="17" t="str">
        <f aca="false">IF(OR(E1852="",G1852=""),"",E1852*G1852)</f>
        <v/>
      </c>
      <c r="J1852" s="17" t="str">
        <f aca="false">IF(H1852="","",H1852-I1852)</f>
        <v/>
      </c>
    </row>
    <row r="1853" customFormat="false" ht="15" hidden="false" customHeight="true" outlineLevel="0" collapsed="false">
      <c r="A1853" s="7"/>
      <c r="B1853" s="18" t="str">
        <f aca="false">IF(A1853="","",IFERROR(INDEX(Sales_Memo!$B$2:$B$1001,MATCH(A1853,Sales_Memo!$A$2:$A$1001,0)),""))</f>
        <v/>
      </c>
      <c r="C1853" s="7"/>
      <c r="D1853" s="16" t="str">
        <f aca="false">IF(C1853="","",IFERROR(INDEX(Products!$B$2:$B$501,MATCH(C1853,Products!$A$2:$A$501,0)),"CODE NOT FOUND"))</f>
        <v/>
      </c>
      <c r="E1853" s="7"/>
      <c r="F1853" s="13"/>
      <c r="G1853" s="13"/>
      <c r="H1853" s="17" t="str">
        <f aca="false">IF(OR(E1853="",F1853=""),"",E1853*F1853)</f>
        <v/>
      </c>
      <c r="I1853" s="17" t="str">
        <f aca="false">IF(OR(E1853="",G1853=""),"",E1853*G1853)</f>
        <v/>
      </c>
      <c r="J1853" s="17" t="str">
        <f aca="false">IF(H1853="","",H1853-I1853)</f>
        <v/>
      </c>
    </row>
    <row r="1854" customFormat="false" ht="15" hidden="false" customHeight="true" outlineLevel="0" collapsed="false">
      <c r="A1854" s="7"/>
      <c r="B1854" s="18" t="str">
        <f aca="false">IF(A1854="","",IFERROR(INDEX(Sales_Memo!$B$2:$B$1001,MATCH(A1854,Sales_Memo!$A$2:$A$1001,0)),""))</f>
        <v/>
      </c>
      <c r="C1854" s="7"/>
      <c r="D1854" s="16" t="str">
        <f aca="false">IF(C1854="","",IFERROR(INDEX(Products!$B$2:$B$501,MATCH(C1854,Products!$A$2:$A$501,0)),"CODE NOT FOUND"))</f>
        <v/>
      </c>
      <c r="E1854" s="7"/>
      <c r="F1854" s="13"/>
      <c r="G1854" s="13"/>
      <c r="H1854" s="17" t="str">
        <f aca="false">IF(OR(E1854="",F1854=""),"",E1854*F1854)</f>
        <v/>
      </c>
      <c r="I1854" s="17" t="str">
        <f aca="false">IF(OR(E1854="",G1854=""),"",E1854*G1854)</f>
        <v/>
      </c>
      <c r="J1854" s="17" t="str">
        <f aca="false">IF(H1854="","",H1854-I1854)</f>
        <v/>
      </c>
    </row>
    <row r="1855" customFormat="false" ht="15" hidden="false" customHeight="true" outlineLevel="0" collapsed="false">
      <c r="A1855" s="7"/>
      <c r="B1855" s="18" t="str">
        <f aca="false">IF(A1855="","",IFERROR(INDEX(Sales_Memo!$B$2:$B$1001,MATCH(A1855,Sales_Memo!$A$2:$A$1001,0)),""))</f>
        <v/>
      </c>
      <c r="C1855" s="7"/>
      <c r="D1855" s="16" t="str">
        <f aca="false">IF(C1855="","",IFERROR(INDEX(Products!$B$2:$B$501,MATCH(C1855,Products!$A$2:$A$501,0)),"CODE NOT FOUND"))</f>
        <v/>
      </c>
      <c r="E1855" s="7"/>
      <c r="F1855" s="13"/>
      <c r="G1855" s="13"/>
      <c r="H1855" s="17" t="str">
        <f aca="false">IF(OR(E1855="",F1855=""),"",E1855*F1855)</f>
        <v/>
      </c>
      <c r="I1855" s="17" t="str">
        <f aca="false">IF(OR(E1855="",G1855=""),"",E1855*G1855)</f>
        <v/>
      </c>
      <c r="J1855" s="17" t="str">
        <f aca="false">IF(H1855="","",H1855-I1855)</f>
        <v/>
      </c>
    </row>
    <row r="1856" customFormat="false" ht="15" hidden="false" customHeight="true" outlineLevel="0" collapsed="false">
      <c r="A1856" s="7"/>
      <c r="B1856" s="18" t="str">
        <f aca="false">IF(A1856="","",IFERROR(INDEX(Sales_Memo!$B$2:$B$1001,MATCH(A1856,Sales_Memo!$A$2:$A$1001,0)),""))</f>
        <v/>
      </c>
      <c r="C1856" s="7"/>
      <c r="D1856" s="16" t="str">
        <f aca="false">IF(C1856="","",IFERROR(INDEX(Products!$B$2:$B$501,MATCH(C1856,Products!$A$2:$A$501,0)),"CODE NOT FOUND"))</f>
        <v/>
      </c>
      <c r="E1856" s="7"/>
      <c r="F1856" s="13"/>
      <c r="G1856" s="13"/>
      <c r="H1856" s="17" t="str">
        <f aca="false">IF(OR(E1856="",F1856=""),"",E1856*F1856)</f>
        <v/>
      </c>
      <c r="I1856" s="17" t="str">
        <f aca="false">IF(OR(E1856="",G1856=""),"",E1856*G1856)</f>
        <v/>
      </c>
      <c r="J1856" s="17" t="str">
        <f aca="false">IF(H1856="","",H1856-I1856)</f>
        <v/>
      </c>
    </row>
    <row r="1857" customFormat="false" ht="15" hidden="false" customHeight="true" outlineLevel="0" collapsed="false">
      <c r="A1857" s="7"/>
      <c r="B1857" s="18" t="str">
        <f aca="false">IF(A1857="","",IFERROR(INDEX(Sales_Memo!$B$2:$B$1001,MATCH(A1857,Sales_Memo!$A$2:$A$1001,0)),""))</f>
        <v/>
      </c>
      <c r="C1857" s="7"/>
      <c r="D1857" s="16" t="str">
        <f aca="false">IF(C1857="","",IFERROR(INDEX(Products!$B$2:$B$501,MATCH(C1857,Products!$A$2:$A$501,0)),"CODE NOT FOUND"))</f>
        <v/>
      </c>
      <c r="E1857" s="7"/>
      <c r="F1857" s="13"/>
      <c r="G1857" s="13"/>
      <c r="H1857" s="17" t="str">
        <f aca="false">IF(OR(E1857="",F1857=""),"",E1857*F1857)</f>
        <v/>
      </c>
      <c r="I1857" s="17" t="str">
        <f aca="false">IF(OR(E1857="",G1857=""),"",E1857*G1857)</f>
        <v/>
      </c>
      <c r="J1857" s="17" t="str">
        <f aca="false">IF(H1857="","",H1857-I1857)</f>
        <v/>
      </c>
    </row>
    <row r="1858" customFormat="false" ht="15" hidden="false" customHeight="true" outlineLevel="0" collapsed="false">
      <c r="A1858" s="7"/>
      <c r="B1858" s="18" t="str">
        <f aca="false">IF(A1858="","",IFERROR(INDEX(Sales_Memo!$B$2:$B$1001,MATCH(A1858,Sales_Memo!$A$2:$A$1001,0)),""))</f>
        <v/>
      </c>
      <c r="C1858" s="7"/>
      <c r="D1858" s="16" t="str">
        <f aca="false">IF(C1858="","",IFERROR(INDEX(Products!$B$2:$B$501,MATCH(C1858,Products!$A$2:$A$501,0)),"CODE NOT FOUND"))</f>
        <v/>
      </c>
      <c r="E1858" s="7"/>
      <c r="F1858" s="13"/>
      <c r="G1858" s="13"/>
      <c r="H1858" s="17" t="str">
        <f aca="false">IF(OR(E1858="",F1858=""),"",E1858*F1858)</f>
        <v/>
      </c>
      <c r="I1858" s="17" t="str">
        <f aca="false">IF(OR(E1858="",G1858=""),"",E1858*G1858)</f>
        <v/>
      </c>
      <c r="J1858" s="17" t="str">
        <f aca="false">IF(H1858="","",H1858-I1858)</f>
        <v/>
      </c>
    </row>
    <row r="1859" customFormat="false" ht="15" hidden="false" customHeight="true" outlineLevel="0" collapsed="false">
      <c r="A1859" s="7"/>
      <c r="B1859" s="18" t="str">
        <f aca="false">IF(A1859="","",IFERROR(INDEX(Sales_Memo!$B$2:$B$1001,MATCH(A1859,Sales_Memo!$A$2:$A$1001,0)),""))</f>
        <v/>
      </c>
      <c r="C1859" s="7"/>
      <c r="D1859" s="16" t="str">
        <f aca="false">IF(C1859="","",IFERROR(INDEX(Products!$B$2:$B$501,MATCH(C1859,Products!$A$2:$A$501,0)),"CODE NOT FOUND"))</f>
        <v/>
      </c>
      <c r="E1859" s="7"/>
      <c r="F1859" s="13"/>
      <c r="G1859" s="13"/>
      <c r="H1859" s="17" t="str">
        <f aca="false">IF(OR(E1859="",F1859=""),"",E1859*F1859)</f>
        <v/>
      </c>
      <c r="I1859" s="17" t="str">
        <f aca="false">IF(OR(E1859="",G1859=""),"",E1859*G1859)</f>
        <v/>
      </c>
      <c r="J1859" s="17" t="str">
        <f aca="false">IF(H1859="","",H1859-I1859)</f>
        <v/>
      </c>
    </row>
    <row r="1860" customFormat="false" ht="15" hidden="false" customHeight="true" outlineLevel="0" collapsed="false">
      <c r="A1860" s="7"/>
      <c r="B1860" s="18" t="str">
        <f aca="false">IF(A1860="","",IFERROR(INDEX(Sales_Memo!$B$2:$B$1001,MATCH(A1860,Sales_Memo!$A$2:$A$1001,0)),""))</f>
        <v/>
      </c>
      <c r="C1860" s="7"/>
      <c r="D1860" s="16" t="str">
        <f aca="false">IF(C1860="","",IFERROR(INDEX(Products!$B$2:$B$501,MATCH(C1860,Products!$A$2:$A$501,0)),"CODE NOT FOUND"))</f>
        <v/>
      </c>
      <c r="E1860" s="7"/>
      <c r="F1860" s="13"/>
      <c r="G1860" s="13"/>
      <c r="H1860" s="17" t="str">
        <f aca="false">IF(OR(E1860="",F1860=""),"",E1860*F1860)</f>
        <v/>
      </c>
      <c r="I1860" s="17" t="str">
        <f aca="false">IF(OR(E1860="",G1860=""),"",E1860*G1860)</f>
        <v/>
      </c>
      <c r="J1860" s="17" t="str">
        <f aca="false">IF(H1860="","",H1860-I1860)</f>
        <v/>
      </c>
    </row>
    <row r="1861" customFormat="false" ht="15" hidden="false" customHeight="true" outlineLevel="0" collapsed="false">
      <c r="A1861" s="7"/>
      <c r="B1861" s="18" t="str">
        <f aca="false">IF(A1861="","",IFERROR(INDEX(Sales_Memo!$B$2:$B$1001,MATCH(A1861,Sales_Memo!$A$2:$A$1001,0)),""))</f>
        <v/>
      </c>
      <c r="C1861" s="7"/>
      <c r="D1861" s="16" t="str">
        <f aca="false">IF(C1861="","",IFERROR(INDEX(Products!$B$2:$B$501,MATCH(C1861,Products!$A$2:$A$501,0)),"CODE NOT FOUND"))</f>
        <v/>
      </c>
      <c r="E1861" s="7"/>
      <c r="F1861" s="13"/>
      <c r="G1861" s="13"/>
      <c r="H1861" s="17" t="str">
        <f aca="false">IF(OR(E1861="",F1861=""),"",E1861*F1861)</f>
        <v/>
      </c>
      <c r="I1861" s="17" t="str">
        <f aca="false">IF(OR(E1861="",G1861=""),"",E1861*G1861)</f>
        <v/>
      </c>
      <c r="J1861" s="17" t="str">
        <f aca="false">IF(H1861="","",H1861-I1861)</f>
        <v/>
      </c>
    </row>
    <row r="1862" customFormat="false" ht="15" hidden="false" customHeight="true" outlineLevel="0" collapsed="false">
      <c r="A1862" s="7"/>
      <c r="B1862" s="18" t="str">
        <f aca="false">IF(A1862="","",IFERROR(INDEX(Sales_Memo!$B$2:$B$1001,MATCH(A1862,Sales_Memo!$A$2:$A$1001,0)),""))</f>
        <v/>
      </c>
      <c r="C1862" s="7"/>
      <c r="D1862" s="16" t="str">
        <f aca="false">IF(C1862="","",IFERROR(INDEX(Products!$B$2:$B$501,MATCH(C1862,Products!$A$2:$A$501,0)),"CODE NOT FOUND"))</f>
        <v/>
      </c>
      <c r="E1862" s="7"/>
      <c r="F1862" s="13"/>
      <c r="G1862" s="13"/>
      <c r="H1862" s="17" t="str">
        <f aca="false">IF(OR(E1862="",F1862=""),"",E1862*F1862)</f>
        <v/>
      </c>
      <c r="I1862" s="17" t="str">
        <f aca="false">IF(OR(E1862="",G1862=""),"",E1862*G1862)</f>
        <v/>
      </c>
      <c r="J1862" s="17" t="str">
        <f aca="false">IF(H1862="","",H1862-I1862)</f>
        <v/>
      </c>
    </row>
    <row r="1863" customFormat="false" ht="15" hidden="false" customHeight="true" outlineLevel="0" collapsed="false">
      <c r="A1863" s="7"/>
      <c r="B1863" s="18" t="str">
        <f aca="false">IF(A1863="","",IFERROR(INDEX(Sales_Memo!$B$2:$B$1001,MATCH(A1863,Sales_Memo!$A$2:$A$1001,0)),""))</f>
        <v/>
      </c>
      <c r="C1863" s="7"/>
      <c r="D1863" s="16" t="str">
        <f aca="false">IF(C1863="","",IFERROR(INDEX(Products!$B$2:$B$501,MATCH(C1863,Products!$A$2:$A$501,0)),"CODE NOT FOUND"))</f>
        <v/>
      </c>
      <c r="E1863" s="7"/>
      <c r="F1863" s="13"/>
      <c r="G1863" s="13"/>
      <c r="H1863" s="17" t="str">
        <f aca="false">IF(OR(E1863="",F1863=""),"",E1863*F1863)</f>
        <v/>
      </c>
      <c r="I1863" s="17" t="str">
        <f aca="false">IF(OR(E1863="",G1863=""),"",E1863*G1863)</f>
        <v/>
      </c>
      <c r="J1863" s="17" t="str">
        <f aca="false">IF(H1863="","",H1863-I1863)</f>
        <v/>
      </c>
    </row>
    <row r="1864" customFormat="false" ht="15" hidden="false" customHeight="true" outlineLevel="0" collapsed="false">
      <c r="A1864" s="7"/>
      <c r="B1864" s="18" t="str">
        <f aca="false">IF(A1864="","",IFERROR(INDEX(Sales_Memo!$B$2:$B$1001,MATCH(A1864,Sales_Memo!$A$2:$A$1001,0)),""))</f>
        <v/>
      </c>
      <c r="C1864" s="7"/>
      <c r="D1864" s="16" t="str">
        <f aca="false">IF(C1864="","",IFERROR(INDEX(Products!$B$2:$B$501,MATCH(C1864,Products!$A$2:$A$501,0)),"CODE NOT FOUND"))</f>
        <v/>
      </c>
      <c r="E1864" s="7"/>
      <c r="F1864" s="13"/>
      <c r="G1864" s="13"/>
      <c r="H1864" s="17" t="str">
        <f aca="false">IF(OR(E1864="",F1864=""),"",E1864*F1864)</f>
        <v/>
      </c>
      <c r="I1864" s="17" t="str">
        <f aca="false">IF(OR(E1864="",G1864=""),"",E1864*G1864)</f>
        <v/>
      </c>
      <c r="J1864" s="17" t="str">
        <f aca="false">IF(H1864="","",H1864-I1864)</f>
        <v/>
      </c>
    </row>
    <row r="1865" customFormat="false" ht="15" hidden="false" customHeight="true" outlineLevel="0" collapsed="false">
      <c r="A1865" s="7"/>
      <c r="B1865" s="18" t="str">
        <f aca="false">IF(A1865="","",IFERROR(INDEX(Sales_Memo!$B$2:$B$1001,MATCH(A1865,Sales_Memo!$A$2:$A$1001,0)),""))</f>
        <v/>
      </c>
      <c r="C1865" s="7"/>
      <c r="D1865" s="16" t="str">
        <f aca="false">IF(C1865="","",IFERROR(INDEX(Products!$B$2:$B$501,MATCH(C1865,Products!$A$2:$A$501,0)),"CODE NOT FOUND"))</f>
        <v/>
      </c>
      <c r="E1865" s="7"/>
      <c r="F1865" s="13"/>
      <c r="G1865" s="13"/>
      <c r="H1865" s="17" t="str">
        <f aca="false">IF(OR(E1865="",F1865=""),"",E1865*F1865)</f>
        <v/>
      </c>
      <c r="I1865" s="17" t="str">
        <f aca="false">IF(OR(E1865="",G1865=""),"",E1865*G1865)</f>
        <v/>
      </c>
      <c r="J1865" s="17" t="str">
        <f aca="false">IF(H1865="","",H1865-I1865)</f>
        <v/>
      </c>
    </row>
    <row r="1866" customFormat="false" ht="15" hidden="false" customHeight="true" outlineLevel="0" collapsed="false">
      <c r="A1866" s="7"/>
      <c r="B1866" s="18" t="str">
        <f aca="false">IF(A1866="","",IFERROR(INDEX(Sales_Memo!$B$2:$B$1001,MATCH(A1866,Sales_Memo!$A$2:$A$1001,0)),""))</f>
        <v/>
      </c>
      <c r="C1866" s="7"/>
      <c r="D1866" s="16" t="str">
        <f aca="false">IF(C1866="","",IFERROR(INDEX(Products!$B$2:$B$501,MATCH(C1866,Products!$A$2:$A$501,0)),"CODE NOT FOUND"))</f>
        <v/>
      </c>
      <c r="E1866" s="7"/>
      <c r="F1866" s="13"/>
      <c r="G1866" s="13"/>
      <c r="H1866" s="17" t="str">
        <f aca="false">IF(OR(E1866="",F1866=""),"",E1866*F1866)</f>
        <v/>
      </c>
      <c r="I1866" s="17" t="str">
        <f aca="false">IF(OR(E1866="",G1866=""),"",E1866*G1866)</f>
        <v/>
      </c>
      <c r="J1866" s="17" t="str">
        <f aca="false">IF(H1866="","",H1866-I1866)</f>
        <v/>
      </c>
    </row>
    <row r="1867" customFormat="false" ht="15" hidden="false" customHeight="true" outlineLevel="0" collapsed="false">
      <c r="A1867" s="7"/>
      <c r="B1867" s="18" t="str">
        <f aca="false">IF(A1867="","",IFERROR(INDEX(Sales_Memo!$B$2:$B$1001,MATCH(A1867,Sales_Memo!$A$2:$A$1001,0)),""))</f>
        <v/>
      </c>
      <c r="C1867" s="7"/>
      <c r="D1867" s="16" t="str">
        <f aca="false">IF(C1867="","",IFERROR(INDEX(Products!$B$2:$B$501,MATCH(C1867,Products!$A$2:$A$501,0)),"CODE NOT FOUND"))</f>
        <v/>
      </c>
      <c r="E1867" s="7"/>
      <c r="F1867" s="13"/>
      <c r="G1867" s="13"/>
      <c r="H1867" s="17" t="str">
        <f aca="false">IF(OR(E1867="",F1867=""),"",E1867*F1867)</f>
        <v/>
      </c>
      <c r="I1867" s="17" t="str">
        <f aca="false">IF(OR(E1867="",G1867=""),"",E1867*G1867)</f>
        <v/>
      </c>
      <c r="J1867" s="17" t="str">
        <f aca="false">IF(H1867="","",H1867-I1867)</f>
        <v/>
      </c>
    </row>
    <row r="1868" customFormat="false" ht="15" hidden="false" customHeight="true" outlineLevel="0" collapsed="false">
      <c r="A1868" s="7"/>
      <c r="B1868" s="18" t="str">
        <f aca="false">IF(A1868="","",IFERROR(INDEX(Sales_Memo!$B$2:$B$1001,MATCH(A1868,Sales_Memo!$A$2:$A$1001,0)),""))</f>
        <v/>
      </c>
      <c r="C1868" s="7"/>
      <c r="D1868" s="16" t="str">
        <f aca="false">IF(C1868="","",IFERROR(INDEX(Products!$B$2:$B$501,MATCH(C1868,Products!$A$2:$A$501,0)),"CODE NOT FOUND"))</f>
        <v/>
      </c>
      <c r="E1868" s="7"/>
      <c r="F1868" s="13"/>
      <c r="G1868" s="13"/>
      <c r="H1868" s="17" t="str">
        <f aca="false">IF(OR(E1868="",F1868=""),"",E1868*F1868)</f>
        <v/>
      </c>
      <c r="I1868" s="17" t="str">
        <f aca="false">IF(OR(E1868="",G1868=""),"",E1868*G1868)</f>
        <v/>
      </c>
      <c r="J1868" s="17" t="str">
        <f aca="false">IF(H1868="","",H1868-I1868)</f>
        <v/>
      </c>
    </row>
    <row r="1869" customFormat="false" ht="15" hidden="false" customHeight="true" outlineLevel="0" collapsed="false">
      <c r="A1869" s="7"/>
      <c r="B1869" s="18" t="str">
        <f aca="false">IF(A1869="","",IFERROR(INDEX(Sales_Memo!$B$2:$B$1001,MATCH(A1869,Sales_Memo!$A$2:$A$1001,0)),""))</f>
        <v/>
      </c>
      <c r="C1869" s="7"/>
      <c r="D1869" s="16" t="str">
        <f aca="false">IF(C1869="","",IFERROR(INDEX(Products!$B$2:$B$501,MATCH(C1869,Products!$A$2:$A$501,0)),"CODE NOT FOUND"))</f>
        <v/>
      </c>
      <c r="E1869" s="7"/>
      <c r="F1869" s="13"/>
      <c r="G1869" s="13"/>
      <c r="H1869" s="17" t="str">
        <f aca="false">IF(OR(E1869="",F1869=""),"",E1869*F1869)</f>
        <v/>
      </c>
      <c r="I1869" s="17" t="str">
        <f aca="false">IF(OR(E1869="",G1869=""),"",E1869*G1869)</f>
        <v/>
      </c>
      <c r="J1869" s="17" t="str">
        <f aca="false">IF(H1869="","",H1869-I1869)</f>
        <v/>
      </c>
    </row>
    <row r="1870" customFormat="false" ht="15" hidden="false" customHeight="true" outlineLevel="0" collapsed="false">
      <c r="A1870" s="7"/>
      <c r="B1870" s="18" t="str">
        <f aca="false">IF(A1870="","",IFERROR(INDEX(Sales_Memo!$B$2:$B$1001,MATCH(A1870,Sales_Memo!$A$2:$A$1001,0)),""))</f>
        <v/>
      </c>
      <c r="C1870" s="7"/>
      <c r="D1870" s="16" t="str">
        <f aca="false">IF(C1870="","",IFERROR(INDEX(Products!$B$2:$B$501,MATCH(C1870,Products!$A$2:$A$501,0)),"CODE NOT FOUND"))</f>
        <v/>
      </c>
      <c r="E1870" s="7"/>
      <c r="F1870" s="13"/>
      <c r="G1870" s="13"/>
      <c r="H1870" s="17" t="str">
        <f aca="false">IF(OR(E1870="",F1870=""),"",E1870*F1870)</f>
        <v/>
      </c>
      <c r="I1870" s="17" t="str">
        <f aca="false">IF(OR(E1870="",G1870=""),"",E1870*G1870)</f>
        <v/>
      </c>
      <c r="J1870" s="17" t="str">
        <f aca="false">IF(H1870="","",H1870-I1870)</f>
        <v/>
      </c>
    </row>
    <row r="1871" customFormat="false" ht="15" hidden="false" customHeight="true" outlineLevel="0" collapsed="false">
      <c r="A1871" s="7"/>
      <c r="B1871" s="18" t="str">
        <f aca="false">IF(A1871="","",IFERROR(INDEX(Sales_Memo!$B$2:$B$1001,MATCH(A1871,Sales_Memo!$A$2:$A$1001,0)),""))</f>
        <v/>
      </c>
      <c r="C1871" s="7"/>
      <c r="D1871" s="16" t="str">
        <f aca="false">IF(C1871="","",IFERROR(INDEX(Products!$B$2:$B$501,MATCH(C1871,Products!$A$2:$A$501,0)),"CODE NOT FOUND"))</f>
        <v/>
      </c>
      <c r="E1871" s="7"/>
      <c r="F1871" s="13"/>
      <c r="G1871" s="13"/>
      <c r="H1871" s="17" t="str">
        <f aca="false">IF(OR(E1871="",F1871=""),"",E1871*F1871)</f>
        <v/>
      </c>
      <c r="I1871" s="17" t="str">
        <f aca="false">IF(OR(E1871="",G1871=""),"",E1871*G1871)</f>
        <v/>
      </c>
      <c r="J1871" s="17" t="str">
        <f aca="false">IF(H1871="","",H1871-I1871)</f>
        <v/>
      </c>
    </row>
    <row r="1872" customFormat="false" ht="15" hidden="false" customHeight="true" outlineLevel="0" collapsed="false">
      <c r="A1872" s="7"/>
      <c r="B1872" s="18" t="str">
        <f aca="false">IF(A1872="","",IFERROR(INDEX(Sales_Memo!$B$2:$B$1001,MATCH(A1872,Sales_Memo!$A$2:$A$1001,0)),""))</f>
        <v/>
      </c>
      <c r="C1872" s="7"/>
      <c r="D1872" s="16" t="str">
        <f aca="false">IF(C1872="","",IFERROR(INDEX(Products!$B$2:$B$501,MATCH(C1872,Products!$A$2:$A$501,0)),"CODE NOT FOUND"))</f>
        <v/>
      </c>
      <c r="E1872" s="7"/>
      <c r="F1872" s="13"/>
      <c r="G1872" s="13"/>
      <c r="H1872" s="17" t="str">
        <f aca="false">IF(OR(E1872="",F1872=""),"",E1872*F1872)</f>
        <v/>
      </c>
      <c r="I1872" s="17" t="str">
        <f aca="false">IF(OR(E1872="",G1872=""),"",E1872*G1872)</f>
        <v/>
      </c>
      <c r="J1872" s="17" t="str">
        <f aca="false">IF(H1872="","",H1872-I1872)</f>
        <v/>
      </c>
    </row>
    <row r="1873" customFormat="false" ht="15" hidden="false" customHeight="true" outlineLevel="0" collapsed="false">
      <c r="A1873" s="7"/>
      <c r="B1873" s="18" t="str">
        <f aca="false">IF(A1873="","",IFERROR(INDEX(Sales_Memo!$B$2:$B$1001,MATCH(A1873,Sales_Memo!$A$2:$A$1001,0)),""))</f>
        <v/>
      </c>
      <c r="C1873" s="7"/>
      <c r="D1873" s="16" t="str">
        <f aca="false">IF(C1873="","",IFERROR(INDEX(Products!$B$2:$B$501,MATCH(C1873,Products!$A$2:$A$501,0)),"CODE NOT FOUND"))</f>
        <v/>
      </c>
      <c r="E1873" s="7"/>
      <c r="F1873" s="13"/>
      <c r="G1873" s="13"/>
      <c r="H1873" s="17" t="str">
        <f aca="false">IF(OR(E1873="",F1873=""),"",E1873*F1873)</f>
        <v/>
      </c>
      <c r="I1873" s="17" t="str">
        <f aca="false">IF(OR(E1873="",G1873=""),"",E1873*G1873)</f>
        <v/>
      </c>
      <c r="J1873" s="17" t="str">
        <f aca="false">IF(H1873="","",H1873-I1873)</f>
        <v/>
      </c>
    </row>
    <row r="1874" customFormat="false" ht="15" hidden="false" customHeight="true" outlineLevel="0" collapsed="false">
      <c r="A1874" s="7"/>
      <c r="B1874" s="18" t="str">
        <f aca="false">IF(A1874="","",IFERROR(INDEX(Sales_Memo!$B$2:$B$1001,MATCH(A1874,Sales_Memo!$A$2:$A$1001,0)),""))</f>
        <v/>
      </c>
      <c r="C1874" s="7"/>
      <c r="D1874" s="16" t="str">
        <f aca="false">IF(C1874="","",IFERROR(INDEX(Products!$B$2:$B$501,MATCH(C1874,Products!$A$2:$A$501,0)),"CODE NOT FOUND"))</f>
        <v/>
      </c>
      <c r="E1874" s="7"/>
      <c r="F1874" s="13"/>
      <c r="G1874" s="13"/>
      <c r="H1874" s="17" t="str">
        <f aca="false">IF(OR(E1874="",F1874=""),"",E1874*F1874)</f>
        <v/>
      </c>
      <c r="I1874" s="17" t="str">
        <f aca="false">IF(OR(E1874="",G1874=""),"",E1874*G1874)</f>
        <v/>
      </c>
      <c r="J1874" s="17" t="str">
        <f aca="false">IF(H1874="","",H1874-I1874)</f>
        <v/>
      </c>
    </row>
    <row r="1875" customFormat="false" ht="15" hidden="false" customHeight="true" outlineLevel="0" collapsed="false">
      <c r="A1875" s="7"/>
      <c r="B1875" s="18" t="str">
        <f aca="false">IF(A1875="","",IFERROR(INDEX(Sales_Memo!$B$2:$B$1001,MATCH(A1875,Sales_Memo!$A$2:$A$1001,0)),""))</f>
        <v/>
      </c>
      <c r="C1875" s="7"/>
      <c r="D1875" s="16" t="str">
        <f aca="false">IF(C1875="","",IFERROR(INDEX(Products!$B$2:$B$501,MATCH(C1875,Products!$A$2:$A$501,0)),"CODE NOT FOUND"))</f>
        <v/>
      </c>
      <c r="E1875" s="7"/>
      <c r="F1875" s="13"/>
      <c r="G1875" s="13"/>
      <c r="H1875" s="17" t="str">
        <f aca="false">IF(OR(E1875="",F1875=""),"",E1875*F1875)</f>
        <v/>
      </c>
      <c r="I1875" s="17" t="str">
        <f aca="false">IF(OR(E1875="",G1875=""),"",E1875*G1875)</f>
        <v/>
      </c>
      <c r="J1875" s="17" t="str">
        <f aca="false">IF(H1875="","",H1875-I1875)</f>
        <v/>
      </c>
    </row>
    <row r="1876" customFormat="false" ht="15" hidden="false" customHeight="true" outlineLevel="0" collapsed="false">
      <c r="A1876" s="7"/>
      <c r="B1876" s="18" t="str">
        <f aca="false">IF(A1876="","",IFERROR(INDEX(Sales_Memo!$B$2:$B$1001,MATCH(A1876,Sales_Memo!$A$2:$A$1001,0)),""))</f>
        <v/>
      </c>
      <c r="C1876" s="7"/>
      <c r="D1876" s="16" t="str">
        <f aca="false">IF(C1876="","",IFERROR(INDEX(Products!$B$2:$B$501,MATCH(C1876,Products!$A$2:$A$501,0)),"CODE NOT FOUND"))</f>
        <v/>
      </c>
      <c r="E1876" s="7"/>
      <c r="F1876" s="13"/>
      <c r="G1876" s="13"/>
      <c r="H1876" s="17" t="str">
        <f aca="false">IF(OR(E1876="",F1876=""),"",E1876*F1876)</f>
        <v/>
      </c>
      <c r="I1876" s="17" t="str">
        <f aca="false">IF(OR(E1876="",G1876=""),"",E1876*G1876)</f>
        <v/>
      </c>
      <c r="J1876" s="17" t="str">
        <f aca="false">IF(H1876="","",H1876-I1876)</f>
        <v/>
      </c>
    </row>
    <row r="1877" customFormat="false" ht="15" hidden="false" customHeight="true" outlineLevel="0" collapsed="false">
      <c r="A1877" s="7"/>
      <c r="B1877" s="18" t="str">
        <f aca="false">IF(A1877="","",IFERROR(INDEX(Sales_Memo!$B$2:$B$1001,MATCH(A1877,Sales_Memo!$A$2:$A$1001,0)),""))</f>
        <v/>
      </c>
      <c r="C1877" s="7"/>
      <c r="D1877" s="16" t="str">
        <f aca="false">IF(C1877="","",IFERROR(INDEX(Products!$B$2:$B$501,MATCH(C1877,Products!$A$2:$A$501,0)),"CODE NOT FOUND"))</f>
        <v/>
      </c>
      <c r="E1877" s="7"/>
      <c r="F1877" s="13"/>
      <c r="G1877" s="13"/>
      <c r="H1877" s="17" t="str">
        <f aca="false">IF(OR(E1877="",F1877=""),"",E1877*F1877)</f>
        <v/>
      </c>
      <c r="I1877" s="17" t="str">
        <f aca="false">IF(OR(E1877="",G1877=""),"",E1877*G1877)</f>
        <v/>
      </c>
      <c r="J1877" s="17" t="str">
        <f aca="false">IF(H1877="","",H1877-I1877)</f>
        <v/>
      </c>
    </row>
    <row r="1878" customFormat="false" ht="15" hidden="false" customHeight="true" outlineLevel="0" collapsed="false">
      <c r="A1878" s="7"/>
      <c r="B1878" s="18" t="str">
        <f aca="false">IF(A1878="","",IFERROR(INDEX(Sales_Memo!$B$2:$B$1001,MATCH(A1878,Sales_Memo!$A$2:$A$1001,0)),""))</f>
        <v/>
      </c>
      <c r="C1878" s="7"/>
      <c r="D1878" s="16" t="str">
        <f aca="false">IF(C1878="","",IFERROR(INDEX(Products!$B$2:$B$501,MATCH(C1878,Products!$A$2:$A$501,0)),"CODE NOT FOUND"))</f>
        <v/>
      </c>
      <c r="E1878" s="7"/>
      <c r="F1878" s="13"/>
      <c r="G1878" s="13"/>
      <c r="H1878" s="17" t="str">
        <f aca="false">IF(OR(E1878="",F1878=""),"",E1878*F1878)</f>
        <v/>
      </c>
      <c r="I1878" s="17" t="str">
        <f aca="false">IF(OR(E1878="",G1878=""),"",E1878*G1878)</f>
        <v/>
      </c>
      <c r="J1878" s="17" t="str">
        <f aca="false">IF(H1878="","",H1878-I1878)</f>
        <v/>
      </c>
    </row>
    <row r="1879" customFormat="false" ht="15" hidden="false" customHeight="true" outlineLevel="0" collapsed="false">
      <c r="A1879" s="7"/>
      <c r="B1879" s="18" t="str">
        <f aca="false">IF(A1879="","",IFERROR(INDEX(Sales_Memo!$B$2:$B$1001,MATCH(A1879,Sales_Memo!$A$2:$A$1001,0)),""))</f>
        <v/>
      </c>
      <c r="C1879" s="7"/>
      <c r="D1879" s="16" t="str">
        <f aca="false">IF(C1879="","",IFERROR(INDEX(Products!$B$2:$B$501,MATCH(C1879,Products!$A$2:$A$501,0)),"CODE NOT FOUND"))</f>
        <v/>
      </c>
      <c r="E1879" s="7"/>
      <c r="F1879" s="13"/>
      <c r="G1879" s="13"/>
      <c r="H1879" s="17" t="str">
        <f aca="false">IF(OR(E1879="",F1879=""),"",E1879*F1879)</f>
        <v/>
      </c>
      <c r="I1879" s="17" t="str">
        <f aca="false">IF(OR(E1879="",G1879=""),"",E1879*G1879)</f>
        <v/>
      </c>
      <c r="J1879" s="17" t="str">
        <f aca="false">IF(H1879="","",H1879-I1879)</f>
        <v/>
      </c>
    </row>
    <row r="1880" customFormat="false" ht="15" hidden="false" customHeight="true" outlineLevel="0" collapsed="false">
      <c r="A1880" s="7"/>
      <c r="B1880" s="18" t="str">
        <f aca="false">IF(A1880="","",IFERROR(INDEX(Sales_Memo!$B$2:$B$1001,MATCH(A1880,Sales_Memo!$A$2:$A$1001,0)),""))</f>
        <v/>
      </c>
      <c r="C1880" s="7"/>
      <c r="D1880" s="16" t="str">
        <f aca="false">IF(C1880="","",IFERROR(INDEX(Products!$B$2:$B$501,MATCH(C1880,Products!$A$2:$A$501,0)),"CODE NOT FOUND"))</f>
        <v/>
      </c>
      <c r="E1880" s="7"/>
      <c r="F1880" s="13"/>
      <c r="G1880" s="13"/>
      <c r="H1880" s="17" t="str">
        <f aca="false">IF(OR(E1880="",F1880=""),"",E1880*F1880)</f>
        <v/>
      </c>
      <c r="I1880" s="17" t="str">
        <f aca="false">IF(OR(E1880="",G1880=""),"",E1880*G1880)</f>
        <v/>
      </c>
      <c r="J1880" s="17" t="str">
        <f aca="false">IF(H1880="","",H1880-I1880)</f>
        <v/>
      </c>
    </row>
    <row r="1881" customFormat="false" ht="15" hidden="false" customHeight="true" outlineLevel="0" collapsed="false">
      <c r="A1881" s="7"/>
      <c r="B1881" s="18" t="str">
        <f aca="false">IF(A1881="","",IFERROR(INDEX(Sales_Memo!$B$2:$B$1001,MATCH(A1881,Sales_Memo!$A$2:$A$1001,0)),""))</f>
        <v/>
      </c>
      <c r="C1881" s="7"/>
      <c r="D1881" s="16" t="str">
        <f aca="false">IF(C1881="","",IFERROR(INDEX(Products!$B$2:$B$501,MATCH(C1881,Products!$A$2:$A$501,0)),"CODE NOT FOUND"))</f>
        <v/>
      </c>
      <c r="E1881" s="7"/>
      <c r="F1881" s="13"/>
      <c r="G1881" s="13"/>
      <c r="H1881" s="17" t="str">
        <f aca="false">IF(OR(E1881="",F1881=""),"",E1881*F1881)</f>
        <v/>
      </c>
      <c r="I1881" s="17" t="str">
        <f aca="false">IF(OR(E1881="",G1881=""),"",E1881*G1881)</f>
        <v/>
      </c>
      <c r="J1881" s="17" t="str">
        <f aca="false">IF(H1881="","",H1881-I1881)</f>
        <v/>
      </c>
    </row>
    <row r="1882" customFormat="false" ht="15" hidden="false" customHeight="true" outlineLevel="0" collapsed="false">
      <c r="A1882" s="7"/>
      <c r="B1882" s="18" t="str">
        <f aca="false">IF(A1882="","",IFERROR(INDEX(Sales_Memo!$B$2:$B$1001,MATCH(A1882,Sales_Memo!$A$2:$A$1001,0)),""))</f>
        <v/>
      </c>
      <c r="C1882" s="7"/>
      <c r="D1882" s="16" t="str">
        <f aca="false">IF(C1882="","",IFERROR(INDEX(Products!$B$2:$B$501,MATCH(C1882,Products!$A$2:$A$501,0)),"CODE NOT FOUND"))</f>
        <v/>
      </c>
      <c r="E1882" s="7"/>
      <c r="F1882" s="13"/>
      <c r="G1882" s="13"/>
      <c r="H1882" s="17" t="str">
        <f aca="false">IF(OR(E1882="",F1882=""),"",E1882*F1882)</f>
        <v/>
      </c>
      <c r="I1882" s="17" t="str">
        <f aca="false">IF(OR(E1882="",G1882=""),"",E1882*G1882)</f>
        <v/>
      </c>
      <c r="J1882" s="17" t="str">
        <f aca="false">IF(H1882="","",H1882-I1882)</f>
        <v/>
      </c>
    </row>
    <row r="1883" customFormat="false" ht="15" hidden="false" customHeight="true" outlineLevel="0" collapsed="false">
      <c r="A1883" s="7"/>
      <c r="B1883" s="18" t="str">
        <f aca="false">IF(A1883="","",IFERROR(INDEX(Sales_Memo!$B$2:$B$1001,MATCH(A1883,Sales_Memo!$A$2:$A$1001,0)),""))</f>
        <v/>
      </c>
      <c r="C1883" s="7"/>
      <c r="D1883" s="16" t="str">
        <f aca="false">IF(C1883="","",IFERROR(INDEX(Products!$B$2:$B$501,MATCH(C1883,Products!$A$2:$A$501,0)),"CODE NOT FOUND"))</f>
        <v/>
      </c>
      <c r="E1883" s="7"/>
      <c r="F1883" s="13"/>
      <c r="G1883" s="13"/>
      <c r="H1883" s="17" t="str">
        <f aca="false">IF(OR(E1883="",F1883=""),"",E1883*F1883)</f>
        <v/>
      </c>
      <c r="I1883" s="17" t="str">
        <f aca="false">IF(OR(E1883="",G1883=""),"",E1883*G1883)</f>
        <v/>
      </c>
      <c r="J1883" s="17" t="str">
        <f aca="false">IF(H1883="","",H1883-I1883)</f>
        <v/>
      </c>
    </row>
    <row r="1884" customFormat="false" ht="15" hidden="false" customHeight="true" outlineLevel="0" collapsed="false">
      <c r="A1884" s="7"/>
      <c r="B1884" s="18" t="str">
        <f aca="false">IF(A1884="","",IFERROR(INDEX(Sales_Memo!$B$2:$B$1001,MATCH(A1884,Sales_Memo!$A$2:$A$1001,0)),""))</f>
        <v/>
      </c>
      <c r="C1884" s="7"/>
      <c r="D1884" s="16" t="str">
        <f aca="false">IF(C1884="","",IFERROR(INDEX(Products!$B$2:$B$501,MATCH(C1884,Products!$A$2:$A$501,0)),"CODE NOT FOUND"))</f>
        <v/>
      </c>
      <c r="E1884" s="7"/>
      <c r="F1884" s="13"/>
      <c r="G1884" s="13"/>
      <c r="H1884" s="17" t="str">
        <f aca="false">IF(OR(E1884="",F1884=""),"",E1884*F1884)</f>
        <v/>
      </c>
      <c r="I1884" s="17" t="str">
        <f aca="false">IF(OR(E1884="",G1884=""),"",E1884*G1884)</f>
        <v/>
      </c>
      <c r="J1884" s="17" t="str">
        <f aca="false">IF(H1884="","",H1884-I1884)</f>
        <v/>
      </c>
    </row>
    <row r="1885" customFormat="false" ht="15" hidden="false" customHeight="true" outlineLevel="0" collapsed="false">
      <c r="A1885" s="7"/>
      <c r="B1885" s="18" t="str">
        <f aca="false">IF(A1885="","",IFERROR(INDEX(Sales_Memo!$B$2:$B$1001,MATCH(A1885,Sales_Memo!$A$2:$A$1001,0)),""))</f>
        <v/>
      </c>
      <c r="C1885" s="7"/>
      <c r="D1885" s="16" t="str">
        <f aca="false">IF(C1885="","",IFERROR(INDEX(Products!$B$2:$B$501,MATCH(C1885,Products!$A$2:$A$501,0)),"CODE NOT FOUND"))</f>
        <v/>
      </c>
      <c r="E1885" s="7"/>
      <c r="F1885" s="13"/>
      <c r="G1885" s="13"/>
      <c r="H1885" s="17" t="str">
        <f aca="false">IF(OR(E1885="",F1885=""),"",E1885*F1885)</f>
        <v/>
      </c>
      <c r="I1885" s="17" t="str">
        <f aca="false">IF(OR(E1885="",G1885=""),"",E1885*G1885)</f>
        <v/>
      </c>
      <c r="J1885" s="17" t="str">
        <f aca="false">IF(H1885="","",H1885-I1885)</f>
        <v/>
      </c>
    </row>
    <row r="1886" customFormat="false" ht="15" hidden="false" customHeight="true" outlineLevel="0" collapsed="false">
      <c r="A1886" s="7"/>
      <c r="B1886" s="18" t="str">
        <f aca="false">IF(A1886="","",IFERROR(INDEX(Sales_Memo!$B$2:$B$1001,MATCH(A1886,Sales_Memo!$A$2:$A$1001,0)),""))</f>
        <v/>
      </c>
      <c r="C1886" s="7"/>
      <c r="D1886" s="16" t="str">
        <f aca="false">IF(C1886="","",IFERROR(INDEX(Products!$B$2:$B$501,MATCH(C1886,Products!$A$2:$A$501,0)),"CODE NOT FOUND"))</f>
        <v/>
      </c>
      <c r="E1886" s="7"/>
      <c r="F1886" s="13"/>
      <c r="G1886" s="13"/>
      <c r="H1886" s="17" t="str">
        <f aca="false">IF(OR(E1886="",F1886=""),"",E1886*F1886)</f>
        <v/>
      </c>
      <c r="I1886" s="17" t="str">
        <f aca="false">IF(OR(E1886="",G1886=""),"",E1886*G1886)</f>
        <v/>
      </c>
      <c r="J1886" s="17" t="str">
        <f aca="false">IF(H1886="","",H1886-I1886)</f>
        <v/>
      </c>
    </row>
    <row r="1887" customFormat="false" ht="15" hidden="false" customHeight="true" outlineLevel="0" collapsed="false">
      <c r="A1887" s="7"/>
      <c r="B1887" s="18" t="str">
        <f aca="false">IF(A1887="","",IFERROR(INDEX(Sales_Memo!$B$2:$B$1001,MATCH(A1887,Sales_Memo!$A$2:$A$1001,0)),""))</f>
        <v/>
      </c>
      <c r="C1887" s="7"/>
      <c r="D1887" s="16" t="str">
        <f aca="false">IF(C1887="","",IFERROR(INDEX(Products!$B$2:$B$501,MATCH(C1887,Products!$A$2:$A$501,0)),"CODE NOT FOUND"))</f>
        <v/>
      </c>
      <c r="E1887" s="7"/>
      <c r="F1887" s="13"/>
      <c r="G1887" s="13"/>
      <c r="H1887" s="17" t="str">
        <f aca="false">IF(OR(E1887="",F1887=""),"",E1887*F1887)</f>
        <v/>
      </c>
      <c r="I1887" s="17" t="str">
        <f aca="false">IF(OR(E1887="",G1887=""),"",E1887*G1887)</f>
        <v/>
      </c>
      <c r="J1887" s="17" t="str">
        <f aca="false">IF(H1887="","",H1887-I1887)</f>
        <v/>
      </c>
    </row>
    <row r="1888" customFormat="false" ht="15" hidden="false" customHeight="true" outlineLevel="0" collapsed="false">
      <c r="A1888" s="7"/>
      <c r="B1888" s="18" t="str">
        <f aca="false">IF(A1888="","",IFERROR(INDEX(Sales_Memo!$B$2:$B$1001,MATCH(A1888,Sales_Memo!$A$2:$A$1001,0)),""))</f>
        <v/>
      </c>
      <c r="C1888" s="7"/>
      <c r="D1888" s="16" t="str">
        <f aca="false">IF(C1888="","",IFERROR(INDEX(Products!$B$2:$B$501,MATCH(C1888,Products!$A$2:$A$501,0)),"CODE NOT FOUND"))</f>
        <v/>
      </c>
      <c r="E1888" s="7"/>
      <c r="F1888" s="13"/>
      <c r="G1888" s="13"/>
      <c r="H1888" s="17" t="str">
        <f aca="false">IF(OR(E1888="",F1888=""),"",E1888*F1888)</f>
        <v/>
      </c>
      <c r="I1888" s="17" t="str">
        <f aca="false">IF(OR(E1888="",G1888=""),"",E1888*G1888)</f>
        <v/>
      </c>
      <c r="J1888" s="17" t="str">
        <f aca="false">IF(H1888="","",H1888-I1888)</f>
        <v/>
      </c>
    </row>
    <row r="1889" customFormat="false" ht="15" hidden="false" customHeight="true" outlineLevel="0" collapsed="false">
      <c r="A1889" s="7"/>
      <c r="B1889" s="18" t="str">
        <f aca="false">IF(A1889="","",IFERROR(INDEX(Sales_Memo!$B$2:$B$1001,MATCH(A1889,Sales_Memo!$A$2:$A$1001,0)),""))</f>
        <v/>
      </c>
      <c r="C1889" s="7"/>
      <c r="D1889" s="16" t="str">
        <f aca="false">IF(C1889="","",IFERROR(INDEX(Products!$B$2:$B$501,MATCH(C1889,Products!$A$2:$A$501,0)),"CODE NOT FOUND"))</f>
        <v/>
      </c>
      <c r="E1889" s="7"/>
      <c r="F1889" s="13"/>
      <c r="G1889" s="13"/>
      <c r="H1889" s="17" t="str">
        <f aca="false">IF(OR(E1889="",F1889=""),"",E1889*F1889)</f>
        <v/>
      </c>
      <c r="I1889" s="17" t="str">
        <f aca="false">IF(OR(E1889="",G1889=""),"",E1889*G1889)</f>
        <v/>
      </c>
      <c r="J1889" s="17" t="str">
        <f aca="false">IF(H1889="","",H1889-I1889)</f>
        <v/>
      </c>
    </row>
    <row r="1890" customFormat="false" ht="15" hidden="false" customHeight="true" outlineLevel="0" collapsed="false">
      <c r="A1890" s="7"/>
      <c r="B1890" s="18" t="str">
        <f aca="false">IF(A1890="","",IFERROR(INDEX(Sales_Memo!$B$2:$B$1001,MATCH(A1890,Sales_Memo!$A$2:$A$1001,0)),""))</f>
        <v/>
      </c>
      <c r="C1890" s="7"/>
      <c r="D1890" s="16" t="str">
        <f aca="false">IF(C1890="","",IFERROR(INDEX(Products!$B$2:$B$501,MATCH(C1890,Products!$A$2:$A$501,0)),"CODE NOT FOUND"))</f>
        <v/>
      </c>
      <c r="E1890" s="7"/>
      <c r="F1890" s="13"/>
      <c r="G1890" s="13"/>
      <c r="H1890" s="17" t="str">
        <f aca="false">IF(OR(E1890="",F1890=""),"",E1890*F1890)</f>
        <v/>
      </c>
      <c r="I1890" s="17" t="str">
        <f aca="false">IF(OR(E1890="",G1890=""),"",E1890*G1890)</f>
        <v/>
      </c>
      <c r="J1890" s="17" t="str">
        <f aca="false">IF(H1890="","",H1890-I1890)</f>
        <v/>
      </c>
    </row>
    <row r="1891" customFormat="false" ht="15" hidden="false" customHeight="true" outlineLevel="0" collapsed="false">
      <c r="A1891" s="7"/>
      <c r="B1891" s="18" t="str">
        <f aca="false">IF(A1891="","",IFERROR(INDEX(Sales_Memo!$B$2:$B$1001,MATCH(A1891,Sales_Memo!$A$2:$A$1001,0)),""))</f>
        <v/>
      </c>
      <c r="C1891" s="7"/>
      <c r="D1891" s="16" t="str">
        <f aca="false">IF(C1891="","",IFERROR(INDEX(Products!$B$2:$B$501,MATCH(C1891,Products!$A$2:$A$501,0)),"CODE NOT FOUND"))</f>
        <v/>
      </c>
      <c r="E1891" s="7"/>
      <c r="F1891" s="13"/>
      <c r="G1891" s="13"/>
      <c r="H1891" s="17" t="str">
        <f aca="false">IF(OR(E1891="",F1891=""),"",E1891*F1891)</f>
        <v/>
      </c>
      <c r="I1891" s="17" t="str">
        <f aca="false">IF(OR(E1891="",G1891=""),"",E1891*G1891)</f>
        <v/>
      </c>
      <c r="J1891" s="17" t="str">
        <f aca="false">IF(H1891="","",H1891-I1891)</f>
        <v/>
      </c>
    </row>
    <row r="1892" customFormat="false" ht="15" hidden="false" customHeight="true" outlineLevel="0" collapsed="false">
      <c r="A1892" s="7"/>
      <c r="B1892" s="18" t="str">
        <f aca="false">IF(A1892="","",IFERROR(INDEX(Sales_Memo!$B$2:$B$1001,MATCH(A1892,Sales_Memo!$A$2:$A$1001,0)),""))</f>
        <v/>
      </c>
      <c r="C1892" s="7"/>
      <c r="D1892" s="16" t="str">
        <f aca="false">IF(C1892="","",IFERROR(INDEX(Products!$B$2:$B$501,MATCH(C1892,Products!$A$2:$A$501,0)),"CODE NOT FOUND"))</f>
        <v/>
      </c>
      <c r="E1892" s="7"/>
      <c r="F1892" s="13"/>
      <c r="G1892" s="13"/>
      <c r="H1892" s="17" t="str">
        <f aca="false">IF(OR(E1892="",F1892=""),"",E1892*F1892)</f>
        <v/>
      </c>
      <c r="I1892" s="17" t="str">
        <f aca="false">IF(OR(E1892="",G1892=""),"",E1892*G1892)</f>
        <v/>
      </c>
      <c r="J1892" s="17" t="str">
        <f aca="false">IF(H1892="","",H1892-I1892)</f>
        <v/>
      </c>
    </row>
    <row r="1893" customFormat="false" ht="15" hidden="false" customHeight="true" outlineLevel="0" collapsed="false">
      <c r="A1893" s="7"/>
      <c r="B1893" s="18" t="str">
        <f aca="false">IF(A1893="","",IFERROR(INDEX(Sales_Memo!$B$2:$B$1001,MATCH(A1893,Sales_Memo!$A$2:$A$1001,0)),""))</f>
        <v/>
      </c>
      <c r="C1893" s="7"/>
      <c r="D1893" s="16" t="str">
        <f aca="false">IF(C1893="","",IFERROR(INDEX(Products!$B$2:$B$501,MATCH(C1893,Products!$A$2:$A$501,0)),"CODE NOT FOUND"))</f>
        <v/>
      </c>
      <c r="E1893" s="7"/>
      <c r="F1893" s="13"/>
      <c r="G1893" s="13"/>
      <c r="H1893" s="17" t="str">
        <f aca="false">IF(OR(E1893="",F1893=""),"",E1893*F1893)</f>
        <v/>
      </c>
      <c r="I1893" s="17" t="str">
        <f aca="false">IF(OR(E1893="",G1893=""),"",E1893*G1893)</f>
        <v/>
      </c>
      <c r="J1893" s="17" t="str">
        <f aca="false">IF(H1893="","",H1893-I1893)</f>
        <v/>
      </c>
    </row>
    <row r="1894" customFormat="false" ht="15" hidden="false" customHeight="true" outlineLevel="0" collapsed="false">
      <c r="A1894" s="7"/>
      <c r="B1894" s="18" t="str">
        <f aca="false">IF(A1894="","",IFERROR(INDEX(Sales_Memo!$B$2:$B$1001,MATCH(A1894,Sales_Memo!$A$2:$A$1001,0)),""))</f>
        <v/>
      </c>
      <c r="C1894" s="7"/>
      <c r="D1894" s="16" t="str">
        <f aca="false">IF(C1894="","",IFERROR(INDEX(Products!$B$2:$B$501,MATCH(C1894,Products!$A$2:$A$501,0)),"CODE NOT FOUND"))</f>
        <v/>
      </c>
      <c r="E1894" s="7"/>
      <c r="F1894" s="13"/>
      <c r="G1894" s="13"/>
      <c r="H1894" s="17" t="str">
        <f aca="false">IF(OR(E1894="",F1894=""),"",E1894*F1894)</f>
        <v/>
      </c>
      <c r="I1894" s="17" t="str">
        <f aca="false">IF(OR(E1894="",G1894=""),"",E1894*G1894)</f>
        <v/>
      </c>
      <c r="J1894" s="17" t="str">
        <f aca="false">IF(H1894="","",H1894-I1894)</f>
        <v/>
      </c>
    </row>
    <row r="1895" customFormat="false" ht="15" hidden="false" customHeight="true" outlineLevel="0" collapsed="false">
      <c r="A1895" s="7"/>
      <c r="B1895" s="18" t="str">
        <f aca="false">IF(A1895="","",IFERROR(INDEX(Sales_Memo!$B$2:$B$1001,MATCH(A1895,Sales_Memo!$A$2:$A$1001,0)),""))</f>
        <v/>
      </c>
      <c r="C1895" s="7"/>
      <c r="D1895" s="16" t="str">
        <f aca="false">IF(C1895="","",IFERROR(INDEX(Products!$B$2:$B$501,MATCH(C1895,Products!$A$2:$A$501,0)),"CODE NOT FOUND"))</f>
        <v/>
      </c>
      <c r="E1895" s="7"/>
      <c r="F1895" s="13"/>
      <c r="G1895" s="13"/>
      <c r="H1895" s="17" t="str">
        <f aca="false">IF(OR(E1895="",F1895=""),"",E1895*F1895)</f>
        <v/>
      </c>
      <c r="I1895" s="17" t="str">
        <f aca="false">IF(OR(E1895="",G1895=""),"",E1895*G1895)</f>
        <v/>
      </c>
      <c r="J1895" s="17" t="str">
        <f aca="false">IF(H1895="","",H1895-I1895)</f>
        <v/>
      </c>
    </row>
    <row r="1896" customFormat="false" ht="15" hidden="false" customHeight="true" outlineLevel="0" collapsed="false">
      <c r="A1896" s="7"/>
      <c r="B1896" s="18" t="str">
        <f aca="false">IF(A1896="","",IFERROR(INDEX(Sales_Memo!$B$2:$B$1001,MATCH(A1896,Sales_Memo!$A$2:$A$1001,0)),""))</f>
        <v/>
      </c>
      <c r="C1896" s="7"/>
      <c r="D1896" s="16" t="str">
        <f aca="false">IF(C1896="","",IFERROR(INDEX(Products!$B$2:$B$501,MATCH(C1896,Products!$A$2:$A$501,0)),"CODE NOT FOUND"))</f>
        <v/>
      </c>
      <c r="E1896" s="7"/>
      <c r="F1896" s="13"/>
      <c r="G1896" s="13"/>
      <c r="H1896" s="17" t="str">
        <f aca="false">IF(OR(E1896="",F1896=""),"",E1896*F1896)</f>
        <v/>
      </c>
      <c r="I1896" s="17" t="str">
        <f aca="false">IF(OR(E1896="",G1896=""),"",E1896*G1896)</f>
        <v/>
      </c>
      <c r="J1896" s="17" t="str">
        <f aca="false">IF(H1896="","",H1896-I1896)</f>
        <v/>
      </c>
    </row>
    <row r="1897" customFormat="false" ht="15" hidden="false" customHeight="true" outlineLevel="0" collapsed="false">
      <c r="A1897" s="7"/>
      <c r="B1897" s="18" t="str">
        <f aca="false">IF(A1897="","",IFERROR(INDEX(Sales_Memo!$B$2:$B$1001,MATCH(A1897,Sales_Memo!$A$2:$A$1001,0)),""))</f>
        <v/>
      </c>
      <c r="C1897" s="7"/>
      <c r="D1897" s="16" t="str">
        <f aca="false">IF(C1897="","",IFERROR(INDEX(Products!$B$2:$B$501,MATCH(C1897,Products!$A$2:$A$501,0)),"CODE NOT FOUND"))</f>
        <v/>
      </c>
      <c r="E1897" s="7"/>
      <c r="F1897" s="13"/>
      <c r="G1897" s="13"/>
      <c r="H1897" s="17" t="str">
        <f aca="false">IF(OR(E1897="",F1897=""),"",E1897*F1897)</f>
        <v/>
      </c>
      <c r="I1897" s="17" t="str">
        <f aca="false">IF(OR(E1897="",G1897=""),"",E1897*G1897)</f>
        <v/>
      </c>
      <c r="J1897" s="17" t="str">
        <f aca="false">IF(H1897="","",H1897-I1897)</f>
        <v/>
      </c>
    </row>
    <row r="1898" customFormat="false" ht="15" hidden="false" customHeight="true" outlineLevel="0" collapsed="false">
      <c r="A1898" s="7"/>
      <c r="B1898" s="18" t="str">
        <f aca="false">IF(A1898="","",IFERROR(INDEX(Sales_Memo!$B$2:$B$1001,MATCH(A1898,Sales_Memo!$A$2:$A$1001,0)),""))</f>
        <v/>
      </c>
      <c r="C1898" s="7"/>
      <c r="D1898" s="16" t="str">
        <f aca="false">IF(C1898="","",IFERROR(INDEX(Products!$B$2:$B$501,MATCH(C1898,Products!$A$2:$A$501,0)),"CODE NOT FOUND"))</f>
        <v/>
      </c>
      <c r="E1898" s="7"/>
      <c r="F1898" s="13"/>
      <c r="G1898" s="13"/>
      <c r="H1898" s="17" t="str">
        <f aca="false">IF(OR(E1898="",F1898=""),"",E1898*F1898)</f>
        <v/>
      </c>
      <c r="I1898" s="17" t="str">
        <f aca="false">IF(OR(E1898="",G1898=""),"",E1898*G1898)</f>
        <v/>
      </c>
      <c r="J1898" s="17" t="str">
        <f aca="false">IF(H1898="","",H1898-I1898)</f>
        <v/>
      </c>
    </row>
    <row r="1899" customFormat="false" ht="15" hidden="false" customHeight="true" outlineLevel="0" collapsed="false">
      <c r="A1899" s="7"/>
      <c r="B1899" s="18" t="str">
        <f aca="false">IF(A1899="","",IFERROR(INDEX(Sales_Memo!$B$2:$B$1001,MATCH(A1899,Sales_Memo!$A$2:$A$1001,0)),""))</f>
        <v/>
      </c>
      <c r="C1899" s="7"/>
      <c r="D1899" s="16" t="str">
        <f aca="false">IF(C1899="","",IFERROR(INDEX(Products!$B$2:$B$501,MATCH(C1899,Products!$A$2:$A$501,0)),"CODE NOT FOUND"))</f>
        <v/>
      </c>
      <c r="E1899" s="7"/>
      <c r="F1899" s="13"/>
      <c r="G1899" s="13"/>
      <c r="H1899" s="17" t="str">
        <f aca="false">IF(OR(E1899="",F1899=""),"",E1899*F1899)</f>
        <v/>
      </c>
      <c r="I1899" s="17" t="str">
        <f aca="false">IF(OR(E1899="",G1899=""),"",E1899*G1899)</f>
        <v/>
      </c>
      <c r="J1899" s="17" t="str">
        <f aca="false">IF(H1899="","",H1899-I1899)</f>
        <v/>
      </c>
    </row>
    <row r="1900" customFormat="false" ht="15" hidden="false" customHeight="true" outlineLevel="0" collapsed="false">
      <c r="A1900" s="7"/>
      <c r="B1900" s="18" t="str">
        <f aca="false">IF(A1900="","",IFERROR(INDEX(Sales_Memo!$B$2:$B$1001,MATCH(A1900,Sales_Memo!$A$2:$A$1001,0)),""))</f>
        <v/>
      </c>
      <c r="C1900" s="7"/>
      <c r="D1900" s="16" t="str">
        <f aca="false">IF(C1900="","",IFERROR(INDEX(Products!$B$2:$B$501,MATCH(C1900,Products!$A$2:$A$501,0)),"CODE NOT FOUND"))</f>
        <v/>
      </c>
      <c r="E1900" s="7"/>
      <c r="F1900" s="13"/>
      <c r="G1900" s="13"/>
      <c r="H1900" s="17" t="str">
        <f aca="false">IF(OR(E1900="",F1900=""),"",E1900*F1900)</f>
        <v/>
      </c>
      <c r="I1900" s="17" t="str">
        <f aca="false">IF(OR(E1900="",G1900=""),"",E1900*G1900)</f>
        <v/>
      </c>
      <c r="J1900" s="17" t="str">
        <f aca="false">IF(H1900="","",H1900-I1900)</f>
        <v/>
      </c>
    </row>
    <row r="1901" customFormat="false" ht="15" hidden="false" customHeight="true" outlineLevel="0" collapsed="false">
      <c r="A1901" s="7"/>
      <c r="B1901" s="18" t="str">
        <f aca="false">IF(A1901="","",IFERROR(INDEX(Sales_Memo!$B$2:$B$1001,MATCH(A1901,Sales_Memo!$A$2:$A$1001,0)),""))</f>
        <v/>
      </c>
      <c r="C1901" s="7"/>
      <c r="D1901" s="16" t="str">
        <f aca="false">IF(C1901="","",IFERROR(INDEX(Products!$B$2:$B$501,MATCH(C1901,Products!$A$2:$A$501,0)),"CODE NOT FOUND"))</f>
        <v/>
      </c>
      <c r="E1901" s="7"/>
      <c r="F1901" s="13"/>
      <c r="G1901" s="13"/>
      <c r="H1901" s="17" t="str">
        <f aca="false">IF(OR(E1901="",F1901=""),"",E1901*F1901)</f>
        <v/>
      </c>
      <c r="I1901" s="17" t="str">
        <f aca="false">IF(OR(E1901="",G1901=""),"",E1901*G1901)</f>
        <v/>
      </c>
      <c r="J1901" s="17" t="str">
        <f aca="false">IF(H1901="","",H1901-I1901)</f>
        <v/>
      </c>
    </row>
    <row r="1902" customFormat="false" ht="15" hidden="false" customHeight="true" outlineLevel="0" collapsed="false">
      <c r="A1902" s="7"/>
      <c r="B1902" s="18" t="str">
        <f aca="false">IF(A1902="","",IFERROR(INDEX(Sales_Memo!$B$2:$B$1001,MATCH(A1902,Sales_Memo!$A$2:$A$1001,0)),""))</f>
        <v/>
      </c>
      <c r="C1902" s="7"/>
      <c r="D1902" s="16" t="str">
        <f aca="false">IF(C1902="","",IFERROR(INDEX(Products!$B$2:$B$501,MATCH(C1902,Products!$A$2:$A$501,0)),"CODE NOT FOUND"))</f>
        <v/>
      </c>
      <c r="E1902" s="7"/>
      <c r="F1902" s="13"/>
      <c r="G1902" s="13"/>
      <c r="H1902" s="17" t="str">
        <f aca="false">IF(OR(E1902="",F1902=""),"",E1902*F1902)</f>
        <v/>
      </c>
      <c r="I1902" s="17" t="str">
        <f aca="false">IF(OR(E1902="",G1902=""),"",E1902*G1902)</f>
        <v/>
      </c>
      <c r="J1902" s="17" t="str">
        <f aca="false">IF(H1902="","",H1902-I1902)</f>
        <v/>
      </c>
    </row>
    <row r="1903" customFormat="false" ht="15" hidden="false" customHeight="true" outlineLevel="0" collapsed="false">
      <c r="A1903" s="7"/>
      <c r="B1903" s="18" t="str">
        <f aca="false">IF(A1903="","",IFERROR(INDEX(Sales_Memo!$B$2:$B$1001,MATCH(A1903,Sales_Memo!$A$2:$A$1001,0)),""))</f>
        <v/>
      </c>
      <c r="C1903" s="7"/>
      <c r="D1903" s="16" t="str">
        <f aca="false">IF(C1903="","",IFERROR(INDEX(Products!$B$2:$B$501,MATCH(C1903,Products!$A$2:$A$501,0)),"CODE NOT FOUND"))</f>
        <v/>
      </c>
      <c r="E1903" s="7"/>
      <c r="F1903" s="13"/>
      <c r="G1903" s="13"/>
      <c r="H1903" s="17" t="str">
        <f aca="false">IF(OR(E1903="",F1903=""),"",E1903*F1903)</f>
        <v/>
      </c>
      <c r="I1903" s="17" t="str">
        <f aca="false">IF(OR(E1903="",G1903=""),"",E1903*G1903)</f>
        <v/>
      </c>
      <c r="J1903" s="17" t="str">
        <f aca="false">IF(H1903="","",H1903-I1903)</f>
        <v/>
      </c>
    </row>
    <row r="1904" customFormat="false" ht="15" hidden="false" customHeight="true" outlineLevel="0" collapsed="false">
      <c r="A1904" s="7"/>
      <c r="B1904" s="18" t="str">
        <f aca="false">IF(A1904="","",IFERROR(INDEX(Sales_Memo!$B$2:$B$1001,MATCH(A1904,Sales_Memo!$A$2:$A$1001,0)),""))</f>
        <v/>
      </c>
      <c r="C1904" s="7"/>
      <c r="D1904" s="16" t="str">
        <f aca="false">IF(C1904="","",IFERROR(INDEX(Products!$B$2:$B$501,MATCH(C1904,Products!$A$2:$A$501,0)),"CODE NOT FOUND"))</f>
        <v/>
      </c>
      <c r="E1904" s="7"/>
      <c r="F1904" s="13"/>
      <c r="G1904" s="13"/>
      <c r="H1904" s="17" t="str">
        <f aca="false">IF(OR(E1904="",F1904=""),"",E1904*F1904)</f>
        <v/>
      </c>
      <c r="I1904" s="17" t="str">
        <f aca="false">IF(OR(E1904="",G1904=""),"",E1904*G1904)</f>
        <v/>
      </c>
      <c r="J1904" s="17" t="str">
        <f aca="false">IF(H1904="","",H1904-I1904)</f>
        <v/>
      </c>
    </row>
    <row r="1905" customFormat="false" ht="15" hidden="false" customHeight="true" outlineLevel="0" collapsed="false">
      <c r="A1905" s="7"/>
      <c r="B1905" s="18" t="str">
        <f aca="false">IF(A1905="","",IFERROR(INDEX(Sales_Memo!$B$2:$B$1001,MATCH(A1905,Sales_Memo!$A$2:$A$1001,0)),""))</f>
        <v/>
      </c>
      <c r="C1905" s="7"/>
      <c r="D1905" s="16" t="str">
        <f aca="false">IF(C1905="","",IFERROR(INDEX(Products!$B$2:$B$501,MATCH(C1905,Products!$A$2:$A$501,0)),"CODE NOT FOUND"))</f>
        <v/>
      </c>
      <c r="E1905" s="7"/>
      <c r="F1905" s="13"/>
      <c r="G1905" s="13"/>
      <c r="H1905" s="17" t="str">
        <f aca="false">IF(OR(E1905="",F1905=""),"",E1905*F1905)</f>
        <v/>
      </c>
      <c r="I1905" s="17" t="str">
        <f aca="false">IF(OR(E1905="",G1905=""),"",E1905*G1905)</f>
        <v/>
      </c>
      <c r="J1905" s="17" t="str">
        <f aca="false">IF(H1905="","",H1905-I1905)</f>
        <v/>
      </c>
    </row>
    <row r="1906" customFormat="false" ht="15" hidden="false" customHeight="true" outlineLevel="0" collapsed="false">
      <c r="A1906" s="7"/>
      <c r="B1906" s="18" t="str">
        <f aca="false">IF(A1906="","",IFERROR(INDEX(Sales_Memo!$B$2:$B$1001,MATCH(A1906,Sales_Memo!$A$2:$A$1001,0)),""))</f>
        <v/>
      </c>
      <c r="C1906" s="7"/>
      <c r="D1906" s="16" t="str">
        <f aca="false">IF(C1906="","",IFERROR(INDEX(Products!$B$2:$B$501,MATCH(C1906,Products!$A$2:$A$501,0)),"CODE NOT FOUND"))</f>
        <v/>
      </c>
      <c r="E1906" s="7"/>
      <c r="F1906" s="13"/>
      <c r="G1906" s="13"/>
      <c r="H1906" s="17" t="str">
        <f aca="false">IF(OR(E1906="",F1906=""),"",E1906*F1906)</f>
        <v/>
      </c>
      <c r="I1906" s="17" t="str">
        <f aca="false">IF(OR(E1906="",G1906=""),"",E1906*G1906)</f>
        <v/>
      </c>
      <c r="J1906" s="17" t="str">
        <f aca="false">IF(H1906="","",H1906-I1906)</f>
        <v/>
      </c>
    </row>
    <row r="1907" customFormat="false" ht="15" hidden="false" customHeight="true" outlineLevel="0" collapsed="false">
      <c r="A1907" s="7"/>
      <c r="B1907" s="18" t="str">
        <f aca="false">IF(A1907="","",IFERROR(INDEX(Sales_Memo!$B$2:$B$1001,MATCH(A1907,Sales_Memo!$A$2:$A$1001,0)),""))</f>
        <v/>
      </c>
      <c r="C1907" s="7"/>
      <c r="D1907" s="16" t="str">
        <f aca="false">IF(C1907="","",IFERROR(INDEX(Products!$B$2:$B$501,MATCH(C1907,Products!$A$2:$A$501,0)),"CODE NOT FOUND"))</f>
        <v/>
      </c>
      <c r="E1907" s="7"/>
      <c r="F1907" s="13"/>
      <c r="G1907" s="13"/>
      <c r="H1907" s="17" t="str">
        <f aca="false">IF(OR(E1907="",F1907=""),"",E1907*F1907)</f>
        <v/>
      </c>
      <c r="I1907" s="17" t="str">
        <f aca="false">IF(OR(E1907="",G1907=""),"",E1907*G1907)</f>
        <v/>
      </c>
      <c r="J1907" s="17" t="str">
        <f aca="false">IF(H1907="","",H1907-I1907)</f>
        <v/>
      </c>
    </row>
    <row r="1908" customFormat="false" ht="15" hidden="false" customHeight="true" outlineLevel="0" collapsed="false">
      <c r="A1908" s="7"/>
      <c r="B1908" s="18" t="str">
        <f aca="false">IF(A1908="","",IFERROR(INDEX(Sales_Memo!$B$2:$B$1001,MATCH(A1908,Sales_Memo!$A$2:$A$1001,0)),""))</f>
        <v/>
      </c>
      <c r="C1908" s="7"/>
      <c r="D1908" s="16" t="str">
        <f aca="false">IF(C1908="","",IFERROR(INDEX(Products!$B$2:$B$501,MATCH(C1908,Products!$A$2:$A$501,0)),"CODE NOT FOUND"))</f>
        <v/>
      </c>
      <c r="E1908" s="7"/>
      <c r="F1908" s="13"/>
      <c r="G1908" s="13"/>
      <c r="H1908" s="17" t="str">
        <f aca="false">IF(OR(E1908="",F1908=""),"",E1908*F1908)</f>
        <v/>
      </c>
      <c r="I1908" s="17" t="str">
        <f aca="false">IF(OR(E1908="",G1908=""),"",E1908*G1908)</f>
        <v/>
      </c>
      <c r="J1908" s="17" t="str">
        <f aca="false">IF(H1908="","",H1908-I1908)</f>
        <v/>
      </c>
    </row>
    <row r="1909" customFormat="false" ht="15" hidden="false" customHeight="true" outlineLevel="0" collapsed="false">
      <c r="A1909" s="7"/>
      <c r="B1909" s="18" t="str">
        <f aca="false">IF(A1909="","",IFERROR(INDEX(Sales_Memo!$B$2:$B$1001,MATCH(A1909,Sales_Memo!$A$2:$A$1001,0)),""))</f>
        <v/>
      </c>
      <c r="C1909" s="7"/>
      <c r="D1909" s="16" t="str">
        <f aca="false">IF(C1909="","",IFERROR(INDEX(Products!$B$2:$B$501,MATCH(C1909,Products!$A$2:$A$501,0)),"CODE NOT FOUND"))</f>
        <v/>
      </c>
      <c r="E1909" s="7"/>
      <c r="F1909" s="13"/>
      <c r="G1909" s="13"/>
      <c r="H1909" s="17" t="str">
        <f aca="false">IF(OR(E1909="",F1909=""),"",E1909*F1909)</f>
        <v/>
      </c>
      <c r="I1909" s="17" t="str">
        <f aca="false">IF(OR(E1909="",G1909=""),"",E1909*G1909)</f>
        <v/>
      </c>
      <c r="J1909" s="17" t="str">
        <f aca="false">IF(H1909="","",H1909-I1909)</f>
        <v/>
      </c>
    </row>
    <row r="1910" customFormat="false" ht="15" hidden="false" customHeight="true" outlineLevel="0" collapsed="false">
      <c r="A1910" s="7"/>
      <c r="B1910" s="18" t="str">
        <f aca="false">IF(A1910="","",IFERROR(INDEX(Sales_Memo!$B$2:$B$1001,MATCH(A1910,Sales_Memo!$A$2:$A$1001,0)),""))</f>
        <v/>
      </c>
      <c r="C1910" s="7"/>
      <c r="D1910" s="16" t="str">
        <f aca="false">IF(C1910="","",IFERROR(INDEX(Products!$B$2:$B$501,MATCH(C1910,Products!$A$2:$A$501,0)),"CODE NOT FOUND"))</f>
        <v/>
      </c>
      <c r="E1910" s="7"/>
      <c r="F1910" s="13"/>
      <c r="G1910" s="13"/>
      <c r="H1910" s="17" t="str">
        <f aca="false">IF(OR(E1910="",F1910=""),"",E1910*F1910)</f>
        <v/>
      </c>
      <c r="I1910" s="17" t="str">
        <f aca="false">IF(OR(E1910="",G1910=""),"",E1910*G1910)</f>
        <v/>
      </c>
      <c r="J1910" s="17" t="str">
        <f aca="false">IF(H1910="","",H1910-I1910)</f>
        <v/>
      </c>
    </row>
    <row r="1911" customFormat="false" ht="15" hidden="false" customHeight="true" outlineLevel="0" collapsed="false">
      <c r="A1911" s="7"/>
      <c r="B1911" s="18" t="str">
        <f aca="false">IF(A1911="","",IFERROR(INDEX(Sales_Memo!$B$2:$B$1001,MATCH(A1911,Sales_Memo!$A$2:$A$1001,0)),""))</f>
        <v/>
      </c>
      <c r="C1911" s="7"/>
      <c r="D1911" s="16" t="str">
        <f aca="false">IF(C1911="","",IFERROR(INDEX(Products!$B$2:$B$501,MATCH(C1911,Products!$A$2:$A$501,0)),"CODE NOT FOUND"))</f>
        <v/>
      </c>
      <c r="E1911" s="7"/>
      <c r="F1911" s="13"/>
      <c r="G1911" s="13"/>
      <c r="H1911" s="17" t="str">
        <f aca="false">IF(OR(E1911="",F1911=""),"",E1911*F1911)</f>
        <v/>
      </c>
      <c r="I1911" s="17" t="str">
        <f aca="false">IF(OR(E1911="",G1911=""),"",E1911*G1911)</f>
        <v/>
      </c>
      <c r="J1911" s="17" t="str">
        <f aca="false">IF(H1911="","",H1911-I1911)</f>
        <v/>
      </c>
    </row>
    <row r="1912" customFormat="false" ht="15" hidden="false" customHeight="true" outlineLevel="0" collapsed="false">
      <c r="A1912" s="7"/>
      <c r="B1912" s="18" t="str">
        <f aca="false">IF(A1912="","",IFERROR(INDEX(Sales_Memo!$B$2:$B$1001,MATCH(A1912,Sales_Memo!$A$2:$A$1001,0)),""))</f>
        <v/>
      </c>
      <c r="C1912" s="7"/>
      <c r="D1912" s="16" t="str">
        <f aca="false">IF(C1912="","",IFERROR(INDEX(Products!$B$2:$B$501,MATCH(C1912,Products!$A$2:$A$501,0)),"CODE NOT FOUND"))</f>
        <v/>
      </c>
      <c r="E1912" s="7"/>
      <c r="F1912" s="13"/>
      <c r="G1912" s="13"/>
      <c r="H1912" s="17" t="str">
        <f aca="false">IF(OR(E1912="",F1912=""),"",E1912*F1912)</f>
        <v/>
      </c>
      <c r="I1912" s="17" t="str">
        <f aca="false">IF(OR(E1912="",G1912=""),"",E1912*G1912)</f>
        <v/>
      </c>
      <c r="J1912" s="17" t="str">
        <f aca="false">IF(H1912="","",H1912-I1912)</f>
        <v/>
      </c>
    </row>
    <row r="1913" customFormat="false" ht="15" hidden="false" customHeight="true" outlineLevel="0" collapsed="false">
      <c r="A1913" s="7"/>
      <c r="B1913" s="18" t="str">
        <f aca="false">IF(A1913="","",IFERROR(INDEX(Sales_Memo!$B$2:$B$1001,MATCH(A1913,Sales_Memo!$A$2:$A$1001,0)),""))</f>
        <v/>
      </c>
      <c r="C1913" s="7"/>
      <c r="D1913" s="16" t="str">
        <f aca="false">IF(C1913="","",IFERROR(INDEX(Products!$B$2:$B$501,MATCH(C1913,Products!$A$2:$A$501,0)),"CODE NOT FOUND"))</f>
        <v/>
      </c>
      <c r="E1913" s="7"/>
      <c r="F1913" s="13"/>
      <c r="G1913" s="13"/>
      <c r="H1913" s="17" t="str">
        <f aca="false">IF(OR(E1913="",F1913=""),"",E1913*F1913)</f>
        <v/>
      </c>
      <c r="I1913" s="17" t="str">
        <f aca="false">IF(OR(E1913="",G1913=""),"",E1913*G1913)</f>
        <v/>
      </c>
      <c r="J1913" s="17" t="str">
        <f aca="false">IF(H1913="","",H1913-I1913)</f>
        <v/>
      </c>
    </row>
    <row r="1914" customFormat="false" ht="15" hidden="false" customHeight="true" outlineLevel="0" collapsed="false">
      <c r="A1914" s="7"/>
      <c r="B1914" s="18" t="str">
        <f aca="false">IF(A1914="","",IFERROR(INDEX(Sales_Memo!$B$2:$B$1001,MATCH(A1914,Sales_Memo!$A$2:$A$1001,0)),""))</f>
        <v/>
      </c>
      <c r="C1914" s="7"/>
      <c r="D1914" s="16" t="str">
        <f aca="false">IF(C1914="","",IFERROR(INDEX(Products!$B$2:$B$501,MATCH(C1914,Products!$A$2:$A$501,0)),"CODE NOT FOUND"))</f>
        <v/>
      </c>
      <c r="E1914" s="7"/>
      <c r="F1914" s="13"/>
      <c r="G1914" s="13"/>
      <c r="H1914" s="17" t="str">
        <f aca="false">IF(OR(E1914="",F1914=""),"",E1914*F1914)</f>
        <v/>
      </c>
      <c r="I1914" s="17" t="str">
        <f aca="false">IF(OR(E1914="",G1914=""),"",E1914*G1914)</f>
        <v/>
      </c>
      <c r="J1914" s="17" t="str">
        <f aca="false">IF(H1914="","",H1914-I1914)</f>
        <v/>
      </c>
    </row>
    <row r="1915" customFormat="false" ht="15" hidden="false" customHeight="true" outlineLevel="0" collapsed="false">
      <c r="A1915" s="7"/>
      <c r="B1915" s="18" t="str">
        <f aca="false">IF(A1915="","",IFERROR(INDEX(Sales_Memo!$B$2:$B$1001,MATCH(A1915,Sales_Memo!$A$2:$A$1001,0)),""))</f>
        <v/>
      </c>
      <c r="C1915" s="7"/>
      <c r="D1915" s="16" t="str">
        <f aca="false">IF(C1915="","",IFERROR(INDEX(Products!$B$2:$B$501,MATCH(C1915,Products!$A$2:$A$501,0)),"CODE NOT FOUND"))</f>
        <v/>
      </c>
      <c r="E1915" s="7"/>
      <c r="F1915" s="13"/>
      <c r="G1915" s="13"/>
      <c r="H1915" s="17" t="str">
        <f aca="false">IF(OR(E1915="",F1915=""),"",E1915*F1915)</f>
        <v/>
      </c>
      <c r="I1915" s="17" t="str">
        <f aca="false">IF(OR(E1915="",G1915=""),"",E1915*G1915)</f>
        <v/>
      </c>
      <c r="J1915" s="17" t="str">
        <f aca="false">IF(H1915="","",H1915-I1915)</f>
        <v/>
      </c>
    </row>
    <row r="1916" customFormat="false" ht="15" hidden="false" customHeight="true" outlineLevel="0" collapsed="false">
      <c r="A1916" s="7"/>
      <c r="B1916" s="18" t="str">
        <f aca="false">IF(A1916="","",IFERROR(INDEX(Sales_Memo!$B$2:$B$1001,MATCH(A1916,Sales_Memo!$A$2:$A$1001,0)),""))</f>
        <v/>
      </c>
      <c r="C1916" s="7"/>
      <c r="D1916" s="16" t="str">
        <f aca="false">IF(C1916="","",IFERROR(INDEX(Products!$B$2:$B$501,MATCH(C1916,Products!$A$2:$A$501,0)),"CODE NOT FOUND"))</f>
        <v/>
      </c>
      <c r="E1916" s="7"/>
      <c r="F1916" s="13"/>
      <c r="G1916" s="13"/>
      <c r="H1916" s="17" t="str">
        <f aca="false">IF(OR(E1916="",F1916=""),"",E1916*F1916)</f>
        <v/>
      </c>
      <c r="I1916" s="17" t="str">
        <f aca="false">IF(OR(E1916="",G1916=""),"",E1916*G1916)</f>
        <v/>
      </c>
      <c r="J1916" s="17" t="str">
        <f aca="false">IF(H1916="","",H1916-I1916)</f>
        <v/>
      </c>
    </row>
    <row r="1917" customFormat="false" ht="15" hidden="false" customHeight="true" outlineLevel="0" collapsed="false">
      <c r="A1917" s="7"/>
      <c r="B1917" s="18" t="str">
        <f aca="false">IF(A1917="","",IFERROR(INDEX(Sales_Memo!$B$2:$B$1001,MATCH(A1917,Sales_Memo!$A$2:$A$1001,0)),""))</f>
        <v/>
      </c>
      <c r="C1917" s="7"/>
      <c r="D1917" s="16" t="str">
        <f aca="false">IF(C1917="","",IFERROR(INDEX(Products!$B$2:$B$501,MATCH(C1917,Products!$A$2:$A$501,0)),"CODE NOT FOUND"))</f>
        <v/>
      </c>
      <c r="E1917" s="7"/>
      <c r="F1917" s="13"/>
      <c r="G1917" s="13"/>
      <c r="H1917" s="17" t="str">
        <f aca="false">IF(OR(E1917="",F1917=""),"",E1917*F1917)</f>
        <v/>
      </c>
      <c r="I1917" s="17" t="str">
        <f aca="false">IF(OR(E1917="",G1917=""),"",E1917*G1917)</f>
        <v/>
      </c>
      <c r="J1917" s="17" t="str">
        <f aca="false">IF(H1917="","",H1917-I1917)</f>
        <v/>
      </c>
    </row>
    <row r="1918" customFormat="false" ht="15" hidden="false" customHeight="true" outlineLevel="0" collapsed="false">
      <c r="A1918" s="7"/>
      <c r="B1918" s="18" t="str">
        <f aca="false">IF(A1918="","",IFERROR(INDEX(Sales_Memo!$B$2:$B$1001,MATCH(A1918,Sales_Memo!$A$2:$A$1001,0)),""))</f>
        <v/>
      </c>
      <c r="C1918" s="7"/>
      <c r="D1918" s="16" t="str">
        <f aca="false">IF(C1918="","",IFERROR(INDEX(Products!$B$2:$B$501,MATCH(C1918,Products!$A$2:$A$501,0)),"CODE NOT FOUND"))</f>
        <v/>
      </c>
      <c r="E1918" s="7"/>
      <c r="F1918" s="13"/>
      <c r="G1918" s="13"/>
      <c r="H1918" s="17" t="str">
        <f aca="false">IF(OR(E1918="",F1918=""),"",E1918*F1918)</f>
        <v/>
      </c>
      <c r="I1918" s="17" t="str">
        <f aca="false">IF(OR(E1918="",G1918=""),"",E1918*G1918)</f>
        <v/>
      </c>
      <c r="J1918" s="17" t="str">
        <f aca="false">IF(H1918="","",H1918-I1918)</f>
        <v/>
      </c>
    </row>
    <row r="1919" customFormat="false" ht="15" hidden="false" customHeight="true" outlineLevel="0" collapsed="false">
      <c r="A1919" s="7"/>
      <c r="B1919" s="18" t="str">
        <f aca="false">IF(A1919="","",IFERROR(INDEX(Sales_Memo!$B$2:$B$1001,MATCH(A1919,Sales_Memo!$A$2:$A$1001,0)),""))</f>
        <v/>
      </c>
      <c r="C1919" s="7"/>
      <c r="D1919" s="16" t="str">
        <f aca="false">IF(C1919="","",IFERROR(INDEX(Products!$B$2:$B$501,MATCH(C1919,Products!$A$2:$A$501,0)),"CODE NOT FOUND"))</f>
        <v/>
      </c>
      <c r="E1919" s="7"/>
      <c r="F1919" s="13"/>
      <c r="G1919" s="13"/>
      <c r="H1919" s="17" t="str">
        <f aca="false">IF(OR(E1919="",F1919=""),"",E1919*F1919)</f>
        <v/>
      </c>
      <c r="I1919" s="17" t="str">
        <f aca="false">IF(OR(E1919="",G1919=""),"",E1919*G1919)</f>
        <v/>
      </c>
      <c r="J1919" s="17" t="str">
        <f aca="false">IF(H1919="","",H1919-I1919)</f>
        <v/>
      </c>
    </row>
    <row r="1920" customFormat="false" ht="15" hidden="false" customHeight="true" outlineLevel="0" collapsed="false">
      <c r="A1920" s="7"/>
      <c r="B1920" s="18" t="str">
        <f aca="false">IF(A1920="","",IFERROR(INDEX(Sales_Memo!$B$2:$B$1001,MATCH(A1920,Sales_Memo!$A$2:$A$1001,0)),""))</f>
        <v/>
      </c>
      <c r="C1920" s="7"/>
      <c r="D1920" s="16" t="str">
        <f aca="false">IF(C1920="","",IFERROR(INDEX(Products!$B$2:$B$501,MATCH(C1920,Products!$A$2:$A$501,0)),"CODE NOT FOUND"))</f>
        <v/>
      </c>
      <c r="E1920" s="7"/>
      <c r="F1920" s="13"/>
      <c r="G1920" s="13"/>
      <c r="H1920" s="17" t="str">
        <f aca="false">IF(OR(E1920="",F1920=""),"",E1920*F1920)</f>
        <v/>
      </c>
      <c r="I1920" s="17" t="str">
        <f aca="false">IF(OR(E1920="",G1920=""),"",E1920*G1920)</f>
        <v/>
      </c>
      <c r="J1920" s="17" t="str">
        <f aca="false">IF(H1920="","",H1920-I1920)</f>
        <v/>
      </c>
    </row>
    <row r="1921" customFormat="false" ht="15" hidden="false" customHeight="true" outlineLevel="0" collapsed="false">
      <c r="A1921" s="7"/>
      <c r="B1921" s="18" t="str">
        <f aca="false">IF(A1921="","",IFERROR(INDEX(Sales_Memo!$B$2:$B$1001,MATCH(A1921,Sales_Memo!$A$2:$A$1001,0)),""))</f>
        <v/>
      </c>
      <c r="C1921" s="7"/>
      <c r="D1921" s="16" t="str">
        <f aca="false">IF(C1921="","",IFERROR(INDEX(Products!$B$2:$B$501,MATCH(C1921,Products!$A$2:$A$501,0)),"CODE NOT FOUND"))</f>
        <v/>
      </c>
      <c r="E1921" s="7"/>
      <c r="F1921" s="13"/>
      <c r="G1921" s="13"/>
      <c r="H1921" s="17" t="str">
        <f aca="false">IF(OR(E1921="",F1921=""),"",E1921*F1921)</f>
        <v/>
      </c>
      <c r="I1921" s="17" t="str">
        <f aca="false">IF(OR(E1921="",G1921=""),"",E1921*G1921)</f>
        <v/>
      </c>
      <c r="J1921" s="17" t="str">
        <f aca="false">IF(H1921="","",H1921-I1921)</f>
        <v/>
      </c>
    </row>
    <row r="1922" customFormat="false" ht="15" hidden="false" customHeight="true" outlineLevel="0" collapsed="false">
      <c r="A1922" s="7"/>
      <c r="B1922" s="18" t="str">
        <f aca="false">IF(A1922="","",IFERROR(INDEX(Sales_Memo!$B$2:$B$1001,MATCH(A1922,Sales_Memo!$A$2:$A$1001,0)),""))</f>
        <v/>
      </c>
      <c r="C1922" s="7"/>
      <c r="D1922" s="16" t="str">
        <f aca="false">IF(C1922="","",IFERROR(INDEX(Products!$B$2:$B$501,MATCH(C1922,Products!$A$2:$A$501,0)),"CODE NOT FOUND"))</f>
        <v/>
      </c>
      <c r="E1922" s="7"/>
      <c r="F1922" s="13"/>
      <c r="G1922" s="13"/>
      <c r="H1922" s="17" t="str">
        <f aca="false">IF(OR(E1922="",F1922=""),"",E1922*F1922)</f>
        <v/>
      </c>
      <c r="I1922" s="17" t="str">
        <f aca="false">IF(OR(E1922="",G1922=""),"",E1922*G1922)</f>
        <v/>
      </c>
      <c r="J1922" s="17" t="str">
        <f aca="false">IF(H1922="","",H1922-I1922)</f>
        <v/>
      </c>
    </row>
    <row r="1923" customFormat="false" ht="15" hidden="false" customHeight="true" outlineLevel="0" collapsed="false">
      <c r="A1923" s="7"/>
      <c r="B1923" s="18" t="str">
        <f aca="false">IF(A1923="","",IFERROR(INDEX(Sales_Memo!$B$2:$B$1001,MATCH(A1923,Sales_Memo!$A$2:$A$1001,0)),""))</f>
        <v/>
      </c>
      <c r="C1923" s="7"/>
      <c r="D1923" s="16" t="str">
        <f aca="false">IF(C1923="","",IFERROR(INDEX(Products!$B$2:$B$501,MATCH(C1923,Products!$A$2:$A$501,0)),"CODE NOT FOUND"))</f>
        <v/>
      </c>
      <c r="E1923" s="7"/>
      <c r="F1923" s="13"/>
      <c r="G1923" s="13"/>
      <c r="H1923" s="17" t="str">
        <f aca="false">IF(OR(E1923="",F1923=""),"",E1923*F1923)</f>
        <v/>
      </c>
      <c r="I1923" s="17" t="str">
        <f aca="false">IF(OR(E1923="",G1923=""),"",E1923*G1923)</f>
        <v/>
      </c>
      <c r="J1923" s="17" t="str">
        <f aca="false">IF(H1923="","",H1923-I1923)</f>
        <v/>
      </c>
    </row>
    <row r="1924" customFormat="false" ht="15" hidden="false" customHeight="true" outlineLevel="0" collapsed="false">
      <c r="A1924" s="7"/>
      <c r="B1924" s="18" t="str">
        <f aca="false">IF(A1924="","",IFERROR(INDEX(Sales_Memo!$B$2:$B$1001,MATCH(A1924,Sales_Memo!$A$2:$A$1001,0)),""))</f>
        <v/>
      </c>
      <c r="C1924" s="7"/>
      <c r="D1924" s="16" t="str">
        <f aca="false">IF(C1924="","",IFERROR(INDEX(Products!$B$2:$B$501,MATCH(C1924,Products!$A$2:$A$501,0)),"CODE NOT FOUND"))</f>
        <v/>
      </c>
      <c r="E1924" s="7"/>
      <c r="F1924" s="13"/>
      <c r="G1924" s="13"/>
      <c r="H1924" s="17" t="str">
        <f aca="false">IF(OR(E1924="",F1924=""),"",E1924*F1924)</f>
        <v/>
      </c>
      <c r="I1924" s="17" t="str">
        <f aca="false">IF(OR(E1924="",G1924=""),"",E1924*G1924)</f>
        <v/>
      </c>
      <c r="J1924" s="17" t="str">
        <f aca="false">IF(H1924="","",H1924-I1924)</f>
        <v/>
      </c>
    </row>
    <row r="1925" customFormat="false" ht="15" hidden="false" customHeight="true" outlineLevel="0" collapsed="false">
      <c r="A1925" s="7"/>
      <c r="B1925" s="18" t="str">
        <f aca="false">IF(A1925="","",IFERROR(INDEX(Sales_Memo!$B$2:$B$1001,MATCH(A1925,Sales_Memo!$A$2:$A$1001,0)),""))</f>
        <v/>
      </c>
      <c r="C1925" s="7"/>
      <c r="D1925" s="16" t="str">
        <f aca="false">IF(C1925="","",IFERROR(INDEX(Products!$B$2:$B$501,MATCH(C1925,Products!$A$2:$A$501,0)),"CODE NOT FOUND"))</f>
        <v/>
      </c>
      <c r="E1925" s="7"/>
      <c r="F1925" s="13"/>
      <c r="G1925" s="13"/>
      <c r="H1925" s="17" t="str">
        <f aca="false">IF(OR(E1925="",F1925=""),"",E1925*F1925)</f>
        <v/>
      </c>
      <c r="I1925" s="17" t="str">
        <f aca="false">IF(OR(E1925="",G1925=""),"",E1925*G1925)</f>
        <v/>
      </c>
      <c r="J1925" s="17" t="str">
        <f aca="false">IF(H1925="","",H1925-I1925)</f>
        <v/>
      </c>
    </row>
    <row r="1926" customFormat="false" ht="15" hidden="false" customHeight="true" outlineLevel="0" collapsed="false">
      <c r="A1926" s="7"/>
      <c r="B1926" s="18" t="str">
        <f aca="false">IF(A1926="","",IFERROR(INDEX(Sales_Memo!$B$2:$B$1001,MATCH(A1926,Sales_Memo!$A$2:$A$1001,0)),""))</f>
        <v/>
      </c>
      <c r="C1926" s="7"/>
      <c r="D1926" s="16" t="str">
        <f aca="false">IF(C1926="","",IFERROR(INDEX(Products!$B$2:$B$501,MATCH(C1926,Products!$A$2:$A$501,0)),"CODE NOT FOUND"))</f>
        <v/>
      </c>
      <c r="E1926" s="7"/>
      <c r="F1926" s="13"/>
      <c r="G1926" s="13"/>
      <c r="H1926" s="17" t="str">
        <f aca="false">IF(OR(E1926="",F1926=""),"",E1926*F1926)</f>
        <v/>
      </c>
      <c r="I1926" s="17" t="str">
        <f aca="false">IF(OR(E1926="",G1926=""),"",E1926*G1926)</f>
        <v/>
      </c>
      <c r="J1926" s="17" t="str">
        <f aca="false">IF(H1926="","",H1926-I1926)</f>
        <v/>
      </c>
    </row>
    <row r="1927" customFormat="false" ht="15" hidden="false" customHeight="true" outlineLevel="0" collapsed="false">
      <c r="A1927" s="7"/>
      <c r="B1927" s="18" t="str">
        <f aca="false">IF(A1927="","",IFERROR(INDEX(Sales_Memo!$B$2:$B$1001,MATCH(A1927,Sales_Memo!$A$2:$A$1001,0)),""))</f>
        <v/>
      </c>
      <c r="C1927" s="7"/>
      <c r="D1927" s="16" t="str">
        <f aca="false">IF(C1927="","",IFERROR(INDEX(Products!$B$2:$B$501,MATCH(C1927,Products!$A$2:$A$501,0)),"CODE NOT FOUND"))</f>
        <v/>
      </c>
      <c r="E1927" s="7"/>
      <c r="F1927" s="13"/>
      <c r="G1927" s="13"/>
      <c r="H1927" s="17" t="str">
        <f aca="false">IF(OR(E1927="",F1927=""),"",E1927*F1927)</f>
        <v/>
      </c>
      <c r="I1927" s="17" t="str">
        <f aca="false">IF(OR(E1927="",G1927=""),"",E1927*G1927)</f>
        <v/>
      </c>
      <c r="J1927" s="17" t="str">
        <f aca="false">IF(H1927="","",H1927-I1927)</f>
        <v/>
      </c>
    </row>
    <row r="1928" customFormat="false" ht="15" hidden="false" customHeight="true" outlineLevel="0" collapsed="false">
      <c r="A1928" s="7"/>
      <c r="B1928" s="18" t="str">
        <f aca="false">IF(A1928="","",IFERROR(INDEX(Sales_Memo!$B$2:$B$1001,MATCH(A1928,Sales_Memo!$A$2:$A$1001,0)),""))</f>
        <v/>
      </c>
      <c r="C1928" s="7"/>
      <c r="D1928" s="16" t="str">
        <f aca="false">IF(C1928="","",IFERROR(INDEX(Products!$B$2:$B$501,MATCH(C1928,Products!$A$2:$A$501,0)),"CODE NOT FOUND"))</f>
        <v/>
      </c>
      <c r="E1928" s="7"/>
      <c r="F1928" s="13"/>
      <c r="G1928" s="13"/>
      <c r="H1928" s="17" t="str">
        <f aca="false">IF(OR(E1928="",F1928=""),"",E1928*F1928)</f>
        <v/>
      </c>
      <c r="I1928" s="17" t="str">
        <f aca="false">IF(OR(E1928="",G1928=""),"",E1928*G1928)</f>
        <v/>
      </c>
      <c r="J1928" s="17" t="str">
        <f aca="false">IF(H1928="","",H1928-I1928)</f>
        <v/>
      </c>
    </row>
    <row r="1929" customFormat="false" ht="15" hidden="false" customHeight="true" outlineLevel="0" collapsed="false">
      <c r="A1929" s="7"/>
      <c r="B1929" s="18" t="str">
        <f aca="false">IF(A1929="","",IFERROR(INDEX(Sales_Memo!$B$2:$B$1001,MATCH(A1929,Sales_Memo!$A$2:$A$1001,0)),""))</f>
        <v/>
      </c>
      <c r="C1929" s="7"/>
      <c r="D1929" s="16" t="str">
        <f aca="false">IF(C1929="","",IFERROR(INDEX(Products!$B$2:$B$501,MATCH(C1929,Products!$A$2:$A$501,0)),"CODE NOT FOUND"))</f>
        <v/>
      </c>
      <c r="E1929" s="7"/>
      <c r="F1929" s="13"/>
      <c r="G1929" s="13"/>
      <c r="H1929" s="17" t="str">
        <f aca="false">IF(OR(E1929="",F1929=""),"",E1929*F1929)</f>
        <v/>
      </c>
      <c r="I1929" s="17" t="str">
        <f aca="false">IF(OR(E1929="",G1929=""),"",E1929*G1929)</f>
        <v/>
      </c>
      <c r="J1929" s="17" t="str">
        <f aca="false">IF(H1929="","",H1929-I1929)</f>
        <v/>
      </c>
    </row>
    <row r="1930" customFormat="false" ht="15" hidden="false" customHeight="true" outlineLevel="0" collapsed="false">
      <c r="A1930" s="7"/>
      <c r="B1930" s="18" t="str">
        <f aca="false">IF(A1930="","",IFERROR(INDEX(Sales_Memo!$B$2:$B$1001,MATCH(A1930,Sales_Memo!$A$2:$A$1001,0)),""))</f>
        <v/>
      </c>
      <c r="C1930" s="7"/>
      <c r="D1930" s="16" t="str">
        <f aca="false">IF(C1930="","",IFERROR(INDEX(Products!$B$2:$B$501,MATCH(C1930,Products!$A$2:$A$501,0)),"CODE NOT FOUND"))</f>
        <v/>
      </c>
      <c r="E1930" s="7"/>
      <c r="F1930" s="13"/>
      <c r="G1930" s="13"/>
      <c r="H1930" s="17" t="str">
        <f aca="false">IF(OR(E1930="",F1930=""),"",E1930*F1930)</f>
        <v/>
      </c>
      <c r="I1930" s="17" t="str">
        <f aca="false">IF(OR(E1930="",G1930=""),"",E1930*G1930)</f>
        <v/>
      </c>
      <c r="J1930" s="17" t="str">
        <f aca="false">IF(H1930="","",H1930-I1930)</f>
        <v/>
      </c>
    </row>
    <row r="1931" customFormat="false" ht="15" hidden="false" customHeight="true" outlineLevel="0" collapsed="false">
      <c r="A1931" s="7"/>
      <c r="B1931" s="18" t="str">
        <f aca="false">IF(A1931="","",IFERROR(INDEX(Sales_Memo!$B$2:$B$1001,MATCH(A1931,Sales_Memo!$A$2:$A$1001,0)),""))</f>
        <v/>
      </c>
      <c r="C1931" s="7"/>
      <c r="D1931" s="16" t="str">
        <f aca="false">IF(C1931="","",IFERROR(INDEX(Products!$B$2:$B$501,MATCH(C1931,Products!$A$2:$A$501,0)),"CODE NOT FOUND"))</f>
        <v/>
      </c>
      <c r="E1931" s="7"/>
      <c r="F1931" s="13"/>
      <c r="G1931" s="13"/>
      <c r="H1931" s="17" t="str">
        <f aca="false">IF(OR(E1931="",F1931=""),"",E1931*F1931)</f>
        <v/>
      </c>
      <c r="I1931" s="17" t="str">
        <f aca="false">IF(OR(E1931="",G1931=""),"",E1931*G1931)</f>
        <v/>
      </c>
      <c r="J1931" s="17" t="str">
        <f aca="false">IF(H1931="","",H1931-I1931)</f>
        <v/>
      </c>
    </row>
    <row r="1932" customFormat="false" ht="15" hidden="false" customHeight="true" outlineLevel="0" collapsed="false">
      <c r="A1932" s="7"/>
      <c r="B1932" s="18" t="str">
        <f aca="false">IF(A1932="","",IFERROR(INDEX(Sales_Memo!$B$2:$B$1001,MATCH(A1932,Sales_Memo!$A$2:$A$1001,0)),""))</f>
        <v/>
      </c>
      <c r="C1932" s="7"/>
      <c r="D1932" s="16" t="str">
        <f aca="false">IF(C1932="","",IFERROR(INDEX(Products!$B$2:$B$501,MATCH(C1932,Products!$A$2:$A$501,0)),"CODE NOT FOUND"))</f>
        <v/>
      </c>
      <c r="E1932" s="7"/>
      <c r="F1932" s="13"/>
      <c r="G1932" s="13"/>
      <c r="H1932" s="17" t="str">
        <f aca="false">IF(OR(E1932="",F1932=""),"",E1932*F1932)</f>
        <v/>
      </c>
      <c r="I1932" s="17" t="str">
        <f aca="false">IF(OR(E1932="",G1932=""),"",E1932*G1932)</f>
        <v/>
      </c>
      <c r="J1932" s="17" t="str">
        <f aca="false">IF(H1932="","",H1932-I1932)</f>
        <v/>
      </c>
    </row>
    <row r="1933" customFormat="false" ht="15" hidden="false" customHeight="true" outlineLevel="0" collapsed="false">
      <c r="A1933" s="7"/>
      <c r="B1933" s="18" t="str">
        <f aca="false">IF(A1933="","",IFERROR(INDEX(Sales_Memo!$B$2:$B$1001,MATCH(A1933,Sales_Memo!$A$2:$A$1001,0)),""))</f>
        <v/>
      </c>
      <c r="C1933" s="7"/>
      <c r="D1933" s="16" t="str">
        <f aca="false">IF(C1933="","",IFERROR(INDEX(Products!$B$2:$B$501,MATCH(C1933,Products!$A$2:$A$501,0)),"CODE NOT FOUND"))</f>
        <v/>
      </c>
      <c r="E1933" s="7"/>
      <c r="F1933" s="13"/>
      <c r="G1933" s="13"/>
      <c r="H1933" s="17" t="str">
        <f aca="false">IF(OR(E1933="",F1933=""),"",E1933*F1933)</f>
        <v/>
      </c>
      <c r="I1933" s="17" t="str">
        <f aca="false">IF(OR(E1933="",G1933=""),"",E1933*G1933)</f>
        <v/>
      </c>
      <c r="J1933" s="17" t="str">
        <f aca="false">IF(H1933="","",H1933-I1933)</f>
        <v/>
      </c>
    </row>
    <row r="1934" customFormat="false" ht="15" hidden="false" customHeight="true" outlineLevel="0" collapsed="false">
      <c r="A1934" s="7"/>
      <c r="B1934" s="18" t="str">
        <f aca="false">IF(A1934="","",IFERROR(INDEX(Sales_Memo!$B$2:$B$1001,MATCH(A1934,Sales_Memo!$A$2:$A$1001,0)),""))</f>
        <v/>
      </c>
      <c r="C1934" s="7"/>
      <c r="D1934" s="16" t="str">
        <f aca="false">IF(C1934="","",IFERROR(INDEX(Products!$B$2:$B$501,MATCH(C1934,Products!$A$2:$A$501,0)),"CODE NOT FOUND"))</f>
        <v/>
      </c>
      <c r="E1934" s="7"/>
      <c r="F1934" s="13"/>
      <c r="G1934" s="13"/>
      <c r="H1934" s="17" t="str">
        <f aca="false">IF(OR(E1934="",F1934=""),"",E1934*F1934)</f>
        <v/>
      </c>
      <c r="I1934" s="17" t="str">
        <f aca="false">IF(OR(E1934="",G1934=""),"",E1934*G1934)</f>
        <v/>
      </c>
      <c r="J1934" s="17" t="str">
        <f aca="false">IF(H1934="","",H1934-I1934)</f>
        <v/>
      </c>
    </row>
    <row r="1935" customFormat="false" ht="15" hidden="false" customHeight="true" outlineLevel="0" collapsed="false">
      <c r="A1935" s="7"/>
      <c r="B1935" s="18" t="str">
        <f aca="false">IF(A1935="","",IFERROR(INDEX(Sales_Memo!$B$2:$B$1001,MATCH(A1935,Sales_Memo!$A$2:$A$1001,0)),""))</f>
        <v/>
      </c>
      <c r="C1935" s="7"/>
      <c r="D1935" s="16" t="str">
        <f aca="false">IF(C1935="","",IFERROR(INDEX(Products!$B$2:$B$501,MATCH(C1935,Products!$A$2:$A$501,0)),"CODE NOT FOUND"))</f>
        <v/>
      </c>
      <c r="E1935" s="7"/>
      <c r="F1935" s="13"/>
      <c r="G1935" s="13"/>
      <c r="H1935" s="17" t="str">
        <f aca="false">IF(OR(E1935="",F1935=""),"",E1935*F1935)</f>
        <v/>
      </c>
      <c r="I1935" s="17" t="str">
        <f aca="false">IF(OR(E1935="",G1935=""),"",E1935*G1935)</f>
        <v/>
      </c>
      <c r="J1935" s="17" t="str">
        <f aca="false">IF(H1935="","",H1935-I1935)</f>
        <v/>
      </c>
    </row>
    <row r="1936" customFormat="false" ht="15" hidden="false" customHeight="true" outlineLevel="0" collapsed="false">
      <c r="A1936" s="7"/>
      <c r="B1936" s="18" t="str">
        <f aca="false">IF(A1936="","",IFERROR(INDEX(Sales_Memo!$B$2:$B$1001,MATCH(A1936,Sales_Memo!$A$2:$A$1001,0)),""))</f>
        <v/>
      </c>
      <c r="C1936" s="7"/>
      <c r="D1936" s="16" t="str">
        <f aca="false">IF(C1936="","",IFERROR(INDEX(Products!$B$2:$B$501,MATCH(C1936,Products!$A$2:$A$501,0)),"CODE NOT FOUND"))</f>
        <v/>
      </c>
      <c r="E1936" s="7"/>
      <c r="F1936" s="13"/>
      <c r="G1936" s="13"/>
      <c r="H1936" s="17" t="str">
        <f aca="false">IF(OR(E1936="",F1936=""),"",E1936*F1936)</f>
        <v/>
      </c>
      <c r="I1936" s="17" t="str">
        <f aca="false">IF(OR(E1936="",G1936=""),"",E1936*G1936)</f>
        <v/>
      </c>
      <c r="J1936" s="17" t="str">
        <f aca="false">IF(H1936="","",H1936-I1936)</f>
        <v/>
      </c>
    </row>
    <row r="1937" customFormat="false" ht="15" hidden="false" customHeight="true" outlineLevel="0" collapsed="false">
      <c r="A1937" s="7"/>
      <c r="B1937" s="18" t="str">
        <f aca="false">IF(A1937="","",IFERROR(INDEX(Sales_Memo!$B$2:$B$1001,MATCH(A1937,Sales_Memo!$A$2:$A$1001,0)),""))</f>
        <v/>
      </c>
      <c r="C1937" s="7"/>
      <c r="D1937" s="16" t="str">
        <f aca="false">IF(C1937="","",IFERROR(INDEX(Products!$B$2:$B$501,MATCH(C1937,Products!$A$2:$A$501,0)),"CODE NOT FOUND"))</f>
        <v/>
      </c>
      <c r="E1937" s="7"/>
      <c r="F1937" s="13"/>
      <c r="G1937" s="13"/>
      <c r="H1937" s="17" t="str">
        <f aca="false">IF(OR(E1937="",F1937=""),"",E1937*F1937)</f>
        <v/>
      </c>
      <c r="I1937" s="17" t="str">
        <f aca="false">IF(OR(E1937="",G1937=""),"",E1937*G1937)</f>
        <v/>
      </c>
      <c r="J1937" s="17" t="str">
        <f aca="false">IF(H1937="","",H1937-I1937)</f>
        <v/>
      </c>
    </row>
    <row r="1938" customFormat="false" ht="15" hidden="false" customHeight="true" outlineLevel="0" collapsed="false">
      <c r="A1938" s="7"/>
      <c r="B1938" s="18" t="str">
        <f aca="false">IF(A1938="","",IFERROR(INDEX(Sales_Memo!$B$2:$B$1001,MATCH(A1938,Sales_Memo!$A$2:$A$1001,0)),""))</f>
        <v/>
      </c>
      <c r="C1938" s="7"/>
      <c r="D1938" s="16" t="str">
        <f aca="false">IF(C1938="","",IFERROR(INDEX(Products!$B$2:$B$501,MATCH(C1938,Products!$A$2:$A$501,0)),"CODE NOT FOUND"))</f>
        <v/>
      </c>
      <c r="E1938" s="7"/>
      <c r="F1938" s="13"/>
      <c r="G1938" s="13"/>
      <c r="H1938" s="17" t="str">
        <f aca="false">IF(OR(E1938="",F1938=""),"",E1938*F1938)</f>
        <v/>
      </c>
      <c r="I1938" s="17" t="str">
        <f aca="false">IF(OR(E1938="",G1938=""),"",E1938*G1938)</f>
        <v/>
      </c>
      <c r="J1938" s="17" t="str">
        <f aca="false">IF(H1938="","",H1938-I1938)</f>
        <v/>
      </c>
    </row>
    <row r="1939" customFormat="false" ht="15" hidden="false" customHeight="true" outlineLevel="0" collapsed="false">
      <c r="A1939" s="7"/>
      <c r="B1939" s="18" t="str">
        <f aca="false">IF(A1939="","",IFERROR(INDEX(Sales_Memo!$B$2:$B$1001,MATCH(A1939,Sales_Memo!$A$2:$A$1001,0)),""))</f>
        <v/>
      </c>
      <c r="C1939" s="7"/>
      <c r="D1939" s="16" t="str">
        <f aca="false">IF(C1939="","",IFERROR(INDEX(Products!$B$2:$B$501,MATCH(C1939,Products!$A$2:$A$501,0)),"CODE NOT FOUND"))</f>
        <v/>
      </c>
      <c r="E1939" s="7"/>
      <c r="F1939" s="13"/>
      <c r="G1939" s="13"/>
      <c r="H1939" s="17" t="str">
        <f aca="false">IF(OR(E1939="",F1939=""),"",E1939*F1939)</f>
        <v/>
      </c>
      <c r="I1939" s="17" t="str">
        <f aca="false">IF(OR(E1939="",G1939=""),"",E1939*G1939)</f>
        <v/>
      </c>
      <c r="J1939" s="17" t="str">
        <f aca="false">IF(H1939="","",H1939-I1939)</f>
        <v/>
      </c>
    </row>
    <row r="1940" customFormat="false" ht="15" hidden="false" customHeight="true" outlineLevel="0" collapsed="false">
      <c r="A1940" s="7"/>
      <c r="B1940" s="18" t="str">
        <f aca="false">IF(A1940="","",IFERROR(INDEX(Sales_Memo!$B$2:$B$1001,MATCH(A1940,Sales_Memo!$A$2:$A$1001,0)),""))</f>
        <v/>
      </c>
      <c r="C1940" s="7"/>
      <c r="D1940" s="16" t="str">
        <f aca="false">IF(C1940="","",IFERROR(INDEX(Products!$B$2:$B$501,MATCH(C1940,Products!$A$2:$A$501,0)),"CODE NOT FOUND"))</f>
        <v/>
      </c>
      <c r="E1940" s="7"/>
      <c r="F1940" s="13"/>
      <c r="G1940" s="13"/>
      <c r="H1940" s="17" t="str">
        <f aca="false">IF(OR(E1940="",F1940=""),"",E1940*F1940)</f>
        <v/>
      </c>
      <c r="I1940" s="17" t="str">
        <f aca="false">IF(OR(E1940="",G1940=""),"",E1940*G1940)</f>
        <v/>
      </c>
      <c r="J1940" s="17" t="str">
        <f aca="false">IF(H1940="","",H1940-I1940)</f>
        <v/>
      </c>
    </row>
    <row r="1941" customFormat="false" ht="15" hidden="false" customHeight="true" outlineLevel="0" collapsed="false">
      <c r="A1941" s="7"/>
      <c r="B1941" s="18" t="str">
        <f aca="false">IF(A1941="","",IFERROR(INDEX(Sales_Memo!$B$2:$B$1001,MATCH(A1941,Sales_Memo!$A$2:$A$1001,0)),""))</f>
        <v/>
      </c>
      <c r="C1941" s="7"/>
      <c r="D1941" s="16" t="str">
        <f aca="false">IF(C1941="","",IFERROR(INDEX(Products!$B$2:$B$501,MATCH(C1941,Products!$A$2:$A$501,0)),"CODE NOT FOUND"))</f>
        <v/>
      </c>
      <c r="E1941" s="7"/>
      <c r="F1941" s="13"/>
      <c r="G1941" s="13"/>
      <c r="H1941" s="17" t="str">
        <f aca="false">IF(OR(E1941="",F1941=""),"",E1941*F1941)</f>
        <v/>
      </c>
      <c r="I1941" s="17" t="str">
        <f aca="false">IF(OR(E1941="",G1941=""),"",E1941*G1941)</f>
        <v/>
      </c>
      <c r="J1941" s="17" t="str">
        <f aca="false">IF(H1941="","",H1941-I1941)</f>
        <v/>
      </c>
    </row>
    <row r="1942" customFormat="false" ht="15" hidden="false" customHeight="true" outlineLevel="0" collapsed="false">
      <c r="A1942" s="7"/>
      <c r="B1942" s="18" t="str">
        <f aca="false">IF(A1942="","",IFERROR(INDEX(Sales_Memo!$B$2:$B$1001,MATCH(A1942,Sales_Memo!$A$2:$A$1001,0)),""))</f>
        <v/>
      </c>
      <c r="C1942" s="7"/>
      <c r="D1942" s="16" t="str">
        <f aca="false">IF(C1942="","",IFERROR(INDEX(Products!$B$2:$B$501,MATCH(C1942,Products!$A$2:$A$501,0)),"CODE NOT FOUND"))</f>
        <v/>
      </c>
      <c r="E1942" s="7"/>
      <c r="F1942" s="13"/>
      <c r="G1942" s="13"/>
      <c r="H1942" s="17" t="str">
        <f aca="false">IF(OR(E1942="",F1942=""),"",E1942*F1942)</f>
        <v/>
      </c>
      <c r="I1942" s="17" t="str">
        <f aca="false">IF(OR(E1942="",G1942=""),"",E1942*G1942)</f>
        <v/>
      </c>
      <c r="J1942" s="17" t="str">
        <f aca="false">IF(H1942="","",H1942-I1942)</f>
        <v/>
      </c>
    </row>
    <row r="1943" customFormat="false" ht="15" hidden="false" customHeight="true" outlineLevel="0" collapsed="false">
      <c r="A1943" s="7"/>
      <c r="B1943" s="18" t="str">
        <f aca="false">IF(A1943="","",IFERROR(INDEX(Sales_Memo!$B$2:$B$1001,MATCH(A1943,Sales_Memo!$A$2:$A$1001,0)),""))</f>
        <v/>
      </c>
      <c r="C1943" s="7"/>
      <c r="D1943" s="16" t="str">
        <f aca="false">IF(C1943="","",IFERROR(INDEX(Products!$B$2:$B$501,MATCH(C1943,Products!$A$2:$A$501,0)),"CODE NOT FOUND"))</f>
        <v/>
      </c>
      <c r="E1943" s="7"/>
      <c r="F1943" s="13"/>
      <c r="G1943" s="13"/>
      <c r="H1943" s="17" t="str">
        <f aca="false">IF(OR(E1943="",F1943=""),"",E1943*F1943)</f>
        <v/>
      </c>
      <c r="I1943" s="17" t="str">
        <f aca="false">IF(OR(E1943="",G1943=""),"",E1943*G1943)</f>
        <v/>
      </c>
      <c r="J1943" s="17" t="str">
        <f aca="false">IF(H1943="","",H1943-I1943)</f>
        <v/>
      </c>
    </row>
    <row r="1944" customFormat="false" ht="15" hidden="false" customHeight="true" outlineLevel="0" collapsed="false">
      <c r="A1944" s="7"/>
      <c r="B1944" s="18" t="str">
        <f aca="false">IF(A1944="","",IFERROR(INDEX(Sales_Memo!$B$2:$B$1001,MATCH(A1944,Sales_Memo!$A$2:$A$1001,0)),""))</f>
        <v/>
      </c>
      <c r="C1944" s="7"/>
      <c r="D1944" s="16" t="str">
        <f aca="false">IF(C1944="","",IFERROR(INDEX(Products!$B$2:$B$501,MATCH(C1944,Products!$A$2:$A$501,0)),"CODE NOT FOUND"))</f>
        <v/>
      </c>
      <c r="E1944" s="7"/>
      <c r="F1944" s="13"/>
      <c r="G1944" s="13"/>
      <c r="H1944" s="17" t="str">
        <f aca="false">IF(OR(E1944="",F1944=""),"",E1944*F1944)</f>
        <v/>
      </c>
      <c r="I1944" s="17" t="str">
        <f aca="false">IF(OR(E1944="",G1944=""),"",E1944*G1944)</f>
        <v/>
      </c>
      <c r="J1944" s="17" t="str">
        <f aca="false">IF(H1944="","",H1944-I1944)</f>
        <v/>
      </c>
    </row>
    <row r="1945" customFormat="false" ht="15" hidden="false" customHeight="true" outlineLevel="0" collapsed="false">
      <c r="A1945" s="7"/>
      <c r="B1945" s="18" t="str">
        <f aca="false">IF(A1945="","",IFERROR(INDEX(Sales_Memo!$B$2:$B$1001,MATCH(A1945,Sales_Memo!$A$2:$A$1001,0)),""))</f>
        <v/>
      </c>
      <c r="C1945" s="7"/>
      <c r="D1945" s="16" t="str">
        <f aca="false">IF(C1945="","",IFERROR(INDEX(Products!$B$2:$B$501,MATCH(C1945,Products!$A$2:$A$501,0)),"CODE NOT FOUND"))</f>
        <v/>
      </c>
      <c r="E1945" s="7"/>
      <c r="F1945" s="13"/>
      <c r="G1945" s="13"/>
      <c r="H1945" s="17" t="str">
        <f aca="false">IF(OR(E1945="",F1945=""),"",E1945*F1945)</f>
        <v/>
      </c>
      <c r="I1945" s="17" t="str">
        <f aca="false">IF(OR(E1945="",G1945=""),"",E1945*G1945)</f>
        <v/>
      </c>
      <c r="J1945" s="17" t="str">
        <f aca="false">IF(H1945="","",H1945-I1945)</f>
        <v/>
      </c>
    </row>
    <row r="1946" customFormat="false" ht="15" hidden="false" customHeight="true" outlineLevel="0" collapsed="false">
      <c r="A1946" s="7"/>
      <c r="B1946" s="18" t="str">
        <f aca="false">IF(A1946="","",IFERROR(INDEX(Sales_Memo!$B$2:$B$1001,MATCH(A1946,Sales_Memo!$A$2:$A$1001,0)),""))</f>
        <v/>
      </c>
      <c r="C1946" s="7"/>
      <c r="D1946" s="16" t="str">
        <f aca="false">IF(C1946="","",IFERROR(INDEX(Products!$B$2:$B$501,MATCH(C1946,Products!$A$2:$A$501,0)),"CODE NOT FOUND"))</f>
        <v/>
      </c>
      <c r="E1946" s="7"/>
      <c r="F1946" s="13"/>
      <c r="G1946" s="13"/>
      <c r="H1946" s="17" t="str">
        <f aca="false">IF(OR(E1946="",F1946=""),"",E1946*F1946)</f>
        <v/>
      </c>
      <c r="I1946" s="17" t="str">
        <f aca="false">IF(OR(E1946="",G1946=""),"",E1946*G1946)</f>
        <v/>
      </c>
      <c r="J1946" s="17" t="str">
        <f aca="false">IF(H1946="","",H1946-I1946)</f>
        <v/>
      </c>
    </row>
    <row r="1947" customFormat="false" ht="15" hidden="false" customHeight="true" outlineLevel="0" collapsed="false">
      <c r="A1947" s="7"/>
      <c r="B1947" s="18" t="str">
        <f aca="false">IF(A1947="","",IFERROR(INDEX(Sales_Memo!$B$2:$B$1001,MATCH(A1947,Sales_Memo!$A$2:$A$1001,0)),""))</f>
        <v/>
      </c>
      <c r="C1947" s="7"/>
      <c r="D1947" s="16" t="str">
        <f aca="false">IF(C1947="","",IFERROR(INDEX(Products!$B$2:$B$501,MATCH(C1947,Products!$A$2:$A$501,0)),"CODE NOT FOUND"))</f>
        <v/>
      </c>
      <c r="E1947" s="7"/>
      <c r="F1947" s="13"/>
      <c r="G1947" s="13"/>
      <c r="H1947" s="17" t="str">
        <f aca="false">IF(OR(E1947="",F1947=""),"",E1947*F1947)</f>
        <v/>
      </c>
      <c r="I1947" s="17" t="str">
        <f aca="false">IF(OR(E1947="",G1947=""),"",E1947*G1947)</f>
        <v/>
      </c>
      <c r="J1947" s="17" t="str">
        <f aca="false">IF(H1947="","",H1947-I1947)</f>
        <v/>
      </c>
    </row>
    <row r="1948" customFormat="false" ht="15" hidden="false" customHeight="true" outlineLevel="0" collapsed="false">
      <c r="A1948" s="7"/>
      <c r="B1948" s="18" t="str">
        <f aca="false">IF(A1948="","",IFERROR(INDEX(Sales_Memo!$B$2:$B$1001,MATCH(A1948,Sales_Memo!$A$2:$A$1001,0)),""))</f>
        <v/>
      </c>
      <c r="C1948" s="7"/>
      <c r="D1948" s="16" t="str">
        <f aca="false">IF(C1948="","",IFERROR(INDEX(Products!$B$2:$B$501,MATCH(C1948,Products!$A$2:$A$501,0)),"CODE NOT FOUND"))</f>
        <v/>
      </c>
      <c r="E1948" s="7"/>
      <c r="F1948" s="13"/>
      <c r="G1948" s="13"/>
      <c r="H1948" s="17" t="str">
        <f aca="false">IF(OR(E1948="",F1948=""),"",E1948*F1948)</f>
        <v/>
      </c>
      <c r="I1948" s="17" t="str">
        <f aca="false">IF(OR(E1948="",G1948=""),"",E1948*G1948)</f>
        <v/>
      </c>
      <c r="J1948" s="17" t="str">
        <f aca="false">IF(H1948="","",H1948-I1948)</f>
        <v/>
      </c>
    </row>
    <row r="1949" customFormat="false" ht="15" hidden="false" customHeight="true" outlineLevel="0" collapsed="false">
      <c r="A1949" s="7"/>
      <c r="B1949" s="18" t="str">
        <f aca="false">IF(A1949="","",IFERROR(INDEX(Sales_Memo!$B$2:$B$1001,MATCH(A1949,Sales_Memo!$A$2:$A$1001,0)),""))</f>
        <v/>
      </c>
      <c r="C1949" s="7"/>
      <c r="D1949" s="16" t="str">
        <f aca="false">IF(C1949="","",IFERROR(INDEX(Products!$B$2:$B$501,MATCH(C1949,Products!$A$2:$A$501,0)),"CODE NOT FOUND"))</f>
        <v/>
      </c>
      <c r="E1949" s="7"/>
      <c r="F1949" s="13"/>
      <c r="G1949" s="13"/>
      <c r="H1949" s="17" t="str">
        <f aca="false">IF(OR(E1949="",F1949=""),"",E1949*F1949)</f>
        <v/>
      </c>
      <c r="I1949" s="17" t="str">
        <f aca="false">IF(OR(E1949="",G1949=""),"",E1949*G1949)</f>
        <v/>
      </c>
      <c r="J1949" s="17" t="str">
        <f aca="false">IF(H1949="","",H1949-I1949)</f>
        <v/>
      </c>
    </row>
    <row r="1950" customFormat="false" ht="15" hidden="false" customHeight="true" outlineLevel="0" collapsed="false">
      <c r="A1950" s="7"/>
      <c r="B1950" s="18" t="str">
        <f aca="false">IF(A1950="","",IFERROR(INDEX(Sales_Memo!$B$2:$B$1001,MATCH(A1950,Sales_Memo!$A$2:$A$1001,0)),""))</f>
        <v/>
      </c>
      <c r="C1950" s="7"/>
      <c r="D1950" s="16" t="str">
        <f aca="false">IF(C1950="","",IFERROR(INDEX(Products!$B$2:$B$501,MATCH(C1950,Products!$A$2:$A$501,0)),"CODE NOT FOUND"))</f>
        <v/>
      </c>
      <c r="E1950" s="7"/>
      <c r="F1950" s="13"/>
      <c r="G1950" s="13"/>
      <c r="H1950" s="17" t="str">
        <f aca="false">IF(OR(E1950="",F1950=""),"",E1950*F1950)</f>
        <v/>
      </c>
      <c r="I1950" s="17" t="str">
        <f aca="false">IF(OR(E1950="",G1950=""),"",E1950*G1950)</f>
        <v/>
      </c>
      <c r="J1950" s="17" t="str">
        <f aca="false">IF(H1950="","",H1950-I1950)</f>
        <v/>
      </c>
    </row>
    <row r="1951" customFormat="false" ht="15" hidden="false" customHeight="true" outlineLevel="0" collapsed="false">
      <c r="A1951" s="7"/>
      <c r="B1951" s="18" t="str">
        <f aca="false">IF(A1951="","",IFERROR(INDEX(Sales_Memo!$B$2:$B$1001,MATCH(A1951,Sales_Memo!$A$2:$A$1001,0)),""))</f>
        <v/>
      </c>
      <c r="C1951" s="7"/>
      <c r="D1951" s="16" t="str">
        <f aca="false">IF(C1951="","",IFERROR(INDEX(Products!$B$2:$B$501,MATCH(C1951,Products!$A$2:$A$501,0)),"CODE NOT FOUND"))</f>
        <v/>
      </c>
      <c r="E1951" s="7"/>
      <c r="F1951" s="13"/>
      <c r="G1951" s="13"/>
      <c r="H1951" s="17" t="str">
        <f aca="false">IF(OR(E1951="",F1951=""),"",E1951*F1951)</f>
        <v/>
      </c>
      <c r="I1951" s="17" t="str">
        <f aca="false">IF(OR(E1951="",G1951=""),"",E1951*G1951)</f>
        <v/>
      </c>
      <c r="J1951" s="17" t="str">
        <f aca="false">IF(H1951="","",H1951-I1951)</f>
        <v/>
      </c>
    </row>
    <row r="1952" customFormat="false" ht="15" hidden="false" customHeight="true" outlineLevel="0" collapsed="false">
      <c r="A1952" s="7"/>
      <c r="B1952" s="18" t="str">
        <f aca="false">IF(A1952="","",IFERROR(INDEX(Sales_Memo!$B$2:$B$1001,MATCH(A1952,Sales_Memo!$A$2:$A$1001,0)),""))</f>
        <v/>
      </c>
      <c r="C1952" s="7"/>
      <c r="D1952" s="16" t="str">
        <f aca="false">IF(C1952="","",IFERROR(INDEX(Products!$B$2:$B$501,MATCH(C1952,Products!$A$2:$A$501,0)),"CODE NOT FOUND"))</f>
        <v/>
      </c>
      <c r="E1952" s="7"/>
      <c r="F1952" s="13"/>
      <c r="G1952" s="13"/>
      <c r="H1952" s="17" t="str">
        <f aca="false">IF(OR(E1952="",F1952=""),"",E1952*F1952)</f>
        <v/>
      </c>
      <c r="I1952" s="17" t="str">
        <f aca="false">IF(OR(E1952="",G1952=""),"",E1952*G1952)</f>
        <v/>
      </c>
      <c r="J1952" s="17" t="str">
        <f aca="false">IF(H1952="","",H1952-I1952)</f>
        <v/>
      </c>
    </row>
    <row r="1953" customFormat="false" ht="15" hidden="false" customHeight="true" outlineLevel="0" collapsed="false">
      <c r="A1953" s="7"/>
      <c r="B1953" s="18" t="str">
        <f aca="false">IF(A1953="","",IFERROR(INDEX(Sales_Memo!$B$2:$B$1001,MATCH(A1953,Sales_Memo!$A$2:$A$1001,0)),""))</f>
        <v/>
      </c>
      <c r="C1953" s="7"/>
      <c r="D1953" s="16" t="str">
        <f aca="false">IF(C1953="","",IFERROR(INDEX(Products!$B$2:$B$501,MATCH(C1953,Products!$A$2:$A$501,0)),"CODE NOT FOUND"))</f>
        <v/>
      </c>
      <c r="E1953" s="7"/>
      <c r="F1953" s="13"/>
      <c r="G1953" s="13"/>
      <c r="H1953" s="17" t="str">
        <f aca="false">IF(OR(E1953="",F1953=""),"",E1953*F1953)</f>
        <v/>
      </c>
      <c r="I1953" s="17" t="str">
        <f aca="false">IF(OR(E1953="",G1953=""),"",E1953*G1953)</f>
        <v/>
      </c>
      <c r="J1953" s="17" t="str">
        <f aca="false">IF(H1953="","",H1953-I1953)</f>
        <v/>
      </c>
    </row>
    <row r="1954" customFormat="false" ht="15" hidden="false" customHeight="true" outlineLevel="0" collapsed="false">
      <c r="A1954" s="7"/>
      <c r="B1954" s="18" t="str">
        <f aca="false">IF(A1954="","",IFERROR(INDEX(Sales_Memo!$B$2:$B$1001,MATCH(A1954,Sales_Memo!$A$2:$A$1001,0)),""))</f>
        <v/>
      </c>
      <c r="C1954" s="7"/>
      <c r="D1954" s="16" t="str">
        <f aca="false">IF(C1954="","",IFERROR(INDEX(Products!$B$2:$B$501,MATCH(C1954,Products!$A$2:$A$501,0)),"CODE NOT FOUND"))</f>
        <v/>
      </c>
      <c r="E1954" s="7"/>
      <c r="F1954" s="13"/>
      <c r="G1954" s="13"/>
      <c r="H1954" s="17" t="str">
        <f aca="false">IF(OR(E1954="",F1954=""),"",E1954*F1954)</f>
        <v/>
      </c>
      <c r="I1954" s="17" t="str">
        <f aca="false">IF(OR(E1954="",G1954=""),"",E1954*G1954)</f>
        <v/>
      </c>
      <c r="J1954" s="17" t="str">
        <f aca="false">IF(H1954="","",H1954-I1954)</f>
        <v/>
      </c>
    </row>
    <row r="1955" customFormat="false" ht="15" hidden="false" customHeight="true" outlineLevel="0" collapsed="false">
      <c r="A1955" s="7"/>
      <c r="B1955" s="18" t="str">
        <f aca="false">IF(A1955="","",IFERROR(INDEX(Sales_Memo!$B$2:$B$1001,MATCH(A1955,Sales_Memo!$A$2:$A$1001,0)),""))</f>
        <v/>
      </c>
      <c r="C1955" s="7"/>
      <c r="D1955" s="16" t="str">
        <f aca="false">IF(C1955="","",IFERROR(INDEX(Products!$B$2:$B$501,MATCH(C1955,Products!$A$2:$A$501,0)),"CODE NOT FOUND"))</f>
        <v/>
      </c>
      <c r="E1955" s="7"/>
      <c r="F1955" s="13"/>
      <c r="G1955" s="13"/>
      <c r="H1955" s="17" t="str">
        <f aca="false">IF(OR(E1955="",F1955=""),"",E1955*F1955)</f>
        <v/>
      </c>
      <c r="I1955" s="17" t="str">
        <f aca="false">IF(OR(E1955="",G1955=""),"",E1955*G1955)</f>
        <v/>
      </c>
      <c r="J1955" s="17" t="str">
        <f aca="false">IF(H1955="","",H1955-I1955)</f>
        <v/>
      </c>
    </row>
    <row r="1956" customFormat="false" ht="15" hidden="false" customHeight="true" outlineLevel="0" collapsed="false">
      <c r="A1956" s="7"/>
      <c r="B1956" s="18" t="str">
        <f aca="false">IF(A1956="","",IFERROR(INDEX(Sales_Memo!$B$2:$B$1001,MATCH(A1956,Sales_Memo!$A$2:$A$1001,0)),""))</f>
        <v/>
      </c>
      <c r="C1956" s="7"/>
      <c r="D1956" s="16" t="str">
        <f aca="false">IF(C1956="","",IFERROR(INDEX(Products!$B$2:$B$501,MATCH(C1956,Products!$A$2:$A$501,0)),"CODE NOT FOUND"))</f>
        <v/>
      </c>
      <c r="E1956" s="7"/>
      <c r="F1956" s="13"/>
      <c r="G1956" s="13"/>
      <c r="H1956" s="17" t="str">
        <f aca="false">IF(OR(E1956="",F1956=""),"",E1956*F1956)</f>
        <v/>
      </c>
      <c r="I1956" s="17" t="str">
        <f aca="false">IF(OR(E1956="",G1956=""),"",E1956*G1956)</f>
        <v/>
      </c>
      <c r="J1956" s="17" t="str">
        <f aca="false">IF(H1956="","",H1956-I1956)</f>
        <v/>
      </c>
    </row>
    <row r="1957" customFormat="false" ht="15" hidden="false" customHeight="true" outlineLevel="0" collapsed="false">
      <c r="A1957" s="7"/>
      <c r="B1957" s="18" t="str">
        <f aca="false">IF(A1957="","",IFERROR(INDEX(Sales_Memo!$B$2:$B$1001,MATCH(A1957,Sales_Memo!$A$2:$A$1001,0)),""))</f>
        <v/>
      </c>
      <c r="C1957" s="7"/>
      <c r="D1957" s="16" t="str">
        <f aca="false">IF(C1957="","",IFERROR(INDEX(Products!$B$2:$B$501,MATCH(C1957,Products!$A$2:$A$501,0)),"CODE NOT FOUND"))</f>
        <v/>
      </c>
      <c r="E1957" s="7"/>
      <c r="F1957" s="13"/>
      <c r="G1957" s="13"/>
      <c r="H1957" s="17" t="str">
        <f aca="false">IF(OR(E1957="",F1957=""),"",E1957*F1957)</f>
        <v/>
      </c>
      <c r="I1957" s="17" t="str">
        <f aca="false">IF(OR(E1957="",G1957=""),"",E1957*G1957)</f>
        <v/>
      </c>
      <c r="J1957" s="17" t="str">
        <f aca="false">IF(H1957="","",H1957-I1957)</f>
        <v/>
      </c>
    </row>
    <row r="1958" customFormat="false" ht="15" hidden="false" customHeight="true" outlineLevel="0" collapsed="false">
      <c r="A1958" s="7"/>
      <c r="B1958" s="18" t="str">
        <f aca="false">IF(A1958="","",IFERROR(INDEX(Sales_Memo!$B$2:$B$1001,MATCH(A1958,Sales_Memo!$A$2:$A$1001,0)),""))</f>
        <v/>
      </c>
      <c r="C1958" s="7"/>
      <c r="D1958" s="16" t="str">
        <f aca="false">IF(C1958="","",IFERROR(INDEX(Products!$B$2:$B$501,MATCH(C1958,Products!$A$2:$A$501,0)),"CODE NOT FOUND"))</f>
        <v/>
      </c>
      <c r="E1958" s="7"/>
      <c r="F1958" s="13"/>
      <c r="G1958" s="13"/>
      <c r="H1958" s="17" t="str">
        <f aca="false">IF(OR(E1958="",F1958=""),"",E1958*F1958)</f>
        <v/>
      </c>
      <c r="I1958" s="17" t="str">
        <f aca="false">IF(OR(E1958="",G1958=""),"",E1958*G1958)</f>
        <v/>
      </c>
      <c r="J1958" s="17" t="str">
        <f aca="false">IF(H1958="","",H1958-I1958)</f>
        <v/>
      </c>
    </row>
    <row r="1959" customFormat="false" ht="15" hidden="false" customHeight="true" outlineLevel="0" collapsed="false">
      <c r="A1959" s="7"/>
      <c r="B1959" s="18" t="str">
        <f aca="false">IF(A1959="","",IFERROR(INDEX(Sales_Memo!$B$2:$B$1001,MATCH(A1959,Sales_Memo!$A$2:$A$1001,0)),""))</f>
        <v/>
      </c>
      <c r="C1959" s="7"/>
      <c r="D1959" s="16" t="str">
        <f aca="false">IF(C1959="","",IFERROR(INDEX(Products!$B$2:$B$501,MATCH(C1959,Products!$A$2:$A$501,0)),"CODE NOT FOUND"))</f>
        <v/>
      </c>
      <c r="E1959" s="7"/>
      <c r="F1959" s="13"/>
      <c r="G1959" s="13"/>
      <c r="H1959" s="17" t="str">
        <f aca="false">IF(OR(E1959="",F1959=""),"",E1959*F1959)</f>
        <v/>
      </c>
      <c r="I1959" s="17" t="str">
        <f aca="false">IF(OR(E1959="",G1959=""),"",E1959*G1959)</f>
        <v/>
      </c>
      <c r="J1959" s="17" t="str">
        <f aca="false">IF(H1959="","",H1959-I1959)</f>
        <v/>
      </c>
    </row>
    <row r="1960" customFormat="false" ht="15" hidden="false" customHeight="true" outlineLevel="0" collapsed="false">
      <c r="A1960" s="7"/>
      <c r="B1960" s="18" t="str">
        <f aca="false">IF(A1960="","",IFERROR(INDEX(Sales_Memo!$B$2:$B$1001,MATCH(A1960,Sales_Memo!$A$2:$A$1001,0)),""))</f>
        <v/>
      </c>
      <c r="C1960" s="7"/>
      <c r="D1960" s="16" t="str">
        <f aca="false">IF(C1960="","",IFERROR(INDEX(Products!$B$2:$B$501,MATCH(C1960,Products!$A$2:$A$501,0)),"CODE NOT FOUND"))</f>
        <v/>
      </c>
      <c r="E1960" s="7"/>
      <c r="F1960" s="13"/>
      <c r="G1960" s="13"/>
      <c r="H1960" s="17" t="str">
        <f aca="false">IF(OR(E1960="",F1960=""),"",E1960*F1960)</f>
        <v/>
      </c>
      <c r="I1960" s="17" t="str">
        <f aca="false">IF(OR(E1960="",G1960=""),"",E1960*G1960)</f>
        <v/>
      </c>
      <c r="J1960" s="17" t="str">
        <f aca="false">IF(H1960="","",H1960-I1960)</f>
        <v/>
      </c>
    </row>
    <row r="1961" customFormat="false" ht="15" hidden="false" customHeight="true" outlineLevel="0" collapsed="false">
      <c r="A1961" s="7"/>
      <c r="B1961" s="18" t="str">
        <f aca="false">IF(A1961="","",IFERROR(INDEX(Sales_Memo!$B$2:$B$1001,MATCH(A1961,Sales_Memo!$A$2:$A$1001,0)),""))</f>
        <v/>
      </c>
      <c r="C1961" s="7"/>
      <c r="D1961" s="16" t="str">
        <f aca="false">IF(C1961="","",IFERROR(INDEX(Products!$B$2:$B$501,MATCH(C1961,Products!$A$2:$A$501,0)),"CODE NOT FOUND"))</f>
        <v/>
      </c>
      <c r="E1961" s="7"/>
      <c r="F1961" s="13"/>
      <c r="G1961" s="13"/>
      <c r="H1961" s="17" t="str">
        <f aca="false">IF(OR(E1961="",F1961=""),"",E1961*F1961)</f>
        <v/>
      </c>
      <c r="I1961" s="17" t="str">
        <f aca="false">IF(OR(E1961="",G1961=""),"",E1961*G1961)</f>
        <v/>
      </c>
      <c r="J1961" s="17" t="str">
        <f aca="false">IF(H1961="","",H1961-I1961)</f>
        <v/>
      </c>
    </row>
    <row r="1962" customFormat="false" ht="15" hidden="false" customHeight="true" outlineLevel="0" collapsed="false">
      <c r="A1962" s="7"/>
      <c r="B1962" s="18" t="str">
        <f aca="false">IF(A1962="","",IFERROR(INDEX(Sales_Memo!$B$2:$B$1001,MATCH(A1962,Sales_Memo!$A$2:$A$1001,0)),""))</f>
        <v/>
      </c>
      <c r="C1962" s="7"/>
      <c r="D1962" s="16" t="str">
        <f aca="false">IF(C1962="","",IFERROR(INDEX(Products!$B$2:$B$501,MATCH(C1962,Products!$A$2:$A$501,0)),"CODE NOT FOUND"))</f>
        <v/>
      </c>
      <c r="E1962" s="7"/>
      <c r="F1962" s="13"/>
      <c r="G1962" s="13"/>
      <c r="H1962" s="17" t="str">
        <f aca="false">IF(OR(E1962="",F1962=""),"",E1962*F1962)</f>
        <v/>
      </c>
      <c r="I1962" s="17" t="str">
        <f aca="false">IF(OR(E1962="",G1962=""),"",E1962*G1962)</f>
        <v/>
      </c>
      <c r="J1962" s="17" t="str">
        <f aca="false">IF(H1962="","",H1962-I1962)</f>
        <v/>
      </c>
    </row>
    <row r="1963" customFormat="false" ht="15" hidden="false" customHeight="true" outlineLevel="0" collapsed="false">
      <c r="A1963" s="7"/>
      <c r="B1963" s="18" t="str">
        <f aca="false">IF(A1963="","",IFERROR(INDEX(Sales_Memo!$B$2:$B$1001,MATCH(A1963,Sales_Memo!$A$2:$A$1001,0)),""))</f>
        <v/>
      </c>
      <c r="C1963" s="7"/>
      <c r="D1963" s="16" t="str">
        <f aca="false">IF(C1963="","",IFERROR(INDEX(Products!$B$2:$B$501,MATCH(C1963,Products!$A$2:$A$501,0)),"CODE NOT FOUND"))</f>
        <v/>
      </c>
      <c r="E1963" s="7"/>
      <c r="F1963" s="13"/>
      <c r="G1963" s="13"/>
      <c r="H1963" s="17" t="str">
        <f aca="false">IF(OR(E1963="",F1963=""),"",E1963*F1963)</f>
        <v/>
      </c>
      <c r="I1963" s="17" t="str">
        <f aca="false">IF(OR(E1963="",G1963=""),"",E1963*G1963)</f>
        <v/>
      </c>
      <c r="J1963" s="17" t="str">
        <f aca="false">IF(H1963="","",H1963-I1963)</f>
        <v/>
      </c>
    </row>
    <row r="1964" customFormat="false" ht="15" hidden="false" customHeight="true" outlineLevel="0" collapsed="false">
      <c r="A1964" s="7"/>
      <c r="B1964" s="18" t="str">
        <f aca="false">IF(A1964="","",IFERROR(INDEX(Sales_Memo!$B$2:$B$1001,MATCH(A1964,Sales_Memo!$A$2:$A$1001,0)),""))</f>
        <v/>
      </c>
      <c r="C1964" s="7"/>
      <c r="D1964" s="16" t="str">
        <f aca="false">IF(C1964="","",IFERROR(INDEX(Products!$B$2:$B$501,MATCH(C1964,Products!$A$2:$A$501,0)),"CODE NOT FOUND"))</f>
        <v/>
      </c>
      <c r="E1964" s="7"/>
      <c r="F1964" s="13"/>
      <c r="G1964" s="13"/>
      <c r="H1964" s="17" t="str">
        <f aca="false">IF(OR(E1964="",F1964=""),"",E1964*F1964)</f>
        <v/>
      </c>
      <c r="I1964" s="17" t="str">
        <f aca="false">IF(OR(E1964="",G1964=""),"",E1964*G1964)</f>
        <v/>
      </c>
      <c r="J1964" s="17" t="str">
        <f aca="false">IF(H1964="","",H1964-I1964)</f>
        <v/>
      </c>
    </row>
    <row r="1965" customFormat="false" ht="15" hidden="false" customHeight="true" outlineLevel="0" collapsed="false">
      <c r="A1965" s="7"/>
      <c r="B1965" s="18" t="str">
        <f aca="false">IF(A1965="","",IFERROR(INDEX(Sales_Memo!$B$2:$B$1001,MATCH(A1965,Sales_Memo!$A$2:$A$1001,0)),""))</f>
        <v/>
      </c>
      <c r="C1965" s="7"/>
      <c r="D1965" s="16" t="str">
        <f aca="false">IF(C1965="","",IFERROR(INDEX(Products!$B$2:$B$501,MATCH(C1965,Products!$A$2:$A$501,0)),"CODE NOT FOUND"))</f>
        <v/>
      </c>
      <c r="E1965" s="7"/>
      <c r="F1965" s="13"/>
      <c r="G1965" s="13"/>
      <c r="H1965" s="17" t="str">
        <f aca="false">IF(OR(E1965="",F1965=""),"",E1965*F1965)</f>
        <v/>
      </c>
      <c r="I1965" s="17" t="str">
        <f aca="false">IF(OR(E1965="",G1965=""),"",E1965*G1965)</f>
        <v/>
      </c>
      <c r="J1965" s="17" t="str">
        <f aca="false">IF(H1965="","",H1965-I1965)</f>
        <v/>
      </c>
    </row>
    <row r="1966" customFormat="false" ht="15" hidden="false" customHeight="true" outlineLevel="0" collapsed="false">
      <c r="A1966" s="7"/>
      <c r="B1966" s="18" t="str">
        <f aca="false">IF(A1966="","",IFERROR(INDEX(Sales_Memo!$B$2:$B$1001,MATCH(A1966,Sales_Memo!$A$2:$A$1001,0)),""))</f>
        <v/>
      </c>
      <c r="C1966" s="7"/>
      <c r="D1966" s="16" t="str">
        <f aca="false">IF(C1966="","",IFERROR(INDEX(Products!$B$2:$B$501,MATCH(C1966,Products!$A$2:$A$501,0)),"CODE NOT FOUND"))</f>
        <v/>
      </c>
      <c r="E1966" s="7"/>
      <c r="F1966" s="13"/>
      <c r="G1966" s="13"/>
      <c r="H1966" s="17" t="str">
        <f aca="false">IF(OR(E1966="",F1966=""),"",E1966*F1966)</f>
        <v/>
      </c>
      <c r="I1966" s="17" t="str">
        <f aca="false">IF(OR(E1966="",G1966=""),"",E1966*G1966)</f>
        <v/>
      </c>
      <c r="J1966" s="17" t="str">
        <f aca="false">IF(H1966="","",H1966-I1966)</f>
        <v/>
      </c>
    </row>
    <row r="1967" customFormat="false" ht="15" hidden="false" customHeight="true" outlineLevel="0" collapsed="false">
      <c r="A1967" s="7"/>
      <c r="B1967" s="18" t="str">
        <f aca="false">IF(A1967="","",IFERROR(INDEX(Sales_Memo!$B$2:$B$1001,MATCH(A1967,Sales_Memo!$A$2:$A$1001,0)),""))</f>
        <v/>
      </c>
      <c r="C1967" s="7"/>
      <c r="D1967" s="16" t="str">
        <f aca="false">IF(C1967="","",IFERROR(INDEX(Products!$B$2:$B$501,MATCH(C1967,Products!$A$2:$A$501,0)),"CODE NOT FOUND"))</f>
        <v/>
      </c>
      <c r="E1967" s="7"/>
      <c r="F1967" s="13"/>
      <c r="G1967" s="13"/>
      <c r="H1967" s="17" t="str">
        <f aca="false">IF(OR(E1967="",F1967=""),"",E1967*F1967)</f>
        <v/>
      </c>
      <c r="I1967" s="17" t="str">
        <f aca="false">IF(OR(E1967="",G1967=""),"",E1967*G1967)</f>
        <v/>
      </c>
      <c r="J1967" s="17" t="str">
        <f aca="false">IF(H1967="","",H1967-I1967)</f>
        <v/>
      </c>
    </row>
    <row r="1968" customFormat="false" ht="15" hidden="false" customHeight="true" outlineLevel="0" collapsed="false">
      <c r="A1968" s="7"/>
      <c r="B1968" s="18" t="str">
        <f aca="false">IF(A1968="","",IFERROR(INDEX(Sales_Memo!$B$2:$B$1001,MATCH(A1968,Sales_Memo!$A$2:$A$1001,0)),""))</f>
        <v/>
      </c>
      <c r="C1968" s="7"/>
      <c r="D1968" s="16" t="str">
        <f aca="false">IF(C1968="","",IFERROR(INDEX(Products!$B$2:$B$501,MATCH(C1968,Products!$A$2:$A$501,0)),"CODE NOT FOUND"))</f>
        <v/>
      </c>
      <c r="E1968" s="7"/>
      <c r="F1968" s="13"/>
      <c r="G1968" s="13"/>
      <c r="H1968" s="17" t="str">
        <f aca="false">IF(OR(E1968="",F1968=""),"",E1968*F1968)</f>
        <v/>
      </c>
      <c r="I1968" s="17" t="str">
        <f aca="false">IF(OR(E1968="",G1968=""),"",E1968*G1968)</f>
        <v/>
      </c>
      <c r="J1968" s="17" t="str">
        <f aca="false">IF(H1968="","",H1968-I1968)</f>
        <v/>
      </c>
    </row>
    <row r="1969" customFormat="false" ht="15" hidden="false" customHeight="true" outlineLevel="0" collapsed="false">
      <c r="A1969" s="7"/>
      <c r="B1969" s="18" t="str">
        <f aca="false">IF(A1969="","",IFERROR(INDEX(Sales_Memo!$B$2:$B$1001,MATCH(A1969,Sales_Memo!$A$2:$A$1001,0)),""))</f>
        <v/>
      </c>
      <c r="C1969" s="7"/>
      <c r="D1969" s="16" t="str">
        <f aca="false">IF(C1969="","",IFERROR(INDEX(Products!$B$2:$B$501,MATCH(C1969,Products!$A$2:$A$501,0)),"CODE NOT FOUND"))</f>
        <v/>
      </c>
      <c r="E1969" s="7"/>
      <c r="F1969" s="13"/>
      <c r="G1969" s="13"/>
      <c r="H1969" s="17" t="str">
        <f aca="false">IF(OR(E1969="",F1969=""),"",E1969*F1969)</f>
        <v/>
      </c>
      <c r="I1969" s="17" t="str">
        <f aca="false">IF(OR(E1969="",G1969=""),"",E1969*G1969)</f>
        <v/>
      </c>
      <c r="J1969" s="17" t="str">
        <f aca="false">IF(H1969="","",H1969-I1969)</f>
        <v/>
      </c>
    </row>
    <row r="1970" customFormat="false" ht="15" hidden="false" customHeight="true" outlineLevel="0" collapsed="false">
      <c r="A1970" s="7"/>
      <c r="B1970" s="18" t="str">
        <f aca="false">IF(A1970="","",IFERROR(INDEX(Sales_Memo!$B$2:$B$1001,MATCH(A1970,Sales_Memo!$A$2:$A$1001,0)),""))</f>
        <v/>
      </c>
      <c r="C1970" s="7"/>
      <c r="D1970" s="16" t="str">
        <f aca="false">IF(C1970="","",IFERROR(INDEX(Products!$B$2:$B$501,MATCH(C1970,Products!$A$2:$A$501,0)),"CODE NOT FOUND"))</f>
        <v/>
      </c>
      <c r="E1970" s="7"/>
      <c r="F1970" s="13"/>
      <c r="G1970" s="13"/>
      <c r="H1970" s="17" t="str">
        <f aca="false">IF(OR(E1970="",F1970=""),"",E1970*F1970)</f>
        <v/>
      </c>
      <c r="I1970" s="17" t="str">
        <f aca="false">IF(OR(E1970="",G1970=""),"",E1970*G1970)</f>
        <v/>
      </c>
      <c r="J1970" s="17" t="str">
        <f aca="false">IF(H1970="","",H1970-I1970)</f>
        <v/>
      </c>
    </row>
    <row r="1971" customFormat="false" ht="15" hidden="false" customHeight="true" outlineLevel="0" collapsed="false">
      <c r="A1971" s="7"/>
      <c r="B1971" s="18" t="str">
        <f aca="false">IF(A1971="","",IFERROR(INDEX(Sales_Memo!$B$2:$B$1001,MATCH(A1971,Sales_Memo!$A$2:$A$1001,0)),""))</f>
        <v/>
      </c>
      <c r="C1971" s="7"/>
      <c r="D1971" s="16" t="str">
        <f aca="false">IF(C1971="","",IFERROR(INDEX(Products!$B$2:$B$501,MATCH(C1971,Products!$A$2:$A$501,0)),"CODE NOT FOUND"))</f>
        <v/>
      </c>
      <c r="E1971" s="7"/>
      <c r="F1971" s="13"/>
      <c r="G1971" s="13"/>
      <c r="H1971" s="17" t="str">
        <f aca="false">IF(OR(E1971="",F1971=""),"",E1971*F1971)</f>
        <v/>
      </c>
      <c r="I1971" s="17" t="str">
        <f aca="false">IF(OR(E1971="",G1971=""),"",E1971*G1971)</f>
        <v/>
      </c>
      <c r="J1971" s="17" t="str">
        <f aca="false">IF(H1971="","",H1971-I1971)</f>
        <v/>
      </c>
    </row>
    <row r="1972" customFormat="false" ht="15" hidden="false" customHeight="true" outlineLevel="0" collapsed="false">
      <c r="A1972" s="7"/>
      <c r="B1972" s="18" t="str">
        <f aca="false">IF(A1972="","",IFERROR(INDEX(Sales_Memo!$B$2:$B$1001,MATCH(A1972,Sales_Memo!$A$2:$A$1001,0)),""))</f>
        <v/>
      </c>
      <c r="C1972" s="7"/>
      <c r="D1972" s="16" t="str">
        <f aca="false">IF(C1972="","",IFERROR(INDEX(Products!$B$2:$B$501,MATCH(C1972,Products!$A$2:$A$501,0)),"CODE NOT FOUND"))</f>
        <v/>
      </c>
      <c r="E1972" s="7"/>
      <c r="F1972" s="13"/>
      <c r="G1972" s="13"/>
      <c r="H1972" s="17" t="str">
        <f aca="false">IF(OR(E1972="",F1972=""),"",E1972*F1972)</f>
        <v/>
      </c>
      <c r="I1972" s="17" t="str">
        <f aca="false">IF(OR(E1972="",G1972=""),"",E1972*G1972)</f>
        <v/>
      </c>
      <c r="J1972" s="17" t="str">
        <f aca="false">IF(H1972="","",H1972-I1972)</f>
        <v/>
      </c>
    </row>
    <row r="1973" customFormat="false" ht="15" hidden="false" customHeight="true" outlineLevel="0" collapsed="false">
      <c r="A1973" s="7"/>
      <c r="B1973" s="18" t="str">
        <f aca="false">IF(A1973="","",IFERROR(INDEX(Sales_Memo!$B$2:$B$1001,MATCH(A1973,Sales_Memo!$A$2:$A$1001,0)),""))</f>
        <v/>
      </c>
      <c r="C1973" s="7"/>
      <c r="D1973" s="16" t="str">
        <f aca="false">IF(C1973="","",IFERROR(INDEX(Products!$B$2:$B$501,MATCH(C1973,Products!$A$2:$A$501,0)),"CODE NOT FOUND"))</f>
        <v/>
      </c>
      <c r="E1973" s="7"/>
      <c r="F1973" s="13"/>
      <c r="G1973" s="13"/>
      <c r="H1973" s="17" t="str">
        <f aca="false">IF(OR(E1973="",F1973=""),"",E1973*F1973)</f>
        <v/>
      </c>
      <c r="I1973" s="17" t="str">
        <f aca="false">IF(OR(E1973="",G1973=""),"",E1973*G1973)</f>
        <v/>
      </c>
      <c r="J1973" s="17" t="str">
        <f aca="false">IF(H1973="","",H1973-I1973)</f>
        <v/>
      </c>
    </row>
    <row r="1974" customFormat="false" ht="15" hidden="false" customHeight="true" outlineLevel="0" collapsed="false">
      <c r="A1974" s="7"/>
      <c r="B1974" s="18" t="str">
        <f aca="false">IF(A1974="","",IFERROR(INDEX(Sales_Memo!$B$2:$B$1001,MATCH(A1974,Sales_Memo!$A$2:$A$1001,0)),""))</f>
        <v/>
      </c>
      <c r="C1974" s="7"/>
      <c r="D1974" s="16" t="str">
        <f aca="false">IF(C1974="","",IFERROR(INDEX(Products!$B$2:$B$501,MATCH(C1974,Products!$A$2:$A$501,0)),"CODE NOT FOUND"))</f>
        <v/>
      </c>
      <c r="E1974" s="7"/>
      <c r="F1974" s="13"/>
      <c r="G1974" s="13"/>
      <c r="H1974" s="17" t="str">
        <f aca="false">IF(OR(E1974="",F1974=""),"",E1974*F1974)</f>
        <v/>
      </c>
      <c r="I1974" s="17" t="str">
        <f aca="false">IF(OR(E1974="",G1974=""),"",E1974*G1974)</f>
        <v/>
      </c>
      <c r="J1974" s="17" t="str">
        <f aca="false">IF(H1974="","",H1974-I1974)</f>
        <v/>
      </c>
    </row>
    <row r="1975" customFormat="false" ht="15" hidden="false" customHeight="true" outlineLevel="0" collapsed="false">
      <c r="A1975" s="7"/>
      <c r="B1975" s="18" t="str">
        <f aca="false">IF(A1975="","",IFERROR(INDEX(Sales_Memo!$B$2:$B$1001,MATCH(A1975,Sales_Memo!$A$2:$A$1001,0)),""))</f>
        <v/>
      </c>
      <c r="C1975" s="7"/>
      <c r="D1975" s="16" t="str">
        <f aca="false">IF(C1975="","",IFERROR(INDEX(Products!$B$2:$B$501,MATCH(C1975,Products!$A$2:$A$501,0)),"CODE NOT FOUND"))</f>
        <v/>
      </c>
      <c r="E1975" s="7"/>
      <c r="F1975" s="13"/>
      <c r="G1975" s="13"/>
      <c r="H1975" s="17" t="str">
        <f aca="false">IF(OR(E1975="",F1975=""),"",E1975*F1975)</f>
        <v/>
      </c>
      <c r="I1975" s="17" t="str">
        <f aca="false">IF(OR(E1975="",G1975=""),"",E1975*G1975)</f>
        <v/>
      </c>
      <c r="J1975" s="17" t="str">
        <f aca="false">IF(H1975="","",H1975-I1975)</f>
        <v/>
      </c>
    </row>
    <row r="1976" customFormat="false" ht="15" hidden="false" customHeight="true" outlineLevel="0" collapsed="false">
      <c r="A1976" s="7"/>
      <c r="B1976" s="18" t="str">
        <f aca="false">IF(A1976="","",IFERROR(INDEX(Sales_Memo!$B$2:$B$1001,MATCH(A1976,Sales_Memo!$A$2:$A$1001,0)),""))</f>
        <v/>
      </c>
      <c r="C1976" s="7"/>
      <c r="D1976" s="16" t="str">
        <f aca="false">IF(C1976="","",IFERROR(INDEX(Products!$B$2:$B$501,MATCH(C1976,Products!$A$2:$A$501,0)),"CODE NOT FOUND"))</f>
        <v/>
      </c>
      <c r="E1976" s="7"/>
      <c r="F1976" s="13"/>
      <c r="G1976" s="13"/>
      <c r="H1976" s="17" t="str">
        <f aca="false">IF(OR(E1976="",F1976=""),"",E1976*F1976)</f>
        <v/>
      </c>
      <c r="I1976" s="17" t="str">
        <f aca="false">IF(OR(E1976="",G1976=""),"",E1976*G1976)</f>
        <v/>
      </c>
      <c r="J1976" s="17" t="str">
        <f aca="false">IF(H1976="","",H1976-I1976)</f>
        <v/>
      </c>
    </row>
    <row r="1977" customFormat="false" ht="15" hidden="false" customHeight="true" outlineLevel="0" collapsed="false">
      <c r="A1977" s="7"/>
      <c r="B1977" s="18" t="str">
        <f aca="false">IF(A1977="","",IFERROR(INDEX(Sales_Memo!$B$2:$B$1001,MATCH(A1977,Sales_Memo!$A$2:$A$1001,0)),""))</f>
        <v/>
      </c>
      <c r="C1977" s="7"/>
      <c r="D1977" s="16" t="str">
        <f aca="false">IF(C1977="","",IFERROR(INDEX(Products!$B$2:$B$501,MATCH(C1977,Products!$A$2:$A$501,0)),"CODE NOT FOUND"))</f>
        <v/>
      </c>
      <c r="E1977" s="7"/>
      <c r="F1977" s="13"/>
      <c r="G1977" s="13"/>
      <c r="H1977" s="17" t="str">
        <f aca="false">IF(OR(E1977="",F1977=""),"",E1977*F1977)</f>
        <v/>
      </c>
      <c r="I1977" s="17" t="str">
        <f aca="false">IF(OR(E1977="",G1977=""),"",E1977*G1977)</f>
        <v/>
      </c>
      <c r="J1977" s="17" t="str">
        <f aca="false">IF(H1977="","",H1977-I1977)</f>
        <v/>
      </c>
    </row>
    <row r="1978" customFormat="false" ht="15" hidden="false" customHeight="true" outlineLevel="0" collapsed="false">
      <c r="A1978" s="7"/>
      <c r="B1978" s="18" t="str">
        <f aca="false">IF(A1978="","",IFERROR(INDEX(Sales_Memo!$B$2:$B$1001,MATCH(A1978,Sales_Memo!$A$2:$A$1001,0)),""))</f>
        <v/>
      </c>
      <c r="C1978" s="7"/>
      <c r="D1978" s="16" t="str">
        <f aca="false">IF(C1978="","",IFERROR(INDEX(Products!$B$2:$B$501,MATCH(C1978,Products!$A$2:$A$501,0)),"CODE NOT FOUND"))</f>
        <v/>
      </c>
      <c r="E1978" s="7"/>
      <c r="F1978" s="13"/>
      <c r="G1978" s="13"/>
      <c r="H1978" s="17" t="str">
        <f aca="false">IF(OR(E1978="",F1978=""),"",E1978*F1978)</f>
        <v/>
      </c>
      <c r="I1978" s="17" t="str">
        <f aca="false">IF(OR(E1978="",G1978=""),"",E1978*G1978)</f>
        <v/>
      </c>
      <c r="J1978" s="17" t="str">
        <f aca="false">IF(H1978="","",H1978-I1978)</f>
        <v/>
      </c>
    </row>
    <row r="1979" customFormat="false" ht="15" hidden="false" customHeight="true" outlineLevel="0" collapsed="false">
      <c r="A1979" s="7"/>
      <c r="B1979" s="18" t="str">
        <f aca="false">IF(A1979="","",IFERROR(INDEX(Sales_Memo!$B$2:$B$1001,MATCH(A1979,Sales_Memo!$A$2:$A$1001,0)),""))</f>
        <v/>
      </c>
      <c r="C1979" s="7"/>
      <c r="D1979" s="16" t="str">
        <f aca="false">IF(C1979="","",IFERROR(INDEX(Products!$B$2:$B$501,MATCH(C1979,Products!$A$2:$A$501,0)),"CODE NOT FOUND"))</f>
        <v/>
      </c>
      <c r="E1979" s="7"/>
      <c r="F1979" s="13"/>
      <c r="G1979" s="13"/>
      <c r="H1979" s="17" t="str">
        <f aca="false">IF(OR(E1979="",F1979=""),"",E1979*F1979)</f>
        <v/>
      </c>
      <c r="I1979" s="17" t="str">
        <f aca="false">IF(OR(E1979="",G1979=""),"",E1979*G1979)</f>
        <v/>
      </c>
      <c r="J1979" s="17" t="str">
        <f aca="false">IF(H1979="","",H1979-I1979)</f>
        <v/>
      </c>
    </row>
    <row r="1980" customFormat="false" ht="15" hidden="false" customHeight="true" outlineLevel="0" collapsed="false">
      <c r="A1980" s="7"/>
      <c r="B1980" s="18" t="str">
        <f aca="false">IF(A1980="","",IFERROR(INDEX(Sales_Memo!$B$2:$B$1001,MATCH(A1980,Sales_Memo!$A$2:$A$1001,0)),""))</f>
        <v/>
      </c>
      <c r="C1980" s="7"/>
      <c r="D1980" s="16" t="str">
        <f aca="false">IF(C1980="","",IFERROR(INDEX(Products!$B$2:$B$501,MATCH(C1980,Products!$A$2:$A$501,0)),"CODE NOT FOUND"))</f>
        <v/>
      </c>
      <c r="E1980" s="7"/>
      <c r="F1980" s="13"/>
      <c r="G1980" s="13"/>
      <c r="H1980" s="17" t="str">
        <f aca="false">IF(OR(E1980="",F1980=""),"",E1980*F1980)</f>
        <v/>
      </c>
      <c r="I1980" s="17" t="str">
        <f aca="false">IF(OR(E1980="",G1980=""),"",E1980*G1980)</f>
        <v/>
      </c>
      <c r="J1980" s="17" t="str">
        <f aca="false">IF(H1980="","",H1980-I1980)</f>
        <v/>
      </c>
    </row>
    <row r="1981" customFormat="false" ht="15" hidden="false" customHeight="true" outlineLevel="0" collapsed="false">
      <c r="A1981" s="7"/>
      <c r="B1981" s="18" t="str">
        <f aca="false">IF(A1981="","",IFERROR(INDEX(Sales_Memo!$B$2:$B$1001,MATCH(A1981,Sales_Memo!$A$2:$A$1001,0)),""))</f>
        <v/>
      </c>
      <c r="C1981" s="7"/>
      <c r="D1981" s="16" t="str">
        <f aca="false">IF(C1981="","",IFERROR(INDEX(Products!$B$2:$B$501,MATCH(C1981,Products!$A$2:$A$501,0)),"CODE NOT FOUND"))</f>
        <v/>
      </c>
      <c r="E1981" s="7"/>
      <c r="F1981" s="13"/>
      <c r="G1981" s="13"/>
      <c r="H1981" s="17" t="str">
        <f aca="false">IF(OR(E1981="",F1981=""),"",E1981*F1981)</f>
        <v/>
      </c>
      <c r="I1981" s="17" t="str">
        <f aca="false">IF(OR(E1981="",G1981=""),"",E1981*G1981)</f>
        <v/>
      </c>
      <c r="J1981" s="17" t="str">
        <f aca="false">IF(H1981="","",H1981-I1981)</f>
        <v/>
      </c>
    </row>
    <row r="1982" customFormat="false" ht="15" hidden="false" customHeight="true" outlineLevel="0" collapsed="false">
      <c r="A1982" s="7"/>
      <c r="B1982" s="18" t="str">
        <f aca="false">IF(A1982="","",IFERROR(INDEX(Sales_Memo!$B$2:$B$1001,MATCH(A1982,Sales_Memo!$A$2:$A$1001,0)),""))</f>
        <v/>
      </c>
      <c r="C1982" s="7"/>
      <c r="D1982" s="16" t="str">
        <f aca="false">IF(C1982="","",IFERROR(INDEX(Products!$B$2:$B$501,MATCH(C1982,Products!$A$2:$A$501,0)),"CODE NOT FOUND"))</f>
        <v/>
      </c>
      <c r="E1982" s="7"/>
      <c r="F1982" s="13"/>
      <c r="G1982" s="13"/>
      <c r="H1982" s="17" t="str">
        <f aca="false">IF(OR(E1982="",F1982=""),"",E1982*F1982)</f>
        <v/>
      </c>
      <c r="I1982" s="17" t="str">
        <f aca="false">IF(OR(E1982="",G1982=""),"",E1982*G1982)</f>
        <v/>
      </c>
      <c r="J1982" s="17" t="str">
        <f aca="false">IF(H1982="","",H1982-I1982)</f>
        <v/>
      </c>
    </row>
    <row r="1983" customFormat="false" ht="15" hidden="false" customHeight="true" outlineLevel="0" collapsed="false">
      <c r="A1983" s="7"/>
      <c r="B1983" s="18" t="str">
        <f aca="false">IF(A1983="","",IFERROR(INDEX(Sales_Memo!$B$2:$B$1001,MATCH(A1983,Sales_Memo!$A$2:$A$1001,0)),""))</f>
        <v/>
      </c>
      <c r="C1983" s="7"/>
      <c r="D1983" s="16" t="str">
        <f aca="false">IF(C1983="","",IFERROR(INDEX(Products!$B$2:$B$501,MATCH(C1983,Products!$A$2:$A$501,0)),"CODE NOT FOUND"))</f>
        <v/>
      </c>
      <c r="E1983" s="7"/>
      <c r="F1983" s="13"/>
      <c r="G1983" s="13"/>
      <c r="H1983" s="17" t="str">
        <f aca="false">IF(OR(E1983="",F1983=""),"",E1983*F1983)</f>
        <v/>
      </c>
      <c r="I1983" s="17" t="str">
        <f aca="false">IF(OR(E1983="",G1983=""),"",E1983*G1983)</f>
        <v/>
      </c>
      <c r="J1983" s="17" t="str">
        <f aca="false">IF(H1983="","",H1983-I1983)</f>
        <v/>
      </c>
    </row>
    <row r="1984" customFormat="false" ht="15" hidden="false" customHeight="true" outlineLevel="0" collapsed="false">
      <c r="A1984" s="7"/>
      <c r="B1984" s="18" t="str">
        <f aca="false">IF(A1984="","",IFERROR(INDEX(Sales_Memo!$B$2:$B$1001,MATCH(A1984,Sales_Memo!$A$2:$A$1001,0)),""))</f>
        <v/>
      </c>
      <c r="C1984" s="7"/>
      <c r="D1984" s="16" t="str">
        <f aca="false">IF(C1984="","",IFERROR(INDEX(Products!$B$2:$B$501,MATCH(C1984,Products!$A$2:$A$501,0)),"CODE NOT FOUND"))</f>
        <v/>
      </c>
      <c r="E1984" s="7"/>
      <c r="F1984" s="13"/>
      <c r="G1984" s="13"/>
      <c r="H1984" s="17" t="str">
        <f aca="false">IF(OR(E1984="",F1984=""),"",E1984*F1984)</f>
        <v/>
      </c>
      <c r="I1984" s="17" t="str">
        <f aca="false">IF(OR(E1984="",G1984=""),"",E1984*G1984)</f>
        <v/>
      </c>
      <c r="J1984" s="17" t="str">
        <f aca="false">IF(H1984="","",H1984-I1984)</f>
        <v/>
      </c>
    </row>
    <row r="1985" customFormat="false" ht="15" hidden="false" customHeight="true" outlineLevel="0" collapsed="false">
      <c r="A1985" s="7"/>
      <c r="B1985" s="18" t="str">
        <f aca="false">IF(A1985="","",IFERROR(INDEX(Sales_Memo!$B$2:$B$1001,MATCH(A1985,Sales_Memo!$A$2:$A$1001,0)),""))</f>
        <v/>
      </c>
      <c r="C1985" s="7"/>
      <c r="D1985" s="16" t="str">
        <f aca="false">IF(C1985="","",IFERROR(INDEX(Products!$B$2:$B$501,MATCH(C1985,Products!$A$2:$A$501,0)),"CODE NOT FOUND"))</f>
        <v/>
      </c>
      <c r="E1985" s="7"/>
      <c r="F1985" s="13"/>
      <c r="G1985" s="13"/>
      <c r="H1985" s="17" t="str">
        <f aca="false">IF(OR(E1985="",F1985=""),"",E1985*F1985)</f>
        <v/>
      </c>
      <c r="I1985" s="17" t="str">
        <f aca="false">IF(OR(E1985="",G1985=""),"",E1985*G1985)</f>
        <v/>
      </c>
      <c r="J1985" s="17" t="str">
        <f aca="false">IF(H1985="","",H1985-I1985)</f>
        <v/>
      </c>
    </row>
    <row r="1986" customFormat="false" ht="15" hidden="false" customHeight="true" outlineLevel="0" collapsed="false">
      <c r="A1986" s="7"/>
      <c r="B1986" s="18" t="str">
        <f aca="false">IF(A1986="","",IFERROR(INDEX(Sales_Memo!$B$2:$B$1001,MATCH(A1986,Sales_Memo!$A$2:$A$1001,0)),""))</f>
        <v/>
      </c>
      <c r="C1986" s="7"/>
      <c r="D1986" s="16" t="str">
        <f aca="false">IF(C1986="","",IFERROR(INDEX(Products!$B$2:$B$501,MATCH(C1986,Products!$A$2:$A$501,0)),"CODE NOT FOUND"))</f>
        <v/>
      </c>
      <c r="E1986" s="7"/>
      <c r="F1986" s="13"/>
      <c r="G1986" s="13"/>
      <c r="H1986" s="17" t="str">
        <f aca="false">IF(OR(E1986="",F1986=""),"",E1986*F1986)</f>
        <v/>
      </c>
      <c r="I1986" s="17" t="str">
        <f aca="false">IF(OR(E1986="",G1986=""),"",E1986*G1986)</f>
        <v/>
      </c>
      <c r="J1986" s="17" t="str">
        <f aca="false">IF(H1986="","",H1986-I1986)</f>
        <v/>
      </c>
    </row>
    <row r="1987" customFormat="false" ht="15" hidden="false" customHeight="true" outlineLevel="0" collapsed="false">
      <c r="A1987" s="7"/>
      <c r="B1987" s="18" t="str">
        <f aca="false">IF(A1987="","",IFERROR(INDEX(Sales_Memo!$B$2:$B$1001,MATCH(A1987,Sales_Memo!$A$2:$A$1001,0)),""))</f>
        <v/>
      </c>
      <c r="C1987" s="7"/>
      <c r="D1987" s="16" t="str">
        <f aca="false">IF(C1987="","",IFERROR(INDEX(Products!$B$2:$B$501,MATCH(C1987,Products!$A$2:$A$501,0)),"CODE NOT FOUND"))</f>
        <v/>
      </c>
      <c r="E1987" s="7"/>
      <c r="F1987" s="13"/>
      <c r="G1987" s="13"/>
      <c r="H1987" s="17" t="str">
        <f aca="false">IF(OR(E1987="",F1987=""),"",E1987*F1987)</f>
        <v/>
      </c>
      <c r="I1987" s="17" t="str">
        <f aca="false">IF(OR(E1987="",G1987=""),"",E1987*G1987)</f>
        <v/>
      </c>
      <c r="J1987" s="17" t="str">
        <f aca="false">IF(H1987="","",H1987-I1987)</f>
        <v/>
      </c>
    </row>
    <row r="1988" customFormat="false" ht="15" hidden="false" customHeight="true" outlineLevel="0" collapsed="false">
      <c r="A1988" s="7"/>
      <c r="B1988" s="18" t="str">
        <f aca="false">IF(A1988="","",IFERROR(INDEX(Sales_Memo!$B$2:$B$1001,MATCH(A1988,Sales_Memo!$A$2:$A$1001,0)),""))</f>
        <v/>
      </c>
      <c r="C1988" s="7"/>
      <c r="D1988" s="16" t="str">
        <f aca="false">IF(C1988="","",IFERROR(INDEX(Products!$B$2:$B$501,MATCH(C1988,Products!$A$2:$A$501,0)),"CODE NOT FOUND"))</f>
        <v/>
      </c>
      <c r="E1988" s="7"/>
      <c r="F1988" s="13"/>
      <c r="G1988" s="13"/>
      <c r="H1988" s="17" t="str">
        <f aca="false">IF(OR(E1988="",F1988=""),"",E1988*F1988)</f>
        <v/>
      </c>
      <c r="I1988" s="17" t="str">
        <f aca="false">IF(OR(E1988="",G1988=""),"",E1988*G1988)</f>
        <v/>
      </c>
      <c r="J1988" s="17" t="str">
        <f aca="false">IF(H1988="","",H1988-I1988)</f>
        <v/>
      </c>
    </row>
    <row r="1989" customFormat="false" ht="15" hidden="false" customHeight="true" outlineLevel="0" collapsed="false">
      <c r="A1989" s="7"/>
      <c r="B1989" s="18" t="str">
        <f aca="false">IF(A1989="","",IFERROR(INDEX(Sales_Memo!$B$2:$B$1001,MATCH(A1989,Sales_Memo!$A$2:$A$1001,0)),""))</f>
        <v/>
      </c>
      <c r="C1989" s="7"/>
      <c r="D1989" s="16" t="str">
        <f aca="false">IF(C1989="","",IFERROR(INDEX(Products!$B$2:$B$501,MATCH(C1989,Products!$A$2:$A$501,0)),"CODE NOT FOUND"))</f>
        <v/>
      </c>
      <c r="E1989" s="7"/>
      <c r="F1989" s="13"/>
      <c r="G1989" s="13"/>
      <c r="H1989" s="17" t="str">
        <f aca="false">IF(OR(E1989="",F1989=""),"",E1989*F1989)</f>
        <v/>
      </c>
      <c r="I1989" s="17" t="str">
        <f aca="false">IF(OR(E1989="",G1989=""),"",E1989*G1989)</f>
        <v/>
      </c>
      <c r="J1989" s="17" t="str">
        <f aca="false">IF(H1989="","",H1989-I1989)</f>
        <v/>
      </c>
    </row>
    <row r="1990" customFormat="false" ht="15" hidden="false" customHeight="true" outlineLevel="0" collapsed="false">
      <c r="A1990" s="7"/>
      <c r="B1990" s="18" t="str">
        <f aca="false">IF(A1990="","",IFERROR(INDEX(Sales_Memo!$B$2:$B$1001,MATCH(A1990,Sales_Memo!$A$2:$A$1001,0)),""))</f>
        <v/>
      </c>
      <c r="C1990" s="7"/>
      <c r="D1990" s="16" t="str">
        <f aca="false">IF(C1990="","",IFERROR(INDEX(Products!$B$2:$B$501,MATCH(C1990,Products!$A$2:$A$501,0)),"CODE NOT FOUND"))</f>
        <v/>
      </c>
      <c r="E1990" s="7"/>
      <c r="F1990" s="13"/>
      <c r="G1990" s="13"/>
      <c r="H1990" s="17" t="str">
        <f aca="false">IF(OR(E1990="",F1990=""),"",E1990*F1990)</f>
        <v/>
      </c>
      <c r="I1990" s="17" t="str">
        <f aca="false">IF(OR(E1990="",G1990=""),"",E1990*G1990)</f>
        <v/>
      </c>
      <c r="J1990" s="17" t="str">
        <f aca="false">IF(H1990="","",H1990-I1990)</f>
        <v/>
      </c>
    </row>
    <row r="1991" customFormat="false" ht="15" hidden="false" customHeight="true" outlineLevel="0" collapsed="false">
      <c r="A1991" s="7"/>
      <c r="B1991" s="18" t="str">
        <f aca="false">IF(A1991="","",IFERROR(INDEX(Sales_Memo!$B$2:$B$1001,MATCH(A1991,Sales_Memo!$A$2:$A$1001,0)),""))</f>
        <v/>
      </c>
      <c r="C1991" s="7"/>
      <c r="D1991" s="16" t="str">
        <f aca="false">IF(C1991="","",IFERROR(INDEX(Products!$B$2:$B$501,MATCH(C1991,Products!$A$2:$A$501,0)),"CODE NOT FOUND"))</f>
        <v/>
      </c>
      <c r="E1991" s="7"/>
      <c r="F1991" s="13"/>
      <c r="G1991" s="13"/>
      <c r="H1991" s="17" t="str">
        <f aca="false">IF(OR(E1991="",F1991=""),"",E1991*F1991)</f>
        <v/>
      </c>
      <c r="I1991" s="17" t="str">
        <f aca="false">IF(OR(E1991="",G1991=""),"",E1991*G1991)</f>
        <v/>
      </c>
      <c r="J1991" s="17" t="str">
        <f aca="false">IF(H1991="","",H1991-I1991)</f>
        <v/>
      </c>
    </row>
    <row r="1992" customFormat="false" ht="15" hidden="false" customHeight="true" outlineLevel="0" collapsed="false">
      <c r="A1992" s="7"/>
      <c r="B1992" s="18" t="str">
        <f aca="false">IF(A1992="","",IFERROR(INDEX(Sales_Memo!$B$2:$B$1001,MATCH(A1992,Sales_Memo!$A$2:$A$1001,0)),""))</f>
        <v/>
      </c>
      <c r="C1992" s="7"/>
      <c r="D1992" s="16" t="str">
        <f aca="false">IF(C1992="","",IFERROR(INDEX(Products!$B$2:$B$501,MATCH(C1992,Products!$A$2:$A$501,0)),"CODE NOT FOUND"))</f>
        <v/>
      </c>
      <c r="E1992" s="7"/>
      <c r="F1992" s="13"/>
      <c r="G1992" s="13"/>
      <c r="H1992" s="17" t="str">
        <f aca="false">IF(OR(E1992="",F1992=""),"",E1992*F1992)</f>
        <v/>
      </c>
      <c r="I1992" s="17" t="str">
        <f aca="false">IF(OR(E1992="",G1992=""),"",E1992*G1992)</f>
        <v/>
      </c>
      <c r="J1992" s="17" t="str">
        <f aca="false">IF(H1992="","",H1992-I1992)</f>
        <v/>
      </c>
    </row>
    <row r="1993" customFormat="false" ht="15" hidden="false" customHeight="true" outlineLevel="0" collapsed="false">
      <c r="A1993" s="7"/>
      <c r="B1993" s="18" t="str">
        <f aca="false">IF(A1993="","",IFERROR(INDEX(Sales_Memo!$B$2:$B$1001,MATCH(A1993,Sales_Memo!$A$2:$A$1001,0)),""))</f>
        <v/>
      </c>
      <c r="C1993" s="7"/>
      <c r="D1993" s="16" t="str">
        <f aca="false">IF(C1993="","",IFERROR(INDEX(Products!$B$2:$B$501,MATCH(C1993,Products!$A$2:$A$501,0)),"CODE NOT FOUND"))</f>
        <v/>
      </c>
      <c r="E1993" s="7"/>
      <c r="F1993" s="13"/>
      <c r="G1993" s="13"/>
      <c r="H1993" s="17" t="str">
        <f aca="false">IF(OR(E1993="",F1993=""),"",E1993*F1993)</f>
        <v/>
      </c>
      <c r="I1993" s="17" t="str">
        <f aca="false">IF(OR(E1993="",G1993=""),"",E1993*G1993)</f>
        <v/>
      </c>
      <c r="J1993" s="17" t="str">
        <f aca="false">IF(H1993="","",H1993-I1993)</f>
        <v/>
      </c>
    </row>
    <row r="1994" customFormat="false" ht="15" hidden="false" customHeight="true" outlineLevel="0" collapsed="false">
      <c r="A1994" s="7"/>
      <c r="B1994" s="18" t="str">
        <f aca="false">IF(A1994="","",IFERROR(INDEX(Sales_Memo!$B$2:$B$1001,MATCH(A1994,Sales_Memo!$A$2:$A$1001,0)),""))</f>
        <v/>
      </c>
      <c r="C1994" s="7"/>
      <c r="D1994" s="16" t="str">
        <f aca="false">IF(C1994="","",IFERROR(INDEX(Products!$B$2:$B$501,MATCH(C1994,Products!$A$2:$A$501,0)),"CODE NOT FOUND"))</f>
        <v/>
      </c>
      <c r="E1994" s="7"/>
      <c r="F1994" s="13"/>
      <c r="G1994" s="13"/>
      <c r="H1994" s="17" t="str">
        <f aca="false">IF(OR(E1994="",F1994=""),"",E1994*F1994)</f>
        <v/>
      </c>
      <c r="I1994" s="17" t="str">
        <f aca="false">IF(OR(E1994="",G1994=""),"",E1994*G1994)</f>
        <v/>
      </c>
      <c r="J1994" s="17" t="str">
        <f aca="false">IF(H1994="","",H1994-I1994)</f>
        <v/>
      </c>
    </row>
    <row r="1995" customFormat="false" ht="15" hidden="false" customHeight="true" outlineLevel="0" collapsed="false">
      <c r="A1995" s="7"/>
      <c r="B1995" s="18" t="str">
        <f aca="false">IF(A1995="","",IFERROR(INDEX(Sales_Memo!$B$2:$B$1001,MATCH(A1995,Sales_Memo!$A$2:$A$1001,0)),""))</f>
        <v/>
      </c>
      <c r="C1995" s="7"/>
      <c r="D1995" s="16" t="str">
        <f aca="false">IF(C1995="","",IFERROR(INDEX(Products!$B$2:$B$501,MATCH(C1995,Products!$A$2:$A$501,0)),"CODE NOT FOUND"))</f>
        <v/>
      </c>
      <c r="E1995" s="7"/>
      <c r="F1995" s="13"/>
      <c r="G1995" s="13"/>
      <c r="H1995" s="17" t="str">
        <f aca="false">IF(OR(E1995="",F1995=""),"",E1995*F1995)</f>
        <v/>
      </c>
      <c r="I1995" s="17" t="str">
        <f aca="false">IF(OR(E1995="",G1995=""),"",E1995*G1995)</f>
        <v/>
      </c>
      <c r="J1995" s="17" t="str">
        <f aca="false">IF(H1995="","",H1995-I1995)</f>
        <v/>
      </c>
    </row>
    <row r="1996" customFormat="false" ht="15" hidden="false" customHeight="true" outlineLevel="0" collapsed="false">
      <c r="A1996" s="7"/>
      <c r="B1996" s="18" t="str">
        <f aca="false">IF(A1996="","",IFERROR(INDEX(Sales_Memo!$B$2:$B$1001,MATCH(A1996,Sales_Memo!$A$2:$A$1001,0)),""))</f>
        <v/>
      </c>
      <c r="C1996" s="7"/>
      <c r="D1996" s="16" t="str">
        <f aca="false">IF(C1996="","",IFERROR(INDEX(Products!$B$2:$B$501,MATCH(C1996,Products!$A$2:$A$501,0)),"CODE NOT FOUND"))</f>
        <v/>
      </c>
      <c r="E1996" s="7"/>
      <c r="F1996" s="13"/>
      <c r="G1996" s="13"/>
      <c r="H1996" s="17" t="str">
        <f aca="false">IF(OR(E1996="",F1996=""),"",E1996*F1996)</f>
        <v/>
      </c>
      <c r="I1996" s="17" t="str">
        <f aca="false">IF(OR(E1996="",G1996=""),"",E1996*G1996)</f>
        <v/>
      </c>
      <c r="J1996" s="17" t="str">
        <f aca="false">IF(H1996="","",H1996-I1996)</f>
        <v/>
      </c>
    </row>
    <row r="1997" customFormat="false" ht="15" hidden="false" customHeight="true" outlineLevel="0" collapsed="false">
      <c r="A1997" s="7"/>
      <c r="B1997" s="18" t="str">
        <f aca="false">IF(A1997="","",IFERROR(INDEX(Sales_Memo!$B$2:$B$1001,MATCH(A1997,Sales_Memo!$A$2:$A$1001,0)),""))</f>
        <v/>
      </c>
      <c r="C1997" s="7"/>
      <c r="D1997" s="16" t="str">
        <f aca="false">IF(C1997="","",IFERROR(INDEX(Products!$B$2:$B$501,MATCH(C1997,Products!$A$2:$A$501,0)),"CODE NOT FOUND"))</f>
        <v/>
      </c>
      <c r="E1997" s="7"/>
      <c r="F1997" s="13"/>
      <c r="G1997" s="13"/>
      <c r="H1997" s="17" t="str">
        <f aca="false">IF(OR(E1997="",F1997=""),"",E1997*F1997)</f>
        <v/>
      </c>
      <c r="I1997" s="17" t="str">
        <f aca="false">IF(OR(E1997="",G1997=""),"",E1997*G1997)</f>
        <v/>
      </c>
      <c r="J1997" s="17" t="str">
        <f aca="false">IF(H1997="","",H1997-I1997)</f>
        <v/>
      </c>
    </row>
    <row r="1998" customFormat="false" ht="15" hidden="false" customHeight="true" outlineLevel="0" collapsed="false">
      <c r="A1998" s="7"/>
      <c r="B1998" s="18" t="str">
        <f aca="false">IF(A1998="","",IFERROR(INDEX(Sales_Memo!$B$2:$B$1001,MATCH(A1998,Sales_Memo!$A$2:$A$1001,0)),""))</f>
        <v/>
      </c>
      <c r="C1998" s="7"/>
      <c r="D1998" s="16" t="str">
        <f aca="false">IF(C1998="","",IFERROR(INDEX(Products!$B$2:$B$501,MATCH(C1998,Products!$A$2:$A$501,0)),"CODE NOT FOUND"))</f>
        <v/>
      </c>
      <c r="E1998" s="7"/>
      <c r="F1998" s="13"/>
      <c r="G1998" s="13"/>
      <c r="H1998" s="17" t="str">
        <f aca="false">IF(OR(E1998="",F1998=""),"",E1998*F1998)</f>
        <v/>
      </c>
      <c r="I1998" s="17" t="str">
        <f aca="false">IF(OR(E1998="",G1998=""),"",E1998*G1998)</f>
        <v/>
      </c>
      <c r="J1998" s="17" t="str">
        <f aca="false">IF(H1998="","",H1998-I1998)</f>
        <v/>
      </c>
    </row>
    <row r="1999" customFormat="false" ht="15" hidden="false" customHeight="true" outlineLevel="0" collapsed="false">
      <c r="A1999" s="7"/>
      <c r="B1999" s="18" t="str">
        <f aca="false">IF(A1999="","",IFERROR(INDEX(Sales_Memo!$B$2:$B$1001,MATCH(A1999,Sales_Memo!$A$2:$A$1001,0)),""))</f>
        <v/>
      </c>
      <c r="C1999" s="7"/>
      <c r="D1999" s="16" t="str">
        <f aca="false">IF(C1999="","",IFERROR(INDEX(Products!$B$2:$B$501,MATCH(C1999,Products!$A$2:$A$501,0)),"CODE NOT FOUND"))</f>
        <v/>
      </c>
      <c r="E1999" s="7"/>
      <c r="F1999" s="13"/>
      <c r="G1999" s="13"/>
      <c r="H1999" s="17" t="str">
        <f aca="false">IF(OR(E1999="",F1999=""),"",E1999*F1999)</f>
        <v/>
      </c>
      <c r="I1999" s="17" t="str">
        <f aca="false">IF(OR(E1999="",G1999=""),"",E1999*G1999)</f>
        <v/>
      </c>
      <c r="J1999" s="17" t="str">
        <f aca="false">IF(H1999="","",H1999-I1999)</f>
        <v/>
      </c>
    </row>
    <row r="2000" customFormat="false" ht="15" hidden="false" customHeight="true" outlineLevel="0" collapsed="false">
      <c r="A2000" s="7"/>
      <c r="B2000" s="18" t="str">
        <f aca="false">IF(A2000="","",IFERROR(INDEX(Sales_Memo!$B$2:$B$1001,MATCH(A2000,Sales_Memo!$A$2:$A$1001,0)),""))</f>
        <v/>
      </c>
      <c r="C2000" s="7"/>
      <c r="D2000" s="16" t="str">
        <f aca="false">IF(C2000="","",IFERROR(INDEX(Products!$B$2:$B$501,MATCH(C2000,Products!$A$2:$A$501,0)),"CODE NOT FOUND"))</f>
        <v/>
      </c>
      <c r="E2000" s="7"/>
      <c r="F2000" s="13"/>
      <c r="G2000" s="13"/>
      <c r="H2000" s="17" t="str">
        <f aca="false">IF(OR(E2000="",F2000=""),"",E2000*F2000)</f>
        <v/>
      </c>
      <c r="I2000" s="17" t="str">
        <f aca="false">IF(OR(E2000="",G2000=""),"",E2000*G2000)</f>
        <v/>
      </c>
      <c r="J2000" s="17" t="str">
        <f aca="false">IF(H2000="","",H2000-I2000)</f>
        <v/>
      </c>
    </row>
    <row r="2001" customFormat="false" ht="15" hidden="false" customHeight="true" outlineLevel="0" collapsed="false">
      <c r="A2001" s="7"/>
      <c r="B2001" s="18" t="str">
        <f aca="false">IF(A2001="","",IFERROR(INDEX(Sales_Memo!$B$2:$B$1001,MATCH(A2001,Sales_Memo!$A$2:$A$1001,0)),""))</f>
        <v/>
      </c>
      <c r="C2001" s="7"/>
      <c r="D2001" s="16" t="str">
        <f aca="false">IF(C2001="","",IFERROR(INDEX(Products!$B$2:$B$501,MATCH(C2001,Products!$A$2:$A$501,0)),"CODE NOT FOUND"))</f>
        <v/>
      </c>
      <c r="E2001" s="7"/>
      <c r="F2001" s="13"/>
      <c r="G2001" s="13"/>
      <c r="H2001" s="17" t="str">
        <f aca="false">IF(OR(E2001="",F2001=""),"",E2001*F2001)</f>
        <v/>
      </c>
      <c r="I2001" s="17" t="str">
        <f aca="false">IF(OR(E2001="",G2001=""),"",E2001*G2001)</f>
        <v/>
      </c>
      <c r="J2001" s="17" t="str">
        <f aca="false">IF(H2001="","",H2001-I2001)</f>
        <v/>
      </c>
    </row>
    <row r="2002" customFormat="false" ht="15" hidden="false" customHeight="true" outlineLevel="0" collapsed="false">
      <c r="A2002" s="7"/>
      <c r="B2002" s="18" t="str">
        <f aca="false">IF(A2002="","",IFERROR(INDEX(Sales_Memo!$B$2:$B$1001,MATCH(A2002,Sales_Memo!$A$2:$A$1001,0)),""))</f>
        <v/>
      </c>
      <c r="C2002" s="7"/>
      <c r="D2002" s="16" t="str">
        <f aca="false">IF(C2002="","",IFERROR(INDEX(Products!$B$2:$B$501,MATCH(C2002,Products!$A$2:$A$501,0)),"CODE NOT FOUND"))</f>
        <v/>
      </c>
      <c r="E2002" s="7"/>
      <c r="F2002" s="13"/>
      <c r="G2002" s="13"/>
      <c r="H2002" s="17" t="str">
        <f aca="false">IF(OR(E2002="",F2002=""),"",E2002*F2002)</f>
        <v/>
      </c>
      <c r="I2002" s="17" t="str">
        <f aca="false">IF(OR(E2002="",G2002=""),"",E2002*G2002)</f>
        <v/>
      </c>
      <c r="J2002" s="17" t="str">
        <f aca="false">IF(H2002="","",H2002-I2002)</f>
        <v/>
      </c>
    </row>
    <row r="2003" customFormat="false" ht="15" hidden="false" customHeight="true" outlineLevel="0" collapsed="false">
      <c r="A2003" s="7"/>
      <c r="B2003" s="18" t="str">
        <f aca="false">IF(A2003="","",IFERROR(INDEX(Sales_Memo!$B$2:$B$1001,MATCH(A2003,Sales_Memo!$A$2:$A$1001,0)),""))</f>
        <v/>
      </c>
      <c r="C2003" s="7"/>
      <c r="D2003" s="16" t="str">
        <f aca="false">IF(C2003="","",IFERROR(INDEX(Products!$B$2:$B$501,MATCH(C2003,Products!$A$2:$A$501,0)),"CODE NOT FOUND"))</f>
        <v/>
      </c>
      <c r="E2003" s="7"/>
      <c r="F2003" s="13"/>
      <c r="G2003" s="13"/>
      <c r="H2003" s="17" t="str">
        <f aca="false">IF(OR(E2003="",F2003=""),"",E2003*F2003)</f>
        <v/>
      </c>
      <c r="I2003" s="17" t="str">
        <f aca="false">IF(OR(E2003="",G2003=""),"",E2003*G2003)</f>
        <v/>
      </c>
      <c r="J2003" s="17" t="str">
        <f aca="false">IF(H2003="","",H2003-I2003)</f>
        <v/>
      </c>
    </row>
    <row r="2004" customFormat="false" ht="15" hidden="false" customHeight="true" outlineLevel="0" collapsed="false">
      <c r="A2004" s="7"/>
      <c r="B2004" s="18" t="str">
        <f aca="false">IF(A2004="","",IFERROR(INDEX(Sales_Memo!$B$2:$B$1001,MATCH(A2004,Sales_Memo!$A$2:$A$1001,0)),""))</f>
        <v/>
      </c>
      <c r="C2004" s="7"/>
      <c r="D2004" s="16" t="str">
        <f aca="false">IF(C2004="","",IFERROR(INDEX(Products!$B$2:$B$501,MATCH(C2004,Products!$A$2:$A$501,0)),"CODE NOT FOUND"))</f>
        <v/>
      </c>
      <c r="E2004" s="7"/>
      <c r="F2004" s="13"/>
      <c r="G2004" s="13"/>
      <c r="H2004" s="17" t="str">
        <f aca="false">IF(OR(E2004="",F2004=""),"",E2004*F2004)</f>
        <v/>
      </c>
      <c r="I2004" s="17" t="str">
        <f aca="false">IF(OR(E2004="",G2004=""),"",E2004*G2004)</f>
        <v/>
      </c>
      <c r="J2004" s="17" t="str">
        <f aca="false">IF(H2004="","",H2004-I2004)</f>
        <v/>
      </c>
    </row>
    <row r="2005" customFormat="false" ht="15" hidden="false" customHeight="true" outlineLevel="0" collapsed="false">
      <c r="A2005" s="7"/>
      <c r="B2005" s="18" t="str">
        <f aca="false">IF(A2005="","",IFERROR(INDEX(Sales_Memo!$B$2:$B$1001,MATCH(A2005,Sales_Memo!$A$2:$A$1001,0)),""))</f>
        <v/>
      </c>
      <c r="C2005" s="7"/>
      <c r="D2005" s="16" t="str">
        <f aca="false">IF(C2005="","",IFERROR(INDEX(Products!$B$2:$B$501,MATCH(C2005,Products!$A$2:$A$501,0)),"CODE NOT FOUND"))</f>
        <v/>
      </c>
      <c r="E2005" s="7"/>
      <c r="F2005" s="13"/>
      <c r="G2005" s="13"/>
      <c r="H2005" s="17" t="str">
        <f aca="false">IF(OR(E2005="",F2005=""),"",E2005*F2005)</f>
        <v/>
      </c>
      <c r="I2005" s="17" t="str">
        <f aca="false">IF(OR(E2005="",G2005=""),"",E2005*G2005)</f>
        <v/>
      </c>
      <c r="J2005" s="17" t="str">
        <f aca="false">IF(H2005="","",H2005-I2005)</f>
        <v/>
      </c>
    </row>
    <row r="2006" customFormat="false" ht="15" hidden="false" customHeight="true" outlineLevel="0" collapsed="false">
      <c r="A2006" s="7"/>
      <c r="B2006" s="18" t="str">
        <f aca="false">IF(A2006="","",IFERROR(INDEX(Sales_Memo!$B$2:$B$1001,MATCH(A2006,Sales_Memo!$A$2:$A$1001,0)),""))</f>
        <v/>
      </c>
      <c r="C2006" s="7"/>
      <c r="D2006" s="16" t="str">
        <f aca="false">IF(C2006="","",IFERROR(INDEX(Products!$B$2:$B$501,MATCH(C2006,Products!$A$2:$A$501,0)),"CODE NOT FOUND"))</f>
        <v/>
      </c>
      <c r="E2006" s="7"/>
      <c r="F2006" s="13"/>
      <c r="G2006" s="13"/>
      <c r="H2006" s="17" t="str">
        <f aca="false">IF(OR(E2006="",F2006=""),"",E2006*F2006)</f>
        <v/>
      </c>
      <c r="I2006" s="17" t="str">
        <f aca="false">IF(OR(E2006="",G2006=""),"",E2006*G2006)</f>
        <v/>
      </c>
      <c r="J2006" s="17" t="str">
        <f aca="false">IF(H2006="","",H2006-I2006)</f>
        <v/>
      </c>
    </row>
    <row r="2007" customFormat="false" ht="15" hidden="false" customHeight="true" outlineLevel="0" collapsed="false">
      <c r="A2007" s="7"/>
      <c r="B2007" s="18" t="str">
        <f aca="false">IF(A2007="","",IFERROR(INDEX(Sales_Memo!$B$2:$B$1001,MATCH(A2007,Sales_Memo!$A$2:$A$1001,0)),""))</f>
        <v/>
      </c>
      <c r="C2007" s="7"/>
      <c r="D2007" s="16" t="str">
        <f aca="false">IF(C2007="","",IFERROR(INDEX(Products!$B$2:$B$501,MATCH(C2007,Products!$A$2:$A$501,0)),"CODE NOT FOUND"))</f>
        <v/>
      </c>
      <c r="E2007" s="7"/>
      <c r="F2007" s="13"/>
      <c r="G2007" s="13"/>
      <c r="H2007" s="17" t="str">
        <f aca="false">IF(OR(E2007="",F2007=""),"",E2007*F2007)</f>
        <v/>
      </c>
      <c r="I2007" s="17" t="str">
        <f aca="false">IF(OR(E2007="",G2007=""),"",E2007*G2007)</f>
        <v/>
      </c>
      <c r="J2007" s="17" t="str">
        <f aca="false">IF(H2007="","",H2007-I2007)</f>
        <v/>
      </c>
    </row>
    <row r="2008" customFormat="false" ht="15" hidden="false" customHeight="true" outlineLevel="0" collapsed="false">
      <c r="A2008" s="7"/>
      <c r="B2008" s="18" t="str">
        <f aca="false">IF(A2008="","",IFERROR(INDEX(Sales_Memo!$B$2:$B$1001,MATCH(A2008,Sales_Memo!$A$2:$A$1001,0)),""))</f>
        <v/>
      </c>
      <c r="C2008" s="7"/>
      <c r="D2008" s="16" t="str">
        <f aca="false">IF(C2008="","",IFERROR(INDEX(Products!$B$2:$B$501,MATCH(C2008,Products!$A$2:$A$501,0)),"CODE NOT FOUND"))</f>
        <v/>
      </c>
      <c r="E2008" s="7"/>
      <c r="F2008" s="13"/>
      <c r="G2008" s="13"/>
      <c r="H2008" s="17" t="str">
        <f aca="false">IF(OR(E2008="",F2008=""),"",E2008*F2008)</f>
        <v/>
      </c>
      <c r="I2008" s="17" t="str">
        <f aca="false">IF(OR(E2008="",G2008=""),"",E2008*G2008)</f>
        <v/>
      </c>
      <c r="J2008" s="17" t="str">
        <f aca="false">IF(H2008="","",H2008-I2008)</f>
        <v/>
      </c>
    </row>
    <row r="2009" customFormat="false" ht="15" hidden="false" customHeight="true" outlineLevel="0" collapsed="false">
      <c r="A2009" s="7"/>
      <c r="B2009" s="18" t="str">
        <f aca="false">IF(A2009="","",IFERROR(INDEX(Sales_Memo!$B$2:$B$1001,MATCH(A2009,Sales_Memo!$A$2:$A$1001,0)),""))</f>
        <v/>
      </c>
      <c r="C2009" s="7"/>
      <c r="D2009" s="16" t="str">
        <f aca="false">IF(C2009="","",IFERROR(INDEX(Products!$B$2:$B$501,MATCH(C2009,Products!$A$2:$A$501,0)),"CODE NOT FOUND"))</f>
        <v/>
      </c>
      <c r="E2009" s="7"/>
      <c r="F2009" s="13"/>
      <c r="G2009" s="13"/>
      <c r="H2009" s="17" t="str">
        <f aca="false">IF(OR(E2009="",F2009=""),"",E2009*F2009)</f>
        <v/>
      </c>
      <c r="I2009" s="17" t="str">
        <f aca="false">IF(OR(E2009="",G2009=""),"",E2009*G2009)</f>
        <v/>
      </c>
      <c r="J2009" s="17" t="str">
        <f aca="false">IF(H2009="","",H2009-I2009)</f>
        <v/>
      </c>
    </row>
    <row r="2010" customFormat="false" ht="15" hidden="false" customHeight="true" outlineLevel="0" collapsed="false">
      <c r="A2010" s="7"/>
      <c r="B2010" s="18" t="str">
        <f aca="false">IF(A2010="","",IFERROR(INDEX(Sales_Memo!$B$2:$B$1001,MATCH(A2010,Sales_Memo!$A$2:$A$1001,0)),""))</f>
        <v/>
      </c>
      <c r="C2010" s="7"/>
      <c r="D2010" s="16" t="str">
        <f aca="false">IF(C2010="","",IFERROR(INDEX(Products!$B$2:$B$501,MATCH(C2010,Products!$A$2:$A$501,0)),"CODE NOT FOUND"))</f>
        <v/>
      </c>
      <c r="E2010" s="7"/>
      <c r="F2010" s="13"/>
      <c r="G2010" s="13"/>
      <c r="H2010" s="17" t="str">
        <f aca="false">IF(OR(E2010="",F2010=""),"",E2010*F2010)</f>
        <v/>
      </c>
      <c r="I2010" s="17" t="str">
        <f aca="false">IF(OR(E2010="",G2010=""),"",E2010*G2010)</f>
        <v/>
      </c>
      <c r="J2010" s="17" t="str">
        <f aca="false">IF(H2010="","",H2010-I2010)</f>
        <v/>
      </c>
    </row>
    <row r="2011" customFormat="false" ht="15" hidden="false" customHeight="true" outlineLevel="0" collapsed="false">
      <c r="A2011" s="7"/>
      <c r="B2011" s="18" t="str">
        <f aca="false">IF(A2011="","",IFERROR(INDEX(Sales_Memo!$B$2:$B$1001,MATCH(A2011,Sales_Memo!$A$2:$A$1001,0)),""))</f>
        <v/>
      </c>
      <c r="C2011" s="7"/>
      <c r="D2011" s="16" t="str">
        <f aca="false">IF(C2011="","",IFERROR(INDEX(Products!$B$2:$B$501,MATCH(C2011,Products!$A$2:$A$501,0)),"CODE NOT FOUND"))</f>
        <v/>
      </c>
      <c r="E2011" s="7"/>
      <c r="F2011" s="13"/>
      <c r="G2011" s="13"/>
      <c r="H2011" s="17" t="str">
        <f aca="false">IF(OR(E2011="",F2011=""),"",E2011*F2011)</f>
        <v/>
      </c>
      <c r="I2011" s="17" t="str">
        <f aca="false">IF(OR(E2011="",G2011=""),"",E2011*G2011)</f>
        <v/>
      </c>
      <c r="J2011" s="17" t="str">
        <f aca="false">IF(H2011="","",H2011-I2011)</f>
        <v/>
      </c>
    </row>
    <row r="2012" customFormat="false" ht="15" hidden="false" customHeight="true" outlineLevel="0" collapsed="false">
      <c r="A2012" s="7"/>
      <c r="B2012" s="18" t="str">
        <f aca="false">IF(A2012="","",IFERROR(INDEX(Sales_Memo!$B$2:$B$1001,MATCH(A2012,Sales_Memo!$A$2:$A$1001,0)),""))</f>
        <v/>
      </c>
      <c r="C2012" s="7"/>
      <c r="D2012" s="16" t="str">
        <f aca="false">IF(C2012="","",IFERROR(INDEX(Products!$B$2:$B$501,MATCH(C2012,Products!$A$2:$A$501,0)),"CODE NOT FOUND"))</f>
        <v/>
      </c>
      <c r="E2012" s="7"/>
      <c r="F2012" s="13"/>
      <c r="G2012" s="13"/>
      <c r="H2012" s="17" t="str">
        <f aca="false">IF(OR(E2012="",F2012=""),"",E2012*F2012)</f>
        <v/>
      </c>
      <c r="I2012" s="17" t="str">
        <f aca="false">IF(OR(E2012="",G2012=""),"",E2012*G2012)</f>
        <v/>
      </c>
      <c r="J2012" s="17" t="str">
        <f aca="false">IF(H2012="","",H2012-I2012)</f>
        <v/>
      </c>
    </row>
    <row r="2013" customFormat="false" ht="15" hidden="false" customHeight="true" outlineLevel="0" collapsed="false">
      <c r="A2013" s="7"/>
      <c r="B2013" s="18" t="str">
        <f aca="false">IF(A2013="","",IFERROR(INDEX(Sales_Memo!$B$2:$B$1001,MATCH(A2013,Sales_Memo!$A$2:$A$1001,0)),""))</f>
        <v/>
      </c>
      <c r="C2013" s="7"/>
      <c r="D2013" s="16" t="str">
        <f aca="false">IF(C2013="","",IFERROR(INDEX(Products!$B$2:$B$501,MATCH(C2013,Products!$A$2:$A$501,0)),"CODE NOT FOUND"))</f>
        <v/>
      </c>
      <c r="E2013" s="7"/>
      <c r="F2013" s="13"/>
      <c r="G2013" s="13"/>
      <c r="H2013" s="17" t="str">
        <f aca="false">IF(OR(E2013="",F2013=""),"",E2013*F2013)</f>
        <v/>
      </c>
      <c r="I2013" s="17" t="str">
        <f aca="false">IF(OR(E2013="",G2013=""),"",E2013*G2013)</f>
        <v/>
      </c>
      <c r="J2013" s="17" t="str">
        <f aca="false">IF(H2013="","",H2013-I2013)</f>
        <v/>
      </c>
    </row>
    <row r="2014" customFormat="false" ht="15" hidden="false" customHeight="true" outlineLevel="0" collapsed="false">
      <c r="A2014" s="7"/>
      <c r="B2014" s="18" t="str">
        <f aca="false">IF(A2014="","",IFERROR(INDEX(Sales_Memo!$B$2:$B$1001,MATCH(A2014,Sales_Memo!$A$2:$A$1001,0)),""))</f>
        <v/>
      </c>
      <c r="C2014" s="7"/>
      <c r="D2014" s="16" t="str">
        <f aca="false">IF(C2014="","",IFERROR(INDEX(Products!$B$2:$B$501,MATCH(C2014,Products!$A$2:$A$501,0)),"CODE NOT FOUND"))</f>
        <v/>
      </c>
      <c r="E2014" s="7"/>
      <c r="F2014" s="13"/>
      <c r="G2014" s="13"/>
      <c r="H2014" s="17" t="str">
        <f aca="false">IF(OR(E2014="",F2014=""),"",E2014*F2014)</f>
        <v/>
      </c>
      <c r="I2014" s="17" t="str">
        <f aca="false">IF(OR(E2014="",G2014=""),"",E2014*G2014)</f>
        <v/>
      </c>
      <c r="J2014" s="17" t="str">
        <f aca="false">IF(H2014="","",H2014-I2014)</f>
        <v/>
      </c>
    </row>
    <row r="2015" customFormat="false" ht="15" hidden="false" customHeight="true" outlineLevel="0" collapsed="false">
      <c r="A2015" s="7"/>
      <c r="B2015" s="18" t="str">
        <f aca="false">IF(A2015="","",IFERROR(INDEX(Sales_Memo!$B$2:$B$1001,MATCH(A2015,Sales_Memo!$A$2:$A$1001,0)),""))</f>
        <v/>
      </c>
      <c r="C2015" s="7"/>
      <c r="D2015" s="16" t="str">
        <f aca="false">IF(C2015="","",IFERROR(INDEX(Products!$B$2:$B$501,MATCH(C2015,Products!$A$2:$A$501,0)),"CODE NOT FOUND"))</f>
        <v/>
      </c>
      <c r="E2015" s="7"/>
      <c r="F2015" s="13"/>
      <c r="G2015" s="13"/>
      <c r="H2015" s="17" t="str">
        <f aca="false">IF(OR(E2015="",F2015=""),"",E2015*F2015)</f>
        <v/>
      </c>
      <c r="I2015" s="17" t="str">
        <f aca="false">IF(OR(E2015="",G2015=""),"",E2015*G2015)</f>
        <v/>
      </c>
      <c r="J2015" s="17" t="str">
        <f aca="false">IF(H2015="","",H2015-I2015)</f>
        <v/>
      </c>
    </row>
    <row r="2016" customFormat="false" ht="15" hidden="false" customHeight="true" outlineLevel="0" collapsed="false">
      <c r="A2016" s="7"/>
      <c r="B2016" s="18" t="str">
        <f aca="false">IF(A2016="","",IFERROR(INDEX(Sales_Memo!$B$2:$B$1001,MATCH(A2016,Sales_Memo!$A$2:$A$1001,0)),""))</f>
        <v/>
      </c>
      <c r="C2016" s="7"/>
      <c r="D2016" s="16" t="str">
        <f aca="false">IF(C2016="","",IFERROR(INDEX(Products!$B$2:$B$501,MATCH(C2016,Products!$A$2:$A$501,0)),"CODE NOT FOUND"))</f>
        <v/>
      </c>
      <c r="E2016" s="7"/>
      <c r="F2016" s="13"/>
      <c r="G2016" s="13"/>
      <c r="H2016" s="17" t="str">
        <f aca="false">IF(OR(E2016="",F2016=""),"",E2016*F2016)</f>
        <v/>
      </c>
      <c r="I2016" s="17" t="str">
        <f aca="false">IF(OR(E2016="",G2016=""),"",E2016*G2016)</f>
        <v/>
      </c>
      <c r="J2016" s="17" t="str">
        <f aca="false">IF(H2016="","",H2016-I2016)</f>
        <v/>
      </c>
    </row>
    <row r="2017" customFormat="false" ht="15" hidden="false" customHeight="true" outlineLevel="0" collapsed="false">
      <c r="A2017" s="7"/>
      <c r="B2017" s="18" t="str">
        <f aca="false">IF(A2017="","",IFERROR(INDEX(Sales_Memo!$B$2:$B$1001,MATCH(A2017,Sales_Memo!$A$2:$A$1001,0)),""))</f>
        <v/>
      </c>
      <c r="C2017" s="7"/>
      <c r="D2017" s="16" t="str">
        <f aca="false">IF(C2017="","",IFERROR(INDEX(Products!$B$2:$B$501,MATCH(C2017,Products!$A$2:$A$501,0)),"CODE NOT FOUND"))</f>
        <v/>
      </c>
      <c r="E2017" s="7"/>
      <c r="F2017" s="13"/>
      <c r="G2017" s="13"/>
      <c r="H2017" s="17" t="str">
        <f aca="false">IF(OR(E2017="",F2017=""),"",E2017*F2017)</f>
        <v/>
      </c>
      <c r="I2017" s="17" t="str">
        <f aca="false">IF(OR(E2017="",G2017=""),"",E2017*G2017)</f>
        <v/>
      </c>
      <c r="J2017" s="17" t="str">
        <f aca="false">IF(H2017="","",H2017-I2017)</f>
        <v/>
      </c>
    </row>
    <row r="2018" customFormat="false" ht="15" hidden="false" customHeight="true" outlineLevel="0" collapsed="false">
      <c r="A2018" s="7"/>
      <c r="B2018" s="18" t="str">
        <f aca="false">IF(A2018="","",IFERROR(INDEX(Sales_Memo!$B$2:$B$1001,MATCH(A2018,Sales_Memo!$A$2:$A$1001,0)),""))</f>
        <v/>
      </c>
      <c r="C2018" s="7"/>
      <c r="D2018" s="16" t="str">
        <f aca="false">IF(C2018="","",IFERROR(INDEX(Products!$B$2:$B$501,MATCH(C2018,Products!$A$2:$A$501,0)),"CODE NOT FOUND"))</f>
        <v/>
      </c>
      <c r="E2018" s="7"/>
      <c r="F2018" s="13"/>
      <c r="G2018" s="13"/>
      <c r="H2018" s="17" t="str">
        <f aca="false">IF(OR(E2018="",F2018=""),"",E2018*F2018)</f>
        <v/>
      </c>
      <c r="I2018" s="17" t="str">
        <f aca="false">IF(OR(E2018="",G2018=""),"",E2018*G2018)</f>
        <v/>
      </c>
      <c r="J2018" s="17" t="str">
        <f aca="false">IF(H2018="","",H2018-I2018)</f>
        <v/>
      </c>
    </row>
    <row r="2019" customFormat="false" ht="15" hidden="false" customHeight="true" outlineLevel="0" collapsed="false">
      <c r="A2019" s="7"/>
      <c r="B2019" s="18" t="str">
        <f aca="false">IF(A2019="","",IFERROR(INDEX(Sales_Memo!$B$2:$B$1001,MATCH(A2019,Sales_Memo!$A$2:$A$1001,0)),""))</f>
        <v/>
      </c>
      <c r="C2019" s="7"/>
      <c r="D2019" s="16" t="str">
        <f aca="false">IF(C2019="","",IFERROR(INDEX(Products!$B$2:$B$501,MATCH(C2019,Products!$A$2:$A$501,0)),"CODE NOT FOUND"))</f>
        <v/>
      </c>
      <c r="E2019" s="7"/>
      <c r="F2019" s="13"/>
      <c r="G2019" s="13"/>
      <c r="H2019" s="17" t="str">
        <f aca="false">IF(OR(E2019="",F2019=""),"",E2019*F2019)</f>
        <v/>
      </c>
      <c r="I2019" s="17" t="str">
        <f aca="false">IF(OR(E2019="",G2019=""),"",E2019*G2019)</f>
        <v/>
      </c>
      <c r="J2019" s="17" t="str">
        <f aca="false">IF(H2019="","",H2019-I2019)</f>
        <v/>
      </c>
    </row>
    <row r="2020" customFormat="false" ht="15" hidden="false" customHeight="true" outlineLevel="0" collapsed="false">
      <c r="A2020" s="7"/>
      <c r="B2020" s="18" t="str">
        <f aca="false">IF(A2020="","",IFERROR(INDEX(Sales_Memo!$B$2:$B$1001,MATCH(A2020,Sales_Memo!$A$2:$A$1001,0)),""))</f>
        <v/>
      </c>
      <c r="C2020" s="7"/>
      <c r="D2020" s="16" t="str">
        <f aca="false">IF(C2020="","",IFERROR(INDEX(Products!$B$2:$B$501,MATCH(C2020,Products!$A$2:$A$501,0)),"CODE NOT FOUND"))</f>
        <v/>
      </c>
      <c r="E2020" s="7"/>
      <c r="F2020" s="13"/>
      <c r="G2020" s="13"/>
      <c r="H2020" s="17" t="str">
        <f aca="false">IF(OR(E2020="",F2020=""),"",E2020*F2020)</f>
        <v/>
      </c>
      <c r="I2020" s="17" t="str">
        <f aca="false">IF(OR(E2020="",G2020=""),"",E2020*G2020)</f>
        <v/>
      </c>
      <c r="J2020" s="17" t="str">
        <f aca="false">IF(H2020="","",H2020-I2020)</f>
        <v/>
      </c>
    </row>
    <row r="2021" customFormat="false" ht="15" hidden="false" customHeight="true" outlineLevel="0" collapsed="false">
      <c r="A2021" s="7"/>
      <c r="B2021" s="18" t="str">
        <f aca="false">IF(A2021="","",IFERROR(INDEX(Sales_Memo!$B$2:$B$1001,MATCH(A2021,Sales_Memo!$A$2:$A$1001,0)),""))</f>
        <v/>
      </c>
      <c r="C2021" s="7"/>
      <c r="D2021" s="16" t="str">
        <f aca="false">IF(C2021="","",IFERROR(INDEX(Products!$B$2:$B$501,MATCH(C2021,Products!$A$2:$A$501,0)),"CODE NOT FOUND"))</f>
        <v/>
      </c>
      <c r="E2021" s="7"/>
      <c r="F2021" s="13"/>
      <c r="G2021" s="13"/>
      <c r="H2021" s="17" t="str">
        <f aca="false">IF(OR(E2021="",F2021=""),"",E2021*F2021)</f>
        <v/>
      </c>
      <c r="I2021" s="17" t="str">
        <f aca="false">IF(OR(E2021="",G2021=""),"",E2021*G2021)</f>
        <v/>
      </c>
      <c r="J2021" s="17" t="str">
        <f aca="false">IF(H2021="","",H2021-I2021)</f>
        <v/>
      </c>
    </row>
    <row r="2022" customFormat="false" ht="15" hidden="false" customHeight="true" outlineLevel="0" collapsed="false">
      <c r="A2022" s="7"/>
      <c r="B2022" s="18" t="str">
        <f aca="false">IF(A2022="","",IFERROR(INDEX(Sales_Memo!$B$2:$B$1001,MATCH(A2022,Sales_Memo!$A$2:$A$1001,0)),""))</f>
        <v/>
      </c>
      <c r="C2022" s="7"/>
      <c r="D2022" s="16" t="str">
        <f aca="false">IF(C2022="","",IFERROR(INDEX(Products!$B$2:$B$501,MATCH(C2022,Products!$A$2:$A$501,0)),"CODE NOT FOUND"))</f>
        <v/>
      </c>
      <c r="E2022" s="7"/>
      <c r="F2022" s="13"/>
      <c r="G2022" s="13"/>
      <c r="H2022" s="17" t="str">
        <f aca="false">IF(OR(E2022="",F2022=""),"",E2022*F2022)</f>
        <v/>
      </c>
      <c r="I2022" s="17" t="str">
        <f aca="false">IF(OR(E2022="",G2022=""),"",E2022*G2022)</f>
        <v/>
      </c>
      <c r="J2022" s="17" t="str">
        <f aca="false">IF(H2022="","",H2022-I2022)</f>
        <v/>
      </c>
    </row>
    <row r="2023" customFormat="false" ht="15" hidden="false" customHeight="true" outlineLevel="0" collapsed="false">
      <c r="A2023" s="7"/>
      <c r="B2023" s="18" t="str">
        <f aca="false">IF(A2023="","",IFERROR(INDEX(Sales_Memo!$B$2:$B$1001,MATCH(A2023,Sales_Memo!$A$2:$A$1001,0)),""))</f>
        <v/>
      </c>
      <c r="C2023" s="7"/>
      <c r="D2023" s="16" t="str">
        <f aca="false">IF(C2023="","",IFERROR(INDEX(Products!$B$2:$B$501,MATCH(C2023,Products!$A$2:$A$501,0)),"CODE NOT FOUND"))</f>
        <v/>
      </c>
      <c r="E2023" s="7"/>
      <c r="F2023" s="13"/>
      <c r="G2023" s="13"/>
      <c r="H2023" s="17" t="str">
        <f aca="false">IF(OR(E2023="",F2023=""),"",E2023*F2023)</f>
        <v/>
      </c>
      <c r="I2023" s="17" t="str">
        <f aca="false">IF(OR(E2023="",G2023=""),"",E2023*G2023)</f>
        <v/>
      </c>
      <c r="J2023" s="17" t="str">
        <f aca="false">IF(H2023="","",H2023-I2023)</f>
        <v/>
      </c>
    </row>
    <row r="2024" customFormat="false" ht="15" hidden="false" customHeight="true" outlineLevel="0" collapsed="false">
      <c r="A2024" s="7"/>
      <c r="B2024" s="18" t="str">
        <f aca="false">IF(A2024="","",IFERROR(INDEX(Sales_Memo!$B$2:$B$1001,MATCH(A2024,Sales_Memo!$A$2:$A$1001,0)),""))</f>
        <v/>
      </c>
      <c r="C2024" s="7"/>
      <c r="D2024" s="16" t="str">
        <f aca="false">IF(C2024="","",IFERROR(INDEX(Products!$B$2:$B$501,MATCH(C2024,Products!$A$2:$A$501,0)),"CODE NOT FOUND"))</f>
        <v/>
      </c>
      <c r="E2024" s="7"/>
      <c r="F2024" s="13"/>
      <c r="G2024" s="13"/>
      <c r="H2024" s="17" t="str">
        <f aca="false">IF(OR(E2024="",F2024=""),"",E2024*F2024)</f>
        <v/>
      </c>
      <c r="I2024" s="17" t="str">
        <f aca="false">IF(OR(E2024="",G2024=""),"",E2024*G2024)</f>
        <v/>
      </c>
      <c r="J2024" s="17" t="str">
        <f aca="false">IF(H2024="","",H2024-I2024)</f>
        <v/>
      </c>
    </row>
    <row r="2025" customFormat="false" ht="15" hidden="false" customHeight="true" outlineLevel="0" collapsed="false">
      <c r="A2025" s="7"/>
      <c r="B2025" s="18" t="str">
        <f aca="false">IF(A2025="","",IFERROR(INDEX(Sales_Memo!$B$2:$B$1001,MATCH(A2025,Sales_Memo!$A$2:$A$1001,0)),""))</f>
        <v/>
      </c>
      <c r="C2025" s="7"/>
      <c r="D2025" s="16" t="str">
        <f aca="false">IF(C2025="","",IFERROR(INDEX(Products!$B$2:$B$501,MATCH(C2025,Products!$A$2:$A$501,0)),"CODE NOT FOUND"))</f>
        <v/>
      </c>
      <c r="E2025" s="7"/>
      <c r="F2025" s="13"/>
      <c r="G2025" s="13"/>
      <c r="H2025" s="17" t="str">
        <f aca="false">IF(OR(E2025="",F2025=""),"",E2025*F2025)</f>
        <v/>
      </c>
      <c r="I2025" s="17" t="str">
        <f aca="false">IF(OR(E2025="",G2025=""),"",E2025*G2025)</f>
        <v/>
      </c>
      <c r="J2025" s="17" t="str">
        <f aca="false">IF(H2025="","",H2025-I2025)</f>
        <v/>
      </c>
    </row>
    <row r="2026" customFormat="false" ht="15" hidden="false" customHeight="true" outlineLevel="0" collapsed="false">
      <c r="A2026" s="7"/>
      <c r="B2026" s="18" t="str">
        <f aca="false">IF(A2026="","",IFERROR(INDEX(Sales_Memo!$B$2:$B$1001,MATCH(A2026,Sales_Memo!$A$2:$A$1001,0)),""))</f>
        <v/>
      </c>
      <c r="C2026" s="7"/>
      <c r="D2026" s="16" t="str">
        <f aca="false">IF(C2026="","",IFERROR(INDEX(Products!$B$2:$B$501,MATCH(C2026,Products!$A$2:$A$501,0)),"CODE NOT FOUND"))</f>
        <v/>
      </c>
      <c r="E2026" s="7"/>
      <c r="F2026" s="13"/>
      <c r="G2026" s="13"/>
      <c r="H2026" s="17" t="str">
        <f aca="false">IF(OR(E2026="",F2026=""),"",E2026*F2026)</f>
        <v/>
      </c>
      <c r="I2026" s="17" t="str">
        <f aca="false">IF(OR(E2026="",G2026=""),"",E2026*G2026)</f>
        <v/>
      </c>
      <c r="J2026" s="17" t="str">
        <f aca="false">IF(H2026="","",H2026-I2026)</f>
        <v/>
      </c>
    </row>
    <row r="2027" customFormat="false" ht="15" hidden="false" customHeight="true" outlineLevel="0" collapsed="false">
      <c r="A2027" s="7"/>
      <c r="B2027" s="18" t="str">
        <f aca="false">IF(A2027="","",IFERROR(INDEX(Sales_Memo!$B$2:$B$1001,MATCH(A2027,Sales_Memo!$A$2:$A$1001,0)),""))</f>
        <v/>
      </c>
      <c r="C2027" s="7"/>
      <c r="D2027" s="16" t="str">
        <f aca="false">IF(C2027="","",IFERROR(INDEX(Products!$B$2:$B$501,MATCH(C2027,Products!$A$2:$A$501,0)),"CODE NOT FOUND"))</f>
        <v/>
      </c>
      <c r="E2027" s="7"/>
      <c r="F2027" s="13"/>
      <c r="G2027" s="13"/>
      <c r="H2027" s="17" t="str">
        <f aca="false">IF(OR(E2027="",F2027=""),"",E2027*F2027)</f>
        <v/>
      </c>
      <c r="I2027" s="17" t="str">
        <f aca="false">IF(OR(E2027="",G2027=""),"",E2027*G2027)</f>
        <v/>
      </c>
      <c r="J2027" s="17" t="str">
        <f aca="false">IF(H2027="","",H2027-I2027)</f>
        <v/>
      </c>
    </row>
    <row r="2028" customFormat="false" ht="15" hidden="false" customHeight="true" outlineLevel="0" collapsed="false">
      <c r="A2028" s="7"/>
      <c r="B2028" s="18" t="str">
        <f aca="false">IF(A2028="","",IFERROR(INDEX(Sales_Memo!$B$2:$B$1001,MATCH(A2028,Sales_Memo!$A$2:$A$1001,0)),""))</f>
        <v/>
      </c>
      <c r="C2028" s="7"/>
      <c r="D2028" s="16" t="str">
        <f aca="false">IF(C2028="","",IFERROR(INDEX(Products!$B$2:$B$501,MATCH(C2028,Products!$A$2:$A$501,0)),"CODE NOT FOUND"))</f>
        <v/>
      </c>
      <c r="E2028" s="7"/>
      <c r="F2028" s="13"/>
      <c r="G2028" s="13"/>
      <c r="H2028" s="17" t="str">
        <f aca="false">IF(OR(E2028="",F2028=""),"",E2028*F2028)</f>
        <v/>
      </c>
      <c r="I2028" s="17" t="str">
        <f aca="false">IF(OR(E2028="",G2028=""),"",E2028*G2028)</f>
        <v/>
      </c>
      <c r="J2028" s="17" t="str">
        <f aca="false">IF(H2028="","",H2028-I2028)</f>
        <v/>
      </c>
    </row>
    <row r="2029" customFormat="false" ht="15" hidden="false" customHeight="true" outlineLevel="0" collapsed="false">
      <c r="A2029" s="7"/>
      <c r="B2029" s="18" t="str">
        <f aca="false">IF(A2029="","",IFERROR(INDEX(Sales_Memo!$B$2:$B$1001,MATCH(A2029,Sales_Memo!$A$2:$A$1001,0)),""))</f>
        <v/>
      </c>
      <c r="C2029" s="7"/>
      <c r="D2029" s="16" t="str">
        <f aca="false">IF(C2029="","",IFERROR(INDEX(Products!$B$2:$B$501,MATCH(C2029,Products!$A$2:$A$501,0)),"CODE NOT FOUND"))</f>
        <v/>
      </c>
      <c r="E2029" s="7"/>
      <c r="F2029" s="13"/>
      <c r="G2029" s="13"/>
      <c r="H2029" s="17" t="str">
        <f aca="false">IF(OR(E2029="",F2029=""),"",E2029*F2029)</f>
        <v/>
      </c>
      <c r="I2029" s="17" t="str">
        <f aca="false">IF(OR(E2029="",G2029=""),"",E2029*G2029)</f>
        <v/>
      </c>
      <c r="J2029" s="17" t="str">
        <f aca="false">IF(H2029="","",H2029-I2029)</f>
        <v/>
      </c>
    </row>
    <row r="2030" customFormat="false" ht="15" hidden="false" customHeight="true" outlineLevel="0" collapsed="false">
      <c r="A2030" s="7"/>
      <c r="B2030" s="18" t="str">
        <f aca="false">IF(A2030="","",IFERROR(INDEX(Sales_Memo!$B$2:$B$1001,MATCH(A2030,Sales_Memo!$A$2:$A$1001,0)),""))</f>
        <v/>
      </c>
      <c r="C2030" s="7"/>
      <c r="D2030" s="16" t="str">
        <f aca="false">IF(C2030="","",IFERROR(INDEX(Products!$B$2:$B$501,MATCH(C2030,Products!$A$2:$A$501,0)),"CODE NOT FOUND"))</f>
        <v/>
      </c>
      <c r="E2030" s="7"/>
      <c r="F2030" s="13"/>
      <c r="G2030" s="13"/>
      <c r="H2030" s="17" t="str">
        <f aca="false">IF(OR(E2030="",F2030=""),"",E2030*F2030)</f>
        <v/>
      </c>
      <c r="I2030" s="17" t="str">
        <f aca="false">IF(OR(E2030="",G2030=""),"",E2030*G2030)</f>
        <v/>
      </c>
      <c r="J2030" s="17" t="str">
        <f aca="false">IF(H2030="","",H2030-I2030)</f>
        <v/>
      </c>
    </row>
    <row r="2031" customFormat="false" ht="15" hidden="false" customHeight="true" outlineLevel="0" collapsed="false">
      <c r="A2031" s="7"/>
      <c r="B2031" s="18" t="str">
        <f aca="false">IF(A2031="","",IFERROR(INDEX(Sales_Memo!$B$2:$B$1001,MATCH(A2031,Sales_Memo!$A$2:$A$1001,0)),""))</f>
        <v/>
      </c>
      <c r="C2031" s="7"/>
      <c r="D2031" s="16" t="str">
        <f aca="false">IF(C2031="","",IFERROR(INDEX(Products!$B$2:$B$501,MATCH(C2031,Products!$A$2:$A$501,0)),"CODE NOT FOUND"))</f>
        <v/>
      </c>
      <c r="E2031" s="7"/>
      <c r="F2031" s="13"/>
      <c r="G2031" s="13"/>
      <c r="H2031" s="17" t="str">
        <f aca="false">IF(OR(E2031="",F2031=""),"",E2031*F2031)</f>
        <v/>
      </c>
      <c r="I2031" s="17" t="str">
        <f aca="false">IF(OR(E2031="",G2031=""),"",E2031*G2031)</f>
        <v/>
      </c>
      <c r="J2031" s="17" t="str">
        <f aca="false">IF(H2031="","",H2031-I2031)</f>
        <v/>
      </c>
    </row>
    <row r="2032" customFormat="false" ht="15" hidden="false" customHeight="true" outlineLevel="0" collapsed="false">
      <c r="A2032" s="7"/>
      <c r="B2032" s="18" t="str">
        <f aca="false">IF(A2032="","",IFERROR(INDEX(Sales_Memo!$B$2:$B$1001,MATCH(A2032,Sales_Memo!$A$2:$A$1001,0)),""))</f>
        <v/>
      </c>
      <c r="C2032" s="7"/>
      <c r="D2032" s="16" t="str">
        <f aca="false">IF(C2032="","",IFERROR(INDEX(Products!$B$2:$B$501,MATCH(C2032,Products!$A$2:$A$501,0)),"CODE NOT FOUND"))</f>
        <v/>
      </c>
      <c r="E2032" s="7"/>
      <c r="F2032" s="13"/>
      <c r="G2032" s="13"/>
      <c r="H2032" s="17" t="str">
        <f aca="false">IF(OR(E2032="",F2032=""),"",E2032*F2032)</f>
        <v/>
      </c>
      <c r="I2032" s="17" t="str">
        <f aca="false">IF(OR(E2032="",G2032=""),"",E2032*G2032)</f>
        <v/>
      </c>
      <c r="J2032" s="17" t="str">
        <f aca="false">IF(H2032="","",H2032-I2032)</f>
        <v/>
      </c>
    </row>
    <row r="2033" customFormat="false" ht="15" hidden="false" customHeight="true" outlineLevel="0" collapsed="false">
      <c r="A2033" s="7"/>
      <c r="B2033" s="18" t="str">
        <f aca="false">IF(A2033="","",IFERROR(INDEX(Sales_Memo!$B$2:$B$1001,MATCH(A2033,Sales_Memo!$A$2:$A$1001,0)),""))</f>
        <v/>
      </c>
      <c r="C2033" s="7"/>
      <c r="D2033" s="16" t="str">
        <f aca="false">IF(C2033="","",IFERROR(INDEX(Products!$B$2:$B$501,MATCH(C2033,Products!$A$2:$A$501,0)),"CODE NOT FOUND"))</f>
        <v/>
      </c>
      <c r="E2033" s="7"/>
      <c r="F2033" s="13"/>
      <c r="G2033" s="13"/>
      <c r="H2033" s="17" t="str">
        <f aca="false">IF(OR(E2033="",F2033=""),"",E2033*F2033)</f>
        <v/>
      </c>
      <c r="I2033" s="17" t="str">
        <f aca="false">IF(OR(E2033="",G2033=""),"",E2033*G2033)</f>
        <v/>
      </c>
      <c r="J2033" s="17" t="str">
        <f aca="false">IF(H2033="","",H2033-I2033)</f>
        <v/>
      </c>
    </row>
    <row r="2034" customFormat="false" ht="15" hidden="false" customHeight="true" outlineLevel="0" collapsed="false">
      <c r="A2034" s="7"/>
      <c r="B2034" s="18" t="str">
        <f aca="false">IF(A2034="","",IFERROR(INDEX(Sales_Memo!$B$2:$B$1001,MATCH(A2034,Sales_Memo!$A$2:$A$1001,0)),""))</f>
        <v/>
      </c>
      <c r="C2034" s="7"/>
      <c r="D2034" s="16" t="str">
        <f aca="false">IF(C2034="","",IFERROR(INDEX(Products!$B$2:$B$501,MATCH(C2034,Products!$A$2:$A$501,0)),"CODE NOT FOUND"))</f>
        <v/>
      </c>
      <c r="E2034" s="7"/>
      <c r="F2034" s="13"/>
      <c r="G2034" s="13"/>
      <c r="H2034" s="17" t="str">
        <f aca="false">IF(OR(E2034="",F2034=""),"",E2034*F2034)</f>
        <v/>
      </c>
      <c r="I2034" s="17" t="str">
        <f aca="false">IF(OR(E2034="",G2034=""),"",E2034*G2034)</f>
        <v/>
      </c>
      <c r="J2034" s="17" t="str">
        <f aca="false">IF(H2034="","",H2034-I2034)</f>
        <v/>
      </c>
    </row>
    <row r="2035" customFormat="false" ht="15" hidden="false" customHeight="true" outlineLevel="0" collapsed="false">
      <c r="A2035" s="7"/>
      <c r="B2035" s="18" t="str">
        <f aca="false">IF(A2035="","",IFERROR(INDEX(Sales_Memo!$B$2:$B$1001,MATCH(A2035,Sales_Memo!$A$2:$A$1001,0)),""))</f>
        <v/>
      </c>
      <c r="C2035" s="7"/>
      <c r="D2035" s="16" t="str">
        <f aca="false">IF(C2035="","",IFERROR(INDEX(Products!$B$2:$B$501,MATCH(C2035,Products!$A$2:$A$501,0)),"CODE NOT FOUND"))</f>
        <v/>
      </c>
      <c r="E2035" s="7"/>
      <c r="F2035" s="13"/>
      <c r="G2035" s="13"/>
      <c r="H2035" s="17" t="str">
        <f aca="false">IF(OR(E2035="",F2035=""),"",E2035*F2035)</f>
        <v/>
      </c>
      <c r="I2035" s="17" t="str">
        <f aca="false">IF(OR(E2035="",G2035=""),"",E2035*G2035)</f>
        <v/>
      </c>
      <c r="J2035" s="17" t="str">
        <f aca="false">IF(H2035="","",H2035-I2035)</f>
        <v/>
      </c>
    </row>
    <row r="2036" customFormat="false" ht="15" hidden="false" customHeight="true" outlineLevel="0" collapsed="false">
      <c r="A2036" s="7"/>
      <c r="B2036" s="18" t="str">
        <f aca="false">IF(A2036="","",IFERROR(INDEX(Sales_Memo!$B$2:$B$1001,MATCH(A2036,Sales_Memo!$A$2:$A$1001,0)),""))</f>
        <v/>
      </c>
      <c r="C2036" s="7"/>
      <c r="D2036" s="16" t="str">
        <f aca="false">IF(C2036="","",IFERROR(INDEX(Products!$B$2:$B$501,MATCH(C2036,Products!$A$2:$A$501,0)),"CODE NOT FOUND"))</f>
        <v/>
      </c>
      <c r="E2036" s="7"/>
      <c r="F2036" s="13"/>
      <c r="G2036" s="13"/>
      <c r="H2036" s="17" t="str">
        <f aca="false">IF(OR(E2036="",F2036=""),"",E2036*F2036)</f>
        <v/>
      </c>
      <c r="I2036" s="17" t="str">
        <f aca="false">IF(OR(E2036="",G2036=""),"",E2036*G2036)</f>
        <v/>
      </c>
      <c r="J2036" s="17" t="str">
        <f aca="false">IF(H2036="","",H2036-I2036)</f>
        <v/>
      </c>
    </row>
    <row r="2037" customFormat="false" ht="15" hidden="false" customHeight="true" outlineLevel="0" collapsed="false">
      <c r="A2037" s="7"/>
      <c r="B2037" s="18" t="str">
        <f aca="false">IF(A2037="","",IFERROR(INDEX(Sales_Memo!$B$2:$B$1001,MATCH(A2037,Sales_Memo!$A$2:$A$1001,0)),""))</f>
        <v/>
      </c>
      <c r="C2037" s="7"/>
      <c r="D2037" s="16" t="str">
        <f aca="false">IF(C2037="","",IFERROR(INDEX(Products!$B$2:$B$501,MATCH(C2037,Products!$A$2:$A$501,0)),"CODE NOT FOUND"))</f>
        <v/>
      </c>
      <c r="E2037" s="7"/>
      <c r="F2037" s="13"/>
      <c r="G2037" s="13"/>
      <c r="H2037" s="17" t="str">
        <f aca="false">IF(OR(E2037="",F2037=""),"",E2037*F2037)</f>
        <v/>
      </c>
      <c r="I2037" s="17" t="str">
        <f aca="false">IF(OR(E2037="",G2037=""),"",E2037*G2037)</f>
        <v/>
      </c>
      <c r="J2037" s="17" t="str">
        <f aca="false">IF(H2037="","",H2037-I2037)</f>
        <v/>
      </c>
    </row>
    <row r="2038" customFormat="false" ht="15" hidden="false" customHeight="true" outlineLevel="0" collapsed="false">
      <c r="A2038" s="7"/>
      <c r="B2038" s="18" t="str">
        <f aca="false">IF(A2038="","",IFERROR(INDEX(Sales_Memo!$B$2:$B$1001,MATCH(A2038,Sales_Memo!$A$2:$A$1001,0)),""))</f>
        <v/>
      </c>
      <c r="C2038" s="7"/>
      <c r="D2038" s="16" t="str">
        <f aca="false">IF(C2038="","",IFERROR(INDEX(Products!$B$2:$B$501,MATCH(C2038,Products!$A$2:$A$501,0)),"CODE NOT FOUND"))</f>
        <v/>
      </c>
      <c r="E2038" s="7"/>
      <c r="F2038" s="13"/>
      <c r="G2038" s="13"/>
      <c r="H2038" s="17" t="str">
        <f aca="false">IF(OR(E2038="",F2038=""),"",E2038*F2038)</f>
        <v/>
      </c>
      <c r="I2038" s="17" t="str">
        <f aca="false">IF(OR(E2038="",G2038=""),"",E2038*G2038)</f>
        <v/>
      </c>
      <c r="J2038" s="17" t="str">
        <f aca="false">IF(H2038="","",H2038-I2038)</f>
        <v/>
      </c>
    </row>
    <row r="2039" customFormat="false" ht="15" hidden="false" customHeight="true" outlineLevel="0" collapsed="false">
      <c r="A2039" s="7"/>
      <c r="B2039" s="18" t="str">
        <f aca="false">IF(A2039="","",IFERROR(INDEX(Sales_Memo!$B$2:$B$1001,MATCH(A2039,Sales_Memo!$A$2:$A$1001,0)),""))</f>
        <v/>
      </c>
      <c r="C2039" s="7"/>
      <c r="D2039" s="16" t="str">
        <f aca="false">IF(C2039="","",IFERROR(INDEX(Products!$B$2:$B$501,MATCH(C2039,Products!$A$2:$A$501,0)),"CODE NOT FOUND"))</f>
        <v/>
      </c>
      <c r="E2039" s="7"/>
      <c r="F2039" s="13"/>
      <c r="G2039" s="13"/>
      <c r="H2039" s="17" t="str">
        <f aca="false">IF(OR(E2039="",F2039=""),"",E2039*F2039)</f>
        <v/>
      </c>
      <c r="I2039" s="17" t="str">
        <f aca="false">IF(OR(E2039="",G2039=""),"",E2039*G2039)</f>
        <v/>
      </c>
      <c r="J2039" s="17" t="str">
        <f aca="false">IF(H2039="","",H2039-I2039)</f>
        <v/>
      </c>
    </row>
    <row r="2040" customFormat="false" ht="15" hidden="false" customHeight="true" outlineLevel="0" collapsed="false">
      <c r="A2040" s="7"/>
      <c r="B2040" s="18" t="str">
        <f aca="false">IF(A2040="","",IFERROR(INDEX(Sales_Memo!$B$2:$B$1001,MATCH(A2040,Sales_Memo!$A$2:$A$1001,0)),""))</f>
        <v/>
      </c>
      <c r="C2040" s="7"/>
      <c r="D2040" s="16" t="str">
        <f aca="false">IF(C2040="","",IFERROR(INDEX(Products!$B$2:$B$501,MATCH(C2040,Products!$A$2:$A$501,0)),"CODE NOT FOUND"))</f>
        <v/>
      </c>
      <c r="E2040" s="7"/>
      <c r="F2040" s="13"/>
      <c r="G2040" s="13"/>
      <c r="H2040" s="17" t="str">
        <f aca="false">IF(OR(E2040="",F2040=""),"",E2040*F2040)</f>
        <v/>
      </c>
      <c r="I2040" s="17" t="str">
        <f aca="false">IF(OR(E2040="",G2040=""),"",E2040*G2040)</f>
        <v/>
      </c>
      <c r="J2040" s="17" t="str">
        <f aca="false">IF(H2040="","",H2040-I2040)</f>
        <v/>
      </c>
    </row>
    <row r="2041" customFormat="false" ht="15" hidden="false" customHeight="true" outlineLevel="0" collapsed="false">
      <c r="A2041" s="7"/>
      <c r="B2041" s="18" t="str">
        <f aca="false">IF(A2041="","",IFERROR(INDEX(Sales_Memo!$B$2:$B$1001,MATCH(A2041,Sales_Memo!$A$2:$A$1001,0)),""))</f>
        <v/>
      </c>
      <c r="C2041" s="7"/>
      <c r="D2041" s="16" t="str">
        <f aca="false">IF(C2041="","",IFERROR(INDEX(Products!$B$2:$B$501,MATCH(C2041,Products!$A$2:$A$501,0)),"CODE NOT FOUND"))</f>
        <v/>
      </c>
      <c r="E2041" s="7"/>
      <c r="F2041" s="13"/>
      <c r="G2041" s="13"/>
      <c r="H2041" s="17" t="str">
        <f aca="false">IF(OR(E2041="",F2041=""),"",E2041*F2041)</f>
        <v/>
      </c>
      <c r="I2041" s="17" t="str">
        <f aca="false">IF(OR(E2041="",G2041=""),"",E2041*G2041)</f>
        <v/>
      </c>
      <c r="J2041" s="17" t="str">
        <f aca="false">IF(H2041="","",H2041-I2041)</f>
        <v/>
      </c>
    </row>
    <row r="2042" customFormat="false" ht="15" hidden="false" customHeight="true" outlineLevel="0" collapsed="false">
      <c r="A2042" s="7"/>
      <c r="B2042" s="18" t="str">
        <f aca="false">IF(A2042="","",IFERROR(INDEX(Sales_Memo!$B$2:$B$1001,MATCH(A2042,Sales_Memo!$A$2:$A$1001,0)),""))</f>
        <v/>
      </c>
      <c r="C2042" s="7"/>
      <c r="D2042" s="16" t="str">
        <f aca="false">IF(C2042="","",IFERROR(INDEX(Products!$B$2:$B$501,MATCH(C2042,Products!$A$2:$A$501,0)),"CODE NOT FOUND"))</f>
        <v/>
      </c>
      <c r="E2042" s="7"/>
      <c r="F2042" s="13"/>
      <c r="G2042" s="13"/>
      <c r="H2042" s="17" t="str">
        <f aca="false">IF(OR(E2042="",F2042=""),"",E2042*F2042)</f>
        <v/>
      </c>
      <c r="I2042" s="17" t="str">
        <f aca="false">IF(OR(E2042="",G2042=""),"",E2042*G2042)</f>
        <v/>
      </c>
      <c r="J2042" s="17" t="str">
        <f aca="false">IF(H2042="","",H2042-I2042)</f>
        <v/>
      </c>
    </row>
    <row r="2043" customFormat="false" ht="15" hidden="false" customHeight="true" outlineLevel="0" collapsed="false">
      <c r="A2043" s="7"/>
      <c r="B2043" s="18" t="str">
        <f aca="false">IF(A2043="","",IFERROR(INDEX(Sales_Memo!$B$2:$B$1001,MATCH(A2043,Sales_Memo!$A$2:$A$1001,0)),""))</f>
        <v/>
      </c>
      <c r="C2043" s="7"/>
      <c r="D2043" s="16" t="str">
        <f aca="false">IF(C2043="","",IFERROR(INDEX(Products!$B$2:$B$501,MATCH(C2043,Products!$A$2:$A$501,0)),"CODE NOT FOUND"))</f>
        <v/>
      </c>
      <c r="E2043" s="7"/>
      <c r="F2043" s="13"/>
      <c r="G2043" s="13"/>
      <c r="H2043" s="17" t="str">
        <f aca="false">IF(OR(E2043="",F2043=""),"",E2043*F2043)</f>
        <v/>
      </c>
      <c r="I2043" s="17" t="str">
        <f aca="false">IF(OR(E2043="",G2043=""),"",E2043*G2043)</f>
        <v/>
      </c>
      <c r="J2043" s="17" t="str">
        <f aca="false">IF(H2043="","",H2043-I2043)</f>
        <v/>
      </c>
    </row>
    <row r="2044" customFormat="false" ht="15" hidden="false" customHeight="true" outlineLevel="0" collapsed="false">
      <c r="A2044" s="7"/>
      <c r="B2044" s="18" t="str">
        <f aca="false">IF(A2044="","",IFERROR(INDEX(Sales_Memo!$B$2:$B$1001,MATCH(A2044,Sales_Memo!$A$2:$A$1001,0)),""))</f>
        <v/>
      </c>
      <c r="C2044" s="7"/>
      <c r="D2044" s="16" t="str">
        <f aca="false">IF(C2044="","",IFERROR(INDEX(Products!$B$2:$B$501,MATCH(C2044,Products!$A$2:$A$501,0)),"CODE NOT FOUND"))</f>
        <v/>
      </c>
      <c r="E2044" s="7"/>
      <c r="F2044" s="13"/>
      <c r="G2044" s="13"/>
      <c r="H2044" s="17" t="str">
        <f aca="false">IF(OR(E2044="",F2044=""),"",E2044*F2044)</f>
        <v/>
      </c>
      <c r="I2044" s="17" t="str">
        <f aca="false">IF(OR(E2044="",G2044=""),"",E2044*G2044)</f>
        <v/>
      </c>
      <c r="J2044" s="17" t="str">
        <f aca="false">IF(H2044="","",H2044-I2044)</f>
        <v/>
      </c>
    </row>
    <row r="2045" customFormat="false" ht="15" hidden="false" customHeight="true" outlineLevel="0" collapsed="false">
      <c r="A2045" s="7"/>
      <c r="B2045" s="18" t="str">
        <f aca="false">IF(A2045="","",IFERROR(INDEX(Sales_Memo!$B$2:$B$1001,MATCH(A2045,Sales_Memo!$A$2:$A$1001,0)),""))</f>
        <v/>
      </c>
      <c r="C2045" s="7"/>
      <c r="D2045" s="16" t="str">
        <f aca="false">IF(C2045="","",IFERROR(INDEX(Products!$B$2:$B$501,MATCH(C2045,Products!$A$2:$A$501,0)),"CODE NOT FOUND"))</f>
        <v/>
      </c>
      <c r="E2045" s="7"/>
      <c r="F2045" s="13"/>
      <c r="G2045" s="13"/>
      <c r="H2045" s="17" t="str">
        <f aca="false">IF(OR(E2045="",F2045=""),"",E2045*F2045)</f>
        <v/>
      </c>
      <c r="I2045" s="17" t="str">
        <f aca="false">IF(OR(E2045="",G2045=""),"",E2045*G2045)</f>
        <v/>
      </c>
      <c r="J2045" s="17" t="str">
        <f aca="false">IF(H2045="","",H2045-I2045)</f>
        <v/>
      </c>
    </row>
    <row r="2046" customFormat="false" ht="15" hidden="false" customHeight="true" outlineLevel="0" collapsed="false">
      <c r="A2046" s="7"/>
      <c r="B2046" s="18" t="str">
        <f aca="false">IF(A2046="","",IFERROR(INDEX(Sales_Memo!$B$2:$B$1001,MATCH(A2046,Sales_Memo!$A$2:$A$1001,0)),""))</f>
        <v/>
      </c>
      <c r="C2046" s="7"/>
      <c r="D2046" s="16" t="str">
        <f aca="false">IF(C2046="","",IFERROR(INDEX(Products!$B$2:$B$501,MATCH(C2046,Products!$A$2:$A$501,0)),"CODE NOT FOUND"))</f>
        <v/>
      </c>
      <c r="E2046" s="7"/>
      <c r="F2046" s="13"/>
      <c r="G2046" s="13"/>
      <c r="H2046" s="17" t="str">
        <f aca="false">IF(OR(E2046="",F2046=""),"",E2046*F2046)</f>
        <v/>
      </c>
      <c r="I2046" s="17" t="str">
        <f aca="false">IF(OR(E2046="",G2046=""),"",E2046*G2046)</f>
        <v/>
      </c>
      <c r="J2046" s="17" t="str">
        <f aca="false">IF(H2046="","",H2046-I2046)</f>
        <v/>
      </c>
    </row>
    <row r="2047" customFormat="false" ht="15" hidden="false" customHeight="true" outlineLevel="0" collapsed="false">
      <c r="A2047" s="7"/>
      <c r="B2047" s="18" t="str">
        <f aca="false">IF(A2047="","",IFERROR(INDEX(Sales_Memo!$B$2:$B$1001,MATCH(A2047,Sales_Memo!$A$2:$A$1001,0)),""))</f>
        <v/>
      </c>
      <c r="C2047" s="7"/>
      <c r="D2047" s="16" t="str">
        <f aca="false">IF(C2047="","",IFERROR(INDEX(Products!$B$2:$B$501,MATCH(C2047,Products!$A$2:$A$501,0)),"CODE NOT FOUND"))</f>
        <v/>
      </c>
      <c r="E2047" s="7"/>
      <c r="F2047" s="13"/>
      <c r="G2047" s="13"/>
      <c r="H2047" s="17" t="str">
        <f aca="false">IF(OR(E2047="",F2047=""),"",E2047*F2047)</f>
        <v/>
      </c>
      <c r="I2047" s="17" t="str">
        <f aca="false">IF(OR(E2047="",G2047=""),"",E2047*G2047)</f>
        <v/>
      </c>
      <c r="J2047" s="17" t="str">
        <f aca="false">IF(H2047="","",H2047-I2047)</f>
        <v/>
      </c>
    </row>
    <row r="2048" customFormat="false" ht="15" hidden="false" customHeight="true" outlineLevel="0" collapsed="false">
      <c r="A2048" s="7"/>
      <c r="B2048" s="18" t="str">
        <f aca="false">IF(A2048="","",IFERROR(INDEX(Sales_Memo!$B$2:$B$1001,MATCH(A2048,Sales_Memo!$A$2:$A$1001,0)),""))</f>
        <v/>
      </c>
      <c r="C2048" s="7"/>
      <c r="D2048" s="16" t="str">
        <f aca="false">IF(C2048="","",IFERROR(INDEX(Products!$B$2:$B$501,MATCH(C2048,Products!$A$2:$A$501,0)),"CODE NOT FOUND"))</f>
        <v/>
      </c>
      <c r="E2048" s="7"/>
      <c r="F2048" s="13"/>
      <c r="G2048" s="13"/>
      <c r="H2048" s="17" t="str">
        <f aca="false">IF(OR(E2048="",F2048=""),"",E2048*F2048)</f>
        <v/>
      </c>
      <c r="I2048" s="17" t="str">
        <f aca="false">IF(OR(E2048="",G2048=""),"",E2048*G2048)</f>
        <v/>
      </c>
      <c r="J2048" s="17" t="str">
        <f aca="false">IF(H2048="","",H2048-I2048)</f>
        <v/>
      </c>
    </row>
    <row r="2049" customFormat="false" ht="15" hidden="false" customHeight="true" outlineLevel="0" collapsed="false">
      <c r="A2049" s="7"/>
      <c r="B2049" s="18" t="str">
        <f aca="false">IF(A2049="","",IFERROR(INDEX(Sales_Memo!$B$2:$B$1001,MATCH(A2049,Sales_Memo!$A$2:$A$1001,0)),""))</f>
        <v/>
      </c>
      <c r="C2049" s="7"/>
      <c r="D2049" s="16" t="str">
        <f aca="false">IF(C2049="","",IFERROR(INDEX(Products!$B$2:$B$501,MATCH(C2049,Products!$A$2:$A$501,0)),"CODE NOT FOUND"))</f>
        <v/>
      </c>
      <c r="E2049" s="7"/>
      <c r="F2049" s="13"/>
      <c r="G2049" s="13"/>
      <c r="H2049" s="17" t="str">
        <f aca="false">IF(OR(E2049="",F2049=""),"",E2049*F2049)</f>
        <v/>
      </c>
      <c r="I2049" s="17" t="str">
        <f aca="false">IF(OR(E2049="",G2049=""),"",E2049*G2049)</f>
        <v/>
      </c>
      <c r="J2049" s="17" t="str">
        <f aca="false">IF(H2049="","",H2049-I2049)</f>
        <v/>
      </c>
    </row>
    <row r="2050" customFormat="false" ht="15" hidden="false" customHeight="true" outlineLevel="0" collapsed="false">
      <c r="A2050" s="7"/>
      <c r="B2050" s="18" t="str">
        <f aca="false">IF(A2050="","",IFERROR(INDEX(Sales_Memo!$B$2:$B$1001,MATCH(A2050,Sales_Memo!$A$2:$A$1001,0)),""))</f>
        <v/>
      </c>
      <c r="C2050" s="7"/>
      <c r="D2050" s="16" t="str">
        <f aca="false">IF(C2050="","",IFERROR(INDEX(Products!$B$2:$B$501,MATCH(C2050,Products!$A$2:$A$501,0)),"CODE NOT FOUND"))</f>
        <v/>
      </c>
      <c r="E2050" s="7"/>
      <c r="F2050" s="13"/>
      <c r="G2050" s="13"/>
      <c r="H2050" s="17" t="str">
        <f aca="false">IF(OR(E2050="",F2050=""),"",E2050*F2050)</f>
        <v/>
      </c>
      <c r="I2050" s="17" t="str">
        <f aca="false">IF(OR(E2050="",G2050=""),"",E2050*G2050)</f>
        <v/>
      </c>
      <c r="J2050" s="17" t="str">
        <f aca="false">IF(H2050="","",H2050-I2050)</f>
        <v/>
      </c>
    </row>
    <row r="2051" customFormat="false" ht="15" hidden="false" customHeight="true" outlineLevel="0" collapsed="false">
      <c r="A2051" s="7"/>
      <c r="B2051" s="18" t="str">
        <f aca="false">IF(A2051="","",IFERROR(INDEX(Sales_Memo!$B$2:$B$1001,MATCH(A2051,Sales_Memo!$A$2:$A$1001,0)),""))</f>
        <v/>
      </c>
      <c r="C2051" s="7"/>
      <c r="D2051" s="16" t="str">
        <f aca="false">IF(C2051="","",IFERROR(INDEX(Products!$B$2:$B$501,MATCH(C2051,Products!$A$2:$A$501,0)),"CODE NOT FOUND"))</f>
        <v/>
      </c>
      <c r="E2051" s="7"/>
      <c r="F2051" s="13"/>
      <c r="G2051" s="13"/>
      <c r="H2051" s="17" t="str">
        <f aca="false">IF(OR(E2051="",F2051=""),"",E2051*F2051)</f>
        <v/>
      </c>
      <c r="I2051" s="17" t="str">
        <f aca="false">IF(OR(E2051="",G2051=""),"",E2051*G2051)</f>
        <v/>
      </c>
      <c r="J2051" s="17" t="str">
        <f aca="false">IF(H2051="","",H2051-I2051)</f>
        <v/>
      </c>
    </row>
    <row r="2052" customFormat="false" ht="15" hidden="false" customHeight="true" outlineLevel="0" collapsed="false">
      <c r="A2052" s="7"/>
      <c r="B2052" s="18" t="str">
        <f aca="false">IF(A2052="","",IFERROR(INDEX(Sales_Memo!$B$2:$B$1001,MATCH(A2052,Sales_Memo!$A$2:$A$1001,0)),""))</f>
        <v/>
      </c>
      <c r="C2052" s="7"/>
      <c r="D2052" s="16" t="str">
        <f aca="false">IF(C2052="","",IFERROR(INDEX(Products!$B$2:$B$501,MATCH(C2052,Products!$A$2:$A$501,0)),"CODE NOT FOUND"))</f>
        <v/>
      </c>
      <c r="E2052" s="7"/>
      <c r="F2052" s="13"/>
      <c r="G2052" s="13"/>
      <c r="H2052" s="17" t="str">
        <f aca="false">IF(OR(E2052="",F2052=""),"",E2052*F2052)</f>
        <v/>
      </c>
      <c r="I2052" s="17" t="str">
        <f aca="false">IF(OR(E2052="",G2052=""),"",E2052*G2052)</f>
        <v/>
      </c>
      <c r="J2052" s="17" t="str">
        <f aca="false">IF(H2052="","",H2052-I2052)</f>
        <v/>
      </c>
    </row>
    <row r="2053" customFormat="false" ht="15" hidden="false" customHeight="true" outlineLevel="0" collapsed="false">
      <c r="A2053" s="7"/>
      <c r="B2053" s="18" t="str">
        <f aca="false">IF(A2053="","",IFERROR(INDEX(Sales_Memo!$B$2:$B$1001,MATCH(A2053,Sales_Memo!$A$2:$A$1001,0)),""))</f>
        <v/>
      </c>
      <c r="C2053" s="7"/>
      <c r="D2053" s="16" t="str">
        <f aca="false">IF(C2053="","",IFERROR(INDEX(Products!$B$2:$B$501,MATCH(C2053,Products!$A$2:$A$501,0)),"CODE NOT FOUND"))</f>
        <v/>
      </c>
      <c r="E2053" s="7"/>
      <c r="F2053" s="13"/>
      <c r="G2053" s="13"/>
      <c r="H2053" s="17" t="str">
        <f aca="false">IF(OR(E2053="",F2053=""),"",E2053*F2053)</f>
        <v/>
      </c>
      <c r="I2053" s="17" t="str">
        <f aca="false">IF(OR(E2053="",G2053=""),"",E2053*G2053)</f>
        <v/>
      </c>
      <c r="J2053" s="17" t="str">
        <f aca="false">IF(H2053="","",H2053-I2053)</f>
        <v/>
      </c>
    </row>
    <row r="2054" customFormat="false" ht="15" hidden="false" customHeight="true" outlineLevel="0" collapsed="false">
      <c r="A2054" s="7"/>
      <c r="B2054" s="18" t="str">
        <f aca="false">IF(A2054="","",IFERROR(INDEX(Sales_Memo!$B$2:$B$1001,MATCH(A2054,Sales_Memo!$A$2:$A$1001,0)),""))</f>
        <v/>
      </c>
      <c r="C2054" s="7"/>
      <c r="D2054" s="16" t="str">
        <f aca="false">IF(C2054="","",IFERROR(INDEX(Products!$B$2:$B$501,MATCH(C2054,Products!$A$2:$A$501,0)),"CODE NOT FOUND"))</f>
        <v/>
      </c>
      <c r="E2054" s="7"/>
      <c r="F2054" s="13"/>
      <c r="G2054" s="13"/>
      <c r="H2054" s="17" t="str">
        <f aca="false">IF(OR(E2054="",F2054=""),"",E2054*F2054)</f>
        <v/>
      </c>
      <c r="I2054" s="17" t="str">
        <f aca="false">IF(OR(E2054="",G2054=""),"",E2054*G2054)</f>
        <v/>
      </c>
      <c r="J2054" s="17" t="str">
        <f aca="false">IF(H2054="","",H2054-I2054)</f>
        <v/>
      </c>
    </row>
    <row r="2055" customFormat="false" ht="15" hidden="false" customHeight="true" outlineLevel="0" collapsed="false">
      <c r="A2055" s="7"/>
      <c r="B2055" s="18" t="str">
        <f aca="false">IF(A2055="","",IFERROR(INDEX(Sales_Memo!$B$2:$B$1001,MATCH(A2055,Sales_Memo!$A$2:$A$1001,0)),""))</f>
        <v/>
      </c>
      <c r="C2055" s="7"/>
      <c r="D2055" s="16" t="str">
        <f aca="false">IF(C2055="","",IFERROR(INDEX(Products!$B$2:$B$501,MATCH(C2055,Products!$A$2:$A$501,0)),"CODE NOT FOUND"))</f>
        <v/>
      </c>
      <c r="E2055" s="7"/>
      <c r="F2055" s="13"/>
      <c r="G2055" s="13"/>
      <c r="H2055" s="17" t="str">
        <f aca="false">IF(OR(E2055="",F2055=""),"",E2055*F2055)</f>
        <v/>
      </c>
      <c r="I2055" s="17" t="str">
        <f aca="false">IF(OR(E2055="",G2055=""),"",E2055*G2055)</f>
        <v/>
      </c>
      <c r="J2055" s="17" t="str">
        <f aca="false">IF(H2055="","",H2055-I2055)</f>
        <v/>
      </c>
    </row>
    <row r="2056" customFormat="false" ht="15" hidden="false" customHeight="true" outlineLevel="0" collapsed="false">
      <c r="A2056" s="7"/>
      <c r="B2056" s="18" t="str">
        <f aca="false">IF(A2056="","",IFERROR(INDEX(Sales_Memo!$B$2:$B$1001,MATCH(A2056,Sales_Memo!$A$2:$A$1001,0)),""))</f>
        <v/>
      </c>
      <c r="C2056" s="7"/>
      <c r="D2056" s="16" t="str">
        <f aca="false">IF(C2056="","",IFERROR(INDEX(Products!$B$2:$B$501,MATCH(C2056,Products!$A$2:$A$501,0)),"CODE NOT FOUND"))</f>
        <v/>
      </c>
      <c r="E2056" s="7"/>
      <c r="F2056" s="13"/>
      <c r="G2056" s="13"/>
      <c r="H2056" s="17" t="str">
        <f aca="false">IF(OR(E2056="",F2056=""),"",E2056*F2056)</f>
        <v/>
      </c>
      <c r="I2056" s="17" t="str">
        <f aca="false">IF(OR(E2056="",G2056=""),"",E2056*G2056)</f>
        <v/>
      </c>
      <c r="J2056" s="17" t="str">
        <f aca="false">IF(H2056="","",H2056-I2056)</f>
        <v/>
      </c>
    </row>
    <row r="2057" customFormat="false" ht="15" hidden="false" customHeight="true" outlineLevel="0" collapsed="false">
      <c r="A2057" s="7"/>
      <c r="B2057" s="18" t="str">
        <f aca="false">IF(A2057="","",IFERROR(INDEX(Sales_Memo!$B$2:$B$1001,MATCH(A2057,Sales_Memo!$A$2:$A$1001,0)),""))</f>
        <v/>
      </c>
      <c r="C2057" s="7"/>
      <c r="D2057" s="16" t="str">
        <f aca="false">IF(C2057="","",IFERROR(INDEX(Products!$B$2:$B$501,MATCH(C2057,Products!$A$2:$A$501,0)),"CODE NOT FOUND"))</f>
        <v/>
      </c>
      <c r="E2057" s="7"/>
      <c r="F2057" s="13"/>
      <c r="G2057" s="13"/>
      <c r="H2057" s="17" t="str">
        <f aca="false">IF(OR(E2057="",F2057=""),"",E2057*F2057)</f>
        <v/>
      </c>
      <c r="I2057" s="17" t="str">
        <f aca="false">IF(OR(E2057="",G2057=""),"",E2057*G2057)</f>
        <v/>
      </c>
      <c r="J2057" s="17" t="str">
        <f aca="false">IF(H2057="","",H2057-I2057)</f>
        <v/>
      </c>
    </row>
    <row r="2058" customFormat="false" ht="15" hidden="false" customHeight="true" outlineLevel="0" collapsed="false">
      <c r="A2058" s="7"/>
      <c r="B2058" s="18" t="str">
        <f aca="false">IF(A2058="","",IFERROR(INDEX(Sales_Memo!$B$2:$B$1001,MATCH(A2058,Sales_Memo!$A$2:$A$1001,0)),""))</f>
        <v/>
      </c>
      <c r="C2058" s="7"/>
      <c r="D2058" s="16" t="str">
        <f aca="false">IF(C2058="","",IFERROR(INDEX(Products!$B$2:$B$501,MATCH(C2058,Products!$A$2:$A$501,0)),"CODE NOT FOUND"))</f>
        <v/>
      </c>
      <c r="E2058" s="7"/>
      <c r="F2058" s="13"/>
      <c r="G2058" s="13"/>
      <c r="H2058" s="17" t="str">
        <f aca="false">IF(OR(E2058="",F2058=""),"",E2058*F2058)</f>
        <v/>
      </c>
      <c r="I2058" s="17" t="str">
        <f aca="false">IF(OR(E2058="",G2058=""),"",E2058*G2058)</f>
        <v/>
      </c>
      <c r="J2058" s="17" t="str">
        <f aca="false">IF(H2058="","",H2058-I2058)</f>
        <v/>
      </c>
    </row>
    <row r="2059" customFormat="false" ht="15" hidden="false" customHeight="true" outlineLevel="0" collapsed="false">
      <c r="A2059" s="7"/>
      <c r="B2059" s="18" t="str">
        <f aca="false">IF(A2059="","",IFERROR(INDEX(Sales_Memo!$B$2:$B$1001,MATCH(A2059,Sales_Memo!$A$2:$A$1001,0)),""))</f>
        <v/>
      </c>
      <c r="C2059" s="7"/>
      <c r="D2059" s="16" t="str">
        <f aca="false">IF(C2059="","",IFERROR(INDEX(Products!$B$2:$B$501,MATCH(C2059,Products!$A$2:$A$501,0)),"CODE NOT FOUND"))</f>
        <v/>
      </c>
      <c r="E2059" s="7"/>
      <c r="F2059" s="13"/>
      <c r="G2059" s="13"/>
      <c r="H2059" s="17" t="str">
        <f aca="false">IF(OR(E2059="",F2059=""),"",E2059*F2059)</f>
        <v/>
      </c>
      <c r="I2059" s="17" t="str">
        <f aca="false">IF(OR(E2059="",G2059=""),"",E2059*G2059)</f>
        <v/>
      </c>
      <c r="J2059" s="17" t="str">
        <f aca="false">IF(H2059="","",H2059-I2059)</f>
        <v/>
      </c>
    </row>
    <row r="2060" customFormat="false" ht="15" hidden="false" customHeight="true" outlineLevel="0" collapsed="false">
      <c r="A2060" s="7"/>
      <c r="B2060" s="18" t="str">
        <f aca="false">IF(A2060="","",IFERROR(INDEX(Sales_Memo!$B$2:$B$1001,MATCH(A2060,Sales_Memo!$A$2:$A$1001,0)),""))</f>
        <v/>
      </c>
      <c r="C2060" s="7"/>
      <c r="D2060" s="16" t="str">
        <f aca="false">IF(C2060="","",IFERROR(INDEX(Products!$B$2:$B$501,MATCH(C2060,Products!$A$2:$A$501,0)),"CODE NOT FOUND"))</f>
        <v/>
      </c>
      <c r="E2060" s="7"/>
      <c r="F2060" s="13"/>
      <c r="G2060" s="13"/>
      <c r="H2060" s="17" t="str">
        <f aca="false">IF(OR(E2060="",F2060=""),"",E2060*F2060)</f>
        <v/>
      </c>
      <c r="I2060" s="17" t="str">
        <f aca="false">IF(OR(E2060="",G2060=""),"",E2060*G2060)</f>
        <v/>
      </c>
      <c r="J2060" s="17" t="str">
        <f aca="false">IF(H2060="","",H2060-I2060)</f>
        <v/>
      </c>
    </row>
    <row r="2061" customFormat="false" ht="15" hidden="false" customHeight="true" outlineLevel="0" collapsed="false">
      <c r="A2061" s="7"/>
      <c r="B2061" s="18" t="str">
        <f aca="false">IF(A2061="","",IFERROR(INDEX(Sales_Memo!$B$2:$B$1001,MATCH(A2061,Sales_Memo!$A$2:$A$1001,0)),""))</f>
        <v/>
      </c>
      <c r="C2061" s="7"/>
      <c r="D2061" s="16" t="str">
        <f aca="false">IF(C2061="","",IFERROR(INDEX(Products!$B$2:$B$501,MATCH(C2061,Products!$A$2:$A$501,0)),"CODE NOT FOUND"))</f>
        <v/>
      </c>
      <c r="E2061" s="7"/>
      <c r="F2061" s="13"/>
      <c r="G2061" s="13"/>
      <c r="H2061" s="17" t="str">
        <f aca="false">IF(OR(E2061="",F2061=""),"",E2061*F2061)</f>
        <v/>
      </c>
      <c r="I2061" s="17" t="str">
        <f aca="false">IF(OR(E2061="",G2061=""),"",E2061*G2061)</f>
        <v/>
      </c>
      <c r="J2061" s="17" t="str">
        <f aca="false">IF(H2061="","",H2061-I2061)</f>
        <v/>
      </c>
    </row>
    <row r="2062" customFormat="false" ht="15" hidden="false" customHeight="true" outlineLevel="0" collapsed="false">
      <c r="A2062" s="7"/>
      <c r="B2062" s="18" t="str">
        <f aca="false">IF(A2062="","",IFERROR(INDEX(Sales_Memo!$B$2:$B$1001,MATCH(A2062,Sales_Memo!$A$2:$A$1001,0)),""))</f>
        <v/>
      </c>
      <c r="C2062" s="7"/>
      <c r="D2062" s="16" t="str">
        <f aca="false">IF(C2062="","",IFERROR(INDEX(Products!$B$2:$B$501,MATCH(C2062,Products!$A$2:$A$501,0)),"CODE NOT FOUND"))</f>
        <v/>
      </c>
      <c r="E2062" s="7"/>
      <c r="F2062" s="13"/>
      <c r="G2062" s="13"/>
      <c r="H2062" s="17" t="str">
        <f aca="false">IF(OR(E2062="",F2062=""),"",E2062*F2062)</f>
        <v/>
      </c>
      <c r="I2062" s="17" t="str">
        <f aca="false">IF(OR(E2062="",G2062=""),"",E2062*G2062)</f>
        <v/>
      </c>
      <c r="J2062" s="17" t="str">
        <f aca="false">IF(H2062="","",H2062-I2062)</f>
        <v/>
      </c>
    </row>
    <row r="2063" customFormat="false" ht="15" hidden="false" customHeight="true" outlineLevel="0" collapsed="false">
      <c r="A2063" s="7"/>
      <c r="B2063" s="18" t="str">
        <f aca="false">IF(A2063="","",IFERROR(INDEX(Sales_Memo!$B$2:$B$1001,MATCH(A2063,Sales_Memo!$A$2:$A$1001,0)),""))</f>
        <v/>
      </c>
      <c r="C2063" s="7"/>
      <c r="D2063" s="16" t="str">
        <f aca="false">IF(C2063="","",IFERROR(INDEX(Products!$B$2:$B$501,MATCH(C2063,Products!$A$2:$A$501,0)),"CODE NOT FOUND"))</f>
        <v/>
      </c>
      <c r="E2063" s="7"/>
      <c r="F2063" s="13"/>
      <c r="G2063" s="13"/>
      <c r="H2063" s="17" t="str">
        <f aca="false">IF(OR(E2063="",F2063=""),"",E2063*F2063)</f>
        <v/>
      </c>
      <c r="I2063" s="17" t="str">
        <f aca="false">IF(OR(E2063="",G2063=""),"",E2063*G2063)</f>
        <v/>
      </c>
      <c r="J2063" s="17" t="str">
        <f aca="false">IF(H2063="","",H2063-I2063)</f>
        <v/>
      </c>
    </row>
    <row r="2064" customFormat="false" ht="15" hidden="false" customHeight="true" outlineLevel="0" collapsed="false">
      <c r="A2064" s="7"/>
      <c r="B2064" s="18" t="str">
        <f aca="false">IF(A2064="","",IFERROR(INDEX(Sales_Memo!$B$2:$B$1001,MATCH(A2064,Sales_Memo!$A$2:$A$1001,0)),""))</f>
        <v/>
      </c>
      <c r="C2064" s="7"/>
      <c r="D2064" s="16" t="str">
        <f aca="false">IF(C2064="","",IFERROR(INDEX(Products!$B$2:$B$501,MATCH(C2064,Products!$A$2:$A$501,0)),"CODE NOT FOUND"))</f>
        <v/>
      </c>
      <c r="E2064" s="7"/>
      <c r="F2064" s="13"/>
      <c r="G2064" s="13"/>
      <c r="H2064" s="17" t="str">
        <f aca="false">IF(OR(E2064="",F2064=""),"",E2064*F2064)</f>
        <v/>
      </c>
      <c r="I2064" s="17" t="str">
        <f aca="false">IF(OR(E2064="",G2064=""),"",E2064*G2064)</f>
        <v/>
      </c>
      <c r="J2064" s="17" t="str">
        <f aca="false">IF(H2064="","",H2064-I2064)</f>
        <v/>
      </c>
    </row>
    <row r="2065" customFormat="false" ht="15" hidden="false" customHeight="true" outlineLevel="0" collapsed="false">
      <c r="A2065" s="7"/>
      <c r="B2065" s="18" t="str">
        <f aca="false">IF(A2065="","",IFERROR(INDEX(Sales_Memo!$B$2:$B$1001,MATCH(A2065,Sales_Memo!$A$2:$A$1001,0)),""))</f>
        <v/>
      </c>
      <c r="C2065" s="7"/>
      <c r="D2065" s="16" t="str">
        <f aca="false">IF(C2065="","",IFERROR(INDEX(Products!$B$2:$B$501,MATCH(C2065,Products!$A$2:$A$501,0)),"CODE NOT FOUND"))</f>
        <v/>
      </c>
      <c r="E2065" s="7"/>
      <c r="F2065" s="13"/>
      <c r="G2065" s="13"/>
      <c r="H2065" s="17" t="str">
        <f aca="false">IF(OR(E2065="",F2065=""),"",E2065*F2065)</f>
        <v/>
      </c>
      <c r="I2065" s="17" t="str">
        <f aca="false">IF(OR(E2065="",G2065=""),"",E2065*G2065)</f>
        <v/>
      </c>
      <c r="J2065" s="17" t="str">
        <f aca="false">IF(H2065="","",H2065-I2065)</f>
        <v/>
      </c>
    </row>
    <row r="2066" customFormat="false" ht="15" hidden="false" customHeight="true" outlineLevel="0" collapsed="false">
      <c r="A2066" s="7"/>
      <c r="B2066" s="18" t="str">
        <f aca="false">IF(A2066="","",IFERROR(INDEX(Sales_Memo!$B$2:$B$1001,MATCH(A2066,Sales_Memo!$A$2:$A$1001,0)),""))</f>
        <v/>
      </c>
      <c r="C2066" s="7"/>
      <c r="D2066" s="16" t="str">
        <f aca="false">IF(C2066="","",IFERROR(INDEX(Products!$B$2:$B$501,MATCH(C2066,Products!$A$2:$A$501,0)),"CODE NOT FOUND"))</f>
        <v/>
      </c>
      <c r="E2066" s="7"/>
      <c r="F2066" s="13"/>
      <c r="G2066" s="13"/>
      <c r="H2066" s="17" t="str">
        <f aca="false">IF(OR(E2066="",F2066=""),"",E2066*F2066)</f>
        <v/>
      </c>
      <c r="I2066" s="17" t="str">
        <f aca="false">IF(OR(E2066="",G2066=""),"",E2066*G2066)</f>
        <v/>
      </c>
      <c r="J2066" s="17" t="str">
        <f aca="false">IF(H2066="","",H2066-I2066)</f>
        <v/>
      </c>
    </row>
    <row r="2067" customFormat="false" ht="15" hidden="false" customHeight="true" outlineLevel="0" collapsed="false">
      <c r="A2067" s="7"/>
      <c r="B2067" s="18" t="str">
        <f aca="false">IF(A2067="","",IFERROR(INDEX(Sales_Memo!$B$2:$B$1001,MATCH(A2067,Sales_Memo!$A$2:$A$1001,0)),""))</f>
        <v/>
      </c>
      <c r="C2067" s="7"/>
      <c r="D2067" s="16" t="str">
        <f aca="false">IF(C2067="","",IFERROR(INDEX(Products!$B$2:$B$501,MATCH(C2067,Products!$A$2:$A$501,0)),"CODE NOT FOUND"))</f>
        <v/>
      </c>
      <c r="E2067" s="7"/>
      <c r="F2067" s="13"/>
      <c r="G2067" s="13"/>
      <c r="H2067" s="17" t="str">
        <f aca="false">IF(OR(E2067="",F2067=""),"",E2067*F2067)</f>
        <v/>
      </c>
      <c r="I2067" s="17" t="str">
        <f aca="false">IF(OR(E2067="",G2067=""),"",E2067*G2067)</f>
        <v/>
      </c>
      <c r="J2067" s="17" t="str">
        <f aca="false">IF(H2067="","",H2067-I2067)</f>
        <v/>
      </c>
    </row>
    <row r="2068" customFormat="false" ht="15" hidden="false" customHeight="true" outlineLevel="0" collapsed="false">
      <c r="A2068" s="7"/>
      <c r="B2068" s="18" t="str">
        <f aca="false">IF(A2068="","",IFERROR(INDEX(Sales_Memo!$B$2:$B$1001,MATCH(A2068,Sales_Memo!$A$2:$A$1001,0)),""))</f>
        <v/>
      </c>
      <c r="C2068" s="7"/>
      <c r="D2068" s="16" t="str">
        <f aca="false">IF(C2068="","",IFERROR(INDEX(Products!$B$2:$B$501,MATCH(C2068,Products!$A$2:$A$501,0)),"CODE NOT FOUND"))</f>
        <v/>
      </c>
      <c r="E2068" s="7"/>
      <c r="F2068" s="13"/>
      <c r="G2068" s="13"/>
      <c r="H2068" s="17" t="str">
        <f aca="false">IF(OR(E2068="",F2068=""),"",E2068*F2068)</f>
        <v/>
      </c>
      <c r="I2068" s="17" t="str">
        <f aca="false">IF(OR(E2068="",G2068=""),"",E2068*G2068)</f>
        <v/>
      </c>
      <c r="J2068" s="17" t="str">
        <f aca="false">IF(H2068="","",H2068-I2068)</f>
        <v/>
      </c>
    </row>
    <row r="2069" customFormat="false" ht="15" hidden="false" customHeight="true" outlineLevel="0" collapsed="false">
      <c r="A2069" s="7"/>
      <c r="B2069" s="18" t="str">
        <f aca="false">IF(A2069="","",IFERROR(INDEX(Sales_Memo!$B$2:$B$1001,MATCH(A2069,Sales_Memo!$A$2:$A$1001,0)),""))</f>
        <v/>
      </c>
      <c r="C2069" s="7"/>
      <c r="D2069" s="16" t="str">
        <f aca="false">IF(C2069="","",IFERROR(INDEX(Products!$B$2:$B$501,MATCH(C2069,Products!$A$2:$A$501,0)),"CODE NOT FOUND"))</f>
        <v/>
      </c>
      <c r="E2069" s="7"/>
      <c r="F2069" s="13"/>
      <c r="G2069" s="13"/>
      <c r="H2069" s="17" t="str">
        <f aca="false">IF(OR(E2069="",F2069=""),"",E2069*F2069)</f>
        <v/>
      </c>
      <c r="I2069" s="17" t="str">
        <f aca="false">IF(OR(E2069="",G2069=""),"",E2069*G2069)</f>
        <v/>
      </c>
      <c r="J2069" s="17" t="str">
        <f aca="false">IF(H2069="","",H2069-I2069)</f>
        <v/>
      </c>
    </row>
    <row r="2070" customFormat="false" ht="15" hidden="false" customHeight="true" outlineLevel="0" collapsed="false">
      <c r="A2070" s="7"/>
      <c r="B2070" s="18" t="str">
        <f aca="false">IF(A2070="","",IFERROR(INDEX(Sales_Memo!$B$2:$B$1001,MATCH(A2070,Sales_Memo!$A$2:$A$1001,0)),""))</f>
        <v/>
      </c>
      <c r="C2070" s="7"/>
      <c r="D2070" s="16" t="str">
        <f aca="false">IF(C2070="","",IFERROR(INDEX(Products!$B$2:$B$501,MATCH(C2070,Products!$A$2:$A$501,0)),"CODE NOT FOUND"))</f>
        <v/>
      </c>
      <c r="E2070" s="7"/>
      <c r="F2070" s="13"/>
      <c r="G2070" s="13"/>
      <c r="H2070" s="17" t="str">
        <f aca="false">IF(OR(E2070="",F2070=""),"",E2070*F2070)</f>
        <v/>
      </c>
      <c r="I2070" s="17" t="str">
        <f aca="false">IF(OR(E2070="",G2070=""),"",E2070*G2070)</f>
        <v/>
      </c>
      <c r="J2070" s="17" t="str">
        <f aca="false">IF(H2070="","",H2070-I2070)</f>
        <v/>
      </c>
    </row>
    <row r="2071" customFormat="false" ht="15" hidden="false" customHeight="true" outlineLevel="0" collapsed="false">
      <c r="A2071" s="7"/>
      <c r="B2071" s="18" t="str">
        <f aca="false">IF(A2071="","",IFERROR(INDEX(Sales_Memo!$B$2:$B$1001,MATCH(A2071,Sales_Memo!$A$2:$A$1001,0)),""))</f>
        <v/>
      </c>
      <c r="C2071" s="7"/>
      <c r="D2071" s="16" t="str">
        <f aca="false">IF(C2071="","",IFERROR(INDEX(Products!$B$2:$B$501,MATCH(C2071,Products!$A$2:$A$501,0)),"CODE NOT FOUND"))</f>
        <v/>
      </c>
      <c r="E2071" s="7"/>
      <c r="F2071" s="13"/>
      <c r="G2071" s="13"/>
      <c r="H2071" s="17" t="str">
        <f aca="false">IF(OR(E2071="",F2071=""),"",E2071*F2071)</f>
        <v/>
      </c>
      <c r="I2071" s="17" t="str">
        <f aca="false">IF(OR(E2071="",G2071=""),"",E2071*G2071)</f>
        <v/>
      </c>
      <c r="J2071" s="17" t="str">
        <f aca="false">IF(H2071="","",H2071-I2071)</f>
        <v/>
      </c>
    </row>
    <row r="2072" customFormat="false" ht="15" hidden="false" customHeight="true" outlineLevel="0" collapsed="false">
      <c r="A2072" s="7"/>
      <c r="B2072" s="18" t="str">
        <f aca="false">IF(A2072="","",IFERROR(INDEX(Sales_Memo!$B$2:$B$1001,MATCH(A2072,Sales_Memo!$A$2:$A$1001,0)),""))</f>
        <v/>
      </c>
      <c r="C2072" s="7"/>
      <c r="D2072" s="16" t="str">
        <f aca="false">IF(C2072="","",IFERROR(INDEX(Products!$B$2:$B$501,MATCH(C2072,Products!$A$2:$A$501,0)),"CODE NOT FOUND"))</f>
        <v/>
      </c>
      <c r="E2072" s="7"/>
      <c r="F2072" s="13"/>
      <c r="G2072" s="13"/>
      <c r="H2072" s="17" t="str">
        <f aca="false">IF(OR(E2072="",F2072=""),"",E2072*F2072)</f>
        <v/>
      </c>
      <c r="I2072" s="17" t="str">
        <f aca="false">IF(OR(E2072="",G2072=""),"",E2072*G2072)</f>
        <v/>
      </c>
      <c r="J2072" s="17" t="str">
        <f aca="false">IF(H2072="","",H2072-I2072)</f>
        <v/>
      </c>
    </row>
    <row r="2073" customFormat="false" ht="15" hidden="false" customHeight="true" outlineLevel="0" collapsed="false">
      <c r="A2073" s="7"/>
      <c r="B2073" s="18" t="str">
        <f aca="false">IF(A2073="","",IFERROR(INDEX(Sales_Memo!$B$2:$B$1001,MATCH(A2073,Sales_Memo!$A$2:$A$1001,0)),""))</f>
        <v/>
      </c>
      <c r="C2073" s="7"/>
      <c r="D2073" s="16" t="str">
        <f aca="false">IF(C2073="","",IFERROR(INDEX(Products!$B$2:$B$501,MATCH(C2073,Products!$A$2:$A$501,0)),"CODE NOT FOUND"))</f>
        <v/>
      </c>
      <c r="E2073" s="7"/>
      <c r="F2073" s="13"/>
      <c r="G2073" s="13"/>
      <c r="H2073" s="17" t="str">
        <f aca="false">IF(OR(E2073="",F2073=""),"",E2073*F2073)</f>
        <v/>
      </c>
      <c r="I2073" s="17" t="str">
        <f aca="false">IF(OR(E2073="",G2073=""),"",E2073*G2073)</f>
        <v/>
      </c>
      <c r="J2073" s="17" t="str">
        <f aca="false">IF(H2073="","",H2073-I2073)</f>
        <v/>
      </c>
    </row>
    <row r="2074" customFormat="false" ht="15" hidden="false" customHeight="true" outlineLevel="0" collapsed="false">
      <c r="A2074" s="7"/>
      <c r="B2074" s="18" t="str">
        <f aca="false">IF(A2074="","",IFERROR(INDEX(Sales_Memo!$B$2:$B$1001,MATCH(A2074,Sales_Memo!$A$2:$A$1001,0)),""))</f>
        <v/>
      </c>
      <c r="C2074" s="7"/>
      <c r="D2074" s="16" t="str">
        <f aca="false">IF(C2074="","",IFERROR(INDEX(Products!$B$2:$B$501,MATCH(C2074,Products!$A$2:$A$501,0)),"CODE NOT FOUND"))</f>
        <v/>
      </c>
      <c r="E2074" s="7"/>
      <c r="F2074" s="13"/>
      <c r="G2074" s="13"/>
      <c r="H2074" s="17" t="str">
        <f aca="false">IF(OR(E2074="",F2074=""),"",E2074*F2074)</f>
        <v/>
      </c>
      <c r="I2074" s="17" t="str">
        <f aca="false">IF(OR(E2074="",G2074=""),"",E2074*G2074)</f>
        <v/>
      </c>
      <c r="J2074" s="17" t="str">
        <f aca="false">IF(H2074="","",H2074-I2074)</f>
        <v/>
      </c>
    </row>
    <row r="2075" customFormat="false" ht="15" hidden="false" customHeight="true" outlineLevel="0" collapsed="false">
      <c r="A2075" s="7"/>
      <c r="B2075" s="18" t="str">
        <f aca="false">IF(A2075="","",IFERROR(INDEX(Sales_Memo!$B$2:$B$1001,MATCH(A2075,Sales_Memo!$A$2:$A$1001,0)),""))</f>
        <v/>
      </c>
      <c r="C2075" s="7"/>
      <c r="D2075" s="16" t="str">
        <f aca="false">IF(C2075="","",IFERROR(INDEX(Products!$B$2:$B$501,MATCH(C2075,Products!$A$2:$A$501,0)),"CODE NOT FOUND"))</f>
        <v/>
      </c>
      <c r="E2075" s="7"/>
      <c r="F2075" s="13"/>
      <c r="G2075" s="13"/>
      <c r="H2075" s="17" t="str">
        <f aca="false">IF(OR(E2075="",F2075=""),"",E2075*F2075)</f>
        <v/>
      </c>
      <c r="I2075" s="17" t="str">
        <f aca="false">IF(OR(E2075="",G2075=""),"",E2075*G2075)</f>
        <v/>
      </c>
      <c r="J2075" s="17" t="str">
        <f aca="false">IF(H2075="","",H2075-I2075)</f>
        <v/>
      </c>
    </row>
    <row r="2076" customFormat="false" ht="15" hidden="false" customHeight="true" outlineLevel="0" collapsed="false">
      <c r="A2076" s="7"/>
      <c r="B2076" s="18" t="str">
        <f aca="false">IF(A2076="","",IFERROR(INDEX(Sales_Memo!$B$2:$B$1001,MATCH(A2076,Sales_Memo!$A$2:$A$1001,0)),""))</f>
        <v/>
      </c>
      <c r="C2076" s="7"/>
      <c r="D2076" s="16" t="str">
        <f aca="false">IF(C2076="","",IFERROR(INDEX(Products!$B$2:$B$501,MATCH(C2076,Products!$A$2:$A$501,0)),"CODE NOT FOUND"))</f>
        <v/>
      </c>
      <c r="E2076" s="7"/>
      <c r="F2076" s="13"/>
      <c r="G2076" s="13"/>
      <c r="H2076" s="17" t="str">
        <f aca="false">IF(OR(E2076="",F2076=""),"",E2076*F2076)</f>
        <v/>
      </c>
      <c r="I2076" s="17" t="str">
        <f aca="false">IF(OR(E2076="",G2076=""),"",E2076*G2076)</f>
        <v/>
      </c>
      <c r="J2076" s="17" t="str">
        <f aca="false">IF(H2076="","",H2076-I2076)</f>
        <v/>
      </c>
    </row>
    <row r="2077" customFormat="false" ht="15" hidden="false" customHeight="true" outlineLevel="0" collapsed="false">
      <c r="A2077" s="7"/>
      <c r="B2077" s="18" t="str">
        <f aca="false">IF(A2077="","",IFERROR(INDEX(Sales_Memo!$B$2:$B$1001,MATCH(A2077,Sales_Memo!$A$2:$A$1001,0)),""))</f>
        <v/>
      </c>
      <c r="C2077" s="7"/>
      <c r="D2077" s="16" t="str">
        <f aca="false">IF(C2077="","",IFERROR(INDEX(Products!$B$2:$B$501,MATCH(C2077,Products!$A$2:$A$501,0)),"CODE NOT FOUND"))</f>
        <v/>
      </c>
      <c r="E2077" s="7"/>
      <c r="F2077" s="13"/>
      <c r="G2077" s="13"/>
      <c r="H2077" s="17" t="str">
        <f aca="false">IF(OR(E2077="",F2077=""),"",E2077*F2077)</f>
        <v/>
      </c>
      <c r="I2077" s="17" t="str">
        <f aca="false">IF(OR(E2077="",G2077=""),"",E2077*G2077)</f>
        <v/>
      </c>
      <c r="J2077" s="17" t="str">
        <f aca="false">IF(H2077="","",H2077-I2077)</f>
        <v/>
      </c>
    </row>
    <row r="2078" customFormat="false" ht="15" hidden="false" customHeight="true" outlineLevel="0" collapsed="false">
      <c r="A2078" s="7"/>
      <c r="B2078" s="18" t="str">
        <f aca="false">IF(A2078="","",IFERROR(INDEX(Sales_Memo!$B$2:$B$1001,MATCH(A2078,Sales_Memo!$A$2:$A$1001,0)),""))</f>
        <v/>
      </c>
      <c r="C2078" s="7"/>
      <c r="D2078" s="16" t="str">
        <f aca="false">IF(C2078="","",IFERROR(INDEX(Products!$B$2:$B$501,MATCH(C2078,Products!$A$2:$A$501,0)),"CODE NOT FOUND"))</f>
        <v/>
      </c>
      <c r="E2078" s="7"/>
      <c r="F2078" s="13"/>
      <c r="G2078" s="13"/>
      <c r="H2078" s="17" t="str">
        <f aca="false">IF(OR(E2078="",F2078=""),"",E2078*F2078)</f>
        <v/>
      </c>
      <c r="I2078" s="17" t="str">
        <f aca="false">IF(OR(E2078="",G2078=""),"",E2078*G2078)</f>
        <v/>
      </c>
      <c r="J2078" s="17" t="str">
        <f aca="false">IF(H2078="","",H2078-I2078)</f>
        <v/>
      </c>
    </row>
    <row r="2079" customFormat="false" ht="15" hidden="false" customHeight="true" outlineLevel="0" collapsed="false">
      <c r="A2079" s="7"/>
      <c r="B2079" s="18" t="str">
        <f aca="false">IF(A2079="","",IFERROR(INDEX(Sales_Memo!$B$2:$B$1001,MATCH(A2079,Sales_Memo!$A$2:$A$1001,0)),""))</f>
        <v/>
      </c>
      <c r="C2079" s="7"/>
      <c r="D2079" s="16" t="str">
        <f aca="false">IF(C2079="","",IFERROR(INDEX(Products!$B$2:$B$501,MATCH(C2079,Products!$A$2:$A$501,0)),"CODE NOT FOUND"))</f>
        <v/>
      </c>
      <c r="E2079" s="7"/>
      <c r="F2079" s="13"/>
      <c r="G2079" s="13"/>
      <c r="H2079" s="17" t="str">
        <f aca="false">IF(OR(E2079="",F2079=""),"",E2079*F2079)</f>
        <v/>
      </c>
      <c r="I2079" s="17" t="str">
        <f aca="false">IF(OR(E2079="",G2079=""),"",E2079*G2079)</f>
        <v/>
      </c>
      <c r="J2079" s="17" t="str">
        <f aca="false">IF(H2079="","",H2079-I2079)</f>
        <v/>
      </c>
    </row>
    <row r="2080" customFormat="false" ht="15" hidden="false" customHeight="true" outlineLevel="0" collapsed="false">
      <c r="A2080" s="7"/>
      <c r="B2080" s="18" t="str">
        <f aca="false">IF(A2080="","",IFERROR(INDEX(Sales_Memo!$B$2:$B$1001,MATCH(A2080,Sales_Memo!$A$2:$A$1001,0)),""))</f>
        <v/>
      </c>
      <c r="C2080" s="7"/>
      <c r="D2080" s="16" t="str">
        <f aca="false">IF(C2080="","",IFERROR(INDEX(Products!$B$2:$B$501,MATCH(C2080,Products!$A$2:$A$501,0)),"CODE NOT FOUND"))</f>
        <v/>
      </c>
      <c r="E2080" s="7"/>
      <c r="F2080" s="13"/>
      <c r="G2080" s="13"/>
      <c r="H2080" s="17" t="str">
        <f aca="false">IF(OR(E2080="",F2080=""),"",E2080*F2080)</f>
        <v/>
      </c>
      <c r="I2080" s="17" t="str">
        <f aca="false">IF(OR(E2080="",G2080=""),"",E2080*G2080)</f>
        <v/>
      </c>
      <c r="J2080" s="17" t="str">
        <f aca="false">IF(H2080="","",H2080-I2080)</f>
        <v/>
      </c>
    </row>
    <row r="2081" customFormat="false" ht="15" hidden="false" customHeight="true" outlineLevel="0" collapsed="false">
      <c r="A2081" s="7"/>
      <c r="B2081" s="18" t="str">
        <f aca="false">IF(A2081="","",IFERROR(INDEX(Sales_Memo!$B$2:$B$1001,MATCH(A2081,Sales_Memo!$A$2:$A$1001,0)),""))</f>
        <v/>
      </c>
      <c r="C2081" s="7"/>
      <c r="D2081" s="16" t="str">
        <f aca="false">IF(C2081="","",IFERROR(INDEX(Products!$B$2:$B$501,MATCH(C2081,Products!$A$2:$A$501,0)),"CODE NOT FOUND"))</f>
        <v/>
      </c>
      <c r="E2081" s="7"/>
      <c r="F2081" s="13"/>
      <c r="G2081" s="13"/>
      <c r="H2081" s="17" t="str">
        <f aca="false">IF(OR(E2081="",F2081=""),"",E2081*F2081)</f>
        <v/>
      </c>
      <c r="I2081" s="17" t="str">
        <f aca="false">IF(OR(E2081="",G2081=""),"",E2081*G2081)</f>
        <v/>
      </c>
      <c r="J2081" s="17" t="str">
        <f aca="false">IF(H2081="","",H2081-I2081)</f>
        <v/>
      </c>
    </row>
    <row r="2082" customFormat="false" ht="15" hidden="false" customHeight="true" outlineLevel="0" collapsed="false">
      <c r="A2082" s="7"/>
      <c r="B2082" s="18" t="str">
        <f aca="false">IF(A2082="","",IFERROR(INDEX(Sales_Memo!$B$2:$B$1001,MATCH(A2082,Sales_Memo!$A$2:$A$1001,0)),""))</f>
        <v/>
      </c>
      <c r="C2082" s="7"/>
      <c r="D2082" s="16" t="str">
        <f aca="false">IF(C2082="","",IFERROR(INDEX(Products!$B$2:$B$501,MATCH(C2082,Products!$A$2:$A$501,0)),"CODE NOT FOUND"))</f>
        <v/>
      </c>
      <c r="E2082" s="7"/>
      <c r="F2082" s="13"/>
      <c r="G2082" s="13"/>
      <c r="H2082" s="17" t="str">
        <f aca="false">IF(OR(E2082="",F2082=""),"",E2082*F2082)</f>
        <v/>
      </c>
      <c r="I2082" s="17" t="str">
        <f aca="false">IF(OR(E2082="",G2082=""),"",E2082*G2082)</f>
        <v/>
      </c>
      <c r="J2082" s="17" t="str">
        <f aca="false">IF(H2082="","",H2082-I2082)</f>
        <v/>
      </c>
    </row>
    <row r="2083" customFormat="false" ht="15" hidden="false" customHeight="true" outlineLevel="0" collapsed="false">
      <c r="A2083" s="7"/>
      <c r="B2083" s="18" t="str">
        <f aca="false">IF(A2083="","",IFERROR(INDEX(Sales_Memo!$B$2:$B$1001,MATCH(A2083,Sales_Memo!$A$2:$A$1001,0)),""))</f>
        <v/>
      </c>
      <c r="C2083" s="7"/>
      <c r="D2083" s="16" t="str">
        <f aca="false">IF(C2083="","",IFERROR(INDEX(Products!$B$2:$B$501,MATCH(C2083,Products!$A$2:$A$501,0)),"CODE NOT FOUND"))</f>
        <v/>
      </c>
      <c r="E2083" s="7"/>
      <c r="F2083" s="13"/>
      <c r="G2083" s="13"/>
      <c r="H2083" s="17" t="str">
        <f aca="false">IF(OR(E2083="",F2083=""),"",E2083*F2083)</f>
        <v/>
      </c>
      <c r="I2083" s="17" t="str">
        <f aca="false">IF(OR(E2083="",G2083=""),"",E2083*G2083)</f>
        <v/>
      </c>
      <c r="J2083" s="17" t="str">
        <f aca="false">IF(H2083="","",H2083-I2083)</f>
        <v/>
      </c>
    </row>
    <row r="2084" customFormat="false" ht="15" hidden="false" customHeight="true" outlineLevel="0" collapsed="false">
      <c r="A2084" s="7"/>
      <c r="B2084" s="18" t="str">
        <f aca="false">IF(A2084="","",IFERROR(INDEX(Sales_Memo!$B$2:$B$1001,MATCH(A2084,Sales_Memo!$A$2:$A$1001,0)),""))</f>
        <v/>
      </c>
      <c r="C2084" s="7"/>
      <c r="D2084" s="16" t="str">
        <f aca="false">IF(C2084="","",IFERROR(INDEX(Products!$B$2:$B$501,MATCH(C2084,Products!$A$2:$A$501,0)),"CODE NOT FOUND"))</f>
        <v/>
      </c>
      <c r="E2084" s="7"/>
      <c r="F2084" s="13"/>
      <c r="G2084" s="13"/>
      <c r="H2084" s="17" t="str">
        <f aca="false">IF(OR(E2084="",F2084=""),"",E2084*F2084)</f>
        <v/>
      </c>
      <c r="I2084" s="17" t="str">
        <f aca="false">IF(OR(E2084="",G2084=""),"",E2084*G2084)</f>
        <v/>
      </c>
      <c r="J2084" s="17" t="str">
        <f aca="false">IF(H2084="","",H2084-I2084)</f>
        <v/>
      </c>
    </row>
    <row r="2085" customFormat="false" ht="15" hidden="false" customHeight="true" outlineLevel="0" collapsed="false">
      <c r="A2085" s="7"/>
      <c r="B2085" s="18" t="str">
        <f aca="false">IF(A2085="","",IFERROR(INDEX(Sales_Memo!$B$2:$B$1001,MATCH(A2085,Sales_Memo!$A$2:$A$1001,0)),""))</f>
        <v/>
      </c>
      <c r="C2085" s="7"/>
      <c r="D2085" s="16" t="str">
        <f aca="false">IF(C2085="","",IFERROR(INDEX(Products!$B$2:$B$501,MATCH(C2085,Products!$A$2:$A$501,0)),"CODE NOT FOUND"))</f>
        <v/>
      </c>
      <c r="E2085" s="7"/>
      <c r="F2085" s="13"/>
      <c r="G2085" s="13"/>
      <c r="H2085" s="17" t="str">
        <f aca="false">IF(OR(E2085="",F2085=""),"",E2085*F2085)</f>
        <v/>
      </c>
      <c r="I2085" s="17" t="str">
        <f aca="false">IF(OR(E2085="",G2085=""),"",E2085*G2085)</f>
        <v/>
      </c>
      <c r="J2085" s="17" t="str">
        <f aca="false">IF(H2085="","",H2085-I2085)</f>
        <v/>
      </c>
    </row>
    <row r="2086" customFormat="false" ht="15" hidden="false" customHeight="true" outlineLevel="0" collapsed="false">
      <c r="A2086" s="7"/>
      <c r="B2086" s="18" t="str">
        <f aca="false">IF(A2086="","",IFERROR(INDEX(Sales_Memo!$B$2:$B$1001,MATCH(A2086,Sales_Memo!$A$2:$A$1001,0)),""))</f>
        <v/>
      </c>
      <c r="C2086" s="7"/>
      <c r="D2086" s="16" t="str">
        <f aca="false">IF(C2086="","",IFERROR(INDEX(Products!$B$2:$B$501,MATCH(C2086,Products!$A$2:$A$501,0)),"CODE NOT FOUND"))</f>
        <v/>
      </c>
      <c r="E2086" s="7"/>
      <c r="F2086" s="13"/>
      <c r="G2086" s="13"/>
      <c r="H2086" s="17" t="str">
        <f aca="false">IF(OR(E2086="",F2086=""),"",E2086*F2086)</f>
        <v/>
      </c>
      <c r="I2086" s="17" t="str">
        <f aca="false">IF(OR(E2086="",G2086=""),"",E2086*G2086)</f>
        <v/>
      </c>
      <c r="J2086" s="17" t="str">
        <f aca="false">IF(H2086="","",H2086-I2086)</f>
        <v/>
      </c>
    </row>
    <row r="2087" customFormat="false" ht="15" hidden="false" customHeight="true" outlineLevel="0" collapsed="false">
      <c r="A2087" s="7"/>
      <c r="B2087" s="18" t="str">
        <f aca="false">IF(A2087="","",IFERROR(INDEX(Sales_Memo!$B$2:$B$1001,MATCH(A2087,Sales_Memo!$A$2:$A$1001,0)),""))</f>
        <v/>
      </c>
      <c r="C2087" s="7"/>
      <c r="D2087" s="16" t="str">
        <f aca="false">IF(C2087="","",IFERROR(INDEX(Products!$B$2:$B$501,MATCH(C2087,Products!$A$2:$A$501,0)),"CODE NOT FOUND"))</f>
        <v/>
      </c>
      <c r="E2087" s="7"/>
      <c r="F2087" s="13"/>
      <c r="G2087" s="13"/>
      <c r="H2087" s="17" t="str">
        <f aca="false">IF(OR(E2087="",F2087=""),"",E2087*F2087)</f>
        <v/>
      </c>
      <c r="I2087" s="17" t="str">
        <f aca="false">IF(OR(E2087="",G2087=""),"",E2087*G2087)</f>
        <v/>
      </c>
      <c r="J2087" s="17" t="str">
        <f aca="false">IF(H2087="","",H2087-I2087)</f>
        <v/>
      </c>
    </row>
    <row r="2088" customFormat="false" ht="15" hidden="false" customHeight="true" outlineLevel="0" collapsed="false">
      <c r="A2088" s="7"/>
      <c r="B2088" s="18" t="str">
        <f aca="false">IF(A2088="","",IFERROR(INDEX(Sales_Memo!$B$2:$B$1001,MATCH(A2088,Sales_Memo!$A$2:$A$1001,0)),""))</f>
        <v/>
      </c>
      <c r="C2088" s="7"/>
      <c r="D2088" s="16" t="str">
        <f aca="false">IF(C2088="","",IFERROR(INDEX(Products!$B$2:$B$501,MATCH(C2088,Products!$A$2:$A$501,0)),"CODE NOT FOUND"))</f>
        <v/>
      </c>
      <c r="E2088" s="7"/>
      <c r="F2088" s="13"/>
      <c r="G2088" s="13"/>
      <c r="H2088" s="17" t="str">
        <f aca="false">IF(OR(E2088="",F2088=""),"",E2088*F2088)</f>
        <v/>
      </c>
      <c r="I2088" s="17" t="str">
        <f aca="false">IF(OR(E2088="",G2088=""),"",E2088*G2088)</f>
        <v/>
      </c>
      <c r="J2088" s="17" t="str">
        <f aca="false">IF(H2088="","",H2088-I2088)</f>
        <v/>
      </c>
    </row>
    <row r="2089" customFormat="false" ht="15" hidden="false" customHeight="true" outlineLevel="0" collapsed="false">
      <c r="A2089" s="7"/>
      <c r="B2089" s="18" t="str">
        <f aca="false">IF(A2089="","",IFERROR(INDEX(Sales_Memo!$B$2:$B$1001,MATCH(A2089,Sales_Memo!$A$2:$A$1001,0)),""))</f>
        <v/>
      </c>
      <c r="C2089" s="7"/>
      <c r="D2089" s="16" t="str">
        <f aca="false">IF(C2089="","",IFERROR(INDEX(Products!$B$2:$B$501,MATCH(C2089,Products!$A$2:$A$501,0)),"CODE NOT FOUND"))</f>
        <v/>
      </c>
      <c r="E2089" s="7"/>
      <c r="F2089" s="13"/>
      <c r="G2089" s="13"/>
      <c r="H2089" s="17" t="str">
        <f aca="false">IF(OR(E2089="",F2089=""),"",E2089*F2089)</f>
        <v/>
      </c>
      <c r="I2089" s="17" t="str">
        <f aca="false">IF(OR(E2089="",G2089=""),"",E2089*G2089)</f>
        <v/>
      </c>
      <c r="J2089" s="17" t="str">
        <f aca="false">IF(H2089="","",H2089-I2089)</f>
        <v/>
      </c>
    </row>
    <row r="2090" customFormat="false" ht="15" hidden="false" customHeight="true" outlineLevel="0" collapsed="false">
      <c r="A2090" s="7"/>
      <c r="B2090" s="18" t="str">
        <f aca="false">IF(A2090="","",IFERROR(INDEX(Sales_Memo!$B$2:$B$1001,MATCH(A2090,Sales_Memo!$A$2:$A$1001,0)),""))</f>
        <v/>
      </c>
      <c r="C2090" s="7"/>
      <c r="D2090" s="16" t="str">
        <f aca="false">IF(C2090="","",IFERROR(INDEX(Products!$B$2:$B$501,MATCH(C2090,Products!$A$2:$A$501,0)),"CODE NOT FOUND"))</f>
        <v/>
      </c>
      <c r="E2090" s="7"/>
      <c r="F2090" s="13"/>
      <c r="G2090" s="13"/>
      <c r="H2090" s="17" t="str">
        <f aca="false">IF(OR(E2090="",F2090=""),"",E2090*F2090)</f>
        <v/>
      </c>
      <c r="I2090" s="17" t="str">
        <f aca="false">IF(OR(E2090="",G2090=""),"",E2090*G2090)</f>
        <v/>
      </c>
      <c r="J2090" s="17" t="str">
        <f aca="false">IF(H2090="","",H2090-I2090)</f>
        <v/>
      </c>
    </row>
    <row r="2091" customFormat="false" ht="15" hidden="false" customHeight="true" outlineLevel="0" collapsed="false">
      <c r="A2091" s="7"/>
      <c r="B2091" s="18" t="str">
        <f aca="false">IF(A2091="","",IFERROR(INDEX(Sales_Memo!$B$2:$B$1001,MATCH(A2091,Sales_Memo!$A$2:$A$1001,0)),""))</f>
        <v/>
      </c>
      <c r="C2091" s="7"/>
      <c r="D2091" s="16" t="str">
        <f aca="false">IF(C2091="","",IFERROR(INDEX(Products!$B$2:$B$501,MATCH(C2091,Products!$A$2:$A$501,0)),"CODE NOT FOUND"))</f>
        <v/>
      </c>
      <c r="E2091" s="7"/>
      <c r="F2091" s="13"/>
      <c r="G2091" s="13"/>
      <c r="H2091" s="17" t="str">
        <f aca="false">IF(OR(E2091="",F2091=""),"",E2091*F2091)</f>
        <v/>
      </c>
      <c r="I2091" s="17" t="str">
        <f aca="false">IF(OR(E2091="",G2091=""),"",E2091*G2091)</f>
        <v/>
      </c>
      <c r="J2091" s="17" t="str">
        <f aca="false">IF(H2091="","",H2091-I2091)</f>
        <v/>
      </c>
    </row>
    <row r="2092" customFormat="false" ht="15" hidden="false" customHeight="true" outlineLevel="0" collapsed="false">
      <c r="A2092" s="7"/>
      <c r="B2092" s="18" t="str">
        <f aca="false">IF(A2092="","",IFERROR(INDEX(Sales_Memo!$B$2:$B$1001,MATCH(A2092,Sales_Memo!$A$2:$A$1001,0)),""))</f>
        <v/>
      </c>
      <c r="C2092" s="7"/>
      <c r="D2092" s="16" t="str">
        <f aca="false">IF(C2092="","",IFERROR(INDEX(Products!$B$2:$B$501,MATCH(C2092,Products!$A$2:$A$501,0)),"CODE NOT FOUND"))</f>
        <v/>
      </c>
      <c r="E2092" s="7"/>
      <c r="F2092" s="13"/>
      <c r="G2092" s="13"/>
      <c r="H2092" s="17" t="str">
        <f aca="false">IF(OR(E2092="",F2092=""),"",E2092*F2092)</f>
        <v/>
      </c>
      <c r="I2092" s="17" t="str">
        <f aca="false">IF(OR(E2092="",G2092=""),"",E2092*G2092)</f>
        <v/>
      </c>
      <c r="J2092" s="17" t="str">
        <f aca="false">IF(H2092="","",H2092-I2092)</f>
        <v/>
      </c>
    </row>
    <row r="2093" customFormat="false" ht="15" hidden="false" customHeight="true" outlineLevel="0" collapsed="false">
      <c r="A2093" s="7"/>
      <c r="B2093" s="18" t="str">
        <f aca="false">IF(A2093="","",IFERROR(INDEX(Sales_Memo!$B$2:$B$1001,MATCH(A2093,Sales_Memo!$A$2:$A$1001,0)),""))</f>
        <v/>
      </c>
      <c r="C2093" s="7"/>
      <c r="D2093" s="16" t="str">
        <f aca="false">IF(C2093="","",IFERROR(INDEX(Products!$B$2:$B$501,MATCH(C2093,Products!$A$2:$A$501,0)),"CODE NOT FOUND"))</f>
        <v/>
      </c>
      <c r="E2093" s="7"/>
      <c r="F2093" s="13"/>
      <c r="G2093" s="13"/>
      <c r="H2093" s="17" t="str">
        <f aca="false">IF(OR(E2093="",F2093=""),"",E2093*F2093)</f>
        <v/>
      </c>
      <c r="I2093" s="17" t="str">
        <f aca="false">IF(OR(E2093="",G2093=""),"",E2093*G2093)</f>
        <v/>
      </c>
      <c r="J2093" s="17" t="str">
        <f aca="false">IF(H2093="","",H2093-I2093)</f>
        <v/>
      </c>
    </row>
    <row r="2094" customFormat="false" ht="15" hidden="false" customHeight="true" outlineLevel="0" collapsed="false">
      <c r="A2094" s="7"/>
      <c r="B2094" s="18" t="str">
        <f aca="false">IF(A2094="","",IFERROR(INDEX(Sales_Memo!$B$2:$B$1001,MATCH(A2094,Sales_Memo!$A$2:$A$1001,0)),""))</f>
        <v/>
      </c>
      <c r="C2094" s="7"/>
      <c r="D2094" s="16" t="str">
        <f aca="false">IF(C2094="","",IFERROR(INDEX(Products!$B$2:$B$501,MATCH(C2094,Products!$A$2:$A$501,0)),"CODE NOT FOUND"))</f>
        <v/>
      </c>
      <c r="E2094" s="7"/>
      <c r="F2094" s="13"/>
      <c r="G2094" s="13"/>
      <c r="H2094" s="17" t="str">
        <f aca="false">IF(OR(E2094="",F2094=""),"",E2094*F2094)</f>
        <v/>
      </c>
      <c r="I2094" s="17" t="str">
        <f aca="false">IF(OR(E2094="",G2094=""),"",E2094*G2094)</f>
        <v/>
      </c>
      <c r="J2094" s="17" t="str">
        <f aca="false">IF(H2094="","",H2094-I2094)</f>
        <v/>
      </c>
    </row>
    <row r="2095" customFormat="false" ht="15" hidden="false" customHeight="true" outlineLevel="0" collapsed="false">
      <c r="A2095" s="7"/>
      <c r="B2095" s="18" t="str">
        <f aca="false">IF(A2095="","",IFERROR(INDEX(Sales_Memo!$B$2:$B$1001,MATCH(A2095,Sales_Memo!$A$2:$A$1001,0)),""))</f>
        <v/>
      </c>
      <c r="C2095" s="7"/>
      <c r="D2095" s="16" t="str">
        <f aca="false">IF(C2095="","",IFERROR(INDEX(Products!$B$2:$B$501,MATCH(C2095,Products!$A$2:$A$501,0)),"CODE NOT FOUND"))</f>
        <v/>
      </c>
      <c r="E2095" s="7"/>
      <c r="F2095" s="13"/>
      <c r="G2095" s="13"/>
      <c r="H2095" s="17" t="str">
        <f aca="false">IF(OR(E2095="",F2095=""),"",E2095*F2095)</f>
        <v/>
      </c>
      <c r="I2095" s="17" t="str">
        <f aca="false">IF(OR(E2095="",G2095=""),"",E2095*G2095)</f>
        <v/>
      </c>
      <c r="J2095" s="17" t="str">
        <f aca="false">IF(H2095="","",H2095-I2095)</f>
        <v/>
      </c>
    </row>
    <row r="2096" customFormat="false" ht="15" hidden="false" customHeight="true" outlineLevel="0" collapsed="false">
      <c r="A2096" s="7"/>
      <c r="B2096" s="18" t="str">
        <f aca="false">IF(A2096="","",IFERROR(INDEX(Sales_Memo!$B$2:$B$1001,MATCH(A2096,Sales_Memo!$A$2:$A$1001,0)),""))</f>
        <v/>
      </c>
      <c r="C2096" s="7"/>
      <c r="D2096" s="16" t="str">
        <f aca="false">IF(C2096="","",IFERROR(INDEX(Products!$B$2:$B$501,MATCH(C2096,Products!$A$2:$A$501,0)),"CODE NOT FOUND"))</f>
        <v/>
      </c>
      <c r="E2096" s="7"/>
      <c r="F2096" s="13"/>
      <c r="G2096" s="13"/>
      <c r="H2096" s="17" t="str">
        <f aca="false">IF(OR(E2096="",F2096=""),"",E2096*F2096)</f>
        <v/>
      </c>
      <c r="I2096" s="17" t="str">
        <f aca="false">IF(OR(E2096="",G2096=""),"",E2096*G2096)</f>
        <v/>
      </c>
      <c r="J2096" s="17" t="str">
        <f aca="false">IF(H2096="","",H2096-I2096)</f>
        <v/>
      </c>
    </row>
    <row r="2097" customFormat="false" ht="15" hidden="false" customHeight="true" outlineLevel="0" collapsed="false">
      <c r="A2097" s="7"/>
      <c r="B2097" s="18" t="str">
        <f aca="false">IF(A2097="","",IFERROR(INDEX(Sales_Memo!$B$2:$B$1001,MATCH(A2097,Sales_Memo!$A$2:$A$1001,0)),""))</f>
        <v/>
      </c>
      <c r="C2097" s="7"/>
      <c r="D2097" s="16" t="str">
        <f aca="false">IF(C2097="","",IFERROR(INDEX(Products!$B$2:$B$501,MATCH(C2097,Products!$A$2:$A$501,0)),"CODE NOT FOUND"))</f>
        <v/>
      </c>
      <c r="E2097" s="7"/>
      <c r="F2097" s="13"/>
      <c r="G2097" s="13"/>
      <c r="H2097" s="17" t="str">
        <f aca="false">IF(OR(E2097="",F2097=""),"",E2097*F2097)</f>
        <v/>
      </c>
      <c r="I2097" s="17" t="str">
        <f aca="false">IF(OR(E2097="",G2097=""),"",E2097*G2097)</f>
        <v/>
      </c>
      <c r="J2097" s="17" t="str">
        <f aca="false">IF(H2097="","",H2097-I2097)</f>
        <v/>
      </c>
    </row>
    <row r="2098" customFormat="false" ht="15" hidden="false" customHeight="true" outlineLevel="0" collapsed="false">
      <c r="A2098" s="7"/>
      <c r="B2098" s="18" t="str">
        <f aca="false">IF(A2098="","",IFERROR(INDEX(Sales_Memo!$B$2:$B$1001,MATCH(A2098,Sales_Memo!$A$2:$A$1001,0)),""))</f>
        <v/>
      </c>
      <c r="C2098" s="7"/>
      <c r="D2098" s="16" t="str">
        <f aca="false">IF(C2098="","",IFERROR(INDEX(Products!$B$2:$B$501,MATCH(C2098,Products!$A$2:$A$501,0)),"CODE NOT FOUND"))</f>
        <v/>
      </c>
      <c r="E2098" s="7"/>
      <c r="F2098" s="13"/>
      <c r="G2098" s="13"/>
      <c r="H2098" s="17" t="str">
        <f aca="false">IF(OR(E2098="",F2098=""),"",E2098*F2098)</f>
        <v/>
      </c>
      <c r="I2098" s="17" t="str">
        <f aca="false">IF(OR(E2098="",G2098=""),"",E2098*G2098)</f>
        <v/>
      </c>
      <c r="J2098" s="17" t="str">
        <f aca="false">IF(H2098="","",H2098-I2098)</f>
        <v/>
      </c>
    </row>
    <row r="2099" customFormat="false" ht="15" hidden="false" customHeight="true" outlineLevel="0" collapsed="false">
      <c r="A2099" s="7"/>
      <c r="B2099" s="18" t="str">
        <f aca="false">IF(A2099="","",IFERROR(INDEX(Sales_Memo!$B$2:$B$1001,MATCH(A2099,Sales_Memo!$A$2:$A$1001,0)),""))</f>
        <v/>
      </c>
      <c r="C2099" s="7"/>
      <c r="D2099" s="16" t="str">
        <f aca="false">IF(C2099="","",IFERROR(INDEX(Products!$B$2:$B$501,MATCH(C2099,Products!$A$2:$A$501,0)),"CODE NOT FOUND"))</f>
        <v/>
      </c>
      <c r="E2099" s="7"/>
      <c r="F2099" s="13"/>
      <c r="G2099" s="13"/>
      <c r="H2099" s="17" t="str">
        <f aca="false">IF(OR(E2099="",F2099=""),"",E2099*F2099)</f>
        <v/>
      </c>
      <c r="I2099" s="17" t="str">
        <f aca="false">IF(OR(E2099="",G2099=""),"",E2099*G2099)</f>
        <v/>
      </c>
      <c r="J2099" s="17" t="str">
        <f aca="false">IF(H2099="","",H2099-I2099)</f>
        <v/>
      </c>
    </row>
    <row r="2100" customFormat="false" ht="15" hidden="false" customHeight="true" outlineLevel="0" collapsed="false">
      <c r="A2100" s="7"/>
      <c r="B2100" s="18" t="str">
        <f aca="false">IF(A2100="","",IFERROR(INDEX(Sales_Memo!$B$2:$B$1001,MATCH(A2100,Sales_Memo!$A$2:$A$1001,0)),""))</f>
        <v/>
      </c>
      <c r="C2100" s="7"/>
      <c r="D2100" s="16" t="str">
        <f aca="false">IF(C2100="","",IFERROR(INDEX(Products!$B$2:$B$501,MATCH(C2100,Products!$A$2:$A$501,0)),"CODE NOT FOUND"))</f>
        <v/>
      </c>
      <c r="E2100" s="7"/>
      <c r="F2100" s="13"/>
      <c r="G2100" s="13"/>
      <c r="H2100" s="17" t="str">
        <f aca="false">IF(OR(E2100="",F2100=""),"",E2100*F2100)</f>
        <v/>
      </c>
      <c r="I2100" s="17" t="str">
        <f aca="false">IF(OR(E2100="",G2100=""),"",E2100*G2100)</f>
        <v/>
      </c>
      <c r="J2100" s="17" t="str">
        <f aca="false">IF(H2100="","",H2100-I2100)</f>
        <v/>
      </c>
    </row>
    <row r="2101" customFormat="false" ht="15" hidden="false" customHeight="true" outlineLevel="0" collapsed="false">
      <c r="A2101" s="7"/>
      <c r="B2101" s="18" t="str">
        <f aca="false">IF(A2101="","",IFERROR(INDEX(Sales_Memo!$B$2:$B$1001,MATCH(A2101,Sales_Memo!$A$2:$A$1001,0)),""))</f>
        <v/>
      </c>
      <c r="C2101" s="7"/>
      <c r="D2101" s="16" t="str">
        <f aca="false">IF(C2101="","",IFERROR(INDEX(Products!$B$2:$B$501,MATCH(C2101,Products!$A$2:$A$501,0)),"CODE NOT FOUND"))</f>
        <v/>
      </c>
      <c r="E2101" s="7"/>
      <c r="F2101" s="13"/>
      <c r="G2101" s="13"/>
      <c r="H2101" s="17" t="str">
        <f aca="false">IF(OR(E2101="",F2101=""),"",E2101*F2101)</f>
        <v/>
      </c>
      <c r="I2101" s="17" t="str">
        <f aca="false">IF(OR(E2101="",G2101=""),"",E2101*G2101)</f>
        <v/>
      </c>
      <c r="J2101" s="17" t="str">
        <f aca="false">IF(H2101="","",H2101-I2101)</f>
        <v/>
      </c>
    </row>
    <row r="2102" customFormat="false" ht="15" hidden="false" customHeight="true" outlineLevel="0" collapsed="false">
      <c r="A2102" s="7"/>
      <c r="B2102" s="18" t="str">
        <f aca="false">IF(A2102="","",IFERROR(INDEX(Sales_Memo!$B$2:$B$1001,MATCH(A2102,Sales_Memo!$A$2:$A$1001,0)),""))</f>
        <v/>
      </c>
      <c r="C2102" s="7"/>
      <c r="D2102" s="16" t="str">
        <f aca="false">IF(C2102="","",IFERROR(INDEX(Products!$B$2:$B$501,MATCH(C2102,Products!$A$2:$A$501,0)),"CODE NOT FOUND"))</f>
        <v/>
      </c>
      <c r="E2102" s="7"/>
      <c r="F2102" s="13"/>
      <c r="G2102" s="13"/>
      <c r="H2102" s="17" t="str">
        <f aca="false">IF(OR(E2102="",F2102=""),"",E2102*F2102)</f>
        <v/>
      </c>
      <c r="I2102" s="17" t="str">
        <f aca="false">IF(OR(E2102="",G2102=""),"",E2102*G2102)</f>
        <v/>
      </c>
      <c r="J2102" s="17" t="str">
        <f aca="false">IF(H2102="","",H2102-I2102)</f>
        <v/>
      </c>
    </row>
    <row r="2103" customFormat="false" ht="15" hidden="false" customHeight="true" outlineLevel="0" collapsed="false">
      <c r="A2103" s="7"/>
      <c r="B2103" s="18" t="str">
        <f aca="false">IF(A2103="","",IFERROR(INDEX(Sales_Memo!$B$2:$B$1001,MATCH(A2103,Sales_Memo!$A$2:$A$1001,0)),""))</f>
        <v/>
      </c>
      <c r="C2103" s="7"/>
      <c r="D2103" s="16" t="str">
        <f aca="false">IF(C2103="","",IFERROR(INDEX(Products!$B$2:$B$501,MATCH(C2103,Products!$A$2:$A$501,0)),"CODE NOT FOUND"))</f>
        <v/>
      </c>
      <c r="E2103" s="7"/>
      <c r="F2103" s="13"/>
      <c r="G2103" s="13"/>
      <c r="H2103" s="17" t="str">
        <f aca="false">IF(OR(E2103="",F2103=""),"",E2103*F2103)</f>
        <v/>
      </c>
      <c r="I2103" s="17" t="str">
        <f aca="false">IF(OR(E2103="",G2103=""),"",E2103*G2103)</f>
        <v/>
      </c>
      <c r="J2103" s="17" t="str">
        <f aca="false">IF(H2103="","",H2103-I2103)</f>
        <v/>
      </c>
    </row>
    <row r="2104" customFormat="false" ht="15" hidden="false" customHeight="true" outlineLevel="0" collapsed="false">
      <c r="A2104" s="7"/>
      <c r="B2104" s="18" t="str">
        <f aca="false">IF(A2104="","",IFERROR(INDEX(Sales_Memo!$B$2:$B$1001,MATCH(A2104,Sales_Memo!$A$2:$A$1001,0)),""))</f>
        <v/>
      </c>
      <c r="C2104" s="7"/>
      <c r="D2104" s="16" t="str">
        <f aca="false">IF(C2104="","",IFERROR(INDEX(Products!$B$2:$B$501,MATCH(C2104,Products!$A$2:$A$501,0)),"CODE NOT FOUND"))</f>
        <v/>
      </c>
      <c r="E2104" s="7"/>
      <c r="F2104" s="13"/>
      <c r="G2104" s="13"/>
      <c r="H2104" s="17" t="str">
        <f aca="false">IF(OR(E2104="",F2104=""),"",E2104*F2104)</f>
        <v/>
      </c>
      <c r="I2104" s="17" t="str">
        <f aca="false">IF(OR(E2104="",G2104=""),"",E2104*G2104)</f>
        <v/>
      </c>
      <c r="J2104" s="17" t="str">
        <f aca="false">IF(H2104="","",H2104-I2104)</f>
        <v/>
      </c>
    </row>
    <row r="2105" customFormat="false" ht="15" hidden="false" customHeight="true" outlineLevel="0" collapsed="false">
      <c r="A2105" s="7"/>
      <c r="B2105" s="18" t="str">
        <f aca="false">IF(A2105="","",IFERROR(INDEX(Sales_Memo!$B$2:$B$1001,MATCH(A2105,Sales_Memo!$A$2:$A$1001,0)),""))</f>
        <v/>
      </c>
      <c r="C2105" s="7"/>
      <c r="D2105" s="16" t="str">
        <f aca="false">IF(C2105="","",IFERROR(INDEX(Products!$B$2:$B$501,MATCH(C2105,Products!$A$2:$A$501,0)),"CODE NOT FOUND"))</f>
        <v/>
      </c>
      <c r="E2105" s="7"/>
      <c r="F2105" s="13"/>
      <c r="G2105" s="13"/>
      <c r="H2105" s="17" t="str">
        <f aca="false">IF(OR(E2105="",F2105=""),"",E2105*F2105)</f>
        <v/>
      </c>
      <c r="I2105" s="17" t="str">
        <f aca="false">IF(OR(E2105="",G2105=""),"",E2105*G2105)</f>
        <v/>
      </c>
      <c r="J2105" s="17" t="str">
        <f aca="false">IF(H2105="","",H2105-I2105)</f>
        <v/>
      </c>
    </row>
    <row r="2106" customFormat="false" ht="15" hidden="false" customHeight="true" outlineLevel="0" collapsed="false">
      <c r="A2106" s="7"/>
      <c r="B2106" s="18" t="str">
        <f aca="false">IF(A2106="","",IFERROR(INDEX(Sales_Memo!$B$2:$B$1001,MATCH(A2106,Sales_Memo!$A$2:$A$1001,0)),""))</f>
        <v/>
      </c>
      <c r="C2106" s="7"/>
      <c r="D2106" s="16" t="str">
        <f aca="false">IF(C2106="","",IFERROR(INDEX(Products!$B$2:$B$501,MATCH(C2106,Products!$A$2:$A$501,0)),"CODE NOT FOUND"))</f>
        <v/>
      </c>
      <c r="E2106" s="7"/>
      <c r="F2106" s="13"/>
      <c r="G2106" s="13"/>
      <c r="H2106" s="17" t="str">
        <f aca="false">IF(OR(E2106="",F2106=""),"",E2106*F2106)</f>
        <v/>
      </c>
      <c r="I2106" s="17" t="str">
        <f aca="false">IF(OR(E2106="",G2106=""),"",E2106*G2106)</f>
        <v/>
      </c>
      <c r="J2106" s="17" t="str">
        <f aca="false">IF(H2106="","",H2106-I2106)</f>
        <v/>
      </c>
    </row>
    <row r="2107" customFormat="false" ht="15" hidden="false" customHeight="true" outlineLevel="0" collapsed="false">
      <c r="A2107" s="7"/>
      <c r="B2107" s="18" t="str">
        <f aca="false">IF(A2107="","",IFERROR(INDEX(Sales_Memo!$B$2:$B$1001,MATCH(A2107,Sales_Memo!$A$2:$A$1001,0)),""))</f>
        <v/>
      </c>
      <c r="C2107" s="7"/>
      <c r="D2107" s="16" t="str">
        <f aca="false">IF(C2107="","",IFERROR(INDEX(Products!$B$2:$B$501,MATCH(C2107,Products!$A$2:$A$501,0)),"CODE NOT FOUND"))</f>
        <v/>
      </c>
      <c r="E2107" s="7"/>
      <c r="F2107" s="13"/>
      <c r="G2107" s="13"/>
      <c r="H2107" s="17" t="str">
        <f aca="false">IF(OR(E2107="",F2107=""),"",E2107*F2107)</f>
        <v/>
      </c>
      <c r="I2107" s="17" t="str">
        <f aca="false">IF(OR(E2107="",G2107=""),"",E2107*G2107)</f>
        <v/>
      </c>
      <c r="J2107" s="17" t="str">
        <f aca="false">IF(H2107="","",H2107-I2107)</f>
        <v/>
      </c>
    </row>
    <row r="2108" customFormat="false" ht="15" hidden="false" customHeight="true" outlineLevel="0" collapsed="false">
      <c r="A2108" s="7"/>
      <c r="B2108" s="18" t="str">
        <f aca="false">IF(A2108="","",IFERROR(INDEX(Sales_Memo!$B$2:$B$1001,MATCH(A2108,Sales_Memo!$A$2:$A$1001,0)),""))</f>
        <v/>
      </c>
      <c r="C2108" s="7"/>
      <c r="D2108" s="16" t="str">
        <f aca="false">IF(C2108="","",IFERROR(INDEX(Products!$B$2:$B$501,MATCH(C2108,Products!$A$2:$A$501,0)),"CODE NOT FOUND"))</f>
        <v/>
      </c>
      <c r="E2108" s="7"/>
      <c r="F2108" s="13"/>
      <c r="G2108" s="13"/>
      <c r="H2108" s="17" t="str">
        <f aca="false">IF(OR(E2108="",F2108=""),"",E2108*F2108)</f>
        <v/>
      </c>
      <c r="I2108" s="17" t="str">
        <f aca="false">IF(OR(E2108="",G2108=""),"",E2108*G2108)</f>
        <v/>
      </c>
      <c r="J2108" s="17" t="str">
        <f aca="false">IF(H2108="","",H2108-I2108)</f>
        <v/>
      </c>
    </row>
    <row r="2109" customFormat="false" ht="15" hidden="false" customHeight="true" outlineLevel="0" collapsed="false">
      <c r="A2109" s="7"/>
      <c r="B2109" s="18" t="str">
        <f aca="false">IF(A2109="","",IFERROR(INDEX(Sales_Memo!$B$2:$B$1001,MATCH(A2109,Sales_Memo!$A$2:$A$1001,0)),""))</f>
        <v/>
      </c>
      <c r="C2109" s="7"/>
      <c r="D2109" s="16" t="str">
        <f aca="false">IF(C2109="","",IFERROR(INDEX(Products!$B$2:$B$501,MATCH(C2109,Products!$A$2:$A$501,0)),"CODE NOT FOUND"))</f>
        <v/>
      </c>
      <c r="E2109" s="7"/>
      <c r="F2109" s="13"/>
      <c r="G2109" s="13"/>
      <c r="H2109" s="17" t="str">
        <f aca="false">IF(OR(E2109="",F2109=""),"",E2109*F2109)</f>
        <v/>
      </c>
      <c r="I2109" s="17" t="str">
        <f aca="false">IF(OR(E2109="",G2109=""),"",E2109*G2109)</f>
        <v/>
      </c>
      <c r="J2109" s="17" t="str">
        <f aca="false">IF(H2109="","",H2109-I2109)</f>
        <v/>
      </c>
    </row>
    <row r="2110" customFormat="false" ht="15" hidden="false" customHeight="true" outlineLevel="0" collapsed="false">
      <c r="A2110" s="7"/>
      <c r="B2110" s="18" t="str">
        <f aca="false">IF(A2110="","",IFERROR(INDEX(Sales_Memo!$B$2:$B$1001,MATCH(A2110,Sales_Memo!$A$2:$A$1001,0)),""))</f>
        <v/>
      </c>
      <c r="C2110" s="7"/>
      <c r="D2110" s="16" t="str">
        <f aca="false">IF(C2110="","",IFERROR(INDEX(Products!$B$2:$B$501,MATCH(C2110,Products!$A$2:$A$501,0)),"CODE NOT FOUND"))</f>
        <v/>
      </c>
      <c r="E2110" s="7"/>
      <c r="F2110" s="13"/>
      <c r="G2110" s="13"/>
      <c r="H2110" s="17" t="str">
        <f aca="false">IF(OR(E2110="",F2110=""),"",E2110*F2110)</f>
        <v/>
      </c>
      <c r="I2110" s="17" t="str">
        <f aca="false">IF(OR(E2110="",G2110=""),"",E2110*G2110)</f>
        <v/>
      </c>
      <c r="J2110" s="17" t="str">
        <f aca="false">IF(H2110="","",H2110-I2110)</f>
        <v/>
      </c>
    </row>
    <row r="2111" customFormat="false" ht="15" hidden="false" customHeight="true" outlineLevel="0" collapsed="false">
      <c r="A2111" s="7"/>
      <c r="B2111" s="18" t="str">
        <f aca="false">IF(A2111="","",IFERROR(INDEX(Sales_Memo!$B$2:$B$1001,MATCH(A2111,Sales_Memo!$A$2:$A$1001,0)),""))</f>
        <v/>
      </c>
      <c r="C2111" s="7"/>
      <c r="D2111" s="16" t="str">
        <f aca="false">IF(C2111="","",IFERROR(INDEX(Products!$B$2:$B$501,MATCH(C2111,Products!$A$2:$A$501,0)),"CODE NOT FOUND"))</f>
        <v/>
      </c>
      <c r="E2111" s="7"/>
      <c r="F2111" s="13"/>
      <c r="G2111" s="13"/>
      <c r="H2111" s="17" t="str">
        <f aca="false">IF(OR(E2111="",F2111=""),"",E2111*F2111)</f>
        <v/>
      </c>
      <c r="I2111" s="17" t="str">
        <f aca="false">IF(OR(E2111="",G2111=""),"",E2111*G2111)</f>
        <v/>
      </c>
      <c r="J2111" s="17" t="str">
        <f aca="false">IF(H2111="","",H2111-I2111)</f>
        <v/>
      </c>
    </row>
    <row r="2112" customFormat="false" ht="15" hidden="false" customHeight="true" outlineLevel="0" collapsed="false">
      <c r="A2112" s="7"/>
      <c r="B2112" s="18" t="str">
        <f aca="false">IF(A2112="","",IFERROR(INDEX(Sales_Memo!$B$2:$B$1001,MATCH(A2112,Sales_Memo!$A$2:$A$1001,0)),""))</f>
        <v/>
      </c>
      <c r="C2112" s="7"/>
      <c r="D2112" s="16" t="str">
        <f aca="false">IF(C2112="","",IFERROR(INDEX(Products!$B$2:$B$501,MATCH(C2112,Products!$A$2:$A$501,0)),"CODE NOT FOUND"))</f>
        <v/>
      </c>
      <c r="E2112" s="7"/>
      <c r="F2112" s="13"/>
      <c r="G2112" s="13"/>
      <c r="H2112" s="17" t="str">
        <f aca="false">IF(OR(E2112="",F2112=""),"",E2112*F2112)</f>
        <v/>
      </c>
      <c r="I2112" s="17" t="str">
        <f aca="false">IF(OR(E2112="",G2112=""),"",E2112*G2112)</f>
        <v/>
      </c>
      <c r="J2112" s="17" t="str">
        <f aca="false">IF(H2112="","",H2112-I2112)</f>
        <v/>
      </c>
    </row>
    <row r="2113" customFormat="false" ht="15" hidden="false" customHeight="true" outlineLevel="0" collapsed="false">
      <c r="A2113" s="7"/>
      <c r="B2113" s="18" t="str">
        <f aca="false">IF(A2113="","",IFERROR(INDEX(Sales_Memo!$B$2:$B$1001,MATCH(A2113,Sales_Memo!$A$2:$A$1001,0)),""))</f>
        <v/>
      </c>
      <c r="C2113" s="7"/>
      <c r="D2113" s="16" t="str">
        <f aca="false">IF(C2113="","",IFERROR(INDEX(Products!$B$2:$B$501,MATCH(C2113,Products!$A$2:$A$501,0)),"CODE NOT FOUND"))</f>
        <v/>
      </c>
      <c r="E2113" s="7"/>
      <c r="F2113" s="13"/>
      <c r="G2113" s="13"/>
      <c r="H2113" s="17" t="str">
        <f aca="false">IF(OR(E2113="",F2113=""),"",E2113*F2113)</f>
        <v/>
      </c>
      <c r="I2113" s="17" t="str">
        <f aca="false">IF(OR(E2113="",G2113=""),"",E2113*G2113)</f>
        <v/>
      </c>
      <c r="J2113" s="17" t="str">
        <f aca="false">IF(H2113="","",H2113-I2113)</f>
        <v/>
      </c>
    </row>
    <row r="2114" customFormat="false" ht="15" hidden="false" customHeight="true" outlineLevel="0" collapsed="false">
      <c r="A2114" s="7"/>
      <c r="B2114" s="18" t="str">
        <f aca="false">IF(A2114="","",IFERROR(INDEX(Sales_Memo!$B$2:$B$1001,MATCH(A2114,Sales_Memo!$A$2:$A$1001,0)),""))</f>
        <v/>
      </c>
      <c r="C2114" s="7"/>
      <c r="D2114" s="16" t="str">
        <f aca="false">IF(C2114="","",IFERROR(INDEX(Products!$B$2:$B$501,MATCH(C2114,Products!$A$2:$A$501,0)),"CODE NOT FOUND"))</f>
        <v/>
      </c>
      <c r="E2114" s="7"/>
      <c r="F2114" s="13"/>
      <c r="G2114" s="13"/>
      <c r="H2114" s="17" t="str">
        <f aca="false">IF(OR(E2114="",F2114=""),"",E2114*F2114)</f>
        <v/>
      </c>
      <c r="I2114" s="17" t="str">
        <f aca="false">IF(OR(E2114="",G2114=""),"",E2114*G2114)</f>
        <v/>
      </c>
      <c r="J2114" s="17" t="str">
        <f aca="false">IF(H2114="","",H2114-I2114)</f>
        <v/>
      </c>
    </row>
    <row r="2115" customFormat="false" ht="15" hidden="false" customHeight="true" outlineLevel="0" collapsed="false">
      <c r="A2115" s="7"/>
      <c r="B2115" s="18" t="str">
        <f aca="false">IF(A2115="","",IFERROR(INDEX(Sales_Memo!$B$2:$B$1001,MATCH(A2115,Sales_Memo!$A$2:$A$1001,0)),""))</f>
        <v/>
      </c>
      <c r="C2115" s="7"/>
      <c r="D2115" s="16" t="str">
        <f aca="false">IF(C2115="","",IFERROR(INDEX(Products!$B$2:$B$501,MATCH(C2115,Products!$A$2:$A$501,0)),"CODE NOT FOUND"))</f>
        <v/>
      </c>
      <c r="E2115" s="7"/>
      <c r="F2115" s="13"/>
      <c r="G2115" s="13"/>
      <c r="H2115" s="17" t="str">
        <f aca="false">IF(OR(E2115="",F2115=""),"",E2115*F2115)</f>
        <v/>
      </c>
      <c r="I2115" s="17" t="str">
        <f aca="false">IF(OR(E2115="",G2115=""),"",E2115*G2115)</f>
        <v/>
      </c>
      <c r="J2115" s="17" t="str">
        <f aca="false">IF(H2115="","",H2115-I2115)</f>
        <v/>
      </c>
    </row>
    <row r="2116" customFormat="false" ht="15" hidden="false" customHeight="true" outlineLevel="0" collapsed="false">
      <c r="A2116" s="7"/>
      <c r="B2116" s="18" t="str">
        <f aca="false">IF(A2116="","",IFERROR(INDEX(Sales_Memo!$B$2:$B$1001,MATCH(A2116,Sales_Memo!$A$2:$A$1001,0)),""))</f>
        <v/>
      </c>
      <c r="C2116" s="7"/>
      <c r="D2116" s="16" t="str">
        <f aca="false">IF(C2116="","",IFERROR(INDEX(Products!$B$2:$B$501,MATCH(C2116,Products!$A$2:$A$501,0)),"CODE NOT FOUND"))</f>
        <v/>
      </c>
      <c r="E2116" s="7"/>
      <c r="F2116" s="13"/>
      <c r="G2116" s="13"/>
      <c r="H2116" s="17" t="str">
        <f aca="false">IF(OR(E2116="",F2116=""),"",E2116*F2116)</f>
        <v/>
      </c>
      <c r="I2116" s="17" t="str">
        <f aca="false">IF(OR(E2116="",G2116=""),"",E2116*G2116)</f>
        <v/>
      </c>
      <c r="J2116" s="17" t="str">
        <f aca="false">IF(H2116="","",H2116-I2116)</f>
        <v/>
      </c>
    </row>
    <row r="2117" customFormat="false" ht="15" hidden="false" customHeight="true" outlineLevel="0" collapsed="false">
      <c r="A2117" s="7"/>
      <c r="B2117" s="18" t="str">
        <f aca="false">IF(A2117="","",IFERROR(INDEX(Sales_Memo!$B$2:$B$1001,MATCH(A2117,Sales_Memo!$A$2:$A$1001,0)),""))</f>
        <v/>
      </c>
      <c r="C2117" s="7"/>
      <c r="D2117" s="16" t="str">
        <f aca="false">IF(C2117="","",IFERROR(INDEX(Products!$B$2:$B$501,MATCH(C2117,Products!$A$2:$A$501,0)),"CODE NOT FOUND"))</f>
        <v/>
      </c>
      <c r="E2117" s="7"/>
      <c r="F2117" s="13"/>
      <c r="G2117" s="13"/>
      <c r="H2117" s="17" t="str">
        <f aca="false">IF(OR(E2117="",F2117=""),"",E2117*F2117)</f>
        <v/>
      </c>
      <c r="I2117" s="17" t="str">
        <f aca="false">IF(OR(E2117="",G2117=""),"",E2117*G2117)</f>
        <v/>
      </c>
      <c r="J2117" s="17" t="str">
        <f aca="false">IF(H2117="","",H2117-I2117)</f>
        <v/>
      </c>
    </row>
    <row r="2118" customFormat="false" ht="15" hidden="false" customHeight="true" outlineLevel="0" collapsed="false">
      <c r="A2118" s="7"/>
      <c r="B2118" s="18" t="str">
        <f aca="false">IF(A2118="","",IFERROR(INDEX(Sales_Memo!$B$2:$B$1001,MATCH(A2118,Sales_Memo!$A$2:$A$1001,0)),""))</f>
        <v/>
      </c>
      <c r="C2118" s="7"/>
      <c r="D2118" s="16" t="str">
        <f aca="false">IF(C2118="","",IFERROR(INDEX(Products!$B$2:$B$501,MATCH(C2118,Products!$A$2:$A$501,0)),"CODE NOT FOUND"))</f>
        <v/>
      </c>
      <c r="E2118" s="7"/>
      <c r="F2118" s="13"/>
      <c r="G2118" s="13"/>
      <c r="H2118" s="17" t="str">
        <f aca="false">IF(OR(E2118="",F2118=""),"",E2118*F2118)</f>
        <v/>
      </c>
      <c r="I2118" s="17" t="str">
        <f aca="false">IF(OR(E2118="",G2118=""),"",E2118*G2118)</f>
        <v/>
      </c>
      <c r="J2118" s="17" t="str">
        <f aca="false">IF(H2118="","",H2118-I2118)</f>
        <v/>
      </c>
    </row>
    <row r="2119" customFormat="false" ht="15" hidden="false" customHeight="true" outlineLevel="0" collapsed="false">
      <c r="A2119" s="7"/>
      <c r="B2119" s="18" t="str">
        <f aca="false">IF(A2119="","",IFERROR(INDEX(Sales_Memo!$B$2:$B$1001,MATCH(A2119,Sales_Memo!$A$2:$A$1001,0)),""))</f>
        <v/>
      </c>
      <c r="C2119" s="7"/>
      <c r="D2119" s="16" t="str">
        <f aca="false">IF(C2119="","",IFERROR(INDEX(Products!$B$2:$B$501,MATCH(C2119,Products!$A$2:$A$501,0)),"CODE NOT FOUND"))</f>
        <v/>
      </c>
      <c r="E2119" s="7"/>
      <c r="F2119" s="13"/>
      <c r="G2119" s="13"/>
      <c r="H2119" s="17" t="str">
        <f aca="false">IF(OR(E2119="",F2119=""),"",E2119*F2119)</f>
        <v/>
      </c>
      <c r="I2119" s="17" t="str">
        <f aca="false">IF(OR(E2119="",G2119=""),"",E2119*G2119)</f>
        <v/>
      </c>
      <c r="J2119" s="17" t="str">
        <f aca="false">IF(H2119="","",H2119-I2119)</f>
        <v/>
      </c>
    </row>
    <row r="2120" customFormat="false" ht="15" hidden="false" customHeight="true" outlineLevel="0" collapsed="false">
      <c r="A2120" s="7"/>
      <c r="B2120" s="18" t="str">
        <f aca="false">IF(A2120="","",IFERROR(INDEX(Sales_Memo!$B$2:$B$1001,MATCH(A2120,Sales_Memo!$A$2:$A$1001,0)),""))</f>
        <v/>
      </c>
      <c r="C2120" s="7"/>
      <c r="D2120" s="16" t="str">
        <f aca="false">IF(C2120="","",IFERROR(INDEX(Products!$B$2:$B$501,MATCH(C2120,Products!$A$2:$A$501,0)),"CODE NOT FOUND"))</f>
        <v/>
      </c>
      <c r="E2120" s="7"/>
      <c r="F2120" s="13"/>
      <c r="G2120" s="13"/>
      <c r="H2120" s="17" t="str">
        <f aca="false">IF(OR(E2120="",F2120=""),"",E2120*F2120)</f>
        <v/>
      </c>
      <c r="I2120" s="17" t="str">
        <f aca="false">IF(OR(E2120="",G2120=""),"",E2120*G2120)</f>
        <v/>
      </c>
      <c r="J2120" s="17" t="str">
        <f aca="false">IF(H2120="","",H2120-I2120)</f>
        <v/>
      </c>
    </row>
    <row r="2121" customFormat="false" ht="15" hidden="false" customHeight="true" outlineLevel="0" collapsed="false">
      <c r="A2121" s="7"/>
      <c r="B2121" s="18" t="str">
        <f aca="false">IF(A2121="","",IFERROR(INDEX(Sales_Memo!$B$2:$B$1001,MATCH(A2121,Sales_Memo!$A$2:$A$1001,0)),""))</f>
        <v/>
      </c>
      <c r="C2121" s="7"/>
      <c r="D2121" s="16" t="str">
        <f aca="false">IF(C2121="","",IFERROR(INDEX(Products!$B$2:$B$501,MATCH(C2121,Products!$A$2:$A$501,0)),"CODE NOT FOUND"))</f>
        <v/>
      </c>
      <c r="E2121" s="7"/>
      <c r="F2121" s="13"/>
      <c r="G2121" s="13"/>
      <c r="H2121" s="17" t="str">
        <f aca="false">IF(OR(E2121="",F2121=""),"",E2121*F2121)</f>
        <v/>
      </c>
      <c r="I2121" s="17" t="str">
        <f aca="false">IF(OR(E2121="",G2121=""),"",E2121*G2121)</f>
        <v/>
      </c>
      <c r="J2121" s="17" t="str">
        <f aca="false">IF(H2121="","",H2121-I2121)</f>
        <v/>
      </c>
    </row>
    <row r="2122" customFormat="false" ht="15" hidden="false" customHeight="true" outlineLevel="0" collapsed="false">
      <c r="A2122" s="7"/>
      <c r="B2122" s="18" t="str">
        <f aca="false">IF(A2122="","",IFERROR(INDEX(Sales_Memo!$B$2:$B$1001,MATCH(A2122,Sales_Memo!$A$2:$A$1001,0)),""))</f>
        <v/>
      </c>
      <c r="C2122" s="7"/>
      <c r="D2122" s="16" t="str">
        <f aca="false">IF(C2122="","",IFERROR(INDEX(Products!$B$2:$B$501,MATCH(C2122,Products!$A$2:$A$501,0)),"CODE NOT FOUND"))</f>
        <v/>
      </c>
      <c r="E2122" s="7"/>
      <c r="F2122" s="13"/>
      <c r="G2122" s="13"/>
      <c r="H2122" s="17" t="str">
        <f aca="false">IF(OR(E2122="",F2122=""),"",E2122*F2122)</f>
        <v/>
      </c>
      <c r="I2122" s="17" t="str">
        <f aca="false">IF(OR(E2122="",G2122=""),"",E2122*G2122)</f>
        <v/>
      </c>
      <c r="J2122" s="17" t="str">
        <f aca="false">IF(H2122="","",H2122-I2122)</f>
        <v/>
      </c>
    </row>
    <row r="2123" customFormat="false" ht="15" hidden="false" customHeight="true" outlineLevel="0" collapsed="false">
      <c r="A2123" s="7"/>
      <c r="B2123" s="18" t="str">
        <f aca="false">IF(A2123="","",IFERROR(INDEX(Sales_Memo!$B$2:$B$1001,MATCH(A2123,Sales_Memo!$A$2:$A$1001,0)),""))</f>
        <v/>
      </c>
      <c r="C2123" s="7"/>
      <c r="D2123" s="16" t="str">
        <f aca="false">IF(C2123="","",IFERROR(INDEX(Products!$B$2:$B$501,MATCH(C2123,Products!$A$2:$A$501,0)),"CODE NOT FOUND"))</f>
        <v/>
      </c>
      <c r="E2123" s="7"/>
      <c r="F2123" s="13"/>
      <c r="G2123" s="13"/>
      <c r="H2123" s="17" t="str">
        <f aca="false">IF(OR(E2123="",F2123=""),"",E2123*F2123)</f>
        <v/>
      </c>
      <c r="I2123" s="17" t="str">
        <f aca="false">IF(OR(E2123="",G2123=""),"",E2123*G2123)</f>
        <v/>
      </c>
      <c r="J2123" s="17" t="str">
        <f aca="false">IF(H2123="","",H2123-I2123)</f>
        <v/>
      </c>
    </row>
    <row r="2124" customFormat="false" ht="15" hidden="false" customHeight="true" outlineLevel="0" collapsed="false">
      <c r="A2124" s="7"/>
      <c r="B2124" s="18" t="str">
        <f aca="false">IF(A2124="","",IFERROR(INDEX(Sales_Memo!$B$2:$B$1001,MATCH(A2124,Sales_Memo!$A$2:$A$1001,0)),""))</f>
        <v/>
      </c>
      <c r="C2124" s="7"/>
      <c r="D2124" s="16" t="str">
        <f aca="false">IF(C2124="","",IFERROR(INDEX(Products!$B$2:$B$501,MATCH(C2124,Products!$A$2:$A$501,0)),"CODE NOT FOUND"))</f>
        <v/>
      </c>
      <c r="E2124" s="7"/>
      <c r="F2124" s="13"/>
      <c r="G2124" s="13"/>
      <c r="H2124" s="17" t="str">
        <f aca="false">IF(OR(E2124="",F2124=""),"",E2124*F2124)</f>
        <v/>
      </c>
      <c r="I2124" s="17" t="str">
        <f aca="false">IF(OR(E2124="",G2124=""),"",E2124*G2124)</f>
        <v/>
      </c>
      <c r="J2124" s="17" t="str">
        <f aca="false">IF(H2124="","",H2124-I2124)</f>
        <v/>
      </c>
    </row>
    <row r="2125" customFormat="false" ht="15" hidden="false" customHeight="true" outlineLevel="0" collapsed="false">
      <c r="A2125" s="7"/>
      <c r="B2125" s="18" t="str">
        <f aca="false">IF(A2125="","",IFERROR(INDEX(Sales_Memo!$B$2:$B$1001,MATCH(A2125,Sales_Memo!$A$2:$A$1001,0)),""))</f>
        <v/>
      </c>
      <c r="C2125" s="7"/>
      <c r="D2125" s="16" t="str">
        <f aca="false">IF(C2125="","",IFERROR(INDEX(Products!$B$2:$B$501,MATCH(C2125,Products!$A$2:$A$501,0)),"CODE NOT FOUND"))</f>
        <v/>
      </c>
      <c r="E2125" s="7"/>
      <c r="F2125" s="13"/>
      <c r="G2125" s="13"/>
      <c r="H2125" s="17" t="str">
        <f aca="false">IF(OR(E2125="",F2125=""),"",E2125*F2125)</f>
        <v/>
      </c>
      <c r="I2125" s="17" t="str">
        <f aca="false">IF(OR(E2125="",G2125=""),"",E2125*G2125)</f>
        <v/>
      </c>
      <c r="J2125" s="17" t="str">
        <f aca="false">IF(H2125="","",H2125-I2125)</f>
        <v/>
      </c>
    </row>
    <row r="2126" customFormat="false" ht="15" hidden="false" customHeight="true" outlineLevel="0" collapsed="false">
      <c r="A2126" s="7"/>
      <c r="B2126" s="18" t="str">
        <f aca="false">IF(A2126="","",IFERROR(INDEX(Sales_Memo!$B$2:$B$1001,MATCH(A2126,Sales_Memo!$A$2:$A$1001,0)),""))</f>
        <v/>
      </c>
      <c r="C2126" s="7"/>
      <c r="D2126" s="16" t="str">
        <f aca="false">IF(C2126="","",IFERROR(INDEX(Products!$B$2:$B$501,MATCH(C2126,Products!$A$2:$A$501,0)),"CODE NOT FOUND"))</f>
        <v/>
      </c>
      <c r="E2126" s="7"/>
      <c r="F2126" s="13"/>
      <c r="G2126" s="13"/>
      <c r="H2126" s="17" t="str">
        <f aca="false">IF(OR(E2126="",F2126=""),"",E2126*F2126)</f>
        <v/>
      </c>
      <c r="I2126" s="17" t="str">
        <f aca="false">IF(OR(E2126="",G2126=""),"",E2126*G2126)</f>
        <v/>
      </c>
      <c r="J2126" s="17" t="str">
        <f aca="false">IF(H2126="","",H2126-I2126)</f>
        <v/>
      </c>
    </row>
    <row r="2127" customFormat="false" ht="15" hidden="false" customHeight="true" outlineLevel="0" collapsed="false">
      <c r="A2127" s="7"/>
      <c r="B2127" s="18" t="str">
        <f aca="false">IF(A2127="","",IFERROR(INDEX(Sales_Memo!$B$2:$B$1001,MATCH(A2127,Sales_Memo!$A$2:$A$1001,0)),""))</f>
        <v/>
      </c>
      <c r="C2127" s="7"/>
      <c r="D2127" s="16" t="str">
        <f aca="false">IF(C2127="","",IFERROR(INDEX(Products!$B$2:$B$501,MATCH(C2127,Products!$A$2:$A$501,0)),"CODE NOT FOUND"))</f>
        <v/>
      </c>
      <c r="E2127" s="7"/>
      <c r="F2127" s="13"/>
      <c r="G2127" s="13"/>
      <c r="H2127" s="17" t="str">
        <f aca="false">IF(OR(E2127="",F2127=""),"",E2127*F2127)</f>
        <v/>
      </c>
      <c r="I2127" s="17" t="str">
        <f aca="false">IF(OR(E2127="",G2127=""),"",E2127*G2127)</f>
        <v/>
      </c>
      <c r="J2127" s="17" t="str">
        <f aca="false">IF(H2127="","",H2127-I2127)</f>
        <v/>
      </c>
    </row>
    <row r="2128" customFormat="false" ht="15" hidden="false" customHeight="true" outlineLevel="0" collapsed="false">
      <c r="A2128" s="7"/>
      <c r="B2128" s="18" t="str">
        <f aca="false">IF(A2128="","",IFERROR(INDEX(Sales_Memo!$B$2:$B$1001,MATCH(A2128,Sales_Memo!$A$2:$A$1001,0)),""))</f>
        <v/>
      </c>
      <c r="C2128" s="7"/>
      <c r="D2128" s="16" t="str">
        <f aca="false">IF(C2128="","",IFERROR(INDEX(Products!$B$2:$B$501,MATCH(C2128,Products!$A$2:$A$501,0)),"CODE NOT FOUND"))</f>
        <v/>
      </c>
      <c r="E2128" s="7"/>
      <c r="F2128" s="13"/>
      <c r="G2128" s="13"/>
      <c r="H2128" s="17" t="str">
        <f aca="false">IF(OR(E2128="",F2128=""),"",E2128*F2128)</f>
        <v/>
      </c>
      <c r="I2128" s="17" t="str">
        <f aca="false">IF(OR(E2128="",G2128=""),"",E2128*G2128)</f>
        <v/>
      </c>
      <c r="J2128" s="17" t="str">
        <f aca="false">IF(H2128="","",H2128-I2128)</f>
        <v/>
      </c>
    </row>
    <row r="2129" customFormat="false" ht="15" hidden="false" customHeight="true" outlineLevel="0" collapsed="false">
      <c r="A2129" s="7"/>
      <c r="B2129" s="18" t="str">
        <f aca="false">IF(A2129="","",IFERROR(INDEX(Sales_Memo!$B$2:$B$1001,MATCH(A2129,Sales_Memo!$A$2:$A$1001,0)),""))</f>
        <v/>
      </c>
      <c r="C2129" s="7"/>
      <c r="D2129" s="16" t="str">
        <f aca="false">IF(C2129="","",IFERROR(INDEX(Products!$B$2:$B$501,MATCH(C2129,Products!$A$2:$A$501,0)),"CODE NOT FOUND"))</f>
        <v/>
      </c>
      <c r="E2129" s="7"/>
      <c r="F2129" s="13"/>
      <c r="G2129" s="13"/>
      <c r="H2129" s="17" t="str">
        <f aca="false">IF(OR(E2129="",F2129=""),"",E2129*F2129)</f>
        <v/>
      </c>
      <c r="I2129" s="17" t="str">
        <f aca="false">IF(OR(E2129="",G2129=""),"",E2129*G2129)</f>
        <v/>
      </c>
      <c r="J2129" s="17" t="str">
        <f aca="false">IF(H2129="","",H2129-I2129)</f>
        <v/>
      </c>
    </row>
    <row r="2130" customFormat="false" ht="15" hidden="false" customHeight="true" outlineLevel="0" collapsed="false">
      <c r="A2130" s="7"/>
      <c r="B2130" s="18" t="str">
        <f aca="false">IF(A2130="","",IFERROR(INDEX(Sales_Memo!$B$2:$B$1001,MATCH(A2130,Sales_Memo!$A$2:$A$1001,0)),""))</f>
        <v/>
      </c>
      <c r="C2130" s="7"/>
      <c r="D2130" s="16" t="str">
        <f aca="false">IF(C2130="","",IFERROR(INDEX(Products!$B$2:$B$501,MATCH(C2130,Products!$A$2:$A$501,0)),"CODE NOT FOUND"))</f>
        <v/>
      </c>
      <c r="E2130" s="7"/>
      <c r="F2130" s="13"/>
      <c r="G2130" s="13"/>
      <c r="H2130" s="17" t="str">
        <f aca="false">IF(OR(E2130="",F2130=""),"",E2130*F2130)</f>
        <v/>
      </c>
      <c r="I2130" s="17" t="str">
        <f aca="false">IF(OR(E2130="",G2130=""),"",E2130*G2130)</f>
        <v/>
      </c>
      <c r="J2130" s="17" t="str">
        <f aca="false">IF(H2130="","",H2130-I2130)</f>
        <v/>
      </c>
    </row>
    <row r="2131" customFormat="false" ht="15" hidden="false" customHeight="true" outlineLevel="0" collapsed="false">
      <c r="A2131" s="7"/>
      <c r="B2131" s="18" t="str">
        <f aca="false">IF(A2131="","",IFERROR(INDEX(Sales_Memo!$B$2:$B$1001,MATCH(A2131,Sales_Memo!$A$2:$A$1001,0)),""))</f>
        <v/>
      </c>
      <c r="C2131" s="7"/>
      <c r="D2131" s="16" t="str">
        <f aca="false">IF(C2131="","",IFERROR(INDEX(Products!$B$2:$B$501,MATCH(C2131,Products!$A$2:$A$501,0)),"CODE NOT FOUND"))</f>
        <v/>
      </c>
      <c r="E2131" s="7"/>
      <c r="F2131" s="13"/>
      <c r="G2131" s="13"/>
      <c r="H2131" s="17" t="str">
        <f aca="false">IF(OR(E2131="",F2131=""),"",E2131*F2131)</f>
        <v/>
      </c>
      <c r="I2131" s="17" t="str">
        <f aca="false">IF(OR(E2131="",G2131=""),"",E2131*G2131)</f>
        <v/>
      </c>
      <c r="J2131" s="17" t="str">
        <f aca="false">IF(H2131="","",H2131-I2131)</f>
        <v/>
      </c>
    </row>
    <row r="2132" customFormat="false" ht="15" hidden="false" customHeight="true" outlineLevel="0" collapsed="false">
      <c r="A2132" s="7"/>
      <c r="B2132" s="18" t="str">
        <f aca="false">IF(A2132="","",IFERROR(INDEX(Sales_Memo!$B$2:$B$1001,MATCH(A2132,Sales_Memo!$A$2:$A$1001,0)),""))</f>
        <v/>
      </c>
      <c r="C2132" s="7"/>
      <c r="D2132" s="16" t="str">
        <f aca="false">IF(C2132="","",IFERROR(INDEX(Products!$B$2:$B$501,MATCH(C2132,Products!$A$2:$A$501,0)),"CODE NOT FOUND"))</f>
        <v/>
      </c>
      <c r="E2132" s="7"/>
      <c r="F2132" s="13"/>
      <c r="G2132" s="13"/>
      <c r="H2132" s="17" t="str">
        <f aca="false">IF(OR(E2132="",F2132=""),"",E2132*F2132)</f>
        <v/>
      </c>
      <c r="I2132" s="17" t="str">
        <f aca="false">IF(OR(E2132="",G2132=""),"",E2132*G2132)</f>
        <v/>
      </c>
      <c r="J2132" s="17" t="str">
        <f aca="false">IF(H2132="","",H2132-I2132)</f>
        <v/>
      </c>
    </row>
    <row r="2133" customFormat="false" ht="15" hidden="false" customHeight="true" outlineLevel="0" collapsed="false">
      <c r="A2133" s="7"/>
      <c r="B2133" s="18" t="str">
        <f aca="false">IF(A2133="","",IFERROR(INDEX(Sales_Memo!$B$2:$B$1001,MATCH(A2133,Sales_Memo!$A$2:$A$1001,0)),""))</f>
        <v/>
      </c>
      <c r="C2133" s="7"/>
      <c r="D2133" s="16" t="str">
        <f aca="false">IF(C2133="","",IFERROR(INDEX(Products!$B$2:$B$501,MATCH(C2133,Products!$A$2:$A$501,0)),"CODE NOT FOUND"))</f>
        <v/>
      </c>
      <c r="E2133" s="7"/>
      <c r="F2133" s="13"/>
      <c r="G2133" s="13"/>
      <c r="H2133" s="17" t="str">
        <f aca="false">IF(OR(E2133="",F2133=""),"",E2133*F2133)</f>
        <v/>
      </c>
      <c r="I2133" s="17" t="str">
        <f aca="false">IF(OR(E2133="",G2133=""),"",E2133*G2133)</f>
        <v/>
      </c>
      <c r="J2133" s="17" t="str">
        <f aca="false">IF(H2133="","",H2133-I2133)</f>
        <v/>
      </c>
    </row>
    <row r="2134" customFormat="false" ht="15" hidden="false" customHeight="true" outlineLevel="0" collapsed="false">
      <c r="A2134" s="7"/>
      <c r="B2134" s="18" t="str">
        <f aca="false">IF(A2134="","",IFERROR(INDEX(Sales_Memo!$B$2:$B$1001,MATCH(A2134,Sales_Memo!$A$2:$A$1001,0)),""))</f>
        <v/>
      </c>
      <c r="C2134" s="7"/>
      <c r="D2134" s="16" t="str">
        <f aca="false">IF(C2134="","",IFERROR(INDEX(Products!$B$2:$B$501,MATCH(C2134,Products!$A$2:$A$501,0)),"CODE NOT FOUND"))</f>
        <v/>
      </c>
      <c r="E2134" s="7"/>
      <c r="F2134" s="13"/>
      <c r="G2134" s="13"/>
      <c r="H2134" s="17" t="str">
        <f aca="false">IF(OR(E2134="",F2134=""),"",E2134*F2134)</f>
        <v/>
      </c>
      <c r="I2134" s="17" t="str">
        <f aca="false">IF(OR(E2134="",G2134=""),"",E2134*G2134)</f>
        <v/>
      </c>
      <c r="J2134" s="17" t="str">
        <f aca="false">IF(H2134="","",H2134-I2134)</f>
        <v/>
      </c>
    </row>
    <row r="2135" customFormat="false" ht="15" hidden="false" customHeight="true" outlineLevel="0" collapsed="false">
      <c r="A2135" s="7"/>
      <c r="B2135" s="18" t="str">
        <f aca="false">IF(A2135="","",IFERROR(INDEX(Sales_Memo!$B$2:$B$1001,MATCH(A2135,Sales_Memo!$A$2:$A$1001,0)),""))</f>
        <v/>
      </c>
      <c r="C2135" s="7"/>
      <c r="D2135" s="16" t="str">
        <f aca="false">IF(C2135="","",IFERROR(INDEX(Products!$B$2:$B$501,MATCH(C2135,Products!$A$2:$A$501,0)),"CODE NOT FOUND"))</f>
        <v/>
      </c>
      <c r="E2135" s="7"/>
      <c r="F2135" s="13"/>
      <c r="G2135" s="13"/>
      <c r="H2135" s="17" t="str">
        <f aca="false">IF(OR(E2135="",F2135=""),"",E2135*F2135)</f>
        <v/>
      </c>
      <c r="I2135" s="17" t="str">
        <f aca="false">IF(OR(E2135="",G2135=""),"",E2135*G2135)</f>
        <v/>
      </c>
      <c r="J2135" s="17" t="str">
        <f aca="false">IF(H2135="","",H2135-I2135)</f>
        <v/>
      </c>
    </row>
    <row r="2136" customFormat="false" ht="15" hidden="false" customHeight="true" outlineLevel="0" collapsed="false">
      <c r="A2136" s="7"/>
      <c r="B2136" s="18" t="str">
        <f aca="false">IF(A2136="","",IFERROR(INDEX(Sales_Memo!$B$2:$B$1001,MATCH(A2136,Sales_Memo!$A$2:$A$1001,0)),""))</f>
        <v/>
      </c>
      <c r="C2136" s="7"/>
      <c r="D2136" s="16" t="str">
        <f aca="false">IF(C2136="","",IFERROR(INDEX(Products!$B$2:$B$501,MATCH(C2136,Products!$A$2:$A$501,0)),"CODE NOT FOUND"))</f>
        <v/>
      </c>
      <c r="E2136" s="7"/>
      <c r="F2136" s="13"/>
      <c r="G2136" s="13"/>
      <c r="H2136" s="17" t="str">
        <f aca="false">IF(OR(E2136="",F2136=""),"",E2136*F2136)</f>
        <v/>
      </c>
      <c r="I2136" s="17" t="str">
        <f aca="false">IF(OR(E2136="",G2136=""),"",E2136*G2136)</f>
        <v/>
      </c>
      <c r="J2136" s="17" t="str">
        <f aca="false">IF(H2136="","",H2136-I2136)</f>
        <v/>
      </c>
    </row>
    <row r="2137" customFormat="false" ht="15" hidden="false" customHeight="true" outlineLevel="0" collapsed="false">
      <c r="A2137" s="7"/>
      <c r="B2137" s="18" t="str">
        <f aca="false">IF(A2137="","",IFERROR(INDEX(Sales_Memo!$B$2:$B$1001,MATCH(A2137,Sales_Memo!$A$2:$A$1001,0)),""))</f>
        <v/>
      </c>
      <c r="C2137" s="7"/>
      <c r="D2137" s="16" t="str">
        <f aca="false">IF(C2137="","",IFERROR(INDEX(Products!$B$2:$B$501,MATCH(C2137,Products!$A$2:$A$501,0)),"CODE NOT FOUND"))</f>
        <v/>
      </c>
      <c r="E2137" s="7"/>
      <c r="F2137" s="13"/>
      <c r="G2137" s="13"/>
      <c r="H2137" s="17" t="str">
        <f aca="false">IF(OR(E2137="",F2137=""),"",E2137*F2137)</f>
        <v/>
      </c>
      <c r="I2137" s="17" t="str">
        <f aca="false">IF(OR(E2137="",G2137=""),"",E2137*G2137)</f>
        <v/>
      </c>
      <c r="J2137" s="17" t="str">
        <f aca="false">IF(H2137="","",H2137-I2137)</f>
        <v/>
      </c>
    </row>
    <row r="2138" customFormat="false" ht="15" hidden="false" customHeight="true" outlineLevel="0" collapsed="false">
      <c r="A2138" s="7"/>
      <c r="B2138" s="18" t="str">
        <f aca="false">IF(A2138="","",IFERROR(INDEX(Sales_Memo!$B$2:$B$1001,MATCH(A2138,Sales_Memo!$A$2:$A$1001,0)),""))</f>
        <v/>
      </c>
      <c r="C2138" s="7"/>
      <c r="D2138" s="16" t="str">
        <f aca="false">IF(C2138="","",IFERROR(INDEX(Products!$B$2:$B$501,MATCH(C2138,Products!$A$2:$A$501,0)),"CODE NOT FOUND"))</f>
        <v/>
      </c>
      <c r="E2138" s="7"/>
      <c r="F2138" s="13"/>
      <c r="G2138" s="13"/>
      <c r="H2138" s="17" t="str">
        <f aca="false">IF(OR(E2138="",F2138=""),"",E2138*F2138)</f>
        <v/>
      </c>
      <c r="I2138" s="17" t="str">
        <f aca="false">IF(OR(E2138="",G2138=""),"",E2138*G2138)</f>
        <v/>
      </c>
      <c r="J2138" s="17" t="str">
        <f aca="false">IF(H2138="","",H2138-I2138)</f>
        <v/>
      </c>
    </row>
    <row r="2139" customFormat="false" ht="15" hidden="false" customHeight="true" outlineLevel="0" collapsed="false">
      <c r="A2139" s="7"/>
      <c r="B2139" s="18" t="str">
        <f aca="false">IF(A2139="","",IFERROR(INDEX(Sales_Memo!$B$2:$B$1001,MATCH(A2139,Sales_Memo!$A$2:$A$1001,0)),""))</f>
        <v/>
      </c>
      <c r="C2139" s="7"/>
      <c r="D2139" s="16" t="str">
        <f aca="false">IF(C2139="","",IFERROR(INDEX(Products!$B$2:$B$501,MATCH(C2139,Products!$A$2:$A$501,0)),"CODE NOT FOUND"))</f>
        <v/>
      </c>
      <c r="E2139" s="7"/>
      <c r="F2139" s="13"/>
      <c r="G2139" s="13"/>
      <c r="H2139" s="17" t="str">
        <f aca="false">IF(OR(E2139="",F2139=""),"",E2139*F2139)</f>
        <v/>
      </c>
      <c r="I2139" s="17" t="str">
        <f aca="false">IF(OR(E2139="",G2139=""),"",E2139*G2139)</f>
        <v/>
      </c>
      <c r="J2139" s="17" t="str">
        <f aca="false">IF(H2139="","",H2139-I2139)</f>
        <v/>
      </c>
    </row>
    <row r="2140" customFormat="false" ht="15" hidden="false" customHeight="true" outlineLevel="0" collapsed="false">
      <c r="A2140" s="7"/>
      <c r="B2140" s="18" t="str">
        <f aca="false">IF(A2140="","",IFERROR(INDEX(Sales_Memo!$B$2:$B$1001,MATCH(A2140,Sales_Memo!$A$2:$A$1001,0)),""))</f>
        <v/>
      </c>
      <c r="C2140" s="7"/>
      <c r="D2140" s="16" t="str">
        <f aca="false">IF(C2140="","",IFERROR(INDEX(Products!$B$2:$B$501,MATCH(C2140,Products!$A$2:$A$501,0)),"CODE NOT FOUND"))</f>
        <v/>
      </c>
      <c r="E2140" s="7"/>
      <c r="F2140" s="13"/>
      <c r="G2140" s="13"/>
      <c r="H2140" s="17" t="str">
        <f aca="false">IF(OR(E2140="",F2140=""),"",E2140*F2140)</f>
        <v/>
      </c>
      <c r="I2140" s="17" t="str">
        <f aca="false">IF(OR(E2140="",G2140=""),"",E2140*G2140)</f>
        <v/>
      </c>
      <c r="J2140" s="17" t="str">
        <f aca="false">IF(H2140="","",H2140-I2140)</f>
        <v/>
      </c>
    </row>
    <row r="2141" customFormat="false" ht="15" hidden="false" customHeight="true" outlineLevel="0" collapsed="false">
      <c r="A2141" s="7"/>
      <c r="B2141" s="18" t="str">
        <f aca="false">IF(A2141="","",IFERROR(INDEX(Sales_Memo!$B$2:$B$1001,MATCH(A2141,Sales_Memo!$A$2:$A$1001,0)),""))</f>
        <v/>
      </c>
      <c r="C2141" s="7"/>
      <c r="D2141" s="16" t="str">
        <f aca="false">IF(C2141="","",IFERROR(INDEX(Products!$B$2:$B$501,MATCH(C2141,Products!$A$2:$A$501,0)),"CODE NOT FOUND"))</f>
        <v/>
      </c>
      <c r="E2141" s="7"/>
      <c r="F2141" s="13"/>
      <c r="G2141" s="13"/>
      <c r="H2141" s="17" t="str">
        <f aca="false">IF(OR(E2141="",F2141=""),"",E2141*F2141)</f>
        <v/>
      </c>
      <c r="I2141" s="17" t="str">
        <f aca="false">IF(OR(E2141="",G2141=""),"",E2141*G2141)</f>
        <v/>
      </c>
      <c r="J2141" s="17" t="str">
        <f aca="false">IF(H2141="","",H2141-I2141)</f>
        <v/>
      </c>
    </row>
    <row r="2142" customFormat="false" ht="15" hidden="false" customHeight="true" outlineLevel="0" collapsed="false">
      <c r="A2142" s="7"/>
      <c r="B2142" s="18" t="str">
        <f aca="false">IF(A2142="","",IFERROR(INDEX(Sales_Memo!$B$2:$B$1001,MATCH(A2142,Sales_Memo!$A$2:$A$1001,0)),""))</f>
        <v/>
      </c>
      <c r="C2142" s="7"/>
      <c r="D2142" s="16" t="str">
        <f aca="false">IF(C2142="","",IFERROR(INDEX(Products!$B$2:$B$501,MATCH(C2142,Products!$A$2:$A$501,0)),"CODE NOT FOUND"))</f>
        <v/>
      </c>
      <c r="E2142" s="7"/>
      <c r="F2142" s="13"/>
      <c r="G2142" s="13"/>
      <c r="H2142" s="17" t="str">
        <f aca="false">IF(OR(E2142="",F2142=""),"",E2142*F2142)</f>
        <v/>
      </c>
      <c r="I2142" s="17" t="str">
        <f aca="false">IF(OR(E2142="",G2142=""),"",E2142*G2142)</f>
        <v/>
      </c>
      <c r="J2142" s="17" t="str">
        <f aca="false">IF(H2142="","",H2142-I2142)</f>
        <v/>
      </c>
    </row>
    <row r="2143" customFormat="false" ht="15" hidden="false" customHeight="true" outlineLevel="0" collapsed="false">
      <c r="A2143" s="7"/>
      <c r="B2143" s="18" t="str">
        <f aca="false">IF(A2143="","",IFERROR(INDEX(Sales_Memo!$B$2:$B$1001,MATCH(A2143,Sales_Memo!$A$2:$A$1001,0)),""))</f>
        <v/>
      </c>
      <c r="C2143" s="7"/>
      <c r="D2143" s="16" t="str">
        <f aca="false">IF(C2143="","",IFERROR(INDEX(Products!$B$2:$B$501,MATCH(C2143,Products!$A$2:$A$501,0)),"CODE NOT FOUND"))</f>
        <v/>
      </c>
      <c r="E2143" s="7"/>
      <c r="F2143" s="13"/>
      <c r="G2143" s="13"/>
      <c r="H2143" s="17" t="str">
        <f aca="false">IF(OR(E2143="",F2143=""),"",E2143*F2143)</f>
        <v/>
      </c>
      <c r="I2143" s="17" t="str">
        <f aca="false">IF(OR(E2143="",G2143=""),"",E2143*G2143)</f>
        <v/>
      </c>
      <c r="J2143" s="17" t="str">
        <f aca="false">IF(H2143="","",H2143-I2143)</f>
        <v/>
      </c>
    </row>
    <row r="2144" customFormat="false" ht="15" hidden="false" customHeight="true" outlineLevel="0" collapsed="false">
      <c r="A2144" s="7"/>
      <c r="B2144" s="18" t="str">
        <f aca="false">IF(A2144="","",IFERROR(INDEX(Sales_Memo!$B$2:$B$1001,MATCH(A2144,Sales_Memo!$A$2:$A$1001,0)),""))</f>
        <v/>
      </c>
      <c r="C2144" s="7"/>
      <c r="D2144" s="16" t="str">
        <f aca="false">IF(C2144="","",IFERROR(INDEX(Products!$B$2:$B$501,MATCH(C2144,Products!$A$2:$A$501,0)),"CODE NOT FOUND"))</f>
        <v/>
      </c>
      <c r="E2144" s="7"/>
      <c r="F2144" s="13"/>
      <c r="G2144" s="13"/>
      <c r="H2144" s="17" t="str">
        <f aca="false">IF(OR(E2144="",F2144=""),"",E2144*F2144)</f>
        <v/>
      </c>
      <c r="I2144" s="17" t="str">
        <f aca="false">IF(OR(E2144="",G2144=""),"",E2144*G2144)</f>
        <v/>
      </c>
      <c r="J2144" s="17" t="str">
        <f aca="false">IF(H2144="","",H2144-I2144)</f>
        <v/>
      </c>
    </row>
    <row r="2145" customFormat="false" ht="15" hidden="false" customHeight="true" outlineLevel="0" collapsed="false">
      <c r="A2145" s="7"/>
      <c r="B2145" s="18" t="str">
        <f aca="false">IF(A2145="","",IFERROR(INDEX(Sales_Memo!$B$2:$B$1001,MATCH(A2145,Sales_Memo!$A$2:$A$1001,0)),""))</f>
        <v/>
      </c>
      <c r="C2145" s="7"/>
      <c r="D2145" s="16" t="str">
        <f aca="false">IF(C2145="","",IFERROR(INDEX(Products!$B$2:$B$501,MATCH(C2145,Products!$A$2:$A$501,0)),"CODE NOT FOUND"))</f>
        <v/>
      </c>
      <c r="E2145" s="7"/>
      <c r="F2145" s="13"/>
      <c r="G2145" s="13"/>
      <c r="H2145" s="17" t="str">
        <f aca="false">IF(OR(E2145="",F2145=""),"",E2145*F2145)</f>
        <v/>
      </c>
      <c r="I2145" s="17" t="str">
        <f aca="false">IF(OR(E2145="",G2145=""),"",E2145*G2145)</f>
        <v/>
      </c>
      <c r="J2145" s="17" t="str">
        <f aca="false">IF(H2145="","",H2145-I2145)</f>
        <v/>
      </c>
    </row>
    <row r="2146" customFormat="false" ht="15" hidden="false" customHeight="true" outlineLevel="0" collapsed="false">
      <c r="A2146" s="7"/>
      <c r="B2146" s="18" t="str">
        <f aca="false">IF(A2146="","",IFERROR(INDEX(Sales_Memo!$B$2:$B$1001,MATCH(A2146,Sales_Memo!$A$2:$A$1001,0)),""))</f>
        <v/>
      </c>
      <c r="C2146" s="7"/>
      <c r="D2146" s="16" t="str">
        <f aca="false">IF(C2146="","",IFERROR(INDEX(Products!$B$2:$B$501,MATCH(C2146,Products!$A$2:$A$501,0)),"CODE NOT FOUND"))</f>
        <v/>
      </c>
      <c r="E2146" s="7"/>
      <c r="F2146" s="13"/>
      <c r="G2146" s="13"/>
      <c r="H2146" s="17" t="str">
        <f aca="false">IF(OR(E2146="",F2146=""),"",E2146*F2146)</f>
        <v/>
      </c>
      <c r="I2146" s="17" t="str">
        <f aca="false">IF(OR(E2146="",G2146=""),"",E2146*G2146)</f>
        <v/>
      </c>
      <c r="J2146" s="17" t="str">
        <f aca="false">IF(H2146="","",H2146-I2146)</f>
        <v/>
      </c>
    </row>
    <row r="2147" customFormat="false" ht="15" hidden="false" customHeight="true" outlineLevel="0" collapsed="false">
      <c r="A2147" s="7"/>
      <c r="B2147" s="18" t="str">
        <f aca="false">IF(A2147="","",IFERROR(INDEX(Sales_Memo!$B$2:$B$1001,MATCH(A2147,Sales_Memo!$A$2:$A$1001,0)),""))</f>
        <v/>
      </c>
      <c r="C2147" s="7"/>
      <c r="D2147" s="16" t="str">
        <f aca="false">IF(C2147="","",IFERROR(INDEX(Products!$B$2:$B$501,MATCH(C2147,Products!$A$2:$A$501,0)),"CODE NOT FOUND"))</f>
        <v/>
      </c>
      <c r="E2147" s="7"/>
      <c r="F2147" s="13"/>
      <c r="G2147" s="13"/>
      <c r="H2147" s="17" t="str">
        <f aca="false">IF(OR(E2147="",F2147=""),"",E2147*F2147)</f>
        <v/>
      </c>
      <c r="I2147" s="17" t="str">
        <f aca="false">IF(OR(E2147="",G2147=""),"",E2147*G2147)</f>
        <v/>
      </c>
      <c r="J2147" s="17" t="str">
        <f aca="false">IF(H2147="","",H2147-I2147)</f>
        <v/>
      </c>
    </row>
    <row r="2148" customFormat="false" ht="15" hidden="false" customHeight="true" outlineLevel="0" collapsed="false">
      <c r="A2148" s="7"/>
      <c r="B2148" s="18" t="str">
        <f aca="false">IF(A2148="","",IFERROR(INDEX(Sales_Memo!$B$2:$B$1001,MATCH(A2148,Sales_Memo!$A$2:$A$1001,0)),""))</f>
        <v/>
      </c>
      <c r="C2148" s="7"/>
      <c r="D2148" s="16" t="str">
        <f aca="false">IF(C2148="","",IFERROR(INDEX(Products!$B$2:$B$501,MATCH(C2148,Products!$A$2:$A$501,0)),"CODE NOT FOUND"))</f>
        <v/>
      </c>
      <c r="E2148" s="7"/>
      <c r="F2148" s="13"/>
      <c r="G2148" s="13"/>
      <c r="H2148" s="17" t="str">
        <f aca="false">IF(OR(E2148="",F2148=""),"",E2148*F2148)</f>
        <v/>
      </c>
      <c r="I2148" s="17" t="str">
        <f aca="false">IF(OR(E2148="",G2148=""),"",E2148*G2148)</f>
        <v/>
      </c>
      <c r="J2148" s="17" t="str">
        <f aca="false">IF(H2148="","",H2148-I2148)</f>
        <v/>
      </c>
    </row>
    <row r="2149" customFormat="false" ht="15" hidden="false" customHeight="true" outlineLevel="0" collapsed="false">
      <c r="A2149" s="7"/>
      <c r="B2149" s="18" t="str">
        <f aca="false">IF(A2149="","",IFERROR(INDEX(Sales_Memo!$B$2:$B$1001,MATCH(A2149,Sales_Memo!$A$2:$A$1001,0)),""))</f>
        <v/>
      </c>
      <c r="C2149" s="7"/>
      <c r="D2149" s="16" t="str">
        <f aca="false">IF(C2149="","",IFERROR(INDEX(Products!$B$2:$B$501,MATCH(C2149,Products!$A$2:$A$501,0)),"CODE NOT FOUND"))</f>
        <v/>
      </c>
      <c r="E2149" s="7"/>
      <c r="F2149" s="13"/>
      <c r="G2149" s="13"/>
      <c r="H2149" s="17" t="str">
        <f aca="false">IF(OR(E2149="",F2149=""),"",E2149*F2149)</f>
        <v/>
      </c>
      <c r="I2149" s="17" t="str">
        <f aca="false">IF(OR(E2149="",G2149=""),"",E2149*G2149)</f>
        <v/>
      </c>
      <c r="J2149" s="17" t="str">
        <f aca="false">IF(H2149="","",H2149-I2149)</f>
        <v/>
      </c>
    </row>
    <row r="2150" customFormat="false" ht="15" hidden="false" customHeight="true" outlineLevel="0" collapsed="false">
      <c r="A2150" s="7"/>
      <c r="B2150" s="18" t="str">
        <f aca="false">IF(A2150="","",IFERROR(INDEX(Sales_Memo!$B$2:$B$1001,MATCH(A2150,Sales_Memo!$A$2:$A$1001,0)),""))</f>
        <v/>
      </c>
      <c r="C2150" s="7"/>
      <c r="D2150" s="16" t="str">
        <f aca="false">IF(C2150="","",IFERROR(INDEX(Products!$B$2:$B$501,MATCH(C2150,Products!$A$2:$A$501,0)),"CODE NOT FOUND"))</f>
        <v/>
      </c>
      <c r="E2150" s="7"/>
      <c r="F2150" s="13"/>
      <c r="G2150" s="13"/>
      <c r="H2150" s="17" t="str">
        <f aca="false">IF(OR(E2150="",F2150=""),"",E2150*F2150)</f>
        <v/>
      </c>
      <c r="I2150" s="17" t="str">
        <f aca="false">IF(OR(E2150="",G2150=""),"",E2150*G2150)</f>
        <v/>
      </c>
      <c r="J2150" s="17" t="str">
        <f aca="false">IF(H2150="","",H2150-I2150)</f>
        <v/>
      </c>
    </row>
    <row r="2151" customFormat="false" ht="15" hidden="false" customHeight="true" outlineLevel="0" collapsed="false">
      <c r="A2151" s="7"/>
      <c r="B2151" s="18" t="str">
        <f aca="false">IF(A2151="","",IFERROR(INDEX(Sales_Memo!$B$2:$B$1001,MATCH(A2151,Sales_Memo!$A$2:$A$1001,0)),""))</f>
        <v/>
      </c>
      <c r="C2151" s="7"/>
      <c r="D2151" s="16" t="str">
        <f aca="false">IF(C2151="","",IFERROR(INDEX(Products!$B$2:$B$501,MATCH(C2151,Products!$A$2:$A$501,0)),"CODE NOT FOUND"))</f>
        <v/>
      </c>
      <c r="E2151" s="7"/>
      <c r="F2151" s="13"/>
      <c r="G2151" s="13"/>
      <c r="H2151" s="17" t="str">
        <f aca="false">IF(OR(E2151="",F2151=""),"",E2151*F2151)</f>
        <v/>
      </c>
      <c r="I2151" s="17" t="str">
        <f aca="false">IF(OR(E2151="",G2151=""),"",E2151*G2151)</f>
        <v/>
      </c>
      <c r="J2151" s="17" t="str">
        <f aca="false">IF(H2151="","",H2151-I2151)</f>
        <v/>
      </c>
    </row>
    <row r="2152" customFormat="false" ht="15" hidden="false" customHeight="true" outlineLevel="0" collapsed="false">
      <c r="A2152" s="7"/>
      <c r="B2152" s="18" t="str">
        <f aca="false">IF(A2152="","",IFERROR(INDEX(Sales_Memo!$B$2:$B$1001,MATCH(A2152,Sales_Memo!$A$2:$A$1001,0)),""))</f>
        <v/>
      </c>
      <c r="C2152" s="7"/>
      <c r="D2152" s="16" t="str">
        <f aca="false">IF(C2152="","",IFERROR(INDEX(Products!$B$2:$B$501,MATCH(C2152,Products!$A$2:$A$501,0)),"CODE NOT FOUND"))</f>
        <v/>
      </c>
      <c r="E2152" s="7"/>
      <c r="F2152" s="13"/>
      <c r="G2152" s="13"/>
      <c r="H2152" s="17" t="str">
        <f aca="false">IF(OR(E2152="",F2152=""),"",E2152*F2152)</f>
        <v/>
      </c>
      <c r="I2152" s="17" t="str">
        <f aca="false">IF(OR(E2152="",G2152=""),"",E2152*G2152)</f>
        <v/>
      </c>
      <c r="J2152" s="17" t="str">
        <f aca="false">IF(H2152="","",H2152-I2152)</f>
        <v/>
      </c>
    </row>
    <row r="2153" customFormat="false" ht="15" hidden="false" customHeight="true" outlineLevel="0" collapsed="false">
      <c r="A2153" s="7"/>
      <c r="B2153" s="18" t="str">
        <f aca="false">IF(A2153="","",IFERROR(INDEX(Sales_Memo!$B$2:$B$1001,MATCH(A2153,Sales_Memo!$A$2:$A$1001,0)),""))</f>
        <v/>
      </c>
      <c r="C2153" s="7"/>
      <c r="D2153" s="16" t="str">
        <f aca="false">IF(C2153="","",IFERROR(INDEX(Products!$B$2:$B$501,MATCH(C2153,Products!$A$2:$A$501,0)),"CODE NOT FOUND"))</f>
        <v/>
      </c>
      <c r="E2153" s="7"/>
      <c r="F2153" s="13"/>
      <c r="G2153" s="13"/>
      <c r="H2153" s="17" t="str">
        <f aca="false">IF(OR(E2153="",F2153=""),"",E2153*F2153)</f>
        <v/>
      </c>
      <c r="I2153" s="17" t="str">
        <f aca="false">IF(OR(E2153="",G2153=""),"",E2153*G2153)</f>
        <v/>
      </c>
      <c r="J2153" s="17" t="str">
        <f aca="false">IF(H2153="","",H2153-I2153)</f>
        <v/>
      </c>
    </row>
    <row r="2154" customFormat="false" ht="15" hidden="false" customHeight="true" outlineLevel="0" collapsed="false">
      <c r="A2154" s="7"/>
      <c r="B2154" s="18" t="str">
        <f aca="false">IF(A2154="","",IFERROR(INDEX(Sales_Memo!$B$2:$B$1001,MATCH(A2154,Sales_Memo!$A$2:$A$1001,0)),""))</f>
        <v/>
      </c>
      <c r="C2154" s="7"/>
      <c r="D2154" s="16" t="str">
        <f aca="false">IF(C2154="","",IFERROR(INDEX(Products!$B$2:$B$501,MATCH(C2154,Products!$A$2:$A$501,0)),"CODE NOT FOUND"))</f>
        <v/>
      </c>
      <c r="E2154" s="7"/>
      <c r="F2154" s="13"/>
      <c r="G2154" s="13"/>
      <c r="H2154" s="17" t="str">
        <f aca="false">IF(OR(E2154="",F2154=""),"",E2154*F2154)</f>
        <v/>
      </c>
      <c r="I2154" s="17" t="str">
        <f aca="false">IF(OR(E2154="",G2154=""),"",E2154*G2154)</f>
        <v/>
      </c>
      <c r="J2154" s="17" t="str">
        <f aca="false">IF(H2154="","",H2154-I2154)</f>
        <v/>
      </c>
    </row>
    <row r="2155" customFormat="false" ht="15" hidden="false" customHeight="true" outlineLevel="0" collapsed="false">
      <c r="A2155" s="7"/>
      <c r="B2155" s="18" t="str">
        <f aca="false">IF(A2155="","",IFERROR(INDEX(Sales_Memo!$B$2:$B$1001,MATCH(A2155,Sales_Memo!$A$2:$A$1001,0)),""))</f>
        <v/>
      </c>
      <c r="C2155" s="7"/>
      <c r="D2155" s="16" t="str">
        <f aca="false">IF(C2155="","",IFERROR(INDEX(Products!$B$2:$B$501,MATCH(C2155,Products!$A$2:$A$501,0)),"CODE NOT FOUND"))</f>
        <v/>
      </c>
      <c r="E2155" s="7"/>
      <c r="F2155" s="13"/>
      <c r="G2155" s="13"/>
      <c r="H2155" s="17" t="str">
        <f aca="false">IF(OR(E2155="",F2155=""),"",E2155*F2155)</f>
        <v/>
      </c>
      <c r="I2155" s="17" t="str">
        <f aca="false">IF(OR(E2155="",G2155=""),"",E2155*G2155)</f>
        <v/>
      </c>
      <c r="J2155" s="17" t="str">
        <f aca="false">IF(H2155="","",H2155-I2155)</f>
        <v/>
      </c>
    </row>
    <row r="2156" customFormat="false" ht="15" hidden="false" customHeight="true" outlineLevel="0" collapsed="false">
      <c r="A2156" s="7"/>
      <c r="B2156" s="18" t="str">
        <f aca="false">IF(A2156="","",IFERROR(INDEX(Sales_Memo!$B$2:$B$1001,MATCH(A2156,Sales_Memo!$A$2:$A$1001,0)),""))</f>
        <v/>
      </c>
      <c r="C2156" s="7"/>
      <c r="D2156" s="16" t="str">
        <f aca="false">IF(C2156="","",IFERROR(INDEX(Products!$B$2:$B$501,MATCH(C2156,Products!$A$2:$A$501,0)),"CODE NOT FOUND"))</f>
        <v/>
      </c>
      <c r="E2156" s="7"/>
      <c r="F2156" s="13"/>
      <c r="G2156" s="13"/>
      <c r="H2156" s="17" t="str">
        <f aca="false">IF(OR(E2156="",F2156=""),"",E2156*F2156)</f>
        <v/>
      </c>
      <c r="I2156" s="17" t="str">
        <f aca="false">IF(OR(E2156="",G2156=""),"",E2156*G2156)</f>
        <v/>
      </c>
      <c r="J2156" s="17" t="str">
        <f aca="false">IF(H2156="","",H2156-I2156)</f>
        <v/>
      </c>
    </row>
    <row r="2157" customFormat="false" ht="15" hidden="false" customHeight="true" outlineLevel="0" collapsed="false">
      <c r="A2157" s="7"/>
      <c r="B2157" s="18" t="str">
        <f aca="false">IF(A2157="","",IFERROR(INDEX(Sales_Memo!$B$2:$B$1001,MATCH(A2157,Sales_Memo!$A$2:$A$1001,0)),""))</f>
        <v/>
      </c>
      <c r="C2157" s="7"/>
      <c r="D2157" s="16" t="str">
        <f aca="false">IF(C2157="","",IFERROR(INDEX(Products!$B$2:$B$501,MATCH(C2157,Products!$A$2:$A$501,0)),"CODE NOT FOUND"))</f>
        <v/>
      </c>
      <c r="E2157" s="7"/>
      <c r="F2157" s="13"/>
      <c r="G2157" s="13"/>
      <c r="H2157" s="17" t="str">
        <f aca="false">IF(OR(E2157="",F2157=""),"",E2157*F2157)</f>
        <v/>
      </c>
      <c r="I2157" s="17" t="str">
        <f aca="false">IF(OR(E2157="",G2157=""),"",E2157*G2157)</f>
        <v/>
      </c>
      <c r="J2157" s="17" t="str">
        <f aca="false">IF(H2157="","",H2157-I2157)</f>
        <v/>
      </c>
    </row>
    <row r="2158" customFormat="false" ht="15" hidden="false" customHeight="true" outlineLevel="0" collapsed="false">
      <c r="A2158" s="7"/>
      <c r="B2158" s="18" t="str">
        <f aca="false">IF(A2158="","",IFERROR(INDEX(Sales_Memo!$B$2:$B$1001,MATCH(A2158,Sales_Memo!$A$2:$A$1001,0)),""))</f>
        <v/>
      </c>
      <c r="C2158" s="7"/>
      <c r="D2158" s="16" t="str">
        <f aca="false">IF(C2158="","",IFERROR(INDEX(Products!$B$2:$B$501,MATCH(C2158,Products!$A$2:$A$501,0)),"CODE NOT FOUND"))</f>
        <v/>
      </c>
      <c r="E2158" s="7"/>
      <c r="F2158" s="13"/>
      <c r="G2158" s="13"/>
      <c r="H2158" s="17" t="str">
        <f aca="false">IF(OR(E2158="",F2158=""),"",E2158*F2158)</f>
        <v/>
      </c>
      <c r="I2158" s="17" t="str">
        <f aca="false">IF(OR(E2158="",G2158=""),"",E2158*G2158)</f>
        <v/>
      </c>
      <c r="J2158" s="17" t="str">
        <f aca="false">IF(H2158="","",H2158-I2158)</f>
        <v/>
      </c>
    </row>
    <row r="2159" customFormat="false" ht="15" hidden="false" customHeight="true" outlineLevel="0" collapsed="false">
      <c r="A2159" s="7"/>
      <c r="B2159" s="18" t="str">
        <f aca="false">IF(A2159="","",IFERROR(INDEX(Sales_Memo!$B$2:$B$1001,MATCH(A2159,Sales_Memo!$A$2:$A$1001,0)),""))</f>
        <v/>
      </c>
      <c r="C2159" s="7"/>
      <c r="D2159" s="16" t="str">
        <f aca="false">IF(C2159="","",IFERROR(INDEX(Products!$B$2:$B$501,MATCH(C2159,Products!$A$2:$A$501,0)),"CODE NOT FOUND"))</f>
        <v/>
      </c>
      <c r="E2159" s="7"/>
      <c r="F2159" s="13"/>
      <c r="G2159" s="13"/>
      <c r="H2159" s="17" t="str">
        <f aca="false">IF(OR(E2159="",F2159=""),"",E2159*F2159)</f>
        <v/>
      </c>
      <c r="I2159" s="17" t="str">
        <f aca="false">IF(OR(E2159="",G2159=""),"",E2159*G2159)</f>
        <v/>
      </c>
      <c r="J2159" s="17" t="str">
        <f aca="false">IF(H2159="","",H2159-I2159)</f>
        <v/>
      </c>
    </row>
    <row r="2160" customFormat="false" ht="15" hidden="false" customHeight="true" outlineLevel="0" collapsed="false">
      <c r="A2160" s="7"/>
      <c r="B2160" s="18" t="str">
        <f aca="false">IF(A2160="","",IFERROR(INDEX(Sales_Memo!$B$2:$B$1001,MATCH(A2160,Sales_Memo!$A$2:$A$1001,0)),""))</f>
        <v/>
      </c>
      <c r="C2160" s="7"/>
      <c r="D2160" s="16" t="str">
        <f aca="false">IF(C2160="","",IFERROR(INDEX(Products!$B$2:$B$501,MATCH(C2160,Products!$A$2:$A$501,0)),"CODE NOT FOUND"))</f>
        <v/>
      </c>
      <c r="E2160" s="7"/>
      <c r="F2160" s="13"/>
      <c r="G2160" s="13"/>
      <c r="H2160" s="17" t="str">
        <f aca="false">IF(OR(E2160="",F2160=""),"",E2160*F2160)</f>
        <v/>
      </c>
      <c r="I2160" s="17" t="str">
        <f aca="false">IF(OR(E2160="",G2160=""),"",E2160*G2160)</f>
        <v/>
      </c>
      <c r="J2160" s="17" t="str">
        <f aca="false">IF(H2160="","",H2160-I2160)</f>
        <v/>
      </c>
    </row>
    <row r="2161" customFormat="false" ht="15" hidden="false" customHeight="true" outlineLevel="0" collapsed="false">
      <c r="A2161" s="7"/>
      <c r="B2161" s="18" t="str">
        <f aca="false">IF(A2161="","",IFERROR(INDEX(Sales_Memo!$B$2:$B$1001,MATCH(A2161,Sales_Memo!$A$2:$A$1001,0)),""))</f>
        <v/>
      </c>
      <c r="C2161" s="7"/>
      <c r="D2161" s="16" t="str">
        <f aca="false">IF(C2161="","",IFERROR(INDEX(Products!$B$2:$B$501,MATCH(C2161,Products!$A$2:$A$501,0)),"CODE NOT FOUND"))</f>
        <v/>
      </c>
      <c r="E2161" s="7"/>
      <c r="F2161" s="13"/>
      <c r="G2161" s="13"/>
      <c r="H2161" s="17" t="str">
        <f aca="false">IF(OR(E2161="",F2161=""),"",E2161*F2161)</f>
        <v/>
      </c>
      <c r="I2161" s="17" t="str">
        <f aca="false">IF(OR(E2161="",G2161=""),"",E2161*G2161)</f>
        <v/>
      </c>
      <c r="J2161" s="17" t="str">
        <f aca="false">IF(H2161="","",H2161-I2161)</f>
        <v/>
      </c>
    </row>
    <row r="2162" customFormat="false" ht="15" hidden="false" customHeight="true" outlineLevel="0" collapsed="false">
      <c r="A2162" s="7"/>
      <c r="B2162" s="18" t="str">
        <f aca="false">IF(A2162="","",IFERROR(INDEX(Sales_Memo!$B$2:$B$1001,MATCH(A2162,Sales_Memo!$A$2:$A$1001,0)),""))</f>
        <v/>
      </c>
      <c r="C2162" s="7"/>
      <c r="D2162" s="16" t="str">
        <f aca="false">IF(C2162="","",IFERROR(INDEX(Products!$B$2:$B$501,MATCH(C2162,Products!$A$2:$A$501,0)),"CODE NOT FOUND"))</f>
        <v/>
      </c>
      <c r="E2162" s="7"/>
      <c r="F2162" s="13"/>
      <c r="G2162" s="13"/>
      <c r="H2162" s="17" t="str">
        <f aca="false">IF(OR(E2162="",F2162=""),"",E2162*F2162)</f>
        <v/>
      </c>
      <c r="I2162" s="17" t="str">
        <f aca="false">IF(OR(E2162="",G2162=""),"",E2162*G2162)</f>
        <v/>
      </c>
      <c r="J2162" s="17" t="str">
        <f aca="false">IF(H2162="","",H2162-I2162)</f>
        <v/>
      </c>
    </row>
    <row r="2163" customFormat="false" ht="15" hidden="false" customHeight="true" outlineLevel="0" collapsed="false">
      <c r="A2163" s="7"/>
      <c r="B2163" s="18" t="str">
        <f aca="false">IF(A2163="","",IFERROR(INDEX(Sales_Memo!$B$2:$B$1001,MATCH(A2163,Sales_Memo!$A$2:$A$1001,0)),""))</f>
        <v/>
      </c>
      <c r="C2163" s="7"/>
      <c r="D2163" s="16" t="str">
        <f aca="false">IF(C2163="","",IFERROR(INDEX(Products!$B$2:$B$501,MATCH(C2163,Products!$A$2:$A$501,0)),"CODE NOT FOUND"))</f>
        <v/>
      </c>
      <c r="E2163" s="7"/>
      <c r="F2163" s="13"/>
      <c r="G2163" s="13"/>
      <c r="H2163" s="17" t="str">
        <f aca="false">IF(OR(E2163="",F2163=""),"",E2163*F2163)</f>
        <v/>
      </c>
      <c r="I2163" s="17" t="str">
        <f aca="false">IF(OR(E2163="",G2163=""),"",E2163*G2163)</f>
        <v/>
      </c>
      <c r="J2163" s="17" t="str">
        <f aca="false">IF(H2163="","",H2163-I2163)</f>
        <v/>
      </c>
    </row>
    <row r="2164" customFormat="false" ht="15" hidden="false" customHeight="true" outlineLevel="0" collapsed="false">
      <c r="A2164" s="7"/>
      <c r="B2164" s="18" t="str">
        <f aca="false">IF(A2164="","",IFERROR(INDEX(Sales_Memo!$B$2:$B$1001,MATCH(A2164,Sales_Memo!$A$2:$A$1001,0)),""))</f>
        <v/>
      </c>
      <c r="C2164" s="7"/>
      <c r="D2164" s="16" t="str">
        <f aca="false">IF(C2164="","",IFERROR(INDEX(Products!$B$2:$B$501,MATCH(C2164,Products!$A$2:$A$501,0)),"CODE NOT FOUND"))</f>
        <v/>
      </c>
      <c r="E2164" s="7"/>
      <c r="F2164" s="13"/>
      <c r="G2164" s="13"/>
      <c r="H2164" s="17" t="str">
        <f aca="false">IF(OR(E2164="",F2164=""),"",E2164*F2164)</f>
        <v/>
      </c>
      <c r="I2164" s="17" t="str">
        <f aca="false">IF(OR(E2164="",G2164=""),"",E2164*G2164)</f>
        <v/>
      </c>
      <c r="J2164" s="17" t="str">
        <f aca="false">IF(H2164="","",H2164-I2164)</f>
        <v/>
      </c>
    </row>
    <row r="2165" customFormat="false" ht="15" hidden="false" customHeight="true" outlineLevel="0" collapsed="false">
      <c r="A2165" s="7"/>
      <c r="B2165" s="18" t="str">
        <f aca="false">IF(A2165="","",IFERROR(INDEX(Sales_Memo!$B$2:$B$1001,MATCH(A2165,Sales_Memo!$A$2:$A$1001,0)),""))</f>
        <v/>
      </c>
      <c r="C2165" s="7"/>
      <c r="D2165" s="16" t="str">
        <f aca="false">IF(C2165="","",IFERROR(INDEX(Products!$B$2:$B$501,MATCH(C2165,Products!$A$2:$A$501,0)),"CODE NOT FOUND"))</f>
        <v/>
      </c>
      <c r="E2165" s="7"/>
      <c r="F2165" s="13"/>
      <c r="G2165" s="13"/>
      <c r="H2165" s="17" t="str">
        <f aca="false">IF(OR(E2165="",F2165=""),"",E2165*F2165)</f>
        <v/>
      </c>
      <c r="I2165" s="17" t="str">
        <f aca="false">IF(OR(E2165="",G2165=""),"",E2165*G2165)</f>
        <v/>
      </c>
      <c r="J2165" s="17" t="str">
        <f aca="false">IF(H2165="","",H2165-I2165)</f>
        <v/>
      </c>
    </row>
    <row r="2166" customFormat="false" ht="15" hidden="false" customHeight="true" outlineLevel="0" collapsed="false">
      <c r="A2166" s="7"/>
      <c r="B2166" s="18" t="str">
        <f aca="false">IF(A2166="","",IFERROR(INDEX(Sales_Memo!$B$2:$B$1001,MATCH(A2166,Sales_Memo!$A$2:$A$1001,0)),""))</f>
        <v/>
      </c>
      <c r="C2166" s="7"/>
      <c r="D2166" s="16" t="str">
        <f aca="false">IF(C2166="","",IFERROR(INDEX(Products!$B$2:$B$501,MATCH(C2166,Products!$A$2:$A$501,0)),"CODE NOT FOUND"))</f>
        <v/>
      </c>
      <c r="E2166" s="7"/>
      <c r="F2166" s="13"/>
      <c r="G2166" s="13"/>
      <c r="H2166" s="17" t="str">
        <f aca="false">IF(OR(E2166="",F2166=""),"",E2166*F2166)</f>
        <v/>
      </c>
      <c r="I2166" s="17" t="str">
        <f aca="false">IF(OR(E2166="",G2166=""),"",E2166*G2166)</f>
        <v/>
      </c>
      <c r="J2166" s="17" t="str">
        <f aca="false">IF(H2166="","",H2166-I2166)</f>
        <v/>
      </c>
    </row>
    <row r="2167" customFormat="false" ht="15" hidden="false" customHeight="true" outlineLevel="0" collapsed="false">
      <c r="A2167" s="7"/>
      <c r="B2167" s="18" t="str">
        <f aca="false">IF(A2167="","",IFERROR(INDEX(Sales_Memo!$B$2:$B$1001,MATCH(A2167,Sales_Memo!$A$2:$A$1001,0)),""))</f>
        <v/>
      </c>
      <c r="C2167" s="7"/>
      <c r="D2167" s="16" t="str">
        <f aca="false">IF(C2167="","",IFERROR(INDEX(Products!$B$2:$B$501,MATCH(C2167,Products!$A$2:$A$501,0)),"CODE NOT FOUND"))</f>
        <v/>
      </c>
      <c r="E2167" s="7"/>
      <c r="F2167" s="13"/>
      <c r="G2167" s="13"/>
      <c r="H2167" s="17" t="str">
        <f aca="false">IF(OR(E2167="",F2167=""),"",E2167*F2167)</f>
        <v/>
      </c>
      <c r="I2167" s="17" t="str">
        <f aca="false">IF(OR(E2167="",G2167=""),"",E2167*G2167)</f>
        <v/>
      </c>
      <c r="J2167" s="17" t="str">
        <f aca="false">IF(H2167="","",H2167-I2167)</f>
        <v/>
      </c>
    </row>
    <row r="2168" customFormat="false" ht="15" hidden="false" customHeight="true" outlineLevel="0" collapsed="false">
      <c r="A2168" s="7"/>
      <c r="B2168" s="18" t="str">
        <f aca="false">IF(A2168="","",IFERROR(INDEX(Sales_Memo!$B$2:$B$1001,MATCH(A2168,Sales_Memo!$A$2:$A$1001,0)),""))</f>
        <v/>
      </c>
      <c r="C2168" s="7"/>
      <c r="D2168" s="16" t="str">
        <f aca="false">IF(C2168="","",IFERROR(INDEX(Products!$B$2:$B$501,MATCH(C2168,Products!$A$2:$A$501,0)),"CODE NOT FOUND"))</f>
        <v/>
      </c>
      <c r="E2168" s="7"/>
      <c r="F2168" s="13"/>
      <c r="G2168" s="13"/>
      <c r="H2168" s="17" t="str">
        <f aca="false">IF(OR(E2168="",F2168=""),"",E2168*F2168)</f>
        <v/>
      </c>
      <c r="I2168" s="17" t="str">
        <f aca="false">IF(OR(E2168="",G2168=""),"",E2168*G2168)</f>
        <v/>
      </c>
      <c r="J2168" s="17" t="str">
        <f aca="false">IF(H2168="","",H2168-I2168)</f>
        <v/>
      </c>
    </row>
    <row r="2169" customFormat="false" ht="15" hidden="false" customHeight="true" outlineLevel="0" collapsed="false">
      <c r="A2169" s="7"/>
      <c r="B2169" s="18" t="str">
        <f aca="false">IF(A2169="","",IFERROR(INDEX(Sales_Memo!$B$2:$B$1001,MATCH(A2169,Sales_Memo!$A$2:$A$1001,0)),""))</f>
        <v/>
      </c>
      <c r="C2169" s="7"/>
      <c r="D2169" s="16" t="str">
        <f aca="false">IF(C2169="","",IFERROR(INDEX(Products!$B$2:$B$501,MATCH(C2169,Products!$A$2:$A$501,0)),"CODE NOT FOUND"))</f>
        <v/>
      </c>
      <c r="E2169" s="7"/>
      <c r="F2169" s="13"/>
      <c r="G2169" s="13"/>
      <c r="H2169" s="17" t="str">
        <f aca="false">IF(OR(E2169="",F2169=""),"",E2169*F2169)</f>
        <v/>
      </c>
      <c r="I2169" s="17" t="str">
        <f aca="false">IF(OR(E2169="",G2169=""),"",E2169*G2169)</f>
        <v/>
      </c>
      <c r="J2169" s="17" t="str">
        <f aca="false">IF(H2169="","",H2169-I2169)</f>
        <v/>
      </c>
    </row>
    <row r="2170" customFormat="false" ht="15" hidden="false" customHeight="true" outlineLevel="0" collapsed="false">
      <c r="A2170" s="7"/>
      <c r="B2170" s="18" t="str">
        <f aca="false">IF(A2170="","",IFERROR(INDEX(Sales_Memo!$B$2:$B$1001,MATCH(A2170,Sales_Memo!$A$2:$A$1001,0)),""))</f>
        <v/>
      </c>
      <c r="C2170" s="7"/>
      <c r="D2170" s="16" t="str">
        <f aca="false">IF(C2170="","",IFERROR(INDEX(Products!$B$2:$B$501,MATCH(C2170,Products!$A$2:$A$501,0)),"CODE NOT FOUND"))</f>
        <v/>
      </c>
      <c r="E2170" s="7"/>
      <c r="F2170" s="13"/>
      <c r="G2170" s="13"/>
      <c r="H2170" s="17" t="str">
        <f aca="false">IF(OR(E2170="",F2170=""),"",E2170*F2170)</f>
        <v/>
      </c>
      <c r="I2170" s="17" t="str">
        <f aca="false">IF(OR(E2170="",G2170=""),"",E2170*G2170)</f>
        <v/>
      </c>
      <c r="J2170" s="17" t="str">
        <f aca="false">IF(H2170="","",H2170-I2170)</f>
        <v/>
      </c>
    </row>
    <row r="2171" customFormat="false" ht="15" hidden="false" customHeight="true" outlineLevel="0" collapsed="false">
      <c r="A2171" s="7"/>
      <c r="B2171" s="18" t="str">
        <f aca="false">IF(A2171="","",IFERROR(INDEX(Sales_Memo!$B$2:$B$1001,MATCH(A2171,Sales_Memo!$A$2:$A$1001,0)),""))</f>
        <v/>
      </c>
      <c r="C2171" s="7"/>
      <c r="D2171" s="16" t="str">
        <f aca="false">IF(C2171="","",IFERROR(INDEX(Products!$B$2:$B$501,MATCH(C2171,Products!$A$2:$A$501,0)),"CODE NOT FOUND"))</f>
        <v/>
      </c>
      <c r="E2171" s="7"/>
      <c r="F2171" s="13"/>
      <c r="G2171" s="13"/>
      <c r="H2171" s="17" t="str">
        <f aca="false">IF(OR(E2171="",F2171=""),"",E2171*F2171)</f>
        <v/>
      </c>
      <c r="I2171" s="17" t="str">
        <f aca="false">IF(OR(E2171="",G2171=""),"",E2171*G2171)</f>
        <v/>
      </c>
      <c r="J2171" s="17" t="str">
        <f aca="false">IF(H2171="","",H2171-I2171)</f>
        <v/>
      </c>
    </row>
    <row r="2172" customFormat="false" ht="15" hidden="false" customHeight="true" outlineLevel="0" collapsed="false">
      <c r="A2172" s="7"/>
      <c r="B2172" s="18" t="str">
        <f aca="false">IF(A2172="","",IFERROR(INDEX(Sales_Memo!$B$2:$B$1001,MATCH(A2172,Sales_Memo!$A$2:$A$1001,0)),""))</f>
        <v/>
      </c>
      <c r="C2172" s="7"/>
      <c r="D2172" s="16" t="str">
        <f aca="false">IF(C2172="","",IFERROR(INDEX(Products!$B$2:$B$501,MATCH(C2172,Products!$A$2:$A$501,0)),"CODE NOT FOUND"))</f>
        <v/>
      </c>
      <c r="E2172" s="7"/>
      <c r="F2172" s="13"/>
      <c r="G2172" s="13"/>
      <c r="H2172" s="17" t="str">
        <f aca="false">IF(OR(E2172="",F2172=""),"",E2172*F2172)</f>
        <v/>
      </c>
      <c r="I2172" s="17" t="str">
        <f aca="false">IF(OR(E2172="",G2172=""),"",E2172*G2172)</f>
        <v/>
      </c>
      <c r="J2172" s="17" t="str">
        <f aca="false">IF(H2172="","",H2172-I2172)</f>
        <v/>
      </c>
    </row>
    <row r="2173" customFormat="false" ht="15" hidden="false" customHeight="true" outlineLevel="0" collapsed="false">
      <c r="A2173" s="7"/>
      <c r="B2173" s="18" t="str">
        <f aca="false">IF(A2173="","",IFERROR(INDEX(Sales_Memo!$B$2:$B$1001,MATCH(A2173,Sales_Memo!$A$2:$A$1001,0)),""))</f>
        <v/>
      </c>
      <c r="C2173" s="7"/>
      <c r="D2173" s="16" t="str">
        <f aca="false">IF(C2173="","",IFERROR(INDEX(Products!$B$2:$B$501,MATCH(C2173,Products!$A$2:$A$501,0)),"CODE NOT FOUND"))</f>
        <v/>
      </c>
      <c r="E2173" s="7"/>
      <c r="F2173" s="13"/>
      <c r="G2173" s="13"/>
      <c r="H2173" s="17" t="str">
        <f aca="false">IF(OR(E2173="",F2173=""),"",E2173*F2173)</f>
        <v/>
      </c>
      <c r="I2173" s="17" t="str">
        <f aca="false">IF(OR(E2173="",G2173=""),"",E2173*G2173)</f>
        <v/>
      </c>
      <c r="J2173" s="17" t="str">
        <f aca="false">IF(H2173="","",H2173-I2173)</f>
        <v/>
      </c>
    </row>
    <row r="2174" customFormat="false" ht="15" hidden="false" customHeight="true" outlineLevel="0" collapsed="false">
      <c r="A2174" s="7"/>
      <c r="B2174" s="18" t="str">
        <f aca="false">IF(A2174="","",IFERROR(INDEX(Sales_Memo!$B$2:$B$1001,MATCH(A2174,Sales_Memo!$A$2:$A$1001,0)),""))</f>
        <v/>
      </c>
      <c r="C2174" s="7"/>
      <c r="D2174" s="16" t="str">
        <f aca="false">IF(C2174="","",IFERROR(INDEX(Products!$B$2:$B$501,MATCH(C2174,Products!$A$2:$A$501,0)),"CODE NOT FOUND"))</f>
        <v/>
      </c>
      <c r="E2174" s="7"/>
      <c r="F2174" s="13"/>
      <c r="G2174" s="13"/>
      <c r="H2174" s="17" t="str">
        <f aca="false">IF(OR(E2174="",F2174=""),"",E2174*F2174)</f>
        <v/>
      </c>
      <c r="I2174" s="17" t="str">
        <f aca="false">IF(OR(E2174="",G2174=""),"",E2174*G2174)</f>
        <v/>
      </c>
      <c r="J2174" s="17" t="str">
        <f aca="false">IF(H2174="","",H2174-I2174)</f>
        <v/>
      </c>
    </row>
    <row r="2175" customFormat="false" ht="15" hidden="false" customHeight="true" outlineLevel="0" collapsed="false">
      <c r="A2175" s="7"/>
      <c r="B2175" s="18" t="str">
        <f aca="false">IF(A2175="","",IFERROR(INDEX(Sales_Memo!$B$2:$B$1001,MATCH(A2175,Sales_Memo!$A$2:$A$1001,0)),""))</f>
        <v/>
      </c>
      <c r="C2175" s="7"/>
      <c r="D2175" s="16" t="str">
        <f aca="false">IF(C2175="","",IFERROR(INDEX(Products!$B$2:$B$501,MATCH(C2175,Products!$A$2:$A$501,0)),"CODE NOT FOUND"))</f>
        <v/>
      </c>
      <c r="E2175" s="7"/>
      <c r="F2175" s="13"/>
      <c r="G2175" s="13"/>
      <c r="H2175" s="17" t="str">
        <f aca="false">IF(OR(E2175="",F2175=""),"",E2175*F2175)</f>
        <v/>
      </c>
      <c r="I2175" s="17" t="str">
        <f aca="false">IF(OR(E2175="",G2175=""),"",E2175*G2175)</f>
        <v/>
      </c>
      <c r="J2175" s="17" t="str">
        <f aca="false">IF(H2175="","",H2175-I2175)</f>
        <v/>
      </c>
    </row>
    <row r="2176" customFormat="false" ht="15" hidden="false" customHeight="true" outlineLevel="0" collapsed="false">
      <c r="A2176" s="7"/>
      <c r="B2176" s="18" t="str">
        <f aca="false">IF(A2176="","",IFERROR(INDEX(Sales_Memo!$B$2:$B$1001,MATCH(A2176,Sales_Memo!$A$2:$A$1001,0)),""))</f>
        <v/>
      </c>
      <c r="C2176" s="7"/>
      <c r="D2176" s="16" t="str">
        <f aca="false">IF(C2176="","",IFERROR(INDEX(Products!$B$2:$B$501,MATCH(C2176,Products!$A$2:$A$501,0)),"CODE NOT FOUND"))</f>
        <v/>
      </c>
      <c r="E2176" s="7"/>
      <c r="F2176" s="13"/>
      <c r="G2176" s="13"/>
      <c r="H2176" s="17" t="str">
        <f aca="false">IF(OR(E2176="",F2176=""),"",E2176*F2176)</f>
        <v/>
      </c>
      <c r="I2176" s="17" t="str">
        <f aca="false">IF(OR(E2176="",G2176=""),"",E2176*G2176)</f>
        <v/>
      </c>
      <c r="J2176" s="17" t="str">
        <f aca="false">IF(H2176="","",H2176-I2176)</f>
        <v/>
      </c>
    </row>
    <row r="2177" customFormat="false" ht="15" hidden="false" customHeight="true" outlineLevel="0" collapsed="false">
      <c r="A2177" s="7"/>
      <c r="B2177" s="18" t="str">
        <f aca="false">IF(A2177="","",IFERROR(INDEX(Sales_Memo!$B$2:$B$1001,MATCH(A2177,Sales_Memo!$A$2:$A$1001,0)),""))</f>
        <v/>
      </c>
      <c r="C2177" s="7"/>
      <c r="D2177" s="16" t="str">
        <f aca="false">IF(C2177="","",IFERROR(INDEX(Products!$B$2:$B$501,MATCH(C2177,Products!$A$2:$A$501,0)),"CODE NOT FOUND"))</f>
        <v/>
      </c>
      <c r="E2177" s="7"/>
      <c r="F2177" s="13"/>
      <c r="G2177" s="13"/>
      <c r="H2177" s="17" t="str">
        <f aca="false">IF(OR(E2177="",F2177=""),"",E2177*F2177)</f>
        <v/>
      </c>
      <c r="I2177" s="17" t="str">
        <f aca="false">IF(OR(E2177="",G2177=""),"",E2177*G2177)</f>
        <v/>
      </c>
      <c r="J2177" s="17" t="str">
        <f aca="false">IF(H2177="","",H2177-I2177)</f>
        <v/>
      </c>
    </row>
    <row r="2178" customFormat="false" ht="15" hidden="false" customHeight="true" outlineLevel="0" collapsed="false">
      <c r="A2178" s="7"/>
      <c r="B2178" s="18" t="str">
        <f aca="false">IF(A2178="","",IFERROR(INDEX(Sales_Memo!$B$2:$B$1001,MATCH(A2178,Sales_Memo!$A$2:$A$1001,0)),""))</f>
        <v/>
      </c>
      <c r="C2178" s="7"/>
      <c r="D2178" s="16" t="str">
        <f aca="false">IF(C2178="","",IFERROR(INDEX(Products!$B$2:$B$501,MATCH(C2178,Products!$A$2:$A$501,0)),"CODE NOT FOUND"))</f>
        <v/>
      </c>
      <c r="E2178" s="7"/>
      <c r="F2178" s="13"/>
      <c r="G2178" s="13"/>
      <c r="H2178" s="17" t="str">
        <f aca="false">IF(OR(E2178="",F2178=""),"",E2178*F2178)</f>
        <v/>
      </c>
      <c r="I2178" s="17" t="str">
        <f aca="false">IF(OR(E2178="",G2178=""),"",E2178*G2178)</f>
        <v/>
      </c>
      <c r="J2178" s="17" t="str">
        <f aca="false">IF(H2178="","",H2178-I2178)</f>
        <v/>
      </c>
    </row>
    <row r="2179" customFormat="false" ht="15" hidden="false" customHeight="true" outlineLevel="0" collapsed="false">
      <c r="A2179" s="7"/>
      <c r="B2179" s="18" t="str">
        <f aca="false">IF(A2179="","",IFERROR(INDEX(Sales_Memo!$B$2:$B$1001,MATCH(A2179,Sales_Memo!$A$2:$A$1001,0)),""))</f>
        <v/>
      </c>
      <c r="C2179" s="7"/>
      <c r="D2179" s="16" t="str">
        <f aca="false">IF(C2179="","",IFERROR(INDEX(Products!$B$2:$B$501,MATCH(C2179,Products!$A$2:$A$501,0)),"CODE NOT FOUND"))</f>
        <v/>
      </c>
      <c r="E2179" s="7"/>
      <c r="F2179" s="13"/>
      <c r="G2179" s="13"/>
      <c r="H2179" s="17" t="str">
        <f aca="false">IF(OR(E2179="",F2179=""),"",E2179*F2179)</f>
        <v/>
      </c>
      <c r="I2179" s="17" t="str">
        <f aca="false">IF(OR(E2179="",G2179=""),"",E2179*G2179)</f>
        <v/>
      </c>
      <c r="J2179" s="17" t="str">
        <f aca="false">IF(H2179="","",H2179-I2179)</f>
        <v/>
      </c>
    </row>
    <row r="2180" customFormat="false" ht="15" hidden="false" customHeight="true" outlineLevel="0" collapsed="false">
      <c r="A2180" s="7"/>
      <c r="B2180" s="18" t="str">
        <f aca="false">IF(A2180="","",IFERROR(INDEX(Sales_Memo!$B$2:$B$1001,MATCH(A2180,Sales_Memo!$A$2:$A$1001,0)),""))</f>
        <v/>
      </c>
      <c r="C2180" s="7"/>
      <c r="D2180" s="16" t="str">
        <f aca="false">IF(C2180="","",IFERROR(INDEX(Products!$B$2:$B$501,MATCH(C2180,Products!$A$2:$A$501,0)),"CODE NOT FOUND"))</f>
        <v/>
      </c>
      <c r="E2180" s="7"/>
      <c r="F2180" s="13"/>
      <c r="G2180" s="13"/>
      <c r="H2180" s="17" t="str">
        <f aca="false">IF(OR(E2180="",F2180=""),"",E2180*F2180)</f>
        <v/>
      </c>
      <c r="I2180" s="17" t="str">
        <f aca="false">IF(OR(E2180="",G2180=""),"",E2180*G2180)</f>
        <v/>
      </c>
      <c r="J2180" s="17" t="str">
        <f aca="false">IF(H2180="","",H2180-I2180)</f>
        <v/>
      </c>
    </row>
    <row r="2181" customFormat="false" ht="15" hidden="false" customHeight="true" outlineLevel="0" collapsed="false">
      <c r="A2181" s="7"/>
      <c r="B2181" s="18" t="str">
        <f aca="false">IF(A2181="","",IFERROR(INDEX(Sales_Memo!$B$2:$B$1001,MATCH(A2181,Sales_Memo!$A$2:$A$1001,0)),""))</f>
        <v/>
      </c>
      <c r="C2181" s="7"/>
      <c r="D2181" s="16" t="str">
        <f aca="false">IF(C2181="","",IFERROR(INDEX(Products!$B$2:$B$501,MATCH(C2181,Products!$A$2:$A$501,0)),"CODE NOT FOUND"))</f>
        <v/>
      </c>
      <c r="E2181" s="7"/>
      <c r="F2181" s="13"/>
      <c r="G2181" s="13"/>
      <c r="H2181" s="17" t="str">
        <f aca="false">IF(OR(E2181="",F2181=""),"",E2181*F2181)</f>
        <v/>
      </c>
      <c r="I2181" s="17" t="str">
        <f aca="false">IF(OR(E2181="",G2181=""),"",E2181*G2181)</f>
        <v/>
      </c>
      <c r="J2181" s="17" t="str">
        <f aca="false">IF(H2181="","",H2181-I2181)</f>
        <v/>
      </c>
    </row>
    <row r="2182" customFormat="false" ht="15" hidden="false" customHeight="true" outlineLevel="0" collapsed="false">
      <c r="A2182" s="7"/>
      <c r="B2182" s="18" t="str">
        <f aca="false">IF(A2182="","",IFERROR(INDEX(Sales_Memo!$B$2:$B$1001,MATCH(A2182,Sales_Memo!$A$2:$A$1001,0)),""))</f>
        <v/>
      </c>
      <c r="C2182" s="7"/>
      <c r="D2182" s="16" t="str">
        <f aca="false">IF(C2182="","",IFERROR(INDEX(Products!$B$2:$B$501,MATCH(C2182,Products!$A$2:$A$501,0)),"CODE NOT FOUND"))</f>
        <v/>
      </c>
      <c r="E2182" s="7"/>
      <c r="F2182" s="13"/>
      <c r="G2182" s="13"/>
      <c r="H2182" s="17" t="str">
        <f aca="false">IF(OR(E2182="",F2182=""),"",E2182*F2182)</f>
        <v/>
      </c>
      <c r="I2182" s="17" t="str">
        <f aca="false">IF(OR(E2182="",G2182=""),"",E2182*G2182)</f>
        <v/>
      </c>
      <c r="J2182" s="17" t="str">
        <f aca="false">IF(H2182="","",H2182-I2182)</f>
        <v/>
      </c>
    </row>
    <row r="2183" customFormat="false" ht="15" hidden="false" customHeight="true" outlineLevel="0" collapsed="false">
      <c r="A2183" s="7"/>
      <c r="B2183" s="18" t="str">
        <f aca="false">IF(A2183="","",IFERROR(INDEX(Sales_Memo!$B$2:$B$1001,MATCH(A2183,Sales_Memo!$A$2:$A$1001,0)),""))</f>
        <v/>
      </c>
      <c r="C2183" s="7"/>
      <c r="D2183" s="16" t="str">
        <f aca="false">IF(C2183="","",IFERROR(INDEX(Products!$B$2:$B$501,MATCH(C2183,Products!$A$2:$A$501,0)),"CODE NOT FOUND"))</f>
        <v/>
      </c>
      <c r="E2183" s="7"/>
      <c r="F2183" s="13"/>
      <c r="G2183" s="13"/>
      <c r="H2183" s="17" t="str">
        <f aca="false">IF(OR(E2183="",F2183=""),"",E2183*F2183)</f>
        <v/>
      </c>
      <c r="I2183" s="17" t="str">
        <f aca="false">IF(OR(E2183="",G2183=""),"",E2183*G2183)</f>
        <v/>
      </c>
      <c r="J2183" s="17" t="str">
        <f aca="false">IF(H2183="","",H2183-I2183)</f>
        <v/>
      </c>
    </row>
    <row r="2184" customFormat="false" ht="15" hidden="false" customHeight="true" outlineLevel="0" collapsed="false">
      <c r="A2184" s="7"/>
      <c r="B2184" s="18" t="str">
        <f aca="false">IF(A2184="","",IFERROR(INDEX(Sales_Memo!$B$2:$B$1001,MATCH(A2184,Sales_Memo!$A$2:$A$1001,0)),""))</f>
        <v/>
      </c>
      <c r="C2184" s="7"/>
      <c r="D2184" s="16" t="str">
        <f aca="false">IF(C2184="","",IFERROR(INDEX(Products!$B$2:$B$501,MATCH(C2184,Products!$A$2:$A$501,0)),"CODE NOT FOUND"))</f>
        <v/>
      </c>
      <c r="E2184" s="7"/>
      <c r="F2184" s="13"/>
      <c r="G2184" s="13"/>
      <c r="H2184" s="17" t="str">
        <f aca="false">IF(OR(E2184="",F2184=""),"",E2184*F2184)</f>
        <v/>
      </c>
      <c r="I2184" s="17" t="str">
        <f aca="false">IF(OR(E2184="",G2184=""),"",E2184*G2184)</f>
        <v/>
      </c>
      <c r="J2184" s="17" t="str">
        <f aca="false">IF(H2184="","",H2184-I2184)</f>
        <v/>
      </c>
    </row>
    <row r="2185" customFormat="false" ht="15" hidden="false" customHeight="true" outlineLevel="0" collapsed="false">
      <c r="A2185" s="7"/>
      <c r="B2185" s="18" t="str">
        <f aca="false">IF(A2185="","",IFERROR(INDEX(Sales_Memo!$B$2:$B$1001,MATCH(A2185,Sales_Memo!$A$2:$A$1001,0)),""))</f>
        <v/>
      </c>
      <c r="C2185" s="7"/>
      <c r="D2185" s="16" t="str">
        <f aca="false">IF(C2185="","",IFERROR(INDEX(Products!$B$2:$B$501,MATCH(C2185,Products!$A$2:$A$501,0)),"CODE NOT FOUND"))</f>
        <v/>
      </c>
      <c r="E2185" s="7"/>
      <c r="F2185" s="13"/>
      <c r="G2185" s="13"/>
      <c r="H2185" s="17" t="str">
        <f aca="false">IF(OR(E2185="",F2185=""),"",E2185*F2185)</f>
        <v/>
      </c>
      <c r="I2185" s="17" t="str">
        <f aca="false">IF(OR(E2185="",G2185=""),"",E2185*G2185)</f>
        <v/>
      </c>
      <c r="J2185" s="17" t="str">
        <f aca="false">IF(H2185="","",H2185-I2185)</f>
        <v/>
      </c>
    </row>
    <row r="2186" customFormat="false" ht="15" hidden="false" customHeight="true" outlineLevel="0" collapsed="false">
      <c r="A2186" s="7"/>
      <c r="B2186" s="18" t="str">
        <f aca="false">IF(A2186="","",IFERROR(INDEX(Sales_Memo!$B$2:$B$1001,MATCH(A2186,Sales_Memo!$A$2:$A$1001,0)),""))</f>
        <v/>
      </c>
      <c r="C2186" s="7"/>
      <c r="D2186" s="16" t="str">
        <f aca="false">IF(C2186="","",IFERROR(INDEX(Products!$B$2:$B$501,MATCH(C2186,Products!$A$2:$A$501,0)),"CODE NOT FOUND"))</f>
        <v/>
      </c>
      <c r="E2186" s="7"/>
      <c r="F2186" s="13"/>
      <c r="G2186" s="13"/>
      <c r="H2186" s="17" t="str">
        <f aca="false">IF(OR(E2186="",F2186=""),"",E2186*F2186)</f>
        <v/>
      </c>
      <c r="I2186" s="17" t="str">
        <f aca="false">IF(OR(E2186="",G2186=""),"",E2186*G2186)</f>
        <v/>
      </c>
      <c r="J2186" s="17" t="str">
        <f aca="false">IF(H2186="","",H2186-I2186)</f>
        <v/>
      </c>
    </row>
    <row r="2187" customFormat="false" ht="15" hidden="false" customHeight="true" outlineLevel="0" collapsed="false">
      <c r="A2187" s="7"/>
      <c r="B2187" s="18" t="str">
        <f aca="false">IF(A2187="","",IFERROR(INDEX(Sales_Memo!$B$2:$B$1001,MATCH(A2187,Sales_Memo!$A$2:$A$1001,0)),""))</f>
        <v/>
      </c>
      <c r="C2187" s="7"/>
      <c r="D2187" s="16" t="str">
        <f aca="false">IF(C2187="","",IFERROR(INDEX(Products!$B$2:$B$501,MATCH(C2187,Products!$A$2:$A$501,0)),"CODE NOT FOUND"))</f>
        <v/>
      </c>
      <c r="E2187" s="7"/>
      <c r="F2187" s="13"/>
      <c r="G2187" s="13"/>
      <c r="H2187" s="17" t="str">
        <f aca="false">IF(OR(E2187="",F2187=""),"",E2187*F2187)</f>
        <v/>
      </c>
      <c r="I2187" s="17" t="str">
        <f aca="false">IF(OR(E2187="",G2187=""),"",E2187*G2187)</f>
        <v/>
      </c>
      <c r="J2187" s="17" t="str">
        <f aca="false">IF(H2187="","",H2187-I2187)</f>
        <v/>
      </c>
    </row>
    <row r="2188" customFormat="false" ht="15" hidden="false" customHeight="true" outlineLevel="0" collapsed="false">
      <c r="A2188" s="7"/>
      <c r="B2188" s="18" t="str">
        <f aca="false">IF(A2188="","",IFERROR(INDEX(Sales_Memo!$B$2:$B$1001,MATCH(A2188,Sales_Memo!$A$2:$A$1001,0)),""))</f>
        <v/>
      </c>
      <c r="C2188" s="7"/>
      <c r="D2188" s="16" t="str">
        <f aca="false">IF(C2188="","",IFERROR(INDEX(Products!$B$2:$B$501,MATCH(C2188,Products!$A$2:$A$501,0)),"CODE NOT FOUND"))</f>
        <v/>
      </c>
      <c r="E2188" s="7"/>
      <c r="F2188" s="13"/>
      <c r="G2188" s="13"/>
      <c r="H2188" s="17" t="str">
        <f aca="false">IF(OR(E2188="",F2188=""),"",E2188*F2188)</f>
        <v/>
      </c>
      <c r="I2188" s="17" t="str">
        <f aca="false">IF(OR(E2188="",G2188=""),"",E2188*G2188)</f>
        <v/>
      </c>
      <c r="J2188" s="17" t="str">
        <f aca="false">IF(H2188="","",H2188-I2188)</f>
        <v/>
      </c>
    </row>
    <row r="2189" customFormat="false" ht="15" hidden="false" customHeight="true" outlineLevel="0" collapsed="false">
      <c r="A2189" s="7"/>
      <c r="B2189" s="18" t="str">
        <f aca="false">IF(A2189="","",IFERROR(INDEX(Sales_Memo!$B$2:$B$1001,MATCH(A2189,Sales_Memo!$A$2:$A$1001,0)),""))</f>
        <v/>
      </c>
      <c r="C2189" s="7"/>
      <c r="D2189" s="16" t="str">
        <f aca="false">IF(C2189="","",IFERROR(INDEX(Products!$B$2:$B$501,MATCH(C2189,Products!$A$2:$A$501,0)),"CODE NOT FOUND"))</f>
        <v/>
      </c>
      <c r="E2189" s="7"/>
      <c r="F2189" s="13"/>
      <c r="G2189" s="13"/>
      <c r="H2189" s="17" t="str">
        <f aca="false">IF(OR(E2189="",F2189=""),"",E2189*F2189)</f>
        <v/>
      </c>
      <c r="I2189" s="17" t="str">
        <f aca="false">IF(OR(E2189="",G2189=""),"",E2189*G2189)</f>
        <v/>
      </c>
      <c r="J2189" s="17" t="str">
        <f aca="false">IF(H2189="","",H2189-I2189)</f>
        <v/>
      </c>
    </row>
    <row r="2190" customFormat="false" ht="15" hidden="false" customHeight="true" outlineLevel="0" collapsed="false">
      <c r="A2190" s="7"/>
      <c r="B2190" s="18" t="str">
        <f aca="false">IF(A2190="","",IFERROR(INDEX(Sales_Memo!$B$2:$B$1001,MATCH(A2190,Sales_Memo!$A$2:$A$1001,0)),""))</f>
        <v/>
      </c>
      <c r="C2190" s="7"/>
      <c r="D2190" s="16" t="str">
        <f aca="false">IF(C2190="","",IFERROR(INDEX(Products!$B$2:$B$501,MATCH(C2190,Products!$A$2:$A$501,0)),"CODE NOT FOUND"))</f>
        <v/>
      </c>
      <c r="E2190" s="7"/>
      <c r="F2190" s="13"/>
      <c r="G2190" s="13"/>
      <c r="H2190" s="17" t="str">
        <f aca="false">IF(OR(E2190="",F2190=""),"",E2190*F2190)</f>
        <v/>
      </c>
      <c r="I2190" s="17" t="str">
        <f aca="false">IF(OR(E2190="",G2190=""),"",E2190*G2190)</f>
        <v/>
      </c>
      <c r="J2190" s="17" t="str">
        <f aca="false">IF(H2190="","",H2190-I2190)</f>
        <v/>
      </c>
    </row>
    <row r="2191" customFormat="false" ht="15" hidden="false" customHeight="true" outlineLevel="0" collapsed="false">
      <c r="A2191" s="7"/>
      <c r="B2191" s="18" t="str">
        <f aca="false">IF(A2191="","",IFERROR(INDEX(Sales_Memo!$B$2:$B$1001,MATCH(A2191,Sales_Memo!$A$2:$A$1001,0)),""))</f>
        <v/>
      </c>
      <c r="C2191" s="7"/>
      <c r="D2191" s="16" t="str">
        <f aca="false">IF(C2191="","",IFERROR(INDEX(Products!$B$2:$B$501,MATCH(C2191,Products!$A$2:$A$501,0)),"CODE NOT FOUND"))</f>
        <v/>
      </c>
      <c r="E2191" s="7"/>
      <c r="F2191" s="13"/>
      <c r="G2191" s="13"/>
      <c r="H2191" s="17" t="str">
        <f aca="false">IF(OR(E2191="",F2191=""),"",E2191*F2191)</f>
        <v/>
      </c>
      <c r="I2191" s="17" t="str">
        <f aca="false">IF(OR(E2191="",G2191=""),"",E2191*G2191)</f>
        <v/>
      </c>
      <c r="J2191" s="17" t="str">
        <f aca="false">IF(H2191="","",H2191-I2191)</f>
        <v/>
      </c>
    </row>
    <row r="2192" customFormat="false" ht="15" hidden="false" customHeight="true" outlineLevel="0" collapsed="false">
      <c r="A2192" s="7"/>
      <c r="B2192" s="18" t="str">
        <f aca="false">IF(A2192="","",IFERROR(INDEX(Sales_Memo!$B$2:$B$1001,MATCH(A2192,Sales_Memo!$A$2:$A$1001,0)),""))</f>
        <v/>
      </c>
      <c r="C2192" s="7"/>
      <c r="D2192" s="16" t="str">
        <f aca="false">IF(C2192="","",IFERROR(INDEX(Products!$B$2:$B$501,MATCH(C2192,Products!$A$2:$A$501,0)),"CODE NOT FOUND"))</f>
        <v/>
      </c>
      <c r="E2192" s="7"/>
      <c r="F2192" s="13"/>
      <c r="G2192" s="13"/>
      <c r="H2192" s="17" t="str">
        <f aca="false">IF(OR(E2192="",F2192=""),"",E2192*F2192)</f>
        <v/>
      </c>
      <c r="I2192" s="17" t="str">
        <f aca="false">IF(OR(E2192="",G2192=""),"",E2192*G2192)</f>
        <v/>
      </c>
      <c r="J2192" s="17" t="str">
        <f aca="false">IF(H2192="","",H2192-I2192)</f>
        <v/>
      </c>
    </row>
    <row r="2193" customFormat="false" ht="15" hidden="false" customHeight="true" outlineLevel="0" collapsed="false">
      <c r="A2193" s="7"/>
      <c r="B2193" s="18" t="str">
        <f aca="false">IF(A2193="","",IFERROR(INDEX(Sales_Memo!$B$2:$B$1001,MATCH(A2193,Sales_Memo!$A$2:$A$1001,0)),""))</f>
        <v/>
      </c>
      <c r="C2193" s="7"/>
      <c r="D2193" s="16" t="str">
        <f aca="false">IF(C2193="","",IFERROR(INDEX(Products!$B$2:$B$501,MATCH(C2193,Products!$A$2:$A$501,0)),"CODE NOT FOUND"))</f>
        <v/>
      </c>
      <c r="E2193" s="7"/>
      <c r="F2193" s="13"/>
      <c r="G2193" s="13"/>
      <c r="H2193" s="17" t="str">
        <f aca="false">IF(OR(E2193="",F2193=""),"",E2193*F2193)</f>
        <v/>
      </c>
      <c r="I2193" s="17" t="str">
        <f aca="false">IF(OR(E2193="",G2193=""),"",E2193*G2193)</f>
        <v/>
      </c>
      <c r="J2193" s="17" t="str">
        <f aca="false">IF(H2193="","",H2193-I2193)</f>
        <v/>
      </c>
    </row>
    <row r="2194" customFormat="false" ht="15" hidden="false" customHeight="true" outlineLevel="0" collapsed="false">
      <c r="A2194" s="7"/>
      <c r="B2194" s="18" t="str">
        <f aca="false">IF(A2194="","",IFERROR(INDEX(Sales_Memo!$B$2:$B$1001,MATCH(A2194,Sales_Memo!$A$2:$A$1001,0)),""))</f>
        <v/>
      </c>
      <c r="C2194" s="7"/>
      <c r="D2194" s="16" t="str">
        <f aca="false">IF(C2194="","",IFERROR(INDEX(Products!$B$2:$B$501,MATCH(C2194,Products!$A$2:$A$501,0)),"CODE NOT FOUND"))</f>
        <v/>
      </c>
      <c r="E2194" s="7"/>
      <c r="F2194" s="13"/>
      <c r="G2194" s="13"/>
      <c r="H2194" s="17" t="str">
        <f aca="false">IF(OR(E2194="",F2194=""),"",E2194*F2194)</f>
        <v/>
      </c>
      <c r="I2194" s="17" t="str">
        <f aca="false">IF(OR(E2194="",G2194=""),"",E2194*G2194)</f>
        <v/>
      </c>
      <c r="J2194" s="17" t="str">
        <f aca="false">IF(H2194="","",H2194-I2194)</f>
        <v/>
      </c>
    </row>
    <row r="2195" customFormat="false" ht="15" hidden="false" customHeight="true" outlineLevel="0" collapsed="false">
      <c r="A2195" s="7"/>
      <c r="B2195" s="18" t="str">
        <f aca="false">IF(A2195="","",IFERROR(INDEX(Sales_Memo!$B$2:$B$1001,MATCH(A2195,Sales_Memo!$A$2:$A$1001,0)),""))</f>
        <v/>
      </c>
      <c r="C2195" s="7"/>
      <c r="D2195" s="16" t="str">
        <f aca="false">IF(C2195="","",IFERROR(INDEX(Products!$B$2:$B$501,MATCH(C2195,Products!$A$2:$A$501,0)),"CODE NOT FOUND"))</f>
        <v/>
      </c>
      <c r="E2195" s="7"/>
      <c r="F2195" s="13"/>
      <c r="G2195" s="13"/>
      <c r="H2195" s="17" t="str">
        <f aca="false">IF(OR(E2195="",F2195=""),"",E2195*F2195)</f>
        <v/>
      </c>
      <c r="I2195" s="17" t="str">
        <f aca="false">IF(OR(E2195="",G2195=""),"",E2195*G2195)</f>
        <v/>
      </c>
      <c r="J2195" s="17" t="str">
        <f aca="false">IF(H2195="","",H2195-I2195)</f>
        <v/>
      </c>
    </row>
    <row r="2196" customFormat="false" ht="15" hidden="false" customHeight="true" outlineLevel="0" collapsed="false">
      <c r="A2196" s="7"/>
      <c r="B2196" s="18" t="str">
        <f aca="false">IF(A2196="","",IFERROR(INDEX(Sales_Memo!$B$2:$B$1001,MATCH(A2196,Sales_Memo!$A$2:$A$1001,0)),""))</f>
        <v/>
      </c>
      <c r="C2196" s="7"/>
      <c r="D2196" s="16" t="str">
        <f aca="false">IF(C2196="","",IFERROR(INDEX(Products!$B$2:$B$501,MATCH(C2196,Products!$A$2:$A$501,0)),"CODE NOT FOUND"))</f>
        <v/>
      </c>
      <c r="E2196" s="7"/>
      <c r="F2196" s="13"/>
      <c r="G2196" s="13"/>
      <c r="H2196" s="17" t="str">
        <f aca="false">IF(OR(E2196="",F2196=""),"",E2196*F2196)</f>
        <v/>
      </c>
      <c r="I2196" s="17" t="str">
        <f aca="false">IF(OR(E2196="",G2196=""),"",E2196*G2196)</f>
        <v/>
      </c>
      <c r="J2196" s="17" t="str">
        <f aca="false">IF(H2196="","",H2196-I2196)</f>
        <v/>
      </c>
    </row>
    <row r="2197" customFormat="false" ht="15" hidden="false" customHeight="true" outlineLevel="0" collapsed="false">
      <c r="A2197" s="7"/>
      <c r="B2197" s="18" t="str">
        <f aca="false">IF(A2197="","",IFERROR(INDEX(Sales_Memo!$B$2:$B$1001,MATCH(A2197,Sales_Memo!$A$2:$A$1001,0)),""))</f>
        <v/>
      </c>
      <c r="C2197" s="7"/>
      <c r="D2197" s="16" t="str">
        <f aca="false">IF(C2197="","",IFERROR(INDEX(Products!$B$2:$B$501,MATCH(C2197,Products!$A$2:$A$501,0)),"CODE NOT FOUND"))</f>
        <v/>
      </c>
      <c r="E2197" s="7"/>
      <c r="F2197" s="13"/>
      <c r="G2197" s="13"/>
      <c r="H2197" s="17" t="str">
        <f aca="false">IF(OR(E2197="",F2197=""),"",E2197*F2197)</f>
        <v/>
      </c>
      <c r="I2197" s="17" t="str">
        <f aca="false">IF(OR(E2197="",G2197=""),"",E2197*G2197)</f>
        <v/>
      </c>
      <c r="J2197" s="17" t="str">
        <f aca="false">IF(H2197="","",H2197-I2197)</f>
        <v/>
      </c>
    </row>
    <row r="2198" customFormat="false" ht="15" hidden="false" customHeight="true" outlineLevel="0" collapsed="false">
      <c r="A2198" s="7"/>
      <c r="B2198" s="18" t="str">
        <f aca="false">IF(A2198="","",IFERROR(INDEX(Sales_Memo!$B$2:$B$1001,MATCH(A2198,Sales_Memo!$A$2:$A$1001,0)),""))</f>
        <v/>
      </c>
      <c r="C2198" s="7"/>
      <c r="D2198" s="16" t="str">
        <f aca="false">IF(C2198="","",IFERROR(INDEX(Products!$B$2:$B$501,MATCH(C2198,Products!$A$2:$A$501,0)),"CODE NOT FOUND"))</f>
        <v/>
      </c>
      <c r="E2198" s="7"/>
      <c r="F2198" s="13"/>
      <c r="G2198" s="13"/>
      <c r="H2198" s="17" t="str">
        <f aca="false">IF(OR(E2198="",F2198=""),"",E2198*F2198)</f>
        <v/>
      </c>
      <c r="I2198" s="17" t="str">
        <f aca="false">IF(OR(E2198="",G2198=""),"",E2198*G2198)</f>
        <v/>
      </c>
      <c r="J2198" s="17" t="str">
        <f aca="false">IF(H2198="","",H2198-I2198)</f>
        <v/>
      </c>
    </row>
    <row r="2199" customFormat="false" ht="15" hidden="false" customHeight="true" outlineLevel="0" collapsed="false">
      <c r="A2199" s="7"/>
      <c r="B2199" s="18" t="str">
        <f aca="false">IF(A2199="","",IFERROR(INDEX(Sales_Memo!$B$2:$B$1001,MATCH(A2199,Sales_Memo!$A$2:$A$1001,0)),""))</f>
        <v/>
      </c>
      <c r="C2199" s="7"/>
      <c r="D2199" s="16" t="str">
        <f aca="false">IF(C2199="","",IFERROR(INDEX(Products!$B$2:$B$501,MATCH(C2199,Products!$A$2:$A$501,0)),"CODE NOT FOUND"))</f>
        <v/>
      </c>
      <c r="E2199" s="7"/>
      <c r="F2199" s="13"/>
      <c r="G2199" s="13"/>
      <c r="H2199" s="17" t="str">
        <f aca="false">IF(OR(E2199="",F2199=""),"",E2199*F2199)</f>
        <v/>
      </c>
      <c r="I2199" s="17" t="str">
        <f aca="false">IF(OR(E2199="",G2199=""),"",E2199*G2199)</f>
        <v/>
      </c>
      <c r="J2199" s="17" t="str">
        <f aca="false">IF(H2199="","",H2199-I2199)</f>
        <v/>
      </c>
    </row>
    <row r="2200" customFormat="false" ht="15" hidden="false" customHeight="true" outlineLevel="0" collapsed="false">
      <c r="A2200" s="7"/>
      <c r="B2200" s="18" t="str">
        <f aca="false">IF(A2200="","",IFERROR(INDEX(Sales_Memo!$B$2:$B$1001,MATCH(A2200,Sales_Memo!$A$2:$A$1001,0)),""))</f>
        <v/>
      </c>
      <c r="C2200" s="7"/>
      <c r="D2200" s="16" t="str">
        <f aca="false">IF(C2200="","",IFERROR(INDEX(Products!$B$2:$B$501,MATCH(C2200,Products!$A$2:$A$501,0)),"CODE NOT FOUND"))</f>
        <v/>
      </c>
      <c r="E2200" s="7"/>
      <c r="F2200" s="13"/>
      <c r="G2200" s="13"/>
      <c r="H2200" s="17" t="str">
        <f aca="false">IF(OR(E2200="",F2200=""),"",E2200*F2200)</f>
        <v/>
      </c>
      <c r="I2200" s="17" t="str">
        <f aca="false">IF(OR(E2200="",G2200=""),"",E2200*G2200)</f>
        <v/>
      </c>
      <c r="J2200" s="17" t="str">
        <f aca="false">IF(H2200="","",H2200-I2200)</f>
        <v/>
      </c>
    </row>
    <row r="2201" customFormat="false" ht="15" hidden="false" customHeight="true" outlineLevel="0" collapsed="false">
      <c r="A2201" s="7"/>
      <c r="B2201" s="18" t="str">
        <f aca="false">IF(A2201="","",IFERROR(INDEX(Sales_Memo!$B$2:$B$1001,MATCH(A2201,Sales_Memo!$A$2:$A$1001,0)),""))</f>
        <v/>
      </c>
      <c r="C2201" s="7"/>
      <c r="D2201" s="16" t="str">
        <f aca="false">IF(C2201="","",IFERROR(INDEX(Products!$B$2:$B$501,MATCH(C2201,Products!$A$2:$A$501,0)),"CODE NOT FOUND"))</f>
        <v/>
      </c>
      <c r="E2201" s="7"/>
      <c r="F2201" s="13"/>
      <c r="G2201" s="13"/>
      <c r="H2201" s="17" t="str">
        <f aca="false">IF(OR(E2201="",F2201=""),"",E2201*F2201)</f>
        <v/>
      </c>
      <c r="I2201" s="17" t="str">
        <f aca="false">IF(OR(E2201="",G2201=""),"",E2201*G2201)</f>
        <v/>
      </c>
      <c r="J2201" s="17" t="str">
        <f aca="false">IF(H2201="","",H2201-I2201)</f>
        <v/>
      </c>
    </row>
    <row r="2202" customFormat="false" ht="15" hidden="false" customHeight="true" outlineLevel="0" collapsed="false">
      <c r="A2202" s="7"/>
      <c r="B2202" s="18" t="str">
        <f aca="false">IF(A2202="","",IFERROR(INDEX(Sales_Memo!$B$2:$B$1001,MATCH(A2202,Sales_Memo!$A$2:$A$1001,0)),""))</f>
        <v/>
      </c>
      <c r="C2202" s="7"/>
      <c r="D2202" s="16" t="str">
        <f aca="false">IF(C2202="","",IFERROR(INDEX(Products!$B$2:$B$501,MATCH(C2202,Products!$A$2:$A$501,0)),"CODE NOT FOUND"))</f>
        <v/>
      </c>
      <c r="E2202" s="7"/>
      <c r="F2202" s="13"/>
      <c r="G2202" s="13"/>
      <c r="H2202" s="17" t="str">
        <f aca="false">IF(OR(E2202="",F2202=""),"",E2202*F2202)</f>
        <v/>
      </c>
      <c r="I2202" s="17" t="str">
        <f aca="false">IF(OR(E2202="",G2202=""),"",E2202*G2202)</f>
        <v/>
      </c>
      <c r="J2202" s="17" t="str">
        <f aca="false">IF(H2202="","",H2202-I2202)</f>
        <v/>
      </c>
    </row>
    <row r="2203" customFormat="false" ht="15" hidden="false" customHeight="true" outlineLevel="0" collapsed="false">
      <c r="A2203" s="7"/>
      <c r="B2203" s="18" t="str">
        <f aca="false">IF(A2203="","",IFERROR(INDEX(Sales_Memo!$B$2:$B$1001,MATCH(A2203,Sales_Memo!$A$2:$A$1001,0)),""))</f>
        <v/>
      </c>
      <c r="C2203" s="7"/>
      <c r="D2203" s="16" t="str">
        <f aca="false">IF(C2203="","",IFERROR(INDEX(Products!$B$2:$B$501,MATCH(C2203,Products!$A$2:$A$501,0)),"CODE NOT FOUND"))</f>
        <v/>
      </c>
      <c r="E2203" s="7"/>
      <c r="F2203" s="13"/>
      <c r="G2203" s="13"/>
      <c r="H2203" s="17" t="str">
        <f aca="false">IF(OR(E2203="",F2203=""),"",E2203*F2203)</f>
        <v/>
      </c>
      <c r="I2203" s="17" t="str">
        <f aca="false">IF(OR(E2203="",G2203=""),"",E2203*G2203)</f>
        <v/>
      </c>
      <c r="J2203" s="17" t="str">
        <f aca="false">IF(H2203="","",H2203-I2203)</f>
        <v/>
      </c>
    </row>
    <row r="2204" customFormat="false" ht="15" hidden="false" customHeight="true" outlineLevel="0" collapsed="false">
      <c r="A2204" s="7"/>
      <c r="B2204" s="18" t="str">
        <f aca="false">IF(A2204="","",IFERROR(INDEX(Sales_Memo!$B$2:$B$1001,MATCH(A2204,Sales_Memo!$A$2:$A$1001,0)),""))</f>
        <v/>
      </c>
      <c r="C2204" s="7"/>
      <c r="D2204" s="16" t="str">
        <f aca="false">IF(C2204="","",IFERROR(INDEX(Products!$B$2:$B$501,MATCH(C2204,Products!$A$2:$A$501,0)),"CODE NOT FOUND"))</f>
        <v/>
      </c>
      <c r="E2204" s="7"/>
      <c r="F2204" s="13"/>
      <c r="G2204" s="13"/>
      <c r="H2204" s="17" t="str">
        <f aca="false">IF(OR(E2204="",F2204=""),"",E2204*F2204)</f>
        <v/>
      </c>
      <c r="I2204" s="17" t="str">
        <f aca="false">IF(OR(E2204="",G2204=""),"",E2204*G2204)</f>
        <v/>
      </c>
      <c r="J2204" s="17" t="str">
        <f aca="false">IF(H2204="","",H2204-I2204)</f>
        <v/>
      </c>
    </row>
    <row r="2205" customFormat="false" ht="15" hidden="false" customHeight="true" outlineLevel="0" collapsed="false">
      <c r="A2205" s="7"/>
      <c r="B2205" s="18" t="str">
        <f aca="false">IF(A2205="","",IFERROR(INDEX(Sales_Memo!$B$2:$B$1001,MATCH(A2205,Sales_Memo!$A$2:$A$1001,0)),""))</f>
        <v/>
      </c>
      <c r="C2205" s="7"/>
      <c r="D2205" s="16" t="str">
        <f aca="false">IF(C2205="","",IFERROR(INDEX(Products!$B$2:$B$501,MATCH(C2205,Products!$A$2:$A$501,0)),"CODE NOT FOUND"))</f>
        <v/>
      </c>
      <c r="E2205" s="7"/>
      <c r="F2205" s="13"/>
      <c r="G2205" s="13"/>
      <c r="H2205" s="17" t="str">
        <f aca="false">IF(OR(E2205="",F2205=""),"",E2205*F2205)</f>
        <v/>
      </c>
      <c r="I2205" s="17" t="str">
        <f aca="false">IF(OR(E2205="",G2205=""),"",E2205*G2205)</f>
        <v/>
      </c>
      <c r="J2205" s="17" t="str">
        <f aca="false">IF(H2205="","",H2205-I2205)</f>
        <v/>
      </c>
    </row>
    <row r="2206" customFormat="false" ht="15" hidden="false" customHeight="true" outlineLevel="0" collapsed="false">
      <c r="A2206" s="7"/>
      <c r="B2206" s="18" t="str">
        <f aca="false">IF(A2206="","",IFERROR(INDEX(Sales_Memo!$B$2:$B$1001,MATCH(A2206,Sales_Memo!$A$2:$A$1001,0)),""))</f>
        <v/>
      </c>
      <c r="C2206" s="7"/>
      <c r="D2206" s="16" t="str">
        <f aca="false">IF(C2206="","",IFERROR(INDEX(Products!$B$2:$B$501,MATCH(C2206,Products!$A$2:$A$501,0)),"CODE NOT FOUND"))</f>
        <v/>
      </c>
      <c r="E2206" s="7"/>
      <c r="F2206" s="13"/>
      <c r="G2206" s="13"/>
      <c r="H2206" s="17" t="str">
        <f aca="false">IF(OR(E2206="",F2206=""),"",E2206*F2206)</f>
        <v/>
      </c>
      <c r="I2206" s="17" t="str">
        <f aca="false">IF(OR(E2206="",G2206=""),"",E2206*G2206)</f>
        <v/>
      </c>
      <c r="J2206" s="17" t="str">
        <f aca="false">IF(H2206="","",H2206-I2206)</f>
        <v/>
      </c>
    </row>
    <row r="2207" customFormat="false" ht="15" hidden="false" customHeight="true" outlineLevel="0" collapsed="false">
      <c r="A2207" s="7"/>
      <c r="B2207" s="18" t="str">
        <f aca="false">IF(A2207="","",IFERROR(INDEX(Sales_Memo!$B$2:$B$1001,MATCH(A2207,Sales_Memo!$A$2:$A$1001,0)),""))</f>
        <v/>
      </c>
      <c r="C2207" s="7"/>
      <c r="D2207" s="16" t="str">
        <f aca="false">IF(C2207="","",IFERROR(INDEX(Products!$B$2:$B$501,MATCH(C2207,Products!$A$2:$A$501,0)),"CODE NOT FOUND"))</f>
        <v/>
      </c>
      <c r="E2207" s="7"/>
      <c r="F2207" s="13"/>
      <c r="G2207" s="13"/>
      <c r="H2207" s="17" t="str">
        <f aca="false">IF(OR(E2207="",F2207=""),"",E2207*F2207)</f>
        <v/>
      </c>
      <c r="I2207" s="17" t="str">
        <f aca="false">IF(OR(E2207="",G2207=""),"",E2207*G2207)</f>
        <v/>
      </c>
      <c r="J2207" s="17" t="str">
        <f aca="false">IF(H2207="","",H2207-I2207)</f>
        <v/>
      </c>
    </row>
    <row r="2208" customFormat="false" ht="15" hidden="false" customHeight="true" outlineLevel="0" collapsed="false">
      <c r="A2208" s="7"/>
      <c r="B2208" s="18" t="str">
        <f aca="false">IF(A2208="","",IFERROR(INDEX(Sales_Memo!$B$2:$B$1001,MATCH(A2208,Sales_Memo!$A$2:$A$1001,0)),""))</f>
        <v/>
      </c>
      <c r="C2208" s="7"/>
      <c r="D2208" s="16" t="str">
        <f aca="false">IF(C2208="","",IFERROR(INDEX(Products!$B$2:$B$501,MATCH(C2208,Products!$A$2:$A$501,0)),"CODE NOT FOUND"))</f>
        <v/>
      </c>
      <c r="E2208" s="7"/>
      <c r="F2208" s="13"/>
      <c r="G2208" s="13"/>
      <c r="H2208" s="17" t="str">
        <f aca="false">IF(OR(E2208="",F2208=""),"",E2208*F2208)</f>
        <v/>
      </c>
      <c r="I2208" s="17" t="str">
        <f aca="false">IF(OR(E2208="",G2208=""),"",E2208*G2208)</f>
        <v/>
      </c>
      <c r="J2208" s="17" t="str">
        <f aca="false">IF(H2208="","",H2208-I2208)</f>
        <v/>
      </c>
    </row>
    <row r="2209" customFormat="false" ht="15" hidden="false" customHeight="true" outlineLevel="0" collapsed="false">
      <c r="A2209" s="7"/>
      <c r="B2209" s="18" t="str">
        <f aca="false">IF(A2209="","",IFERROR(INDEX(Sales_Memo!$B$2:$B$1001,MATCH(A2209,Sales_Memo!$A$2:$A$1001,0)),""))</f>
        <v/>
      </c>
      <c r="C2209" s="7"/>
      <c r="D2209" s="16" t="str">
        <f aca="false">IF(C2209="","",IFERROR(INDEX(Products!$B$2:$B$501,MATCH(C2209,Products!$A$2:$A$501,0)),"CODE NOT FOUND"))</f>
        <v/>
      </c>
      <c r="E2209" s="7"/>
      <c r="F2209" s="13"/>
      <c r="G2209" s="13"/>
      <c r="H2209" s="17" t="str">
        <f aca="false">IF(OR(E2209="",F2209=""),"",E2209*F2209)</f>
        <v/>
      </c>
      <c r="I2209" s="17" t="str">
        <f aca="false">IF(OR(E2209="",G2209=""),"",E2209*G2209)</f>
        <v/>
      </c>
      <c r="J2209" s="17" t="str">
        <f aca="false">IF(H2209="","",H2209-I2209)</f>
        <v/>
      </c>
    </row>
    <row r="2210" customFormat="false" ht="15" hidden="false" customHeight="true" outlineLevel="0" collapsed="false">
      <c r="A2210" s="7"/>
      <c r="B2210" s="18" t="str">
        <f aca="false">IF(A2210="","",IFERROR(INDEX(Sales_Memo!$B$2:$B$1001,MATCH(A2210,Sales_Memo!$A$2:$A$1001,0)),""))</f>
        <v/>
      </c>
      <c r="C2210" s="7"/>
      <c r="D2210" s="16" t="str">
        <f aca="false">IF(C2210="","",IFERROR(INDEX(Products!$B$2:$B$501,MATCH(C2210,Products!$A$2:$A$501,0)),"CODE NOT FOUND"))</f>
        <v/>
      </c>
      <c r="E2210" s="7"/>
      <c r="F2210" s="13"/>
      <c r="G2210" s="13"/>
      <c r="H2210" s="17" t="str">
        <f aca="false">IF(OR(E2210="",F2210=""),"",E2210*F2210)</f>
        <v/>
      </c>
      <c r="I2210" s="17" t="str">
        <f aca="false">IF(OR(E2210="",G2210=""),"",E2210*G2210)</f>
        <v/>
      </c>
      <c r="J2210" s="17" t="str">
        <f aca="false">IF(H2210="","",H2210-I2210)</f>
        <v/>
      </c>
    </row>
    <row r="2211" customFormat="false" ht="15" hidden="false" customHeight="true" outlineLevel="0" collapsed="false">
      <c r="A2211" s="7"/>
      <c r="B2211" s="18" t="str">
        <f aca="false">IF(A2211="","",IFERROR(INDEX(Sales_Memo!$B$2:$B$1001,MATCH(A2211,Sales_Memo!$A$2:$A$1001,0)),""))</f>
        <v/>
      </c>
      <c r="C2211" s="7"/>
      <c r="D2211" s="16" t="str">
        <f aca="false">IF(C2211="","",IFERROR(INDEX(Products!$B$2:$B$501,MATCH(C2211,Products!$A$2:$A$501,0)),"CODE NOT FOUND"))</f>
        <v/>
      </c>
      <c r="E2211" s="7"/>
      <c r="F2211" s="13"/>
      <c r="G2211" s="13"/>
      <c r="H2211" s="17" t="str">
        <f aca="false">IF(OR(E2211="",F2211=""),"",E2211*F2211)</f>
        <v/>
      </c>
      <c r="I2211" s="17" t="str">
        <f aca="false">IF(OR(E2211="",G2211=""),"",E2211*G2211)</f>
        <v/>
      </c>
      <c r="J2211" s="17" t="str">
        <f aca="false">IF(H2211="","",H2211-I2211)</f>
        <v/>
      </c>
    </row>
    <row r="2212" customFormat="false" ht="15" hidden="false" customHeight="true" outlineLevel="0" collapsed="false">
      <c r="A2212" s="7"/>
      <c r="B2212" s="18" t="str">
        <f aca="false">IF(A2212="","",IFERROR(INDEX(Sales_Memo!$B$2:$B$1001,MATCH(A2212,Sales_Memo!$A$2:$A$1001,0)),""))</f>
        <v/>
      </c>
      <c r="C2212" s="7"/>
      <c r="D2212" s="16" t="str">
        <f aca="false">IF(C2212="","",IFERROR(INDEX(Products!$B$2:$B$501,MATCH(C2212,Products!$A$2:$A$501,0)),"CODE NOT FOUND"))</f>
        <v/>
      </c>
      <c r="E2212" s="7"/>
      <c r="F2212" s="13"/>
      <c r="G2212" s="13"/>
      <c r="H2212" s="17" t="str">
        <f aca="false">IF(OR(E2212="",F2212=""),"",E2212*F2212)</f>
        <v/>
      </c>
      <c r="I2212" s="17" t="str">
        <f aca="false">IF(OR(E2212="",G2212=""),"",E2212*G2212)</f>
        <v/>
      </c>
      <c r="J2212" s="17" t="str">
        <f aca="false">IF(H2212="","",H2212-I2212)</f>
        <v/>
      </c>
    </row>
    <row r="2213" customFormat="false" ht="15" hidden="false" customHeight="true" outlineLevel="0" collapsed="false">
      <c r="A2213" s="7"/>
      <c r="B2213" s="18" t="str">
        <f aca="false">IF(A2213="","",IFERROR(INDEX(Sales_Memo!$B$2:$B$1001,MATCH(A2213,Sales_Memo!$A$2:$A$1001,0)),""))</f>
        <v/>
      </c>
      <c r="C2213" s="7"/>
      <c r="D2213" s="16" t="str">
        <f aca="false">IF(C2213="","",IFERROR(INDEX(Products!$B$2:$B$501,MATCH(C2213,Products!$A$2:$A$501,0)),"CODE NOT FOUND"))</f>
        <v/>
      </c>
      <c r="E2213" s="7"/>
      <c r="F2213" s="13"/>
      <c r="G2213" s="13"/>
      <c r="H2213" s="17" t="str">
        <f aca="false">IF(OR(E2213="",F2213=""),"",E2213*F2213)</f>
        <v/>
      </c>
      <c r="I2213" s="17" t="str">
        <f aca="false">IF(OR(E2213="",G2213=""),"",E2213*G2213)</f>
        <v/>
      </c>
      <c r="J2213" s="17" t="str">
        <f aca="false">IF(H2213="","",H2213-I2213)</f>
        <v/>
      </c>
    </row>
    <row r="2214" customFormat="false" ht="15" hidden="false" customHeight="true" outlineLevel="0" collapsed="false">
      <c r="A2214" s="7"/>
      <c r="B2214" s="18" t="str">
        <f aca="false">IF(A2214="","",IFERROR(INDEX(Sales_Memo!$B$2:$B$1001,MATCH(A2214,Sales_Memo!$A$2:$A$1001,0)),""))</f>
        <v/>
      </c>
      <c r="C2214" s="7"/>
      <c r="D2214" s="16" t="str">
        <f aca="false">IF(C2214="","",IFERROR(INDEX(Products!$B$2:$B$501,MATCH(C2214,Products!$A$2:$A$501,0)),"CODE NOT FOUND"))</f>
        <v/>
      </c>
      <c r="E2214" s="7"/>
      <c r="F2214" s="13"/>
      <c r="G2214" s="13"/>
      <c r="H2214" s="17" t="str">
        <f aca="false">IF(OR(E2214="",F2214=""),"",E2214*F2214)</f>
        <v/>
      </c>
      <c r="I2214" s="17" t="str">
        <f aca="false">IF(OR(E2214="",G2214=""),"",E2214*G2214)</f>
        <v/>
      </c>
      <c r="J2214" s="17" t="str">
        <f aca="false">IF(H2214="","",H2214-I2214)</f>
        <v/>
      </c>
    </row>
    <row r="2215" customFormat="false" ht="15" hidden="false" customHeight="true" outlineLevel="0" collapsed="false">
      <c r="A2215" s="7"/>
      <c r="B2215" s="18" t="str">
        <f aca="false">IF(A2215="","",IFERROR(INDEX(Sales_Memo!$B$2:$B$1001,MATCH(A2215,Sales_Memo!$A$2:$A$1001,0)),""))</f>
        <v/>
      </c>
      <c r="C2215" s="7"/>
      <c r="D2215" s="16" t="str">
        <f aca="false">IF(C2215="","",IFERROR(INDEX(Products!$B$2:$B$501,MATCH(C2215,Products!$A$2:$A$501,0)),"CODE NOT FOUND"))</f>
        <v/>
      </c>
      <c r="E2215" s="7"/>
      <c r="F2215" s="13"/>
      <c r="G2215" s="13"/>
      <c r="H2215" s="17" t="str">
        <f aca="false">IF(OR(E2215="",F2215=""),"",E2215*F2215)</f>
        <v/>
      </c>
      <c r="I2215" s="17" t="str">
        <f aca="false">IF(OR(E2215="",G2215=""),"",E2215*G2215)</f>
        <v/>
      </c>
      <c r="J2215" s="17" t="str">
        <f aca="false">IF(H2215="","",H2215-I2215)</f>
        <v/>
      </c>
    </row>
    <row r="2216" customFormat="false" ht="15" hidden="false" customHeight="true" outlineLevel="0" collapsed="false">
      <c r="A2216" s="7"/>
      <c r="B2216" s="18" t="str">
        <f aca="false">IF(A2216="","",IFERROR(INDEX(Sales_Memo!$B$2:$B$1001,MATCH(A2216,Sales_Memo!$A$2:$A$1001,0)),""))</f>
        <v/>
      </c>
      <c r="C2216" s="7"/>
      <c r="D2216" s="16" t="str">
        <f aca="false">IF(C2216="","",IFERROR(INDEX(Products!$B$2:$B$501,MATCH(C2216,Products!$A$2:$A$501,0)),"CODE NOT FOUND"))</f>
        <v/>
      </c>
      <c r="E2216" s="7"/>
      <c r="F2216" s="13"/>
      <c r="G2216" s="13"/>
      <c r="H2216" s="17" t="str">
        <f aca="false">IF(OR(E2216="",F2216=""),"",E2216*F2216)</f>
        <v/>
      </c>
      <c r="I2216" s="17" t="str">
        <f aca="false">IF(OR(E2216="",G2216=""),"",E2216*G2216)</f>
        <v/>
      </c>
      <c r="J2216" s="17" t="str">
        <f aca="false">IF(H2216="","",H2216-I2216)</f>
        <v/>
      </c>
    </row>
    <row r="2217" customFormat="false" ht="15" hidden="false" customHeight="true" outlineLevel="0" collapsed="false">
      <c r="A2217" s="7"/>
      <c r="B2217" s="18" t="str">
        <f aca="false">IF(A2217="","",IFERROR(INDEX(Sales_Memo!$B$2:$B$1001,MATCH(A2217,Sales_Memo!$A$2:$A$1001,0)),""))</f>
        <v/>
      </c>
      <c r="C2217" s="7"/>
      <c r="D2217" s="16" t="str">
        <f aca="false">IF(C2217="","",IFERROR(INDEX(Products!$B$2:$B$501,MATCH(C2217,Products!$A$2:$A$501,0)),"CODE NOT FOUND"))</f>
        <v/>
      </c>
      <c r="E2217" s="7"/>
      <c r="F2217" s="13"/>
      <c r="G2217" s="13"/>
      <c r="H2217" s="17" t="str">
        <f aca="false">IF(OR(E2217="",F2217=""),"",E2217*F2217)</f>
        <v/>
      </c>
      <c r="I2217" s="17" t="str">
        <f aca="false">IF(OR(E2217="",G2217=""),"",E2217*G2217)</f>
        <v/>
      </c>
      <c r="J2217" s="17" t="str">
        <f aca="false">IF(H2217="","",H2217-I2217)</f>
        <v/>
      </c>
    </row>
    <row r="2218" customFormat="false" ht="15" hidden="false" customHeight="true" outlineLevel="0" collapsed="false">
      <c r="A2218" s="7"/>
      <c r="B2218" s="18" t="str">
        <f aca="false">IF(A2218="","",IFERROR(INDEX(Sales_Memo!$B$2:$B$1001,MATCH(A2218,Sales_Memo!$A$2:$A$1001,0)),""))</f>
        <v/>
      </c>
      <c r="C2218" s="7"/>
      <c r="D2218" s="16" t="str">
        <f aca="false">IF(C2218="","",IFERROR(INDEX(Products!$B$2:$B$501,MATCH(C2218,Products!$A$2:$A$501,0)),"CODE NOT FOUND"))</f>
        <v/>
      </c>
      <c r="E2218" s="7"/>
      <c r="F2218" s="13"/>
      <c r="G2218" s="13"/>
      <c r="H2218" s="17" t="str">
        <f aca="false">IF(OR(E2218="",F2218=""),"",E2218*F2218)</f>
        <v/>
      </c>
      <c r="I2218" s="17" t="str">
        <f aca="false">IF(OR(E2218="",G2218=""),"",E2218*G2218)</f>
        <v/>
      </c>
      <c r="J2218" s="17" t="str">
        <f aca="false">IF(H2218="","",H2218-I2218)</f>
        <v/>
      </c>
    </row>
    <row r="2219" customFormat="false" ht="15" hidden="false" customHeight="true" outlineLevel="0" collapsed="false">
      <c r="A2219" s="7"/>
      <c r="B2219" s="18" t="str">
        <f aca="false">IF(A2219="","",IFERROR(INDEX(Sales_Memo!$B$2:$B$1001,MATCH(A2219,Sales_Memo!$A$2:$A$1001,0)),""))</f>
        <v/>
      </c>
      <c r="C2219" s="7"/>
      <c r="D2219" s="16" t="str">
        <f aca="false">IF(C2219="","",IFERROR(INDEX(Products!$B$2:$B$501,MATCH(C2219,Products!$A$2:$A$501,0)),"CODE NOT FOUND"))</f>
        <v/>
      </c>
      <c r="E2219" s="7"/>
      <c r="F2219" s="13"/>
      <c r="G2219" s="13"/>
      <c r="H2219" s="17" t="str">
        <f aca="false">IF(OR(E2219="",F2219=""),"",E2219*F2219)</f>
        <v/>
      </c>
      <c r="I2219" s="17" t="str">
        <f aca="false">IF(OR(E2219="",G2219=""),"",E2219*G2219)</f>
        <v/>
      </c>
      <c r="J2219" s="17" t="str">
        <f aca="false">IF(H2219="","",H2219-I2219)</f>
        <v/>
      </c>
    </row>
    <row r="2220" customFormat="false" ht="15" hidden="false" customHeight="true" outlineLevel="0" collapsed="false">
      <c r="A2220" s="7"/>
      <c r="B2220" s="18" t="str">
        <f aca="false">IF(A2220="","",IFERROR(INDEX(Sales_Memo!$B$2:$B$1001,MATCH(A2220,Sales_Memo!$A$2:$A$1001,0)),""))</f>
        <v/>
      </c>
      <c r="C2220" s="7"/>
      <c r="D2220" s="16" t="str">
        <f aca="false">IF(C2220="","",IFERROR(INDEX(Products!$B$2:$B$501,MATCH(C2220,Products!$A$2:$A$501,0)),"CODE NOT FOUND"))</f>
        <v/>
      </c>
      <c r="E2220" s="7"/>
      <c r="F2220" s="13"/>
      <c r="G2220" s="13"/>
      <c r="H2220" s="17" t="str">
        <f aca="false">IF(OR(E2220="",F2220=""),"",E2220*F2220)</f>
        <v/>
      </c>
      <c r="I2220" s="17" t="str">
        <f aca="false">IF(OR(E2220="",G2220=""),"",E2220*G2220)</f>
        <v/>
      </c>
      <c r="J2220" s="17" t="str">
        <f aca="false">IF(H2220="","",H2220-I2220)</f>
        <v/>
      </c>
    </row>
    <row r="2221" customFormat="false" ht="15" hidden="false" customHeight="true" outlineLevel="0" collapsed="false">
      <c r="A2221" s="7"/>
      <c r="B2221" s="18" t="str">
        <f aca="false">IF(A2221="","",IFERROR(INDEX(Sales_Memo!$B$2:$B$1001,MATCH(A2221,Sales_Memo!$A$2:$A$1001,0)),""))</f>
        <v/>
      </c>
      <c r="C2221" s="7"/>
      <c r="D2221" s="16" t="str">
        <f aca="false">IF(C2221="","",IFERROR(INDEX(Products!$B$2:$B$501,MATCH(C2221,Products!$A$2:$A$501,0)),"CODE NOT FOUND"))</f>
        <v/>
      </c>
      <c r="E2221" s="7"/>
      <c r="F2221" s="13"/>
      <c r="G2221" s="13"/>
      <c r="H2221" s="17" t="str">
        <f aca="false">IF(OR(E2221="",F2221=""),"",E2221*F2221)</f>
        <v/>
      </c>
      <c r="I2221" s="17" t="str">
        <f aca="false">IF(OR(E2221="",G2221=""),"",E2221*G2221)</f>
        <v/>
      </c>
      <c r="J2221" s="17" t="str">
        <f aca="false">IF(H2221="","",H2221-I2221)</f>
        <v/>
      </c>
    </row>
    <row r="2222" customFormat="false" ht="15" hidden="false" customHeight="true" outlineLevel="0" collapsed="false">
      <c r="A2222" s="7"/>
      <c r="B2222" s="18" t="str">
        <f aca="false">IF(A2222="","",IFERROR(INDEX(Sales_Memo!$B$2:$B$1001,MATCH(A2222,Sales_Memo!$A$2:$A$1001,0)),""))</f>
        <v/>
      </c>
      <c r="C2222" s="7"/>
      <c r="D2222" s="16" t="str">
        <f aca="false">IF(C2222="","",IFERROR(INDEX(Products!$B$2:$B$501,MATCH(C2222,Products!$A$2:$A$501,0)),"CODE NOT FOUND"))</f>
        <v/>
      </c>
      <c r="E2222" s="7"/>
      <c r="F2222" s="13"/>
      <c r="G2222" s="13"/>
      <c r="H2222" s="17" t="str">
        <f aca="false">IF(OR(E2222="",F2222=""),"",E2222*F2222)</f>
        <v/>
      </c>
      <c r="I2222" s="17" t="str">
        <f aca="false">IF(OR(E2222="",G2222=""),"",E2222*G2222)</f>
        <v/>
      </c>
      <c r="J2222" s="17" t="str">
        <f aca="false">IF(H2222="","",H2222-I2222)</f>
        <v/>
      </c>
    </row>
    <row r="2223" customFormat="false" ht="15" hidden="false" customHeight="true" outlineLevel="0" collapsed="false">
      <c r="A2223" s="7"/>
      <c r="B2223" s="18" t="str">
        <f aca="false">IF(A2223="","",IFERROR(INDEX(Sales_Memo!$B$2:$B$1001,MATCH(A2223,Sales_Memo!$A$2:$A$1001,0)),""))</f>
        <v/>
      </c>
      <c r="C2223" s="7"/>
      <c r="D2223" s="16" t="str">
        <f aca="false">IF(C2223="","",IFERROR(INDEX(Products!$B$2:$B$501,MATCH(C2223,Products!$A$2:$A$501,0)),"CODE NOT FOUND"))</f>
        <v/>
      </c>
      <c r="E2223" s="7"/>
      <c r="F2223" s="13"/>
      <c r="G2223" s="13"/>
      <c r="H2223" s="17" t="str">
        <f aca="false">IF(OR(E2223="",F2223=""),"",E2223*F2223)</f>
        <v/>
      </c>
      <c r="I2223" s="17" t="str">
        <f aca="false">IF(OR(E2223="",G2223=""),"",E2223*G2223)</f>
        <v/>
      </c>
      <c r="J2223" s="17" t="str">
        <f aca="false">IF(H2223="","",H2223-I2223)</f>
        <v/>
      </c>
    </row>
    <row r="2224" customFormat="false" ht="15" hidden="false" customHeight="true" outlineLevel="0" collapsed="false">
      <c r="A2224" s="7"/>
      <c r="B2224" s="18" t="str">
        <f aca="false">IF(A2224="","",IFERROR(INDEX(Sales_Memo!$B$2:$B$1001,MATCH(A2224,Sales_Memo!$A$2:$A$1001,0)),""))</f>
        <v/>
      </c>
      <c r="C2224" s="7"/>
      <c r="D2224" s="16" t="str">
        <f aca="false">IF(C2224="","",IFERROR(INDEX(Products!$B$2:$B$501,MATCH(C2224,Products!$A$2:$A$501,0)),"CODE NOT FOUND"))</f>
        <v/>
      </c>
      <c r="E2224" s="7"/>
      <c r="F2224" s="13"/>
      <c r="G2224" s="13"/>
      <c r="H2224" s="17" t="str">
        <f aca="false">IF(OR(E2224="",F2224=""),"",E2224*F2224)</f>
        <v/>
      </c>
      <c r="I2224" s="17" t="str">
        <f aca="false">IF(OR(E2224="",G2224=""),"",E2224*G2224)</f>
        <v/>
      </c>
      <c r="J2224" s="17" t="str">
        <f aca="false">IF(H2224="","",H2224-I2224)</f>
        <v/>
      </c>
    </row>
    <row r="2225" customFormat="false" ht="15" hidden="false" customHeight="true" outlineLevel="0" collapsed="false">
      <c r="A2225" s="7"/>
      <c r="B2225" s="18" t="str">
        <f aca="false">IF(A2225="","",IFERROR(INDEX(Sales_Memo!$B$2:$B$1001,MATCH(A2225,Sales_Memo!$A$2:$A$1001,0)),""))</f>
        <v/>
      </c>
      <c r="C2225" s="7"/>
      <c r="D2225" s="16" t="str">
        <f aca="false">IF(C2225="","",IFERROR(INDEX(Products!$B$2:$B$501,MATCH(C2225,Products!$A$2:$A$501,0)),"CODE NOT FOUND"))</f>
        <v/>
      </c>
      <c r="E2225" s="7"/>
      <c r="F2225" s="13"/>
      <c r="G2225" s="13"/>
      <c r="H2225" s="17" t="str">
        <f aca="false">IF(OR(E2225="",F2225=""),"",E2225*F2225)</f>
        <v/>
      </c>
      <c r="I2225" s="17" t="str">
        <f aca="false">IF(OR(E2225="",G2225=""),"",E2225*G2225)</f>
        <v/>
      </c>
      <c r="J2225" s="17" t="str">
        <f aca="false">IF(H2225="","",H2225-I2225)</f>
        <v/>
      </c>
    </row>
    <row r="2226" customFormat="false" ht="15" hidden="false" customHeight="true" outlineLevel="0" collapsed="false">
      <c r="A2226" s="7"/>
      <c r="B2226" s="18" t="str">
        <f aca="false">IF(A2226="","",IFERROR(INDEX(Sales_Memo!$B$2:$B$1001,MATCH(A2226,Sales_Memo!$A$2:$A$1001,0)),""))</f>
        <v/>
      </c>
      <c r="C2226" s="7"/>
      <c r="D2226" s="16" t="str">
        <f aca="false">IF(C2226="","",IFERROR(INDEX(Products!$B$2:$B$501,MATCH(C2226,Products!$A$2:$A$501,0)),"CODE NOT FOUND"))</f>
        <v/>
      </c>
      <c r="E2226" s="7"/>
      <c r="F2226" s="13"/>
      <c r="G2226" s="13"/>
      <c r="H2226" s="17" t="str">
        <f aca="false">IF(OR(E2226="",F2226=""),"",E2226*F2226)</f>
        <v/>
      </c>
      <c r="I2226" s="17" t="str">
        <f aca="false">IF(OR(E2226="",G2226=""),"",E2226*G2226)</f>
        <v/>
      </c>
      <c r="J2226" s="17" t="str">
        <f aca="false">IF(H2226="","",H2226-I2226)</f>
        <v/>
      </c>
    </row>
    <row r="2227" customFormat="false" ht="15" hidden="false" customHeight="true" outlineLevel="0" collapsed="false">
      <c r="A2227" s="7"/>
      <c r="B2227" s="18" t="str">
        <f aca="false">IF(A2227="","",IFERROR(INDEX(Sales_Memo!$B$2:$B$1001,MATCH(A2227,Sales_Memo!$A$2:$A$1001,0)),""))</f>
        <v/>
      </c>
      <c r="C2227" s="7"/>
      <c r="D2227" s="16" t="str">
        <f aca="false">IF(C2227="","",IFERROR(INDEX(Products!$B$2:$B$501,MATCH(C2227,Products!$A$2:$A$501,0)),"CODE NOT FOUND"))</f>
        <v/>
      </c>
      <c r="E2227" s="7"/>
      <c r="F2227" s="13"/>
      <c r="G2227" s="13"/>
      <c r="H2227" s="17" t="str">
        <f aca="false">IF(OR(E2227="",F2227=""),"",E2227*F2227)</f>
        <v/>
      </c>
      <c r="I2227" s="17" t="str">
        <f aca="false">IF(OR(E2227="",G2227=""),"",E2227*G2227)</f>
        <v/>
      </c>
      <c r="J2227" s="17" t="str">
        <f aca="false">IF(H2227="","",H2227-I2227)</f>
        <v/>
      </c>
    </row>
    <row r="2228" customFormat="false" ht="15" hidden="false" customHeight="true" outlineLevel="0" collapsed="false">
      <c r="A2228" s="7"/>
      <c r="B2228" s="18" t="str">
        <f aca="false">IF(A2228="","",IFERROR(INDEX(Sales_Memo!$B$2:$B$1001,MATCH(A2228,Sales_Memo!$A$2:$A$1001,0)),""))</f>
        <v/>
      </c>
      <c r="C2228" s="7"/>
      <c r="D2228" s="16" t="str">
        <f aca="false">IF(C2228="","",IFERROR(INDEX(Products!$B$2:$B$501,MATCH(C2228,Products!$A$2:$A$501,0)),"CODE NOT FOUND"))</f>
        <v/>
      </c>
      <c r="E2228" s="7"/>
      <c r="F2228" s="13"/>
      <c r="G2228" s="13"/>
      <c r="H2228" s="17" t="str">
        <f aca="false">IF(OR(E2228="",F2228=""),"",E2228*F2228)</f>
        <v/>
      </c>
      <c r="I2228" s="17" t="str">
        <f aca="false">IF(OR(E2228="",G2228=""),"",E2228*G2228)</f>
        <v/>
      </c>
      <c r="J2228" s="17" t="str">
        <f aca="false">IF(H2228="","",H2228-I2228)</f>
        <v/>
      </c>
    </row>
    <row r="2229" customFormat="false" ht="15" hidden="false" customHeight="true" outlineLevel="0" collapsed="false">
      <c r="A2229" s="7"/>
      <c r="B2229" s="18" t="str">
        <f aca="false">IF(A2229="","",IFERROR(INDEX(Sales_Memo!$B$2:$B$1001,MATCH(A2229,Sales_Memo!$A$2:$A$1001,0)),""))</f>
        <v/>
      </c>
      <c r="C2229" s="7"/>
      <c r="D2229" s="16" t="str">
        <f aca="false">IF(C2229="","",IFERROR(INDEX(Products!$B$2:$B$501,MATCH(C2229,Products!$A$2:$A$501,0)),"CODE NOT FOUND"))</f>
        <v/>
      </c>
      <c r="E2229" s="7"/>
      <c r="F2229" s="13"/>
      <c r="G2229" s="13"/>
      <c r="H2229" s="17" t="str">
        <f aca="false">IF(OR(E2229="",F2229=""),"",E2229*F2229)</f>
        <v/>
      </c>
      <c r="I2229" s="17" t="str">
        <f aca="false">IF(OR(E2229="",G2229=""),"",E2229*G2229)</f>
        <v/>
      </c>
      <c r="J2229" s="17" t="str">
        <f aca="false">IF(H2229="","",H2229-I2229)</f>
        <v/>
      </c>
    </row>
    <row r="2230" customFormat="false" ht="15" hidden="false" customHeight="true" outlineLevel="0" collapsed="false">
      <c r="A2230" s="7"/>
      <c r="B2230" s="18" t="str">
        <f aca="false">IF(A2230="","",IFERROR(INDEX(Sales_Memo!$B$2:$B$1001,MATCH(A2230,Sales_Memo!$A$2:$A$1001,0)),""))</f>
        <v/>
      </c>
      <c r="C2230" s="7"/>
      <c r="D2230" s="16" t="str">
        <f aca="false">IF(C2230="","",IFERROR(INDEX(Products!$B$2:$B$501,MATCH(C2230,Products!$A$2:$A$501,0)),"CODE NOT FOUND"))</f>
        <v/>
      </c>
      <c r="E2230" s="7"/>
      <c r="F2230" s="13"/>
      <c r="G2230" s="13"/>
      <c r="H2230" s="17" t="str">
        <f aca="false">IF(OR(E2230="",F2230=""),"",E2230*F2230)</f>
        <v/>
      </c>
      <c r="I2230" s="17" t="str">
        <f aca="false">IF(OR(E2230="",G2230=""),"",E2230*G2230)</f>
        <v/>
      </c>
      <c r="J2230" s="17" t="str">
        <f aca="false">IF(H2230="","",H2230-I2230)</f>
        <v/>
      </c>
    </row>
    <row r="2231" customFormat="false" ht="15" hidden="false" customHeight="true" outlineLevel="0" collapsed="false">
      <c r="A2231" s="7"/>
      <c r="B2231" s="18" t="str">
        <f aca="false">IF(A2231="","",IFERROR(INDEX(Sales_Memo!$B$2:$B$1001,MATCH(A2231,Sales_Memo!$A$2:$A$1001,0)),""))</f>
        <v/>
      </c>
      <c r="C2231" s="7"/>
      <c r="D2231" s="16" t="str">
        <f aca="false">IF(C2231="","",IFERROR(INDEX(Products!$B$2:$B$501,MATCH(C2231,Products!$A$2:$A$501,0)),"CODE NOT FOUND"))</f>
        <v/>
      </c>
      <c r="E2231" s="7"/>
      <c r="F2231" s="13"/>
      <c r="G2231" s="13"/>
      <c r="H2231" s="17" t="str">
        <f aca="false">IF(OR(E2231="",F2231=""),"",E2231*F2231)</f>
        <v/>
      </c>
      <c r="I2231" s="17" t="str">
        <f aca="false">IF(OR(E2231="",G2231=""),"",E2231*G2231)</f>
        <v/>
      </c>
      <c r="J2231" s="17" t="str">
        <f aca="false">IF(H2231="","",H2231-I2231)</f>
        <v/>
      </c>
    </row>
    <row r="2232" customFormat="false" ht="15" hidden="false" customHeight="true" outlineLevel="0" collapsed="false">
      <c r="A2232" s="7"/>
      <c r="B2232" s="18" t="str">
        <f aca="false">IF(A2232="","",IFERROR(INDEX(Sales_Memo!$B$2:$B$1001,MATCH(A2232,Sales_Memo!$A$2:$A$1001,0)),""))</f>
        <v/>
      </c>
      <c r="C2232" s="7"/>
      <c r="D2232" s="16" t="str">
        <f aca="false">IF(C2232="","",IFERROR(INDEX(Products!$B$2:$B$501,MATCH(C2232,Products!$A$2:$A$501,0)),"CODE NOT FOUND"))</f>
        <v/>
      </c>
      <c r="E2232" s="7"/>
      <c r="F2232" s="13"/>
      <c r="G2232" s="13"/>
      <c r="H2232" s="17" t="str">
        <f aca="false">IF(OR(E2232="",F2232=""),"",E2232*F2232)</f>
        <v/>
      </c>
      <c r="I2232" s="17" t="str">
        <f aca="false">IF(OR(E2232="",G2232=""),"",E2232*G2232)</f>
        <v/>
      </c>
      <c r="J2232" s="17" t="str">
        <f aca="false">IF(H2232="","",H2232-I2232)</f>
        <v/>
      </c>
    </row>
    <row r="2233" customFormat="false" ht="15" hidden="false" customHeight="true" outlineLevel="0" collapsed="false">
      <c r="A2233" s="7"/>
      <c r="B2233" s="18" t="str">
        <f aca="false">IF(A2233="","",IFERROR(INDEX(Sales_Memo!$B$2:$B$1001,MATCH(A2233,Sales_Memo!$A$2:$A$1001,0)),""))</f>
        <v/>
      </c>
      <c r="C2233" s="7"/>
      <c r="D2233" s="16" t="str">
        <f aca="false">IF(C2233="","",IFERROR(INDEX(Products!$B$2:$B$501,MATCH(C2233,Products!$A$2:$A$501,0)),"CODE NOT FOUND"))</f>
        <v/>
      </c>
      <c r="E2233" s="7"/>
      <c r="F2233" s="13"/>
      <c r="G2233" s="13"/>
      <c r="H2233" s="17" t="str">
        <f aca="false">IF(OR(E2233="",F2233=""),"",E2233*F2233)</f>
        <v/>
      </c>
      <c r="I2233" s="17" t="str">
        <f aca="false">IF(OR(E2233="",G2233=""),"",E2233*G2233)</f>
        <v/>
      </c>
      <c r="J2233" s="17" t="str">
        <f aca="false">IF(H2233="","",H2233-I2233)</f>
        <v/>
      </c>
    </row>
    <row r="2234" customFormat="false" ht="15" hidden="false" customHeight="true" outlineLevel="0" collapsed="false">
      <c r="A2234" s="7"/>
      <c r="B2234" s="18" t="str">
        <f aca="false">IF(A2234="","",IFERROR(INDEX(Sales_Memo!$B$2:$B$1001,MATCH(A2234,Sales_Memo!$A$2:$A$1001,0)),""))</f>
        <v/>
      </c>
      <c r="C2234" s="7"/>
      <c r="D2234" s="16" t="str">
        <f aca="false">IF(C2234="","",IFERROR(INDEX(Products!$B$2:$B$501,MATCH(C2234,Products!$A$2:$A$501,0)),"CODE NOT FOUND"))</f>
        <v/>
      </c>
      <c r="E2234" s="7"/>
      <c r="F2234" s="13"/>
      <c r="G2234" s="13"/>
      <c r="H2234" s="17" t="str">
        <f aca="false">IF(OR(E2234="",F2234=""),"",E2234*F2234)</f>
        <v/>
      </c>
      <c r="I2234" s="17" t="str">
        <f aca="false">IF(OR(E2234="",G2234=""),"",E2234*G2234)</f>
        <v/>
      </c>
      <c r="J2234" s="17" t="str">
        <f aca="false">IF(H2234="","",H2234-I2234)</f>
        <v/>
      </c>
    </row>
    <row r="2235" customFormat="false" ht="15" hidden="false" customHeight="true" outlineLevel="0" collapsed="false">
      <c r="A2235" s="7"/>
      <c r="B2235" s="18" t="str">
        <f aca="false">IF(A2235="","",IFERROR(INDEX(Sales_Memo!$B$2:$B$1001,MATCH(A2235,Sales_Memo!$A$2:$A$1001,0)),""))</f>
        <v/>
      </c>
      <c r="C2235" s="7"/>
      <c r="D2235" s="16" t="str">
        <f aca="false">IF(C2235="","",IFERROR(INDEX(Products!$B$2:$B$501,MATCH(C2235,Products!$A$2:$A$501,0)),"CODE NOT FOUND"))</f>
        <v/>
      </c>
      <c r="E2235" s="7"/>
      <c r="F2235" s="13"/>
      <c r="G2235" s="13"/>
      <c r="H2235" s="17" t="str">
        <f aca="false">IF(OR(E2235="",F2235=""),"",E2235*F2235)</f>
        <v/>
      </c>
      <c r="I2235" s="17" t="str">
        <f aca="false">IF(OR(E2235="",G2235=""),"",E2235*G2235)</f>
        <v/>
      </c>
      <c r="J2235" s="17" t="str">
        <f aca="false">IF(H2235="","",H2235-I2235)</f>
        <v/>
      </c>
    </row>
    <row r="2236" customFormat="false" ht="15" hidden="false" customHeight="true" outlineLevel="0" collapsed="false">
      <c r="A2236" s="7"/>
      <c r="B2236" s="18" t="str">
        <f aca="false">IF(A2236="","",IFERROR(INDEX(Sales_Memo!$B$2:$B$1001,MATCH(A2236,Sales_Memo!$A$2:$A$1001,0)),""))</f>
        <v/>
      </c>
      <c r="C2236" s="7"/>
      <c r="D2236" s="16" t="str">
        <f aca="false">IF(C2236="","",IFERROR(INDEX(Products!$B$2:$B$501,MATCH(C2236,Products!$A$2:$A$501,0)),"CODE NOT FOUND"))</f>
        <v/>
      </c>
      <c r="E2236" s="7"/>
      <c r="F2236" s="13"/>
      <c r="G2236" s="13"/>
      <c r="H2236" s="17" t="str">
        <f aca="false">IF(OR(E2236="",F2236=""),"",E2236*F2236)</f>
        <v/>
      </c>
      <c r="I2236" s="17" t="str">
        <f aca="false">IF(OR(E2236="",G2236=""),"",E2236*G2236)</f>
        <v/>
      </c>
      <c r="J2236" s="17" t="str">
        <f aca="false">IF(H2236="","",H2236-I2236)</f>
        <v/>
      </c>
    </row>
    <row r="2237" customFormat="false" ht="15" hidden="false" customHeight="true" outlineLevel="0" collapsed="false">
      <c r="A2237" s="7"/>
      <c r="B2237" s="18" t="str">
        <f aca="false">IF(A2237="","",IFERROR(INDEX(Sales_Memo!$B$2:$B$1001,MATCH(A2237,Sales_Memo!$A$2:$A$1001,0)),""))</f>
        <v/>
      </c>
      <c r="C2237" s="7"/>
      <c r="D2237" s="16" t="str">
        <f aca="false">IF(C2237="","",IFERROR(INDEX(Products!$B$2:$B$501,MATCH(C2237,Products!$A$2:$A$501,0)),"CODE NOT FOUND"))</f>
        <v/>
      </c>
      <c r="E2237" s="7"/>
      <c r="F2237" s="13"/>
      <c r="G2237" s="13"/>
      <c r="H2237" s="17" t="str">
        <f aca="false">IF(OR(E2237="",F2237=""),"",E2237*F2237)</f>
        <v/>
      </c>
      <c r="I2237" s="17" t="str">
        <f aca="false">IF(OR(E2237="",G2237=""),"",E2237*G2237)</f>
        <v/>
      </c>
      <c r="J2237" s="17" t="str">
        <f aca="false">IF(H2237="","",H2237-I2237)</f>
        <v/>
      </c>
    </row>
    <row r="2238" customFormat="false" ht="15" hidden="false" customHeight="true" outlineLevel="0" collapsed="false">
      <c r="A2238" s="7"/>
      <c r="B2238" s="18" t="str">
        <f aca="false">IF(A2238="","",IFERROR(INDEX(Sales_Memo!$B$2:$B$1001,MATCH(A2238,Sales_Memo!$A$2:$A$1001,0)),""))</f>
        <v/>
      </c>
      <c r="C2238" s="7"/>
      <c r="D2238" s="16" t="str">
        <f aca="false">IF(C2238="","",IFERROR(INDEX(Products!$B$2:$B$501,MATCH(C2238,Products!$A$2:$A$501,0)),"CODE NOT FOUND"))</f>
        <v/>
      </c>
      <c r="E2238" s="7"/>
      <c r="F2238" s="13"/>
      <c r="G2238" s="13"/>
      <c r="H2238" s="17" t="str">
        <f aca="false">IF(OR(E2238="",F2238=""),"",E2238*F2238)</f>
        <v/>
      </c>
      <c r="I2238" s="17" t="str">
        <f aca="false">IF(OR(E2238="",G2238=""),"",E2238*G2238)</f>
        <v/>
      </c>
      <c r="J2238" s="17" t="str">
        <f aca="false">IF(H2238="","",H2238-I2238)</f>
        <v/>
      </c>
    </row>
    <row r="2239" customFormat="false" ht="15" hidden="false" customHeight="true" outlineLevel="0" collapsed="false">
      <c r="A2239" s="7"/>
      <c r="B2239" s="18" t="str">
        <f aca="false">IF(A2239="","",IFERROR(INDEX(Sales_Memo!$B$2:$B$1001,MATCH(A2239,Sales_Memo!$A$2:$A$1001,0)),""))</f>
        <v/>
      </c>
      <c r="C2239" s="7"/>
      <c r="D2239" s="16" t="str">
        <f aca="false">IF(C2239="","",IFERROR(INDEX(Products!$B$2:$B$501,MATCH(C2239,Products!$A$2:$A$501,0)),"CODE NOT FOUND"))</f>
        <v/>
      </c>
      <c r="E2239" s="7"/>
      <c r="F2239" s="13"/>
      <c r="G2239" s="13"/>
      <c r="H2239" s="17" t="str">
        <f aca="false">IF(OR(E2239="",F2239=""),"",E2239*F2239)</f>
        <v/>
      </c>
      <c r="I2239" s="17" t="str">
        <f aca="false">IF(OR(E2239="",G2239=""),"",E2239*G2239)</f>
        <v/>
      </c>
      <c r="J2239" s="17" t="str">
        <f aca="false">IF(H2239="","",H2239-I2239)</f>
        <v/>
      </c>
    </row>
    <row r="2240" customFormat="false" ht="15" hidden="false" customHeight="true" outlineLevel="0" collapsed="false">
      <c r="A2240" s="7"/>
      <c r="B2240" s="18" t="str">
        <f aca="false">IF(A2240="","",IFERROR(INDEX(Sales_Memo!$B$2:$B$1001,MATCH(A2240,Sales_Memo!$A$2:$A$1001,0)),""))</f>
        <v/>
      </c>
      <c r="C2240" s="7"/>
      <c r="D2240" s="16" t="str">
        <f aca="false">IF(C2240="","",IFERROR(INDEX(Products!$B$2:$B$501,MATCH(C2240,Products!$A$2:$A$501,0)),"CODE NOT FOUND"))</f>
        <v/>
      </c>
      <c r="E2240" s="7"/>
      <c r="F2240" s="13"/>
      <c r="G2240" s="13"/>
      <c r="H2240" s="17" t="str">
        <f aca="false">IF(OR(E2240="",F2240=""),"",E2240*F2240)</f>
        <v/>
      </c>
      <c r="I2240" s="17" t="str">
        <f aca="false">IF(OR(E2240="",G2240=""),"",E2240*G2240)</f>
        <v/>
      </c>
      <c r="J2240" s="17" t="str">
        <f aca="false">IF(H2240="","",H2240-I2240)</f>
        <v/>
      </c>
    </row>
    <row r="2241" customFormat="false" ht="15" hidden="false" customHeight="true" outlineLevel="0" collapsed="false">
      <c r="A2241" s="7"/>
      <c r="B2241" s="18" t="str">
        <f aca="false">IF(A2241="","",IFERROR(INDEX(Sales_Memo!$B$2:$B$1001,MATCH(A2241,Sales_Memo!$A$2:$A$1001,0)),""))</f>
        <v/>
      </c>
      <c r="C2241" s="7"/>
      <c r="D2241" s="16" t="str">
        <f aca="false">IF(C2241="","",IFERROR(INDEX(Products!$B$2:$B$501,MATCH(C2241,Products!$A$2:$A$501,0)),"CODE NOT FOUND"))</f>
        <v/>
      </c>
      <c r="E2241" s="7"/>
      <c r="F2241" s="13"/>
      <c r="G2241" s="13"/>
      <c r="H2241" s="17" t="str">
        <f aca="false">IF(OR(E2241="",F2241=""),"",E2241*F2241)</f>
        <v/>
      </c>
      <c r="I2241" s="17" t="str">
        <f aca="false">IF(OR(E2241="",G2241=""),"",E2241*G2241)</f>
        <v/>
      </c>
      <c r="J2241" s="17" t="str">
        <f aca="false">IF(H2241="","",H2241-I2241)</f>
        <v/>
      </c>
    </row>
    <row r="2242" customFormat="false" ht="15" hidden="false" customHeight="true" outlineLevel="0" collapsed="false">
      <c r="A2242" s="7"/>
      <c r="B2242" s="18" t="str">
        <f aca="false">IF(A2242="","",IFERROR(INDEX(Sales_Memo!$B$2:$B$1001,MATCH(A2242,Sales_Memo!$A$2:$A$1001,0)),""))</f>
        <v/>
      </c>
      <c r="C2242" s="7"/>
      <c r="D2242" s="16" t="str">
        <f aca="false">IF(C2242="","",IFERROR(INDEX(Products!$B$2:$B$501,MATCH(C2242,Products!$A$2:$A$501,0)),"CODE NOT FOUND"))</f>
        <v/>
      </c>
      <c r="E2242" s="7"/>
      <c r="F2242" s="13"/>
      <c r="G2242" s="13"/>
      <c r="H2242" s="17" t="str">
        <f aca="false">IF(OR(E2242="",F2242=""),"",E2242*F2242)</f>
        <v/>
      </c>
      <c r="I2242" s="17" t="str">
        <f aca="false">IF(OR(E2242="",G2242=""),"",E2242*G2242)</f>
        <v/>
      </c>
      <c r="J2242" s="17" t="str">
        <f aca="false">IF(H2242="","",H2242-I2242)</f>
        <v/>
      </c>
    </row>
    <row r="2243" customFormat="false" ht="15" hidden="false" customHeight="true" outlineLevel="0" collapsed="false">
      <c r="A2243" s="7"/>
      <c r="B2243" s="18" t="str">
        <f aca="false">IF(A2243="","",IFERROR(INDEX(Sales_Memo!$B$2:$B$1001,MATCH(A2243,Sales_Memo!$A$2:$A$1001,0)),""))</f>
        <v/>
      </c>
      <c r="C2243" s="7"/>
      <c r="D2243" s="16" t="str">
        <f aca="false">IF(C2243="","",IFERROR(INDEX(Products!$B$2:$B$501,MATCH(C2243,Products!$A$2:$A$501,0)),"CODE NOT FOUND"))</f>
        <v/>
      </c>
      <c r="E2243" s="7"/>
      <c r="F2243" s="13"/>
      <c r="G2243" s="13"/>
      <c r="H2243" s="17" t="str">
        <f aca="false">IF(OR(E2243="",F2243=""),"",E2243*F2243)</f>
        <v/>
      </c>
      <c r="I2243" s="17" t="str">
        <f aca="false">IF(OR(E2243="",G2243=""),"",E2243*G2243)</f>
        <v/>
      </c>
      <c r="J2243" s="17" t="str">
        <f aca="false">IF(H2243="","",H2243-I2243)</f>
        <v/>
      </c>
    </row>
    <row r="2244" customFormat="false" ht="15" hidden="false" customHeight="true" outlineLevel="0" collapsed="false">
      <c r="A2244" s="7"/>
      <c r="B2244" s="18" t="str">
        <f aca="false">IF(A2244="","",IFERROR(INDEX(Sales_Memo!$B$2:$B$1001,MATCH(A2244,Sales_Memo!$A$2:$A$1001,0)),""))</f>
        <v/>
      </c>
      <c r="C2244" s="7"/>
      <c r="D2244" s="16" t="str">
        <f aca="false">IF(C2244="","",IFERROR(INDEX(Products!$B$2:$B$501,MATCH(C2244,Products!$A$2:$A$501,0)),"CODE NOT FOUND"))</f>
        <v/>
      </c>
      <c r="E2244" s="7"/>
      <c r="F2244" s="13"/>
      <c r="G2244" s="13"/>
      <c r="H2244" s="17" t="str">
        <f aca="false">IF(OR(E2244="",F2244=""),"",E2244*F2244)</f>
        <v/>
      </c>
      <c r="I2244" s="17" t="str">
        <f aca="false">IF(OR(E2244="",G2244=""),"",E2244*G2244)</f>
        <v/>
      </c>
      <c r="J2244" s="17" t="str">
        <f aca="false">IF(H2244="","",H2244-I2244)</f>
        <v/>
      </c>
    </row>
    <row r="2245" customFormat="false" ht="15" hidden="false" customHeight="true" outlineLevel="0" collapsed="false">
      <c r="A2245" s="7"/>
      <c r="B2245" s="18" t="str">
        <f aca="false">IF(A2245="","",IFERROR(INDEX(Sales_Memo!$B$2:$B$1001,MATCH(A2245,Sales_Memo!$A$2:$A$1001,0)),""))</f>
        <v/>
      </c>
      <c r="C2245" s="7"/>
      <c r="D2245" s="16" t="str">
        <f aca="false">IF(C2245="","",IFERROR(INDEX(Products!$B$2:$B$501,MATCH(C2245,Products!$A$2:$A$501,0)),"CODE NOT FOUND"))</f>
        <v/>
      </c>
      <c r="E2245" s="7"/>
      <c r="F2245" s="13"/>
      <c r="G2245" s="13"/>
      <c r="H2245" s="17" t="str">
        <f aca="false">IF(OR(E2245="",F2245=""),"",E2245*F2245)</f>
        <v/>
      </c>
      <c r="I2245" s="17" t="str">
        <f aca="false">IF(OR(E2245="",G2245=""),"",E2245*G2245)</f>
        <v/>
      </c>
      <c r="J2245" s="17" t="str">
        <f aca="false">IF(H2245="","",H2245-I2245)</f>
        <v/>
      </c>
    </row>
    <row r="2246" customFormat="false" ht="15" hidden="false" customHeight="true" outlineLevel="0" collapsed="false">
      <c r="A2246" s="7"/>
      <c r="B2246" s="18" t="str">
        <f aca="false">IF(A2246="","",IFERROR(INDEX(Sales_Memo!$B$2:$B$1001,MATCH(A2246,Sales_Memo!$A$2:$A$1001,0)),""))</f>
        <v/>
      </c>
      <c r="C2246" s="7"/>
      <c r="D2246" s="16" t="str">
        <f aca="false">IF(C2246="","",IFERROR(INDEX(Products!$B$2:$B$501,MATCH(C2246,Products!$A$2:$A$501,0)),"CODE NOT FOUND"))</f>
        <v/>
      </c>
      <c r="E2246" s="7"/>
      <c r="F2246" s="13"/>
      <c r="G2246" s="13"/>
      <c r="H2246" s="17" t="str">
        <f aca="false">IF(OR(E2246="",F2246=""),"",E2246*F2246)</f>
        <v/>
      </c>
      <c r="I2246" s="17" t="str">
        <f aca="false">IF(OR(E2246="",G2246=""),"",E2246*G2246)</f>
        <v/>
      </c>
      <c r="J2246" s="17" t="str">
        <f aca="false">IF(H2246="","",H2246-I2246)</f>
        <v/>
      </c>
    </row>
    <row r="2247" customFormat="false" ht="15" hidden="false" customHeight="true" outlineLevel="0" collapsed="false">
      <c r="A2247" s="7"/>
      <c r="B2247" s="18" t="str">
        <f aca="false">IF(A2247="","",IFERROR(INDEX(Sales_Memo!$B$2:$B$1001,MATCH(A2247,Sales_Memo!$A$2:$A$1001,0)),""))</f>
        <v/>
      </c>
      <c r="C2247" s="7"/>
      <c r="D2247" s="16" t="str">
        <f aca="false">IF(C2247="","",IFERROR(INDEX(Products!$B$2:$B$501,MATCH(C2247,Products!$A$2:$A$501,0)),"CODE NOT FOUND"))</f>
        <v/>
      </c>
      <c r="E2247" s="7"/>
      <c r="F2247" s="13"/>
      <c r="G2247" s="13"/>
      <c r="H2247" s="17" t="str">
        <f aca="false">IF(OR(E2247="",F2247=""),"",E2247*F2247)</f>
        <v/>
      </c>
      <c r="I2247" s="17" t="str">
        <f aca="false">IF(OR(E2247="",G2247=""),"",E2247*G2247)</f>
        <v/>
      </c>
      <c r="J2247" s="17" t="str">
        <f aca="false">IF(H2247="","",H2247-I2247)</f>
        <v/>
      </c>
    </row>
    <row r="2248" customFormat="false" ht="15" hidden="false" customHeight="true" outlineLevel="0" collapsed="false">
      <c r="A2248" s="7"/>
      <c r="B2248" s="18" t="str">
        <f aca="false">IF(A2248="","",IFERROR(INDEX(Sales_Memo!$B$2:$B$1001,MATCH(A2248,Sales_Memo!$A$2:$A$1001,0)),""))</f>
        <v/>
      </c>
      <c r="C2248" s="7"/>
      <c r="D2248" s="16" t="str">
        <f aca="false">IF(C2248="","",IFERROR(INDEX(Products!$B$2:$B$501,MATCH(C2248,Products!$A$2:$A$501,0)),"CODE NOT FOUND"))</f>
        <v/>
      </c>
      <c r="E2248" s="7"/>
      <c r="F2248" s="13"/>
      <c r="G2248" s="13"/>
      <c r="H2248" s="17" t="str">
        <f aca="false">IF(OR(E2248="",F2248=""),"",E2248*F2248)</f>
        <v/>
      </c>
      <c r="I2248" s="17" t="str">
        <f aca="false">IF(OR(E2248="",G2248=""),"",E2248*G2248)</f>
        <v/>
      </c>
      <c r="J2248" s="17" t="str">
        <f aca="false">IF(H2248="","",H2248-I2248)</f>
        <v/>
      </c>
    </row>
    <row r="2249" customFormat="false" ht="15" hidden="false" customHeight="true" outlineLevel="0" collapsed="false">
      <c r="A2249" s="7"/>
      <c r="B2249" s="18" t="str">
        <f aca="false">IF(A2249="","",IFERROR(INDEX(Sales_Memo!$B$2:$B$1001,MATCH(A2249,Sales_Memo!$A$2:$A$1001,0)),""))</f>
        <v/>
      </c>
      <c r="C2249" s="7"/>
      <c r="D2249" s="16" t="str">
        <f aca="false">IF(C2249="","",IFERROR(INDEX(Products!$B$2:$B$501,MATCH(C2249,Products!$A$2:$A$501,0)),"CODE NOT FOUND"))</f>
        <v/>
      </c>
      <c r="E2249" s="7"/>
      <c r="F2249" s="13"/>
      <c r="G2249" s="13"/>
      <c r="H2249" s="17" t="str">
        <f aca="false">IF(OR(E2249="",F2249=""),"",E2249*F2249)</f>
        <v/>
      </c>
      <c r="I2249" s="17" t="str">
        <f aca="false">IF(OR(E2249="",G2249=""),"",E2249*G2249)</f>
        <v/>
      </c>
      <c r="J2249" s="17" t="str">
        <f aca="false">IF(H2249="","",H2249-I2249)</f>
        <v/>
      </c>
    </row>
    <row r="2250" customFormat="false" ht="15" hidden="false" customHeight="true" outlineLevel="0" collapsed="false">
      <c r="A2250" s="7"/>
      <c r="B2250" s="18" t="str">
        <f aca="false">IF(A2250="","",IFERROR(INDEX(Sales_Memo!$B$2:$B$1001,MATCH(A2250,Sales_Memo!$A$2:$A$1001,0)),""))</f>
        <v/>
      </c>
      <c r="C2250" s="7"/>
      <c r="D2250" s="16" t="str">
        <f aca="false">IF(C2250="","",IFERROR(INDEX(Products!$B$2:$B$501,MATCH(C2250,Products!$A$2:$A$501,0)),"CODE NOT FOUND"))</f>
        <v/>
      </c>
      <c r="E2250" s="7"/>
      <c r="F2250" s="13"/>
      <c r="G2250" s="13"/>
      <c r="H2250" s="17" t="str">
        <f aca="false">IF(OR(E2250="",F2250=""),"",E2250*F2250)</f>
        <v/>
      </c>
      <c r="I2250" s="17" t="str">
        <f aca="false">IF(OR(E2250="",G2250=""),"",E2250*G2250)</f>
        <v/>
      </c>
      <c r="J2250" s="17" t="str">
        <f aca="false">IF(H2250="","",H2250-I2250)</f>
        <v/>
      </c>
    </row>
    <row r="2251" customFormat="false" ht="15" hidden="false" customHeight="true" outlineLevel="0" collapsed="false">
      <c r="A2251" s="7"/>
      <c r="B2251" s="18" t="str">
        <f aca="false">IF(A2251="","",IFERROR(INDEX(Sales_Memo!$B$2:$B$1001,MATCH(A2251,Sales_Memo!$A$2:$A$1001,0)),""))</f>
        <v/>
      </c>
      <c r="C2251" s="7"/>
      <c r="D2251" s="16" t="str">
        <f aca="false">IF(C2251="","",IFERROR(INDEX(Products!$B$2:$B$501,MATCH(C2251,Products!$A$2:$A$501,0)),"CODE NOT FOUND"))</f>
        <v/>
      </c>
      <c r="E2251" s="7"/>
      <c r="F2251" s="13"/>
      <c r="G2251" s="13"/>
      <c r="H2251" s="17" t="str">
        <f aca="false">IF(OR(E2251="",F2251=""),"",E2251*F2251)</f>
        <v/>
      </c>
      <c r="I2251" s="17" t="str">
        <f aca="false">IF(OR(E2251="",G2251=""),"",E2251*G2251)</f>
        <v/>
      </c>
      <c r="J2251" s="17" t="str">
        <f aca="false">IF(H2251="","",H2251-I2251)</f>
        <v/>
      </c>
    </row>
    <row r="2252" customFormat="false" ht="15" hidden="false" customHeight="true" outlineLevel="0" collapsed="false">
      <c r="A2252" s="7"/>
      <c r="B2252" s="18" t="str">
        <f aca="false">IF(A2252="","",IFERROR(INDEX(Sales_Memo!$B$2:$B$1001,MATCH(A2252,Sales_Memo!$A$2:$A$1001,0)),""))</f>
        <v/>
      </c>
      <c r="C2252" s="7"/>
      <c r="D2252" s="16" t="str">
        <f aca="false">IF(C2252="","",IFERROR(INDEX(Products!$B$2:$B$501,MATCH(C2252,Products!$A$2:$A$501,0)),"CODE NOT FOUND"))</f>
        <v/>
      </c>
      <c r="E2252" s="7"/>
      <c r="F2252" s="13"/>
      <c r="G2252" s="13"/>
      <c r="H2252" s="17" t="str">
        <f aca="false">IF(OR(E2252="",F2252=""),"",E2252*F2252)</f>
        <v/>
      </c>
      <c r="I2252" s="17" t="str">
        <f aca="false">IF(OR(E2252="",G2252=""),"",E2252*G2252)</f>
        <v/>
      </c>
      <c r="J2252" s="17" t="str">
        <f aca="false">IF(H2252="","",H2252-I2252)</f>
        <v/>
      </c>
    </row>
    <row r="2253" customFormat="false" ht="15" hidden="false" customHeight="true" outlineLevel="0" collapsed="false">
      <c r="A2253" s="7"/>
      <c r="B2253" s="18" t="str">
        <f aca="false">IF(A2253="","",IFERROR(INDEX(Sales_Memo!$B$2:$B$1001,MATCH(A2253,Sales_Memo!$A$2:$A$1001,0)),""))</f>
        <v/>
      </c>
      <c r="C2253" s="7"/>
      <c r="D2253" s="16" t="str">
        <f aca="false">IF(C2253="","",IFERROR(INDEX(Products!$B$2:$B$501,MATCH(C2253,Products!$A$2:$A$501,0)),"CODE NOT FOUND"))</f>
        <v/>
      </c>
      <c r="E2253" s="7"/>
      <c r="F2253" s="13"/>
      <c r="G2253" s="13"/>
      <c r="H2253" s="17" t="str">
        <f aca="false">IF(OR(E2253="",F2253=""),"",E2253*F2253)</f>
        <v/>
      </c>
      <c r="I2253" s="17" t="str">
        <f aca="false">IF(OR(E2253="",G2253=""),"",E2253*G2253)</f>
        <v/>
      </c>
      <c r="J2253" s="17" t="str">
        <f aca="false">IF(H2253="","",H2253-I2253)</f>
        <v/>
      </c>
    </row>
    <row r="2254" customFormat="false" ht="15" hidden="false" customHeight="true" outlineLevel="0" collapsed="false">
      <c r="A2254" s="7"/>
      <c r="B2254" s="18" t="str">
        <f aca="false">IF(A2254="","",IFERROR(INDEX(Sales_Memo!$B$2:$B$1001,MATCH(A2254,Sales_Memo!$A$2:$A$1001,0)),""))</f>
        <v/>
      </c>
      <c r="C2254" s="7"/>
      <c r="D2254" s="16" t="str">
        <f aca="false">IF(C2254="","",IFERROR(INDEX(Products!$B$2:$B$501,MATCH(C2254,Products!$A$2:$A$501,0)),"CODE NOT FOUND"))</f>
        <v/>
      </c>
      <c r="E2254" s="7"/>
      <c r="F2254" s="13"/>
      <c r="G2254" s="13"/>
      <c r="H2254" s="17" t="str">
        <f aca="false">IF(OR(E2254="",F2254=""),"",E2254*F2254)</f>
        <v/>
      </c>
      <c r="I2254" s="17" t="str">
        <f aca="false">IF(OR(E2254="",G2254=""),"",E2254*G2254)</f>
        <v/>
      </c>
      <c r="J2254" s="17" t="str">
        <f aca="false">IF(H2254="","",H2254-I2254)</f>
        <v/>
      </c>
    </row>
    <row r="2255" customFormat="false" ht="15" hidden="false" customHeight="true" outlineLevel="0" collapsed="false">
      <c r="A2255" s="7"/>
      <c r="B2255" s="18" t="str">
        <f aca="false">IF(A2255="","",IFERROR(INDEX(Sales_Memo!$B$2:$B$1001,MATCH(A2255,Sales_Memo!$A$2:$A$1001,0)),""))</f>
        <v/>
      </c>
      <c r="C2255" s="7"/>
      <c r="D2255" s="16" t="str">
        <f aca="false">IF(C2255="","",IFERROR(INDEX(Products!$B$2:$B$501,MATCH(C2255,Products!$A$2:$A$501,0)),"CODE NOT FOUND"))</f>
        <v/>
      </c>
      <c r="E2255" s="7"/>
      <c r="F2255" s="13"/>
      <c r="G2255" s="13"/>
      <c r="H2255" s="17" t="str">
        <f aca="false">IF(OR(E2255="",F2255=""),"",E2255*F2255)</f>
        <v/>
      </c>
      <c r="I2255" s="17" t="str">
        <f aca="false">IF(OR(E2255="",G2255=""),"",E2255*G2255)</f>
        <v/>
      </c>
      <c r="J2255" s="17" t="str">
        <f aca="false">IF(H2255="","",H2255-I2255)</f>
        <v/>
      </c>
    </row>
    <row r="2256" customFormat="false" ht="15" hidden="false" customHeight="true" outlineLevel="0" collapsed="false">
      <c r="A2256" s="7"/>
      <c r="B2256" s="18" t="str">
        <f aca="false">IF(A2256="","",IFERROR(INDEX(Sales_Memo!$B$2:$B$1001,MATCH(A2256,Sales_Memo!$A$2:$A$1001,0)),""))</f>
        <v/>
      </c>
      <c r="C2256" s="7"/>
      <c r="D2256" s="16" t="str">
        <f aca="false">IF(C2256="","",IFERROR(INDEX(Products!$B$2:$B$501,MATCH(C2256,Products!$A$2:$A$501,0)),"CODE NOT FOUND"))</f>
        <v/>
      </c>
      <c r="E2256" s="7"/>
      <c r="F2256" s="13"/>
      <c r="G2256" s="13"/>
      <c r="H2256" s="17" t="str">
        <f aca="false">IF(OR(E2256="",F2256=""),"",E2256*F2256)</f>
        <v/>
      </c>
      <c r="I2256" s="17" t="str">
        <f aca="false">IF(OR(E2256="",G2256=""),"",E2256*G2256)</f>
        <v/>
      </c>
      <c r="J2256" s="17" t="str">
        <f aca="false">IF(H2256="","",H2256-I2256)</f>
        <v/>
      </c>
    </row>
    <row r="2257" customFormat="false" ht="15" hidden="false" customHeight="true" outlineLevel="0" collapsed="false">
      <c r="A2257" s="7"/>
      <c r="B2257" s="18" t="str">
        <f aca="false">IF(A2257="","",IFERROR(INDEX(Sales_Memo!$B$2:$B$1001,MATCH(A2257,Sales_Memo!$A$2:$A$1001,0)),""))</f>
        <v/>
      </c>
      <c r="C2257" s="7"/>
      <c r="D2257" s="16" t="str">
        <f aca="false">IF(C2257="","",IFERROR(INDEX(Products!$B$2:$B$501,MATCH(C2257,Products!$A$2:$A$501,0)),"CODE NOT FOUND"))</f>
        <v/>
      </c>
      <c r="E2257" s="7"/>
      <c r="F2257" s="13"/>
      <c r="G2257" s="13"/>
      <c r="H2257" s="17" t="str">
        <f aca="false">IF(OR(E2257="",F2257=""),"",E2257*F2257)</f>
        <v/>
      </c>
      <c r="I2257" s="17" t="str">
        <f aca="false">IF(OR(E2257="",G2257=""),"",E2257*G2257)</f>
        <v/>
      </c>
      <c r="J2257" s="17" t="str">
        <f aca="false">IF(H2257="","",H2257-I2257)</f>
        <v/>
      </c>
    </row>
    <row r="2258" customFormat="false" ht="15" hidden="false" customHeight="true" outlineLevel="0" collapsed="false">
      <c r="A2258" s="7"/>
      <c r="B2258" s="18" t="str">
        <f aca="false">IF(A2258="","",IFERROR(INDEX(Sales_Memo!$B$2:$B$1001,MATCH(A2258,Sales_Memo!$A$2:$A$1001,0)),""))</f>
        <v/>
      </c>
      <c r="C2258" s="7"/>
      <c r="D2258" s="16" t="str">
        <f aca="false">IF(C2258="","",IFERROR(INDEX(Products!$B$2:$B$501,MATCH(C2258,Products!$A$2:$A$501,0)),"CODE NOT FOUND"))</f>
        <v/>
      </c>
      <c r="E2258" s="7"/>
      <c r="F2258" s="13"/>
      <c r="G2258" s="13"/>
      <c r="H2258" s="17" t="str">
        <f aca="false">IF(OR(E2258="",F2258=""),"",E2258*F2258)</f>
        <v/>
      </c>
      <c r="I2258" s="17" t="str">
        <f aca="false">IF(OR(E2258="",G2258=""),"",E2258*G2258)</f>
        <v/>
      </c>
      <c r="J2258" s="17" t="str">
        <f aca="false">IF(H2258="","",H2258-I2258)</f>
        <v/>
      </c>
    </row>
    <row r="2259" customFormat="false" ht="15" hidden="false" customHeight="true" outlineLevel="0" collapsed="false">
      <c r="A2259" s="7"/>
      <c r="B2259" s="18" t="str">
        <f aca="false">IF(A2259="","",IFERROR(INDEX(Sales_Memo!$B$2:$B$1001,MATCH(A2259,Sales_Memo!$A$2:$A$1001,0)),""))</f>
        <v/>
      </c>
      <c r="C2259" s="7"/>
      <c r="D2259" s="16" t="str">
        <f aca="false">IF(C2259="","",IFERROR(INDEX(Products!$B$2:$B$501,MATCH(C2259,Products!$A$2:$A$501,0)),"CODE NOT FOUND"))</f>
        <v/>
      </c>
      <c r="E2259" s="7"/>
      <c r="F2259" s="13"/>
      <c r="G2259" s="13"/>
      <c r="H2259" s="17" t="str">
        <f aca="false">IF(OR(E2259="",F2259=""),"",E2259*F2259)</f>
        <v/>
      </c>
      <c r="I2259" s="17" t="str">
        <f aca="false">IF(OR(E2259="",G2259=""),"",E2259*G2259)</f>
        <v/>
      </c>
      <c r="J2259" s="17" t="str">
        <f aca="false">IF(H2259="","",H2259-I2259)</f>
        <v/>
      </c>
    </row>
    <row r="2260" customFormat="false" ht="15" hidden="false" customHeight="true" outlineLevel="0" collapsed="false">
      <c r="A2260" s="7"/>
      <c r="B2260" s="18" t="str">
        <f aca="false">IF(A2260="","",IFERROR(INDEX(Sales_Memo!$B$2:$B$1001,MATCH(A2260,Sales_Memo!$A$2:$A$1001,0)),""))</f>
        <v/>
      </c>
      <c r="C2260" s="7"/>
      <c r="D2260" s="16" t="str">
        <f aca="false">IF(C2260="","",IFERROR(INDEX(Products!$B$2:$B$501,MATCH(C2260,Products!$A$2:$A$501,0)),"CODE NOT FOUND"))</f>
        <v/>
      </c>
      <c r="E2260" s="7"/>
      <c r="F2260" s="13"/>
      <c r="G2260" s="13"/>
      <c r="H2260" s="17" t="str">
        <f aca="false">IF(OR(E2260="",F2260=""),"",E2260*F2260)</f>
        <v/>
      </c>
      <c r="I2260" s="17" t="str">
        <f aca="false">IF(OR(E2260="",G2260=""),"",E2260*G2260)</f>
        <v/>
      </c>
      <c r="J2260" s="17" t="str">
        <f aca="false">IF(H2260="","",H2260-I2260)</f>
        <v/>
      </c>
    </row>
    <row r="2261" customFormat="false" ht="15" hidden="false" customHeight="true" outlineLevel="0" collapsed="false">
      <c r="A2261" s="7"/>
      <c r="B2261" s="18" t="str">
        <f aca="false">IF(A2261="","",IFERROR(INDEX(Sales_Memo!$B$2:$B$1001,MATCH(A2261,Sales_Memo!$A$2:$A$1001,0)),""))</f>
        <v/>
      </c>
      <c r="C2261" s="7"/>
      <c r="D2261" s="16" t="str">
        <f aca="false">IF(C2261="","",IFERROR(INDEX(Products!$B$2:$B$501,MATCH(C2261,Products!$A$2:$A$501,0)),"CODE NOT FOUND"))</f>
        <v/>
      </c>
      <c r="E2261" s="7"/>
      <c r="F2261" s="13"/>
      <c r="G2261" s="13"/>
      <c r="H2261" s="17" t="str">
        <f aca="false">IF(OR(E2261="",F2261=""),"",E2261*F2261)</f>
        <v/>
      </c>
      <c r="I2261" s="17" t="str">
        <f aca="false">IF(OR(E2261="",G2261=""),"",E2261*G2261)</f>
        <v/>
      </c>
      <c r="J2261" s="17" t="str">
        <f aca="false">IF(H2261="","",H2261-I2261)</f>
        <v/>
      </c>
    </row>
    <row r="2262" customFormat="false" ht="15" hidden="false" customHeight="true" outlineLevel="0" collapsed="false">
      <c r="A2262" s="7"/>
      <c r="B2262" s="18" t="str">
        <f aca="false">IF(A2262="","",IFERROR(INDEX(Sales_Memo!$B$2:$B$1001,MATCH(A2262,Sales_Memo!$A$2:$A$1001,0)),""))</f>
        <v/>
      </c>
      <c r="C2262" s="7"/>
      <c r="D2262" s="16" t="str">
        <f aca="false">IF(C2262="","",IFERROR(INDEX(Products!$B$2:$B$501,MATCH(C2262,Products!$A$2:$A$501,0)),"CODE NOT FOUND"))</f>
        <v/>
      </c>
      <c r="E2262" s="7"/>
      <c r="F2262" s="13"/>
      <c r="G2262" s="13"/>
      <c r="H2262" s="17" t="str">
        <f aca="false">IF(OR(E2262="",F2262=""),"",E2262*F2262)</f>
        <v/>
      </c>
      <c r="I2262" s="17" t="str">
        <f aca="false">IF(OR(E2262="",G2262=""),"",E2262*G2262)</f>
        <v/>
      </c>
      <c r="J2262" s="17" t="str">
        <f aca="false">IF(H2262="","",H2262-I2262)</f>
        <v/>
      </c>
    </row>
    <row r="2263" customFormat="false" ht="15" hidden="false" customHeight="true" outlineLevel="0" collapsed="false">
      <c r="A2263" s="7"/>
      <c r="B2263" s="18" t="str">
        <f aca="false">IF(A2263="","",IFERROR(INDEX(Sales_Memo!$B$2:$B$1001,MATCH(A2263,Sales_Memo!$A$2:$A$1001,0)),""))</f>
        <v/>
      </c>
      <c r="C2263" s="7"/>
      <c r="D2263" s="16" t="str">
        <f aca="false">IF(C2263="","",IFERROR(INDEX(Products!$B$2:$B$501,MATCH(C2263,Products!$A$2:$A$501,0)),"CODE NOT FOUND"))</f>
        <v/>
      </c>
      <c r="E2263" s="7"/>
      <c r="F2263" s="13"/>
      <c r="G2263" s="13"/>
      <c r="H2263" s="17" t="str">
        <f aca="false">IF(OR(E2263="",F2263=""),"",E2263*F2263)</f>
        <v/>
      </c>
      <c r="I2263" s="17" t="str">
        <f aca="false">IF(OR(E2263="",G2263=""),"",E2263*G2263)</f>
        <v/>
      </c>
      <c r="J2263" s="17" t="str">
        <f aca="false">IF(H2263="","",H2263-I2263)</f>
        <v/>
      </c>
    </row>
    <row r="2264" customFormat="false" ht="15" hidden="false" customHeight="true" outlineLevel="0" collapsed="false">
      <c r="A2264" s="7"/>
      <c r="B2264" s="18" t="str">
        <f aca="false">IF(A2264="","",IFERROR(INDEX(Sales_Memo!$B$2:$B$1001,MATCH(A2264,Sales_Memo!$A$2:$A$1001,0)),""))</f>
        <v/>
      </c>
      <c r="C2264" s="7"/>
      <c r="D2264" s="16" t="str">
        <f aca="false">IF(C2264="","",IFERROR(INDEX(Products!$B$2:$B$501,MATCH(C2264,Products!$A$2:$A$501,0)),"CODE NOT FOUND"))</f>
        <v/>
      </c>
      <c r="E2264" s="7"/>
      <c r="F2264" s="13"/>
      <c r="G2264" s="13"/>
      <c r="H2264" s="17" t="str">
        <f aca="false">IF(OR(E2264="",F2264=""),"",E2264*F2264)</f>
        <v/>
      </c>
      <c r="I2264" s="17" t="str">
        <f aca="false">IF(OR(E2264="",G2264=""),"",E2264*G2264)</f>
        <v/>
      </c>
      <c r="J2264" s="17" t="str">
        <f aca="false">IF(H2264="","",H2264-I2264)</f>
        <v/>
      </c>
    </row>
    <row r="2265" customFormat="false" ht="15" hidden="false" customHeight="true" outlineLevel="0" collapsed="false">
      <c r="A2265" s="7"/>
      <c r="B2265" s="18" t="str">
        <f aca="false">IF(A2265="","",IFERROR(INDEX(Sales_Memo!$B$2:$B$1001,MATCH(A2265,Sales_Memo!$A$2:$A$1001,0)),""))</f>
        <v/>
      </c>
      <c r="C2265" s="7"/>
      <c r="D2265" s="16" t="str">
        <f aca="false">IF(C2265="","",IFERROR(INDEX(Products!$B$2:$B$501,MATCH(C2265,Products!$A$2:$A$501,0)),"CODE NOT FOUND"))</f>
        <v/>
      </c>
      <c r="E2265" s="7"/>
      <c r="F2265" s="13"/>
      <c r="G2265" s="13"/>
      <c r="H2265" s="17" t="str">
        <f aca="false">IF(OR(E2265="",F2265=""),"",E2265*F2265)</f>
        <v/>
      </c>
      <c r="I2265" s="17" t="str">
        <f aca="false">IF(OR(E2265="",G2265=""),"",E2265*G2265)</f>
        <v/>
      </c>
      <c r="J2265" s="17" t="str">
        <f aca="false">IF(H2265="","",H2265-I2265)</f>
        <v/>
      </c>
    </row>
    <row r="2266" customFormat="false" ht="15" hidden="false" customHeight="true" outlineLevel="0" collapsed="false">
      <c r="A2266" s="7"/>
      <c r="B2266" s="18" t="str">
        <f aca="false">IF(A2266="","",IFERROR(INDEX(Sales_Memo!$B$2:$B$1001,MATCH(A2266,Sales_Memo!$A$2:$A$1001,0)),""))</f>
        <v/>
      </c>
      <c r="C2266" s="7"/>
      <c r="D2266" s="16" t="str">
        <f aca="false">IF(C2266="","",IFERROR(INDEX(Products!$B$2:$B$501,MATCH(C2266,Products!$A$2:$A$501,0)),"CODE NOT FOUND"))</f>
        <v/>
      </c>
      <c r="E2266" s="7"/>
      <c r="F2266" s="13"/>
      <c r="G2266" s="13"/>
      <c r="H2266" s="17" t="str">
        <f aca="false">IF(OR(E2266="",F2266=""),"",E2266*F2266)</f>
        <v/>
      </c>
      <c r="I2266" s="17" t="str">
        <f aca="false">IF(OR(E2266="",G2266=""),"",E2266*G2266)</f>
        <v/>
      </c>
      <c r="J2266" s="17" t="str">
        <f aca="false">IF(H2266="","",H2266-I2266)</f>
        <v/>
      </c>
    </row>
    <row r="2267" customFormat="false" ht="15" hidden="false" customHeight="true" outlineLevel="0" collapsed="false">
      <c r="A2267" s="7"/>
      <c r="B2267" s="18" t="str">
        <f aca="false">IF(A2267="","",IFERROR(INDEX(Sales_Memo!$B$2:$B$1001,MATCH(A2267,Sales_Memo!$A$2:$A$1001,0)),""))</f>
        <v/>
      </c>
      <c r="C2267" s="7"/>
      <c r="D2267" s="16" t="str">
        <f aca="false">IF(C2267="","",IFERROR(INDEX(Products!$B$2:$B$501,MATCH(C2267,Products!$A$2:$A$501,0)),"CODE NOT FOUND"))</f>
        <v/>
      </c>
      <c r="E2267" s="7"/>
      <c r="F2267" s="13"/>
      <c r="G2267" s="13"/>
      <c r="H2267" s="17" t="str">
        <f aca="false">IF(OR(E2267="",F2267=""),"",E2267*F2267)</f>
        <v/>
      </c>
      <c r="I2267" s="17" t="str">
        <f aca="false">IF(OR(E2267="",G2267=""),"",E2267*G2267)</f>
        <v/>
      </c>
      <c r="J2267" s="17" t="str">
        <f aca="false">IF(H2267="","",H2267-I2267)</f>
        <v/>
      </c>
    </row>
    <row r="2268" customFormat="false" ht="15" hidden="false" customHeight="true" outlineLevel="0" collapsed="false">
      <c r="A2268" s="7"/>
      <c r="B2268" s="18" t="str">
        <f aca="false">IF(A2268="","",IFERROR(INDEX(Sales_Memo!$B$2:$B$1001,MATCH(A2268,Sales_Memo!$A$2:$A$1001,0)),""))</f>
        <v/>
      </c>
      <c r="C2268" s="7"/>
      <c r="D2268" s="16" t="str">
        <f aca="false">IF(C2268="","",IFERROR(INDEX(Products!$B$2:$B$501,MATCH(C2268,Products!$A$2:$A$501,0)),"CODE NOT FOUND"))</f>
        <v/>
      </c>
      <c r="E2268" s="7"/>
      <c r="F2268" s="13"/>
      <c r="G2268" s="13"/>
      <c r="H2268" s="17" t="str">
        <f aca="false">IF(OR(E2268="",F2268=""),"",E2268*F2268)</f>
        <v/>
      </c>
      <c r="I2268" s="17" t="str">
        <f aca="false">IF(OR(E2268="",G2268=""),"",E2268*G2268)</f>
        <v/>
      </c>
      <c r="J2268" s="17" t="str">
        <f aca="false">IF(H2268="","",H2268-I2268)</f>
        <v/>
      </c>
    </row>
    <row r="2269" customFormat="false" ht="15" hidden="false" customHeight="true" outlineLevel="0" collapsed="false">
      <c r="A2269" s="7"/>
      <c r="B2269" s="18" t="str">
        <f aca="false">IF(A2269="","",IFERROR(INDEX(Sales_Memo!$B$2:$B$1001,MATCH(A2269,Sales_Memo!$A$2:$A$1001,0)),""))</f>
        <v/>
      </c>
      <c r="C2269" s="7"/>
      <c r="D2269" s="16" t="str">
        <f aca="false">IF(C2269="","",IFERROR(INDEX(Products!$B$2:$B$501,MATCH(C2269,Products!$A$2:$A$501,0)),"CODE NOT FOUND"))</f>
        <v/>
      </c>
      <c r="E2269" s="7"/>
      <c r="F2269" s="13"/>
      <c r="G2269" s="13"/>
      <c r="H2269" s="17" t="str">
        <f aca="false">IF(OR(E2269="",F2269=""),"",E2269*F2269)</f>
        <v/>
      </c>
      <c r="I2269" s="17" t="str">
        <f aca="false">IF(OR(E2269="",G2269=""),"",E2269*G2269)</f>
        <v/>
      </c>
      <c r="J2269" s="17" t="str">
        <f aca="false">IF(H2269="","",H2269-I2269)</f>
        <v/>
      </c>
    </row>
    <row r="2270" customFormat="false" ht="15" hidden="false" customHeight="true" outlineLevel="0" collapsed="false">
      <c r="A2270" s="7"/>
      <c r="B2270" s="18" t="str">
        <f aca="false">IF(A2270="","",IFERROR(INDEX(Sales_Memo!$B$2:$B$1001,MATCH(A2270,Sales_Memo!$A$2:$A$1001,0)),""))</f>
        <v/>
      </c>
      <c r="C2270" s="7"/>
      <c r="D2270" s="16" t="str">
        <f aca="false">IF(C2270="","",IFERROR(INDEX(Products!$B$2:$B$501,MATCH(C2270,Products!$A$2:$A$501,0)),"CODE NOT FOUND"))</f>
        <v/>
      </c>
      <c r="E2270" s="7"/>
      <c r="F2270" s="13"/>
      <c r="G2270" s="13"/>
      <c r="H2270" s="17" t="str">
        <f aca="false">IF(OR(E2270="",F2270=""),"",E2270*F2270)</f>
        <v/>
      </c>
      <c r="I2270" s="17" t="str">
        <f aca="false">IF(OR(E2270="",G2270=""),"",E2270*G2270)</f>
        <v/>
      </c>
      <c r="J2270" s="17" t="str">
        <f aca="false">IF(H2270="","",H2270-I2270)</f>
        <v/>
      </c>
    </row>
    <row r="2271" customFormat="false" ht="15" hidden="false" customHeight="true" outlineLevel="0" collapsed="false">
      <c r="A2271" s="7"/>
      <c r="B2271" s="18" t="str">
        <f aca="false">IF(A2271="","",IFERROR(INDEX(Sales_Memo!$B$2:$B$1001,MATCH(A2271,Sales_Memo!$A$2:$A$1001,0)),""))</f>
        <v/>
      </c>
      <c r="C2271" s="7"/>
      <c r="D2271" s="16" t="str">
        <f aca="false">IF(C2271="","",IFERROR(INDEX(Products!$B$2:$B$501,MATCH(C2271,Products!$A$2:$A$501,0)),"CODE NOT FOUND"))</f>
        <v/>
      </c>
      <c r="E2271" s="7"/>
      <c r="F2271" s="13"/>
      <c r="G2271" s="13"/>
      <c r="H2271" s="17" t="str">
        <f aca="false">IF(OR(E2271="",F2271=""),"",E2271*F2271)</f>
        <v/>
      </c>
      <c r="I2271" s="17" t="str">
        <f aca="false">IF(OR(E2271="",G2271=""),"",E2271*G2271)</f>
        <v/>
      </c>
      <c r="J2271" s="17" t="str">
        <f aca="false">IF(H2271="","",H2271-I2271)</f>
        <v/>
      </c>
    </row>
    <row r="2272" customFormat="false" ht="15" hidden="false" customHeight="true" outlineLevel="0" collapsed="false">
      <c r="A2272" s="7"/>
      <c r="B2272" s="18" t="str">
        <f aca="false">IF(A2272="","",IFERROR(INDEX(Sales_Memo!$B$2:$B$1001,MATCH(A2272,Sales_Memo!$A$2:$A$1001,0)),""))</f>
        <v/>
      </c>
      <c r="C2272" s="7"/>
      <c r="D2272" s="16" t="str">
        <f aca="false">IF(C2272="","",IFERROR(INDEX(Products!$B$2:$B$501,MATCH(C2272,Products!$A$2:$A$501,0)),"CODE NOT FOUND"))</f>
        <v/>
      </c>
      <c r="E2272" s="7"/>
      <c r="F2272" s="13"/>
      <c r="G2272" s="13"/>
      <c r="H2272" s="17" t="str">
        <f aca="false">IF(OR(E2272="",F2272=""),"",E2272*F2272)</f>
        <v/>
      </c>
      <c r="I2272" s="17" t="str">
        <f aca="false">IF(OR(E2272="",G2272=""),"",E2272*G2272)</f>
        <v/>
      </c>
      <c r="J2272" s="17" t="str">
        <f aca="false">IF(H2272="","",H2272-I2272)</f>
        <v/>
      </c>
    </row>
    <row r="2273" customFormat="false" ht="15" hidden="false" customHeight="true" outlineLevel="0" collapsed="false">
      <c r="A2273" s="7"/>
      <c r="B2273" s="18" t="str">
        <f aca="false">IF(A2273="","",IFERROR(INDEX(Sales_Memo!$B$2:$B$1001,MATCH(A2273,Sales_Memo!$A$2:$A$1001,0)),""))</f>
        <v/>
      </c>
      <c r="C2273" s="7"/>
      <c r="D2273" s="16" t="str">
        <f aca="false">IF(C2273="","",IFERROR(INDEX(Products!$B$2:$B$501,MATCH(C2273,Products!$A$2:$A$501,0)),"CODE NOT FOUND"))</f>
        <v/>
      </c>
      <c r="E2273" s="7"/>
      <c r="F2273" s="13"/>
      <c r="G2273" s="13"/>
      <c r="H2273" s="17" t="str">
        <f aca="false">IF(OR(E2273="",F2273=""),"",E2273*F2273)</f>
        <v/>
      </c>
      <c r="I2273" s="17" t="str">
        <f aca="false">IF(OR(E2273="",G2273=""),"",E2273*G2273)</f>
        <v/>
      </c>
      <c r="J2273" s="17" t="str">
        <f aca="false">IF(H2273="","",H2273-I2273)</f>
        <v/>
      </c>
    </row>
    <row r="2274" customFormat="false" ht="15" hidden="false" customHeight="true" outlineLevel="0" collapsed="false">
      <c r="A2274" s="7"/>
      <c r="B2274" s="18" t="str">
        <f aca="false">IF(A2274="","",IFERROR(INDEX(Sales_Memo!$B$2:$B$1001,MATCH(A2274,Sales_Memo!$A$2:$A$1001,0)),""))</f>
        <v/>
      </c>
      <c r="C2274" s="7"/>
      <c r="D2274" s="16" t="str">
        <f aca="false">IF(C2274="","",IFERROR(INDEX(Products!$B$2:$B$501,MATCH(C2274,Products!$A$2:$A$501,0)),"CODE NOT FOUND"))</f>
        <v/>
      </c>
      <c r="E2274" s="7"/>
      <c r="F2274" s="13"/>
      <c r="G2274" s="13"/>
      <c r="H2274" s="17" t="str">
        <f aca="false">IF(OR(E2274="",F2274=""),"",E2274*F2274)</f>
        <v/>
      </c>
      <c r="I2274" s="17" t="str">
        <f aca="false">IF(OR(E2274="",G2274=""),"",E2274*G2274)</f>
        <v/>
      </c>
      <c r="J2274" s="17" t="str">
        <f aca="false">IF(H2274="","",H2274-I2274)</f>
        <v/>
      </c>
    </row>
    <row r="2275" customFormat="false" ht="15" hidden="false" customHeight="true" outlineLevel="0" collapsed="false">
      <c r="A2275" s="7"/>
      <c r="B2275" s="18" t="str">
        <f aca="false">IF(A2275="","",IFERROR(INDEX(Sales_Memo!$B$2:$B$1001,MATCH(A2275,Sales_Memo!$A$2:$A$1001,0)),""))</f>
        <v/>
      </c>
      <c r="C2275" s="7"/>
      <c r="D2275" s="16" t="str">
        <f aca="false">IF(C2275="","",IFERROR(INDEX(Products!$B$2:$B$501,MATCH(C2275,Products!$A$2:$A$501,0)),"CODE NOT FOUND"))</f>
        <v/>
      </c>
      <c r="E2275" s="7"/>
      <c r="F2275" s="13"/>
      <c r="G2275" s="13"/>
      <c r="H2275" s="17" t="str">
        <f aca="false">IF(OR(E2275="",F2275=""),"",E2275*F2275)</f>
        <v/>
      </c>
      <c r="I2275" s="17" t="str">
        <f aca="false">IF(OR(E2275="",G2275=""),"",E2275*G2275)</f>
        <v/>
      </c>
      <c r="J2275" s="17" t="str">
        <f aca="false">IF(H2275="","",H2275-I2275)</f>
        <v/>
      </c>
    </row>
    <row r="2276" customFormat="false" ht="15" hidden="false" customHeight="true" outlineLevel="0" collapsed="false">
      <c r="A2276" s="7"/>
      <c r="B2276" s="18" t="str">
        <f aca="false">IF(A2276="","",IFERROR(INDEX(Sales_Memo!$B$2:$B$1001,MATCH(A2276,Sales_Memo!$A$2:$A$1001,0)),""))</f>
        <v/>
      </c>
      <c r="C2276" s="7"/>
      <c r="D2276" s="16" t="str">
        <f aca="false">IF(C2276="","",IFERROR(INDEX(Products!$B$2:$B$501,MATCH(C2276,Products!$A$2:$A$501,0)),"CODE NOT FOUND"))</f>
        <v/>
      </c>
      <c r="E2276" s="7"/>
      <c r="F2276" s="13"/>
      <c r="G2276" s="13"/>
      <c r="H2276" s="17" t="str">
        <f aca="false">IF(OR(E2276="",F2276=""),"",E2276*F2276)</f>
        <v/>
      </c>
      <c r="I2276" s="17" t="str">
        <f aca="false">IF(OR(E2276="",G2276=""),"",E2276*G2276)</f>
        <v/>
      </c>
      <c r="J2276" s="17" t="str">
        <f aca="false">IF(H2276="","",H2276-I2276)</f>
        <v/>
      </c>
    </row>
    <row r="2277" customFormat="false" ht="15" hidden="false" customHeight="true" outlineLevel="0" collapsed="false">
      <c r="A2277" s="7"/>
      <c r="B2277" s="18" t="str">
        <f aca="false">IF(A2277="","",IFERROR(INDEX(Sales_Memo!$B$2:$B$1001,MATCH(A2277,Sales_Memo!$A$2:$A$1001,0)),""))</f>
        <v/>
      </c>
      <c r="C2277" s="7"/>
      <c r="D2277" s="16" t="str">
        <f aca="false">IF(C2277="","",IFERROR(INDEX(Products!$B$2:$B$501,MATCH(C2277,Products!$A$2:$A$501,0)),"CODE NOT FOUND"))</f>
        <v/>
      </c>
      <c r="E2277" s="7"/>
      <c r="F2277" s="13"/>
      <c r="G2277" s="13"/>
      <c r="H2277" s="17" t="str">
        <f aca="false">IF(OR(E2277="",F2277=""),"",E2277*F2277)</f>
        <v/>
      </c>
      <c r="I2277" s="17" t="str">
        <f aca="false">IF(OR(E2277="",G2277=""),"",E2277*G2277)</f>
        <v/>
      </c>
      <c r="J2277" s="17" t="str">
        <f aca="false">IF(H2277="","",H2277-I2277)</f>
        <v/>
      </c>
    </row>
    <row r="2278" customFormat="false" ht="15" hidden="false" customHeight="true" outlineLevel="0" collapsed="false">
      <c r="A2278" s="7"/>
      <c r="B2278" s="18" t="str">
        <f aca="false">IF(A2278="","",IFERROR(INDEX(Sales_Memo!$B$2:$B$1001,MATCH(A2278,Sales_Memo!$A$2:$A$1001,0)),""))</f>
        <v/>
      </c>
      <c r="C2278" s="7"/>
      <c r="D2278" s="16" t="str">
        <f aca="false">IF(C2278="","",IFERROR(INDEX(Products!$B$2:$B$501,MATCH(C2278,Products!$A$2:$A$501,0)),"CODE NOT FOUND"))</f>
        <v/>
      </c>
      <c r="E2278" s="7"/>
      <c r="F2278" s="13"/>
      <c r="G2278" s="13"/>
      <c r="H2278" s="17" t="str">
        <f aca="false">IF(OR(E2278="",F2278=""),"",E2278*F2278)</f>
        <v/>
      </c>
      <c r="I2278" s="17" t="str">
        <f aca="false">IF(OR(E2278="",G2278=""),"",E2278*G2278)</f>
        <v/>
      </c>
      <c r="J2278" s="17" t="str">
        <f aca="false">IF(H2278="","",H2278-I2278)</f>
        <v/>
      </c>
    </row>
    <row r="2279" customFormat="false" ht="15" hidden="false" customHeight="true" outlineLevel="0" collapsed="false">
      <c r="A2279" s="7"/>
      <c r="B2279" s="18" t="str">
        <f aca="false">IF(A2279="","",IFERROR(INDEX(Sales_Memo!$B$2:$B$1001,MATCH(A2279,Sales_Memo!$A$2:$A$1001,0)),""))</f>
        <v/>
      </c>
      <c r="C2279" s="7"/>
      <c r="D2279" s="16" t="str">
        <f aca="false">IF(C2279="","",IFERROR(INDEX(Products!$B$2:$B$501,MATCH(C2279,Products!$A$2:$A$501,0)),"CODE NOT FOUND"))</f>
        <v/>
      </c>
      <c r="E2279" s="7"/>
      <c r="F2279" s="13"/>
      <c r="G2279" s="13"/>
      <c r="H2279" s="17" t="str">
        <f aca="false">IF(OR(E2279="",F2279=""),"",E2279*F2279)</f>
        <v/>
      </c>
      <c r="I2279" s="17" t="str">
        <f aca="false">IF(OR(E2279="",G2279=""),"",E2279*G2279)</f>
        <v/>
      </c>
      <c r="J2279" s="17" t="str">
        <f aca="false">IF(H2279="","",H2279-I2279)</f>
        <v/>
      </c>
    </row>
    <row r="2280" customFormat="false" ht="15" hidden="false" customHeight="true" outlineLevel="0" collapsed="false">
      <c r="A2280" s="7"/>
      <c r="B2280" s="18" t="str">
        <f aca="false">IF(A2280="","",IFERROR(INDEX(Sales_Memo!$B$2:$B$1001,MATCH(A2280,Sales_Memo!$A$2:$A$1001,0)),""))</f>
        <v/>
      </c>
      <c r="C2280" s="7"/>
      <c r="D2280" s="16" t="str">
        <f aca="false">IF(C2280="","",IFERROR(INDEX(Products!$B$2:$B$501,MATCH(C2280,Products!$A$2:$A$501,0)),"CODE NOT FOUND"))</f>
        <v/>
      </c>
      <c r="E2280" s="7"/>
      <c r="F2280" s="13"/>
      <c r="G2280" s="13"/>
      <c r="H2280" s="17" t="str">
        <f aca="false">IF(OR(E2280="",F2280=""),"",E2280*F2280)</f>
        <v/>
      </c>
      <c r="I2280" s="17" t="str">
        <f aca="false">IF(OR(E2280="",G2280=""),"",E2280*G2280)</f>
        <v/>
      </c>
      <c r="J2280" s="17" t="str">
        <f aca="false">IF(H2280="","",H2280-I2280)</f>
        <v/>
      </c>
    </row>
    <row r="2281" customFormat="false" ht="15" hidden="false" customHeight="true" outlineLevel="0" collapsed="false">
      <c r="A2281" s="7"/>
      <c r="B2281" s="18" t="str">
        <f aca="false">IF(A2281="","",IFERROR(INDEX(Sales_Memo!$B$2:$B$1001,MATCH(A2281,Sales_Memo!$A$2:$A$1001,0)),""))</f>
        <v/>
      </c>
      <c r="C2281" s="7"/>
      <c r="D2281" s="16" t="str">
        <f aca="false">IF(C2281="","",IFERROR(INDEX(Products!$B$2:$B$501,MATCH(C2281,Products!$A$2:$A$501,0)),"CODE NOT FOUND"))</f>
        <v/>
      </c>
      <c r="E2281" s="7"/>
      <c r="F2281" s="13"/>
      <c r="G2281" s="13"/>
      <c r="H2281" s="17" t="str">
        <f aca="false">IF(OR(E2281="",F2281=""),"",E2281*F2281)</f>
        <v/>
      </c>
      <c r="I2281" s="17" t="str">
        <f aca="false">IF(OR(E2281="",G2281=""),"",E2281*G2281)</f>
        <v/>
      </c>
      <c r="J2281" s="17" t="str">
        <f aca="false">IF(H2281="","",H2281-I2281)</f>
        <v/>
      </c>
    </row>
    <row r="2282" customFormat="false" ht="15" hidden="false" customHeight="true" outlineLevel="0" collapsed="false">
      <c r="A2282" s="7"/>
      <c r="B2282" s="18" t="str">
        <f aca="false">IF(A2282="","",IFERROR(INDEX(Sales_Memo!$B$2:$B$1001,MATCH(A2282,Sales_Memo!$A$2:$A$1001,0)),""))</f>
        <v/>
      </c>
      <c r="C2282" s="7"/>
      <c r="D2282" s="16" t="str">
        <f aca="false">IF(C2282="","",IFERROR(INDEX(Products!$B$2:$B$501,MATCH(C2282,Products!$A$2:$A$501,0)),"CODE NOT FOUND"))</f>
        <v/>
      </c>
      <c r="E2282" s="7"/>
      <c r="F2282" s="13"/>
      <c r="G2282" s="13"/>
      <c r="H2282" s="17" t="str">
        <f aca="false">IF(OR(E2282="",F2282=""),"",E2282*F2282)</f>
        <v/>
      </c>
      <c r="I2282" s="17" t="str">
        <f aca="false">IF(OR(E2282="",G2282=""),"",E2282*G2282)</f>
        <v/>
      </c>
      <c r="J2282" s="17" t="str">
        <f aca="false">IF(H2282="","",H2282-I2282)</f>
        <v/>
      </c>
    </row>
    <row r="2283" customFormat="false" ht="15" hidden="false" customHeight="true" outlineLevel="0" collapsed="false">
      <c r="A2283" s="7"/>
      <c r="B2283" s="18" t="str">
        <f aca="false">IF(A2283="","",IFERROR(INDEX(Sales_Memo!$B$2:$B$1001,MATCH(A2283,Sales_Memo!$A$2:$A$1001,0)),""))</f>
        <v/>
      </c>
      <c r="C2283" s="7"/>
      <c r="D2283" s="16" t="str">
        <f aca="false">IF(C2283="","",IFERROR(INDEX(Products!$B$2:$B$501,MATCH(C2283,Products!$A$2:$A$501,0)),"CODE NOT FOUND"))</f>
        <v/>
      </c>
      <c r="E2283" s="7"/>
      <c r="F2283" s="13"/>
      <c r="G2283" s="13"/>
      <c r="H2283" s="17" t="str">
        <f aca="false">IF(OR(E2283="",F2283=""),"",E2283*F2283)</f>
        <v/>
      </c>
      <c r="I2283" s="17" t="str">
        <f aca="false">IF(OR(E2283="",G2283=""),"",E2283*G2283)</f>
        <v/>
      </c>
      <c r="J2283" s="17" t="str">
        <f aca="false">IF(H2283="","",H2283-I2283)</f>
        <v/>
      </c>
    </row>
    <row r="2284" customFormat="false" ht="15" hidden="false" customHeight="true" outlineLevel="0" collapsed="false">
      <c r="A2284" s="7"/>
      <c r="B2284" s="18" t="str">
        <f aca="false">IF(A2284="","",IFERROR(INDEX(Sales_Memo!$B$2:$B$1001,MATCH(A2284,Sales_Memo!$A$2:$A$1001,0)),""))</f>
        <v/>
      </c>
      <c r="C2284" s="7"/>
      <c r="D2284" s="16" t="str">
        <f aca="false">IF(C2284="","",IFERROR(INDEX(Products!$B$2:$B$501,MATCH(C2284,Products!$A$2:$A$501,0)),"CODE NOT FOUND"))</f>
        <v/>
      </c>
      <c r="E2284" s="7"/>
      <c r="F2284" s="13"/>
      <c r="G2284" s="13"/>
      <c r="H2284" s="17" t="str">
        <f aca="false">IF(OR(E2284="",F2284=""),"",E2284*F2284)</f>
        <v/>
      </c>
      <c r="I2284" s="17" t="str">
        <f aca="false">IF(OR(E2284="",G2284=""),"",E2284*G2284)</f>
        <v/>
      </c>
      <c r="J2284" s="17" t="str">
        <f aca="false">IF(H2284="","",H2284-I2284)</f>
        <v/>
      </c>
    </row>
    <row r="2285" customFormat="false" ht="15" hidden="false" customHeight="true" outlineLevel="0" collapsed="false">
      <c r="A2285" s="7"/>
      <c r="B2285" s="18" t="str">
        <f aca="false">IF(A2285="","",IFERROR(INDEX(Sales_Memo!$B$2:$B$1001,MATCH(A2285,Sales_Memo!$A$2:$A$1001,0)),""))</f>
        <v/>
      </c>
      <c r="C2285" s="7"/>
      <c r="D2285" s="16" t="str">
        <f aca="false">IF(C2285="","",IFERROR(INDEX(Products!$B$2:$B$501,MATCH(C2285,Products!$A$2:$A$501,0)),"CODE NOT FOUND"))</f>
        <v/>
      </c>
      <c r="E2285" s="7"/>
      <c r="F2285" s="13"/>
      <c r="G2285" s="13"/>
      <c r="H2285" s="17" t="str">
        <f aca="false">IF(OR(E2285="",F2285=""),"",E2285*F2285)</f>
        <v/>
      </c>
      <c r="I2285" s="17" t="str">
        <f aca="false">IF(OR(E2285="",G2285=""),"",E2285*G2285)</f>
        <v/>
      </c>
      <c r="J2285" s="17" t="str">
        <f aca="false">IF(H2285="","",H2285-I2285)</f>
        <v/>
      </c>
    </row>
    <row r="2286" customFormat="false" ht="15" hidden="false" customHeight="true" outlineLevel="0" collapsed="false">
      <c r="A2286" s="7"/>
      <c r="B2286" s="18" t="str">
        <f aca="false">IF(A2286="","",IFERROR(INDEX(Sales_Memo!$B$2:$B$1001,MATCH(A2286,Sales_Memo!$A$2:$A$1001,0)),""))</f>
        <v/>
      </c>
      <c r="C2286" s="7"/>
      <c r="D2286" s="16" t="str">
        <f aca="false">IF(C2286="","",IFERROR(INDEX(Products!$B$2:$B$501,MATCH(C2286,Products!$A$2:$A$501,0)),"CODE NOT FOUND"))</f>
        <v/>
      </c>
      <c r="E2286" s="7"/>
      <c r="F2286" s="13"/>
      <c r="G2286" s="13"/>
      <c r="H2286" s="17" t="str">
        <f aca="false">IF(OR(E2286="",F2286=""),"",E2286*F2286)</f>
        <v/>
      </c>
      <c r="I2286" s="17" t="str">
        <f aca="false">IF(OR(E2286="",G2286=""),"",E2286*G2286)</f>
        <v/>
      </c>
      <c r="J2286" s="17" t="str">
        <f aca="false">IF(H2286="","",H2286-I2286)</f>
        <v/>
      </c>
    </row>
    <row r="2287" customFormat="false" ht="15" hidden="false" customHeight="true" outlineLevel="0" collapsed="false">
      <c r="A2287" s="7"/>
      <c r="B2287" s="18" t="str">
        <f aca="false">IF(A2287="","",IFERROR(INDEX(Sales_Memo!$B$2:$B$1001,MATCH(A2287,Sales_Memo!$A$2:$A$1001,0)),""))</f>
        <v/>
      </c>
      <c r="C2287" s="7"/>
      <c r="D2287" s="16" t="str">
        <f aca="false">IF(C2287="","",IFERROR(INDEX(Products!$B$2:$B$501,MATCH(C2287,Products!$A$2:$A$501,0)),"CODE NOT FOUND"))</f>
        <v/>
      </c>
      <c r="E2287" s="7"/>
      <c r="F2287" s="13"/>
      <c r="G2287" s="13"/>
      <c r="H2287" s="17" t="str">
        <f aca="false">IF(OR(E2287="",F2287=""),"",E2287*F2287)</f>
        <v/>
      </c>
      <c r="I2287" s="17" t="str">
        <f aca="false">IF(OR(E2287="",G2287=""),"",E2287*G2287)</f>
        <v/>
      </c>
      <c r="J2287" s="17" t="str">
        <f aca="false">IF(H2287="","",H2287-I2287)</f>
        <v/>
      </c>
    </row>
    <row r="2288" customFormat="false" ht="15" hidden="false" customHeight="true" outlineLevel="0" collapsed="false">
      <c r="A2288" s="7"/>
      <c r="B2288" s="18" t="str">
        <f aca="false">IF(A2288="","",IFERROR(INDEX(Sales_Memo!$B$2:$B$1001,MATCH(A2288,Sales_Memo!$A$2:$A$1001,0)),""))</f>
        <v/>
      </c>
      <c r="C2288" s="7"/>
      <c r="D2288" s="16" t="str">
        <f aca="false">IF(C2288="","",IFERROR(INDEX(Products!$B$2:$B$501,MATCH(C2288,Products!$A$2:$A$501,0)),"CODE NOT FOUND"))</f>
        <v/>
      </c>
      <c r="E2288" s="7"/>
      <c r="F2288" s="13"/>
      <c r="G2288" s="13"/>
      <c r="H2288" s="17" t="str">
        <f aca="false">IF(OR(E2288="",F2288=""),"",E2288*F2288)</f>
        <v/>
      </c>
      <c r="I2288" s="17" t="str">
        <f aca="false">IF(OR(E2288="",G2288=""),"",E2288*G2288)</f>
        <v/>
      </c>
      <c r="J2288" s="17" t="str">
        <f aca="false">IF(H2288="","",H2288-I2288)</f>
        <v/>
      </c>
    </row>
    <row r="2289" customFormat="false" ht="15" hidden="false" customHeight="true" outlineLevel="0" collapsed="false">
      <c r="A2289" s="7"/>
      <c r="B2289" s="18" t="str">
        <f aca="false">IF(A2289="","",IFERROR(INDEX(Sales_Memo!$B$2:$B$1001,MATCH(A2289,Sales_Memo!$A$2:$A$1001,0)),""))</f>
        <v/>
      </c>
      <c r="C2289" s="7"/>
      <c r="D2289" s="16" t="str">
        <f aca="false">IF(C2289="","",IFERROR(INDEX(Products!$B$2:$B$501,MATCH(C2289,Products!$A$2:$A$501,0)),"CODE NOT FOUND"))</f>
        <v/>
      </c>
      <c r="E2289" s="7"/>
      <c r="F2289" s="13"/>
      <c r="G2289" s="13"/>
      <c r="H2289" s="17" t="str">
        <f aca="false">IF(OR(E2289="",F2289=""),"",E2289*F2289)</f>
        <v/>
      </c>
      <c r="I2289" s="17" t="str">
        <f aca="false">IF(OR(E2289="",G2289=""),"",E2289*G2289)</f>
        <v/>
      </c>
      <c r="J2289" s="17" t="str">
        <f aca="false">IF(H2289="","",H2289-I2289)</f>
        <v/>
      </c>
    </row>
    <row r="2290" customFormat="false" ht="15" hidden="false" customHeight="true" outlineLevel="0" collapsed="false">
      <c r="A2290" s="7"/>
      <c r="B2290" s="18" t="str">
        <f aca="false">IF(A2290="","",IFERROR(INDEX(Sales_Memo!$B$2:$B$1001,MATCH(A2290,Sales_Memo!$A$2:$A$1001,0)),""))</f>
        <v/>
      </c>
      <c r="C2290" s="7"/>
      <c r="D2290" s="16" t="str">
        <f aca="false">IF(C2290="","",IFERROR(INDEX(Products!$B$2:$B$501,MATCH(C2290,Products!$A$2:$A$501,0)),"CODE NOT FOUND"))</f>
        <v/>
      </c>
      <c r="E2290" s="7"/>
      <c r="F2290" s="13"/>
      <c r="G2290" s="13"/>
      <c r="H2290" s="17" t="str">
        <f aca="false">IF(OR(E2290="",F2290=""),"",E2290*F2290)</f>
        <v/>
      </c>
      <c r="I2290" s="17" t="str">
        <f aca="false">IF(OR(E2290="",G2290=""),"",E2290*G2290)</f>
        <v/>
      </c>
      <c r="J2290" s="17" t="str">
        <f aca="false">IF(H2290="","",H2290-I2290)</f>
        <v/>
      </c>
    </row>
    <row r="2291" customFormat="false" ht="15" hidden="false" customHeight="true" outlineLevel="0" collapsed="false">
      <c r="A2291" s="7"/>
      <c r="B2291" s="18" t="str">
        <f aca="false">IF(A2291="","",IFERROR(INDEX(Sales_Memo!$B$2:$B$1001,MATCH(A2291,Sales_Memo!$A$2:$A$1001,0)),""))</f>
        <v/>
      </c>
      <c r="C2291" s="7"/>
      <c r="D2291" s="16" t="str">
        <f aca="false">IF(C2291="","",IFERROR(INDEX(Products!$B$2:$B$501,MATCH(C2291,Products!$A$2:$A$501,0)),"CODE NOT FOUND"))</f>
        <v/>
      </c>
      <c r="E2291" s="7"/>
      <c r="F2291" s="13"/>
      <c r="G2291" s="13"/>
      <c r="H2291" s="17" t="str">
        <f aca="false">IF(OR(E2291="",F2291=""),"",E2291*F2291)</f>
        <v/>
      </c>
      <c r="I2291" s="17" t="str">
        <f aca="false">IF(OR(E2291="",G2291=""),"",E2291*G2291)</f>
        <v/>
      </c>
      <c r="J2291" s="17" t="str">
        <f aca="false">IF(H2291="","",H2291-I2291)</f>
        <v/>
      </c>
    </row>
    <row r="2292" customFormat="false" ht="15" hidden="false" customHeight="true" outlineLevel="0" collapsed="false">
      <c r="A2292" s="7"/>
      <c r="B2292" s="18" t="str">
        <f aca="false">IF(A2292="","",IFERROR(INDEX(Sales_Memo!$B$2:$B$1001,MATCH(A2292,Sales_Memo!$A$2:$A$1001,0)),""))</f>
        <v/>
      </c>
      <c r="C2292" s="7"/>
      <c r="D2292" s="16" t="str">
        <f aca="false">IF(C2292="","",IFERROR(INDEX(Products!$B$2:$B$501,MATCH(C2292,Products!$A$2:$A$501,0)),"CODE NOT FOUND"))</f>
        <v/>
      </c>
      <c r="E2292" s="7"/>
      <c r="F2292" s="13"/>
      <c r="G2292" s="13"/>
      <c r="H2292" s="17" t="str">
        <f aca="false">IF(OR(E2292="",F2292=""),"",E2292*F2292)</f>
        <v/>
      </c>
      <c r="I2292" s="17" t="str">
        <f aca="false">IF(OR(E2292="",G2292=""),"",E2292*G2292)</f>
        <v/>
      </c>
      <c r="J2292" s="17" t="str">
        <f aca="false">IF(H2292="","",H2292-I2292)</f>
        <v/>
      </c>
    </row>
    <row r="2293" customFormat="false" ht="15" hidden="false" customHeight="true" outlineLevel="0" collapsed="false">
      <c r="A2293" s="7"/>
      <c r="B2293" s="18" t="str">
        <f aca="false">IF(A2293="","",IFERROR(INDEX(Sales_Memo!$B$2:$B$1001,MATCH(A2293,Sales_Memo!$A$2:$A$1001,0)),""))</f>
        <v/>
      </c>
      <c r="C2293" s="7"/>
      <c r="D2293" s="16" t="str">
        <f aca="false">IF(C2293="","",IFERROR(INDEX(Products!$B$2:$B$501,MATCH(C2293,Products!$A$2:$A$501,0)),"CODE NOT FOUND"))</f>
        <v/>
      </c>
      <c r="E2293" s="7"/>
      <c r="F2293" s="13"/>
      <c r="G2293" s="13"/>
      <c r="H2293" s="17" t="str">
        <f aca="false">IF(OR(E2293="",F2293=""),"",E2293*F2293)</f>
        <v/>
      </c>
      <c r="I2293" s="17" t="str">
        <f aca="false">IF(OR(E2293="",G2293=""),"",E2293*G2293)</f>
        <v/>
      </c>
      <c r="J2293" s="17" t="str">
        <f aca="false">IF(H2293="","",H2293-I2293)</f>
        <v/>
      </c>
    </row>
    <row r="2294" customFormat="false" ht="15" hidden="false" customHeight="true" outlineLevel="0" collapsed="false">
      <c r="A2294" s="7"/>
      <c r="B2294" s="18" t="str">
        <f aca="false">IF(A2294="","",IFERROR(INDEX(Sales_Memo!$B$2:$B$1001,MATCH(A2294,Sales_Memo!$A$2:$A$1001,0)),""))</f>
        <v/>
      </c>
      <c r="C2294" s="7"/>
      <c r="D2294" s="16" t="str">
        <f aca="false">IF(C2294="","",IFERROR(INDEX(Products!$B$2:$B$501,MATCH(C2294,Products!$A$2:$A$501,0)),"CODE NOT FOUND"))</f>
        <v/>
      </c>
      <c r="E2294" s="7"/>
      <c r="F2294" s="13"/>
      <c r="G2294" s="13"/>
      <c r="H2294" s="17" t="str">
        <f aca="false">IF(OR(E2294="",F2294=""),"",E2294*F2294)</f>
        <v/>
      </c>
      <c r="I2294" s="17" t="str">
        <f aca="false">IF(OR(E2294="",G2294=""),"",E2294*G2294)</f>
        <v/>
      </c>
      <c r="J2294" s="17" t="str">
        <f aca="false">IF(H2294="","",H2294-I2294)</f>
        <v/>
      </c>
    </row>
    <row r="2295" customFormat="false" ht="15" hidden="false" customHeight="true" outlineLevel="0" collapsed="false">
      <c r="A2295" s="7"/>
      <c r="B2295" s="18" t="str">
        <f aca="false">IF(A2295="","",IFERROR(INDEX(Sales_Memo!$B$2:$B$1001,MATCH(A2295,Sales_Memo!$A$2:$A$1001,0)),""))</f>
        <v/>
      </c>
      <c r="C2295" s="7"/>
      <c r="D2295" s="16" t="str">
        <f aca="false">IF(C2295="","",IFERROR(INDEX(Products!$B$2:$B$501,MATCH(C2295,Products!$A$2:$A$501,0)),"CODE NOT FOUND"))</f>
        <v/>
      </c>
      <c r="E2295" s="7"/>
      <c r="F2295" s="13"/>
      <c r="G2295" s="13"/>
      <c r="H2295" s="17" t="str">
        <f aca="false">IF(OR(E2295="",F2295=""),"",E2295*F2295)</f>
        <v/>
      </c>
      <c r="I2295" s="17" t="str">
        <f aca="false">IF(OR(E2295="",G2295=""),"",E2295*G2295)</f>
        <v/>
      </c>
      <c r="J2295" s="17" t="str">
        <f aca="false">IF(H2295="","",H2295-I2295)</f>
        <v/>
      </c>
    </row>
    <row r="2296" customFormat="false" ht="15" hidden="false" customHeight="true" outlineLevel="0" collapsed="false">
      <c r="A2296" s="7"/>
      <c r="B2296" s="18" t="str">
        <f aca="false">IF(A2296="","",IFERROR(INDEX(Sales_Memo!$B$2:$B$1001,MATCH(A2296,Sales_Memo!$A$2:$A$1001,0)),""))</f>
        <v/>
      </c>
      <c r="C2296" s="7"/>
      <c r="D2296" s="16" t="str">
        <f aca="false">IF(C2296="","",IFERROR(INDEX(Products!$B$2:$B$501,MATCH(C2296,Products!$A$2:$A$501,0)),"CODE NOT FOUND"))</f>
        <v/>
      </c>
      <c r="E2296" s="7"/>
      <c r="F2296" s="13"/>
      <c r="G2296" s="13"/>
      <c r="H2296" s="17" t="str">
        <f aca="false">IF(OR(E2296="",F2296=""),"",E2296*F2296)</f>
        <v/>
      </c>
      <c r="I2296" s="17" t="str">
        <f aca="false">IF(OR(E2296="",G2296=""),"",E2296*G2296)</f>
        <v/>
      </c>
      <c r="J2296" s="17" t="str">
        <f aca="false">IF(H2296="","",H2296-I2296)</f>
        <v/>
      </c>
    </row>
    <row r="2297" customFormat="false" ht="15" hidden="false" customHeight="true" outlineLevel="0" collapsed="false">
      <c r="A2297" s="7"/>
      <c r="B2297" s="18" t="str">
        <f aca="false">IF(A2297="","",IFERROR(INDEX(Sales_Memo!$B$2:$B$1001,MATCH(A2297,Sales_Memo!$A$2:$A$1001,0)),""))</f>
        <v/>
      </c>
      <c r="C2297" s="7"/>
      <c r="D2297" s="16" t="str">
        <f aca="false">IF(C2297="","",IFERROR(INDEX(Products!$B$2:$B$501,MATCH(C2297,Products!$A$2:$A$501,0)),"CODE NOT FOUND"))</f>
        <v/>
      </c>
      <c r="E2297" s="7"/>
      <c r="F2297" s="13"/>
      <c r="G2297" s="13"/>
      <c r="H2297" s="17" t="str">
        <f aca="false">IF(OR(E2297="",F2297=""),"",E2297*F2297)</f>
        <v/>
      </c>
      <c r="I2297" s="17" t="str">
        <f aca="false">IF(OR(E2297="",G2297=""),"",E2297*G2297)</f>
        <v/>
      </c>
      <c r="J2297" s="17" t="str">
        <f aca="false">IF(H2297="","",H2297-I2297)</f>
        <v/>
      </c>
    </row>
    <row r="2298" customFormat="false" ht="15" hidden="false" customHeight="true" outlineLevel="0" collapsed="false">
      <c r="A2298" s="7"/>
      <c r="B2298" s="18" t="str">
        <f aca="false">IF(A2298="","",IFERROR(INDEX(Sales_Memo!$B$2:$B$1001,MATCH(A2298,Sales_Memo!$A$2:$A$1001,0)),""))</f>
        <v/>
      </c>
      <c r="C2298" s="7"/>
      <c r="D2298" s="16" t="str">
        <f aca="false">IF(C2298="","",IFERROR(INDEX(Products!$B$2:$B$501,MATCH(C2298,Products!$A$2:$A$501,0)),"CODE NOT FOUND"))</f>
        <v/>
      </c>
      <c r="E2298" s="7"/>
      <c r="F2298" s="13"/>
      <c r="G2298" s="13"/>
      <c r="H2298" s="17" t="str">
        <f aca="false">IF(OR(E2298="",F2298=""),"",E2298*F2298)</f>
        <v/>
      </c>
      <c r="I2298" s="17" t="str">
        <f aca="false">IF(OR(E2298="",G2298=""),"",E2298*G2298)</f>
        <v/>
      </c>
      <c r="J2298" s="17" t="str">
        <f aca="false">IF(H2298="","",H2298-I2298)</f>
        <v/>
      </c>
    </row>
    <row r="2299" customFormat="false" ht="15" hidden="false" customHeight="true" outlineLevel="0" collapsed="false">
      <c r="A2299" s="7"/>
      <c r="B2299" s="18" t="str">
        <f aca="false">IF(A2299="","",IFERROR(INDEX(Sales_Memo!$B$2:$B$1001,MATCH(A2299,Sales_Memo!$A$2:$A$1001,0)),""))</f>
        <v/>
      </c>
      <c r="C2299" s="7"/>
      <c r="D2299" s="16" t="str">
        <f aca="false">IF(C2299="","",IFERROR(INDEX(Products!$B$2:$B$501,MATCH(C2299,Products!$A$2:$A$501,0)),"CODE NOT FOUND"))</f>
        <v/>
      </c>
      <c r="E2299" s="7"/>
      <c r="F2299" s="13"/>
      <c r="G2299" s="13"/>
      <c r="H2299" s="17" t="str">
        <f aca="false">IF(OR(E2299="",F2299=""),"",E2299*F2299)</f>
        <v/>
      </c>
      <c r="I2299" s="17" t="str">
        <f aca="false">IF(OR(E2299="",G2299=""),"",E2299*G2299)</f>
        <v/>
      </c>
      <c r="J2299" s="17" t="str">
        <f aca="false">IF(H2299="","",H2299-I2299)</f>
        <v/>
      </c>
    </row>
    <row r="2300" customFormat="false" ht="15" hidden="false" customHeight="true" outlineLevel="0" collapsed="false">
      <c r="A2300" s="7"/>
      <c r="B2300" s="18" t="str">
        <f aca="false">IF(A2300="","",IFERROR(INDEX(Sales_Memo!$B$2:$B$1001,MATCH(A2300,Sales_Memo!$A$2:$A$1001,0)),""))</f>
        <v/>
      </c>
      <c r="C2300" s="7"/>
      <c r="D2300" s="16" t="str">
        <f aca="false">IF(C2300="","",IFERROR(INDEX(Products!$B$2:$B$501,MATCH(C2300,Products!$A$2:$A$501,0)),"CODE NOT FOUND"))</f>
        <v/>
      </c>
      <c r="E2300" s="7"/>
      <c r="F2300" s="13"/>
      <c r="G2300" s="13"/>
      <c r="H2300" s="17" t="str">
        <f aca="false">IF(OR(E2300="",F2300=""),"",E2300*F2300)</f>
        <v/>
      </c>
      <c r="I2300" s="17" t="str">
        <f aca="false">IF(OR(E2300="",G2300=""),"",E2300*G2300)</f>
        <v/>
      </c>
      <c r="J2300" s="17" t="str">
        <f aca="false">IF(H2300="","",H2300-I2300)</f>
        <v/>
      </c>
    </row>
    <row r="2301" customFormat="false" ht="15" hidden="false" customHeight="true" outlineLevel="0" collapsed="false">
      <c r="A2301" s="7"/>
      <c r="B2301" s="18" t="str">
        <f aca="false">IF(A2301="","",IFERROR(INDEX(Sales_Memo!$B$2:$B$1001,MATCH(A2301,Sales_Memo!$A$2:$A$1001,0)),""))</f>
        <v/>
      </c>
      <c r="C2301" s="7"/>
      <c r="D2301" s="16" t="str">
        <f aca="false">IF(C2301="","",IFERROR(INDEX(Products!$B$2:$B$501,MATCH(C2301,Products!$A$2:$A$501,0)),"CODE NOT FOUND"))</f>
        <v/>
      </c>
      <c r="E2301" s="7"/>
      <c r="F2301" s="13"/>
      <c r="G2301" s="13"/>
      <c r="H2301" s="17" t="str">
        <f aca="false">IF(OR(E2301="",F2301=""),"",E2301*F2301)</f>
        <v/>
      </c>
      <c r="I2301" s="17" t="str">
        <f aca="false">IF(OR(E2301="",G2301=""),"",E2301*G2301)</f>
        <v/>
      </c>
      <c r="J2301" s="17" t="str">
        <f aca="false">IF(H2301="","",H2301-I2301)</f>
        <v/>
      </c>
    </row>
    <row r="2302" customFormat="false" ht="15" hidden="false" customHeight="true" outlineLevel="0" collapsed="false">
      <c r="A2302" s="7"/>
      <c r="B2302" s="18" t="str">
        <f aca="false">IF(A2302="","",IFERROR(INDEX(Sales_Memo!$B$2:$B$1001,MATCH(A2302,Sales_Memo!$A$2:$A$1001,0)),""))</f>
        <v/>
      </c>
      <c r="C2302" s="7"/>
      <c r="D2302" s="16" t="str">
        <f aca="false">IF(C2302="","",IFERROR(INDEX(Products!$B$2:$B$501,MATCH(C2302,Products!$A$2:$A$501,0)),"CODE NOT FOUND"))</f>
        <v/>
      </c>
      <c r="E2302" s="7"/>
      <c r="F2302" s="13"/>
      <c r="G2302" s="13"/>
      <c r="H2302" s="17" t="str">
        <f aca="false">IF(OR(E2302="",F2302=""),"",E2302*F2302)</f>
        <v/>
      </c>
      <c r="I2302" s="17" t="str">
        <f aca="false">IF(OR(E2302="",G2302=""),"",E2302*G2302)</f>
        <v/>
      </c>
      <c r="J2302" s="17" t="str">
        <f aca="false">IF(H2302="","",H2302-I2302)</f>
        <v/>
      </c>
    </row>
    <row r="2303" customFormat="false" ht="15" hidden="false" customHeight="true" outlineLevel="0" collapsed="false">
      <c r="A2303" s="7"/>
      <c r="B2303" s="18" t="str">
        <f aca="false">IF(A2303="","",IFERROR(INDEX(Sales_Memo!$B$2:$B$1001,MATCH(A2303,Sales_Memo!$A$2:$A$1001,0)),""))</f>
        <v/>
      </c>
      <c r="C2303" s="7"/>
      <c r="D2303" s="16" t="str">
        <f aca="false">IF(C2303="","",IFERROR(INDEX(Products!$B$2:$B$501,MATCH(C2303,Products!$A$2:$A$501,0)),"CODE NOT FOUND"))</f>
        <v/>
      </c>
      <c r="E2303" s="7"/>
      <c r="F2303" s="13"/>
      <c r="G2303" s="13"/>
      <c r="H2303" s="17" t="str">
        <f aca="false">IF(OR(E2303="",F2303=""),"",E2303*F2303)</f>
        <v/>
      </c>
      <c r="I2303" s="17" t="str">
        <f aca="false">IF(OR(E2303="",G2303=""),"",E2303*G2303)</f>
        <v/>
      </c>
      <c r="J2303" s="17" t="str">
        <f aca="false">IF(H2303="","",H2303-I2303)</f>
        <v/>
      </c>
    </row>
    <row r="2304" customFormat="false" ht="15" hidden="false" customHeight="true" outlineLevel="0" collapsed="false">
      <c r="A2304" s="7"/>
      <c r="B2304" s="18" t="str">
        <f aca="false">IF(A2304="","",IFERROR(INDEX(Sales_Memo!$B$2:$B$1001,MATCH(A2304,Sales_Memo!$A$2:$A$1001,0)),""))</f>
        <v/>
      </c>
      <c r="C2304" s="7"/>
      <c r="D2304" s="16" t="str">
        <f aca="false">IF(C2304="","",IFERROR(INDEX(Products!$B$2:$B$501,MATCH(C2304,Products!$A$2:$A$501,0)),"CODE NOT FOUND"))</f>
        <v/>
      </c>
      <c r="E2304" s="7"/>
      <c r="F2304" s="13"/>
      <c r="G2304" s="13"/>
      <c r="H2304" s="17" t="str">
        <f aca="false">IF(OR(E2304="",F2304=""),"",E2304*F2304)</f>
        <v/>
      </c>
      <c r="I2304" s="17" t="str">
        <f aca="false">IF(OR(E2304="",G2304=""),"",E2304*G2304)</f>
        <v/>
      </c>
      <c r="J2304" s="17" t="str">
        <f aca="false">IF(H2304="","",H2304-I2304)</f>
        <v/>
      </c>
    </row>
    <row r="2305" customFormat="false" ht="15" hidden="false" customHeight="true" outlineLevel="0" collapsed="false">
      <c r="A2305" s="7"/>
      <c r="B2305" s="18" t="str">
        <f aca="false">IF(A2305="","",IFERROR(INDEX(Sales_Memo!$B$2:$B$1001,MATCH(A2305,Sales_Memo!$A$2:$A$1001,0)),""))</f>
        <v/>
      </c>
      <c r="C2305" s="7"/>
      <c r="D2305" s="16" t="str">
        <f aca="false">IF(C2305="","",IFERROR(INDEX(Products!$B$2:$B$501,MATCH(C2305,Products!$A$2:$A$501,0)),"CODE NOT FOUND"))</f>
        <v/>
      </c>
      <c r="E2305" s="7"/>
      <c r="F2305" s="13"/>
      <c r="G2305" s="13"/>
      <c r="H2305" s="17" t="str">
        <f aca="false">IF(OR(E2305="",F2305=""),"",E2305*F2305)</f>
        <v/>
      </c>
      <c r="I2305" s="17" t="str">
        <f aca="false">IF(OR(E2305="",G2305=""),"",E2305*G2305)</f>
        <v/>
      </c>
      <c r="J2305" s="17" t="str">
        <f aca="false">IF(H2305="","",H2305-I2305)</f>
        <v/>
      </c>
    </row>
    <row r="2306" customFormat="false" ht="15" hidden="false" customHeight="true" outlineLevel="0" collapsed="false">
      <c r="A2306" s="7"/>
      <c r="B2306" s="18" t="str">
        <f aca="false">IF(A2306="","",IFERROR(INDEX(Sales_Memo!$B$2:$B$1001,MATCH(A2306,Sales_Memo!$A$2:$A$1001,0)),""))</f>
        <v/>
      </c>
      <c r="C2306" s="7"/>
      <c r="D2306" s="16" t="str">
        <f aca="false">IF(C2306="","",IFERROR(INDEX(Products!$B$2:$B$501,MATCH(C2306,Products!$A$2:$A$501,0)),"CODE NOT FOUND"))</f>
        <v/>
      </c>
      <c r="E2306" s="7"/>
      <c r="F2306" s="13"/>
      <c r="G2306" s="13"/>
      <c r="H2306" s="17" t="str">
        <f aca="false">IF(OR(E2306="",F2306=""),"",E2306*F2306)</f>
        <v/>
      </c>
      <c r="I2306" s="17" t="str">
        <f aca="false">IF(OR(E2306="",G2306=""),"",E2306*G2306)</f>
        <v/>
      </c>
      <c r="J2306" s="17" t="str">
        <f aca="false">IF(H2306="","",H2306-I2306)</f>
        <v/>
      </c>
    </row>
    <row r="2307" customFormat="false" ht="15" hidden="false" customHeight="true" outlineLevel="0" collapsed="false">
      <c r="A2307" s="7"/>
      <c r="B2307" s="18" t="str">
        <f aca="false">IF(A2307="","",IFERROR(INDEX(Sales_Memo!$B$2:$B$1001,MATCH(A2307,Sales_Memo!$A$2:$A$1001,0)),""))</f>
        <v/>
      </c>
      <c r="C2307" s="7"/>
      <c r="D2307" s="16" t="str">
        <f aca="false">IF(C2307="","",IFERROR(INDEX(Products!$B$2:$B$501,MATCH(C2307,Products!$A$2:$A$501,0)),"CODE NOT FOUND"))</f>
        <v/>
      </c>
      <c r="E2307" s="7"/>
      <c r="F2307" s="13"/>
      <c r="G2307" s="13"/>
      <c r="H2307" s="17" t="str">
        <f aca="false">IF(OR(E2307="",F2307=""),"",E2307*F2307)</f>
        <v/>
      </c>
      <c r="I2307" s="17" t="str">
        <f aca="false">IF(OR(E2307="",G2307=""),"",E2307*G2307)</f>
        <v/>
      </c>
      <c r="J2307" s="17" t="str">
        <f aca="false">IF(H2307="","",H2307-I2307)</f>
        <v/>
      </c>
    </row>
    <row r="2308" customFormat="false" ht="15" hidden="false" customHeight="true" outlineLevel="0" collapsed="false">
      <c r="A2308" s="7"/>
      <c r="B2308" s="18" t="str">
        <f aca="false">IF(A2308="","",IFERROR(INDEX(Sales_Memo!$B$2:$B$1001,MATCH(A2308,Sales_Memo!$A$2:$A$1001,0)),""))</f>
        <v/>
      </c>
      <c r="C2308" s="7"/>
      <c r="D2308" s="16" t="str">
        <f aca="false">IF(C2308="","",IFERROR(INDEX(Products!$B$2:$B$501,MATCH(C2308,Products!$A$2:$A$501,0)),"CODE NOT FOUND"))</f>
        <v/>
      </c>
      <c r="E2308" s="7"/>
      <c r="F2308" s="13"/>
      <c r="G2308" s="13"/>
      <c r="H2308" s="17" t="str">
        <f aca="false">IF(OR(E2308="",F2308=""),"",E2308*F2308)</f>
        <v/>
      </c>
      <c r="I2308" s="17" t="str">
        <f aca="false">IF(OR(E2308="",G2308=""),"",E2308*G2308)</f>
        <v/>
      </c>
      <c r="J2308" s="17" t="str">
        <f aca="false">IF(H2308="","",H2308-I2308)</f>
        <v/>
      </c>
    </row>
    <row r="2309" customFormat="false" ht="15" hidden="false" customHeight="true" outlineLevel="0" collapsed="false">
      <c r="A2309" s="7"/>
      <c r="B2309" s="18" t="str">
        <f aca="false">IF(A2309="","",IFERROR(INDEX(Sales_Memo!$B$2:$B$1001,MATCH(A2309,Sales_Memo!$A$2:$A$1001,0)),""))</f>
        <v/>
      </c>
      <c r="C2309" s="7"/>
      <c r="D2309" s="16" t="str">
        <f aca="false">IF(C2309="","",IFERROR(INDEX(Products!$B$2:$B$501,MATCH(C2309,Products!$A$2:$A$501,0)),"CODE NOT FOUND"))</f>
        <v/>
      </c>
      <c r="E2309" s="7"/>
      <c r="F2309" s="13"/>
      <c r="G2309" s="13"/>
      <c r="H2309" s="17" t="str">
        <f aca="false">IF(OR(E2309="",F2309=""),"",E2309*F2309)</f>
        <v/>
      </c>
      <c r="I2309" s="17" t="str">
        <f aca="false">IF(OR(E2309="",G2309=""),"",E2309*G2309)</f>
        <v/>
      </c>
      <c r="J2309" s="17" t="str">
        <f aca="false">IF(H2309="","",H2309-I2309)</f>
        <v/>
      </c>
    </row>
    <row r="2310" customFormat="false" ht="15" hidden="false" customHeight="true" outlineLevel="0" collapsed="false">
      <c r="A2310" s="7"/>
      <c r="B2310" s="18" t="str">
        <f aca="false">IF(A2310="","",IFERROR(INDEX(Sales_Memo!$B$2:$B$1001,MATCH(A2310,Sales_Memo!$A$2:$A$1001,0)),""))</f>
        <v/>
      </c>
      <c r="C2310" s="7"/>
      <c r="D2310" s="16" t="str">
        <f aca="false">IF(C2310="","",IFERROR(INDEX(Products!$B$2:$B$501,MATCH(C2310,Products!$A$2:$A$501,0)),"CODE NOT FOUND"))</f>
        <v/>
      </c>
      <c r="E2310" s="7"/>
      <c r="F2310" s="13"/>
      <c r="G2310" s="13"/>
      <c r="H2310" s="17" t="str">
        <f aca="false">IF(OR(E2310="",F2310=""),"",E2310*F2310)</f>
        <v/>
      </c>
      <c r="I2310" s="17" t="str">
        <f aca="false">IF(OR(E2310="",G2310=""),"",E2310*G2310)</f>
        <v/>
      </c>
      <c r="J2310" s="17" t="str">
        <f aca="false">IF(H2310="","",H2310-I2310)</f>
        <v/>
      </c>
    </row>
    <row r="2311" customFormat="false" ht="15" hidden="false" customHeight="true" outlineLevel="0" collapsed="false">
      <c r="A2311" s="7"/>
      <c r="B2311" s="18" t="str">
        <f aca="false">IF(A2311="","",IFERROR(INDEX(Sales_Memo!$B$2:$B$1001,MATCH(A2311,Sales_Memo!$A$2:$A$1001,0)),""))</f>
        <v/>
      </c>
      <c r="C2311" s="7"/>
      <c r="D2311" s="16" t="str">
        <f aca="false">IF(C2311="","",IFERROR(INDEX(Products!$B$2:$B$501,MATCH(C2311,Products!$A$2:$A$501,0)),"CODE NOT FOUND"))</f>
        <v/>
      </c>
      <c r="E2311" s="7"/>
      <c r="F2311" s="13"/>
      <c r="G2311" s="13"/>
      <c r="H2311" s="17" t="str">
        <f aca="false">IF(OR(E2311="",F2311=""),"",E2311*F2311)</f>
        <v/>
      </c>
      <c r="I2311" s="17" t="str">
        <f aca="false">IF(OR(E2311="",G2311=""),"",E2311*G2311)</f>
        <v/>
      </c>
      <c r="J2311" s="17" t="str">
        <f aca="false">IF(H2311="","",H2311-I2311)</f>
        <v/>
      </c>
    </row>
    <row r="2312" customFormat="false" ht="15" hidden="false" customHeight="true" outlineLevel="0" collapsed="false">
      <c r="A2312" s="7"/>
      <c r="B2312" s="18" t="str">
        <f aca="false">IF(A2312="","",IFERROR(INDEX(Sales_Memo!$B$2:$B$1001,MATCH(A2312,Sales_Memo!$A$2:$A$1001,0)),""))</f>
        <v/>
      </c>
      <c r="C2312" s="7"/>
      <c r="D2312" s="16" t="str">
        <f aca="false">IF(C2312="","",IFERROR(INDEX(Products!$B$2:$B$501,MATCH(C2312,Products!$A$2:$A$501,0)),"CODE NOT FOUND"))</f>
        <v/>
      </c>
      <c r="E2312" s="7"/>
      <c r="F2312" s="13"/>
      <c r="G2312" s="13"/>
      <c r="H2312" s="17" t="str">
        <f aca="false">IF(OR(E2312="",F2312=""),"",E2312*F2312)</f>
        <v/>
      </c>
      <c r="I2312" s="17" t="str">
        <f aca="false">IF(OR(E2312="",G2312=""),"",E2312*G2312)</f>
        <v/>
      </c>
      <c r="J2312" s="17" t="str">
        <f aca="false">IF(H2312="","",H2312-I2312)</f>
        <v/>
      </c>
    </row>
    <row r="2313" customFormat="false" ht="15" hidden="false" customHeight="true" outlineLevel="0" collapsed="false">
      <c r="A2313" s="7"/>
      <c r="B2313" s="18" t="str">
        <f aca="false">IF(A2313="","",IFERROR(INDEX(Sales_Memo!$B$2:$B$1001,MATCH(A2313,Sales_Memo!$A$2:$A$1001,0)),""))</f>
        <v/>
      </c>
      <c r="C2313" s="7"/>
      <c r="D2313" s="16" t="str">
        <f aca="false">IF(C2313="","",IFERROR(INDEX(Products!$B$2:$B$501,MATCH(C2313,Products!$A$2:$A$501,0)),"CODE NOT FOUND"))</f>
        <v/>
      </c>
      <c r="E2313" s="7"/>
      <c r="F2313" s="13"/>
      <c r="G2313" s="13"/>
      <c r="H2313" s="17" t="str">
        <f aca="false">IF(OR(E2313="",F2313=""),"",E2313*F2313)</f>
        <v/>
      </c>
      <c r="I2313" s="17" t="str">
        <f aca="false">IF(OR(E2313="",G2313=""),"",E2313*G2313)</f>
        <v/>
      </c>
      <c r="J2313" s="17" t="str">
        <f aca="false">IF(H2313="","",H2313-I2313)</f>
        <v/>
      </c>
    </row>
    <row r="2314" customFormat="false" ht="15" hidden="false" customHeight="true" outlineLevel="0" collapsed="false">
      <c r="A2314" s="7"/>
      <c r="B2314" s="18" t="str">
        <f aca="false">IF(A2314="","",IFERROR(INDEX(Sales_Memo!$B$2:$B$1001,MATCH(A2314,Sales_Memo!$A$2:$A$1001,0)),""))</f>
        <v/>
      </c>
      <c r="C2314" s="7"/>
      <c r="D2314" s="16" t="str">
        <f aca="false">IF(C2314="","",IFERROR(INDEX(Products!$B$2:$B$501,MATCH(C2314,Products!$A$2:$A$501,0)),"CODE NOT FOUND"))</f>
        <v/>
      </c>
      <c r="E2314" s="7"/>
      <c r="F2314" s="13"/>
      <c r="G2314" s="13"/>
      <c r="H2314" s="17" t="str">
        <f aca="false">IF(OR(E2314="",F2314=""),"",E2314*F2314)</f>
        <v/>
      </c>
      <c r="I2314" s="17" t="str">
        <f aca="false">IF(OR(E2314="",G2314=""),"",E2314*G2314)</f>
        <v/>
      </c>
      <c r="J2314" s="17" t="str">
        <f aca="false">IF(H2314="","",H2314-I2314)</f>
        <v/>
      </c>
    </row>
    <row r="2315" customFormat="false" ht="15" hidden="false" customHeight="true" outlineLevel="0" collapsed="false">
      <c r="A2315" s="7"/>
      <c r="B2315" s="18" t="str">
        <f aca="false">IF(A2315="","",IFERROR(INDEX(Sales_Memo!$B$2:$B$1001,MATCH(A2315,Sales_Memo!$A$2:$A$1001,0)),""))</f>
        <v/>
      </c>
      <c r="C2315" s="7"/>
      <c r="D2315" s="16" t="str">
        <f aca="false">IF(C2315="","",IFERROR(INDEX(Products!$B$2:$B$501,MATCH(C2315,Products!$A$2:$A$501,0)),"CODE NOT FOUND"))</f>
        <v/>
      </c>
      <c r="E2315" s="7"/>
      <c r="F2315" s="13"/>
      <c r="G2315" s="13"/>
      <c r="H2315" s="17" t="str">
        <f aca="false">IF(OR(E2315="",F2315=""),"",E2315*F2315)</f>
        <v/>
      </c>
      <c r="I2315" s="17" t="str">
        <f aca="false">IF(OR(E2315="",G2315=""),"",E2315*G2315)</f>
        <v/>
      </c>
      <c r="J2315" s="17" t="str">
        <f aca="false">IF(H2315="","",H2315-I2315)</f>
        <v/>
      </c>
    </row>
    <row r="2316" customFormat="false" ht="15" hidden="false" customHeight="true" outlineLevel="0" collapsed="false">
      <c r="A2316" s="7"/>
      <c r="B2316" s="18" t="str">
        <f aca="false">IF(A2316="","",IFERROR(INDEX(Sales_Memo!$B$2:$B$1001,MATCH(A2316,Sales_Memo!$A$2:$A$1001,0)),""))</f>
        <v/>
      </c>
      <c r="C2316" s="7"/>
      <c r="D2316" s="16" t="str">
        <f aca="false">IF(C2316="","",IFERROR(INDEX(Products!$B$2:$B$501,MATCH(C2316,Products!$A$2:$A$501,0)),"CODE NOT FOUND"))</f>
        <v/>
      </c>
      <c r="E2316" s="7"/>
      <c r="F2316" s="13"/>
      <c r="G2316" s="13"/>
      <c r="H2316" s="17" t="str">
        <f aca="false">IF(OR(E2316="",F2316=""),"",E2316*F2316)</f>
        <v/>
      </c>
      <c r="I2316" s="17" t="str">
        <f aca="false">IF(OR(E2316="",G2316=""),"",E2316*G2316)</f>
        <v/>
      </c>
      <c r="J2316" s="17" t="str">
        <f aca="false">IF(H2316="","",H2316-I2316)</f>
        <v/>
      </c>
    </row>
    <row r="2317" customFormat="false" ht="15" hidden="false" customHeight="true" outlineLevel="0" collapsed="false">
      <c r="A2317" s="7"/>
      <c r="B2317" s="18" t="str">
        <f aca="false">IF(A2317="","",IFERROR(INDEX(Sales_Memo!$B$2:$B$1001,MATCH(A2317,Sales_Memo!$A$2:$A$1001,0)),""))</f>
        <v/>
      </c>
      <c r="C2317" s="7"/>
      <c r="D2317" s="16" t="str">
        <f aca="false">IF(C2317="","",IFERROR(INDEX(Products!$B$2:$B$501,MATCH(C2317,Products!$A$2:$A$501,0)),"CODE NOT FOUND"))</f>
        <v/>
      </c>
      <c r="E2317" s="7"/>
      <c r="F2317" s="13"/>
      <c r="G2317" s="13"/>
      <c r="H2317" s="17" t="str">
        <f aca="false">IF(OR(E2317="",F2317=""),"",E2317*F2317)</f>
        <v/>
      </c>
      <c r="I2317" s="17" t="str">
        <f aca="false">IF(OR(E2317="",G2317=""),"",E2317*G2317)</f>
        <v/>
      </c>
      <c r="J2317" s="17" t="str">
        <f aca="false">IF(H2317="","",H2317-I2317)</f>
        <v/>
      </c>
    </row>
    <row r="2318" customFormat="false" ht="15" hidden="false" customHeight="true" outlineLevel="0" collapsed="false">
      <c r="A2318" s="7"/>
      <c r="B2318" s="18" t="str">
        <f aca="false">IF(A2318="","",IFERROR(INDEX(Sales_Memo!$B$2:$B$1001,MATCH(A2318,Sales_Memo!$A$2:$A$1001,0)),""))</f>
        <v/>
      </c>
      <c r="C2318" s="7"/>
      <c r="D2318" s="16" t="str">
        <f aca="false">IF(C2318="","",IFERROR(INDEX(Products!$B$2:$B$501,MATCH(C2318,Products!$A$2:$A$501,0)),"CODE NOT FOUND"))</f>
        <v/>
      </c>
      <c r="E2318" s="7"/>
      <c r="F2318" s="13"/>
      <c r="G2318" s="13"/>
      <c r="H2318" s="17" t="str">
        <f aca="false">IF(OR(E2318="",F2318=""),"",E2318*F2318)</f>
        <v/>
      </c>
      <c r="I2318" s="17" t="str">
        <f aca="false">IF(OR(E2318="",G2318=""),"",E2318*G2318)</f>
        <v/>
      </c>
      <c r="J2318" s="17" t="str">
        <f aca="false">IF(H2318="","",H2318-I2318)</f>
        <v/>
      </c>
    </row>
    <row r="2319" customFormat="false" ht="15" hidden="false" customHeight="true" outlineLevel="0" collapsed="false">
      <c r="A2319" s="7"/>
      <c r="B2319" s="18" t="str">
        <f aca="false">IF(A2319="","",IFERROR(INDEX(Sales_Memo!$B$2:$B$1001,MATCH(A2319,Sales_Memo!$A$2:$A$1001,0)),""))</f>
        <v/>
      </c>
      <c r="C2319" s="7"/>
      <c r="D2319" s="16" t="str">
        <f aca="false">IF(C2319="","",IFERROR(INDEX(Products!$B$2:$B$501,MATCH(C2319,Products!$A$2:$A$501,0)),"CODE NOT FOUND"))</f>
        <v/>
      </c>
      <c r="E2319" s="7"/>
      <c r="F2319" s="13"/>
      <c r="G2319" s="13"/>
      <c r="H2319" s="17" t="str">
        <f aca="false">IF(OR(E2319="",F2319=""),"",E2319*F2319)</f>
        <v/>
      </c>
      <c r="I2319" s="17" t="str">
        <f aca="false">IF(OR(E2319="",G2319=""),"",E2319*G2319)</f>
        <v/>
      </c>
      <c r="J2319" s="17" t="str">
        <f aca="false">IF(H2319="","",H2319-I2319)</f>
        <v/>
      </c>
    </row>
    <row r="2320" customFormat="false" ht="15" hidden="false" customHeight="true" outlineLevel="0" collapsed="false">
      <c r="A2320" s="7"/>
      <c r="B2320" s="18" t="str">
        <f aca="false">IF(A2320="","",IFERROR(INDEX(Sales_Memo!$B$2:$B$1001,MATCH(A2320,Sales_Memo!$A$2:$A$1001,0)),""))</f>
        <v/>
      </c>
      <c r="C2320" s="7"/>
      <c r="D2320" s="16" t="str">
        <f aca="false">IF(C2320="","",IFERROR(INDEX(Products!$B$2:$B$501,MATCH(C2320,Products!$A$2:$A$501,0)),"CODE NOT FOUND"))</f>
        <v/>
      </c>
      <c r="E2320" s="7"/>
      <c r="F2320" s="13"/>
      <c r="G2320" s="13"/>
      <c r="H2320" s="17" t="str">
        <f aca="false">IF(OR(E2320="",F2320=""),"",E2320*F2320)</f>
        <v/>
      </c>
      <c r="I2320" s="17" t="str">
        <f aca="false">IF(OR(E2320="",G2320=""),"",E2320*G2320)</f>
        <v/>
      </c>
      <c r="J2320" s="17" t="str">
        <f aca="false">IF(H2320="","",H2320-I2320)</f>
        <v/>
      </c>
    </row>
    <row r="2321" customFormat="false" ht="15" hidden="false" customHeight="true" outlineLevel="0" collapsed="false">
      <c r="A2321" s="7"/>
      <c r="B2321" s="18" t="str">
        <f aca="false">IF(A2321="","",IFERROR(INDEX(Sales_Memo!$B$2:$B$1001,MATCH(A2321,Sales_Memo!$A$2:$A$1001,0)),""))</f>
        <v/>
      </c>
      <c r="C2321" s="7"/>
      <c r="D2321" s="16" t="str">
        <f aca="false">IF(C2321="","",IFERROR(INDEX(Products!$B$2:$B$501,MATCH(C2321,Products!$A$2:$A$501,0)),"CODE NOT FOUND"))</f>
        <v/>
      </c>
      <c r="E2321" s="7"/>
      <c r="F2321" s="13"/>
      <c r="G2321" s="13"/>
      <c r="H2321" s="17" t="str">
        <f aca="false">IF(OR(E2321="",F2321=""),"",E2321*F2321)</f>
        <v/>
      </c>
      <c r="I2321" s="17" t="str">
        <f aca="false">IF(OR(E2321="",G2321=""),"",E2321*G2321)</f>
        <v/>
      </c>
      <c r="J2321" s="17" t="str">
        <f aca="false">IF(H2321="","",H2321-I2321)</f>
        <v/>
      </c>
    </row>
    <row r="2322" customFormat="false" ht="15" hidden="false" customHeight="true" outlineLevel="0" collapsed="false">
      <c r="A2322" s="7"/>
      <c r="B2322" s="18" t="str">
        <f aca="false">IF(A2322="","",IFERROR(INDEX(Sales_Memo!$B$2:$B$1001,MATCH(A2322,Sales_Memo!$A$2:$A$1001,0)),""))</f>
        <v/>
      </c>
      <c r="C2322" s="7"/>
      <c r="D2322" s="16" t="str">
        <f aca="false">IF(C2322="","",IFERROR(INDEX(Products!$B$2:$B$501,MATCH(C2322,Products!$A$2:$A$501,0)),"CODE NOT FOUND"))</f>
        <v/>
      </c>
      <c r="E2322" s="7"/>
      <c r="F2322" s="13"/>
      <c r="G2322" s="13"/>
      <c r="H2322" s="17" t="str">
        <f aca="false">IF(OR(E2322="",F2322=""),"",E2322*F2322)</f>
        <v/>
      </c>
      <c r="I2322" s="17" t="str">
        <f aca="false">IF(OR(E2322="",G2322=""),"",E2322*G2322)</f>
        <v/>
      </c>
      <c r="J2322" s="17" t="str">
        <f aca="false">IF(H2322="","",H2322-I2322)</f>
        <v/>
      </c>
    </row>
    <row r="2323" customFormat="false" ht="15" hidden="false" customHeight="true" outlineLevel="0" collapsed="false">
      <c r="A2323" s="7"/>
      <c r="B2323" s="18" t="str">
        <f aca="false">IF(A2323="","",IFERROR(INDEX(Sales_Memo!$B$2:$B$1001,MATCH(A2323,Sales_Memo!$A$2:$A$1001,0)),""))</f>
        <v/>
      </c>
      <c r="C2323" s="7"/>
      <c r="D2323" s="16" t="str">
        <f aca="false">IF(C2323="","",IFERROR(INDEX(Products!$B$2:$B$501,MATCH(C2323,Products!$A$2:$A$501,0)),"CODE NOT FOUND"))</f>
        <v/>
      </c>
      <c r="E2323" s="7"/>
      <c r="F2323" s="13"/>
      <c r="G2323" s="13"/>
      <c r="H2323" s="17" t="str">
        <f aca="false">IF(OR(E2323="",F2323=""),"",E2323*F2323)</f>
        <v/>
      </c>
      <c r="I2323" s="17" t="str">
        <f aca="false">IF(OR(E2323="",G2323=""),"",E2323*G2323)</f>
        <v/>
      </c>
      <c r="J2323" s="17" t="str">
        <f aca="false">IF(H2323="","",H2323-I2323)</f>
        <v/>
      </c>
    </row>
    <row r="2324" customFormat="false" ht="15" hidden="false" customHeight="true" outlineLevel="0" collapsed="false">
      <c r="A2324" s="7"/>
      <c r="B2324" s="18" t="str">
        <f aca="false">IF(A2324="","",IFERROR(INDEX(Sales_Memo!$B$2:$B$1001,MATCH(A2324,Sales_Memo!$A$2:$A$1001,0)),""))</f>
        <v/>
      </c>
      <c r="C2324" s="7"/>
      <c r="D2324" s="16" t="str">
        <f aca="false">IF(C2324="","",IFERROR(INDEX(Products!$B$2:$B$501,MATCH(C2324,Products!$A$2:$A$501,0)),"CODE NOT FOUND"))</f>
        <v/>
      </c>
      <c r="E2324" s="7"/>
      <c r="F2324" s="13"/>
      <c r="G2324" s="13"/>
      <c r="H2324" s="17" t="str">
        <f aca="false">IF(OR(E2324="",F2324=""),"",E2324*F2324)</f>
        <v/>
      </c>
      <c r="I2324" s="17" t="str">
        <f aca="false">IF(OR(E2324="",G2324=""),"",E2324*G2324)</f>
        <v/>
      </c>
      <c r="J2324" s="17" t="str">
        <f aca="false">IF(H2324="","",H2324-I2324)</f>
        <v/>
      </c>
    </row>
    <row r="2325" customFormat="false" ht="15" hidden="false" customHeight="true" outlineLevel="0" collapsed="false">
      <c r="A2325" s="7"/>
      <c r="B2325" s="18" t="str">
        <f aca="false">IF(A2325="","",IFERROR(INDEX(Sales_Memo!$B$2:$B$1001,MATCH(A2325,Sales_Memo!$A$2:$A$1001,0)),""))</f>
        <v/>
      </c>
      <c r="C2325" s="7"/>
      <c r="D2325" s="16" t="str">
        <f aca="false">IF(C2325="","",IFERROR(INDEX(Products!$B$2:$B$501,MATCH(C2325,Products!$A$2:$A$501,0)),"CODE NOT FOUND"))</f>
        <v/>
      </c>
      <c r="E2325" s="7"/>
      <c r="F2325" s="13"/>
      <c r="G2325" s="13"/>
      <c r="H2325" s="17" t="str">
        <f aca="false">IF(OR(E2325="",F2325=""),"",E2325*F2325)</f>
        <v/>
      </c>
      <c r="I2325" s="17" t="str">
        <f aca="false">IF(OR(E2325="",G2325=""),"",E2325*G2325)</f>
        <v/>
      </c>
      <c r="J2325" s="17" t="str">
        <f aca="false">IF(H2325="","",H2325-I2325)</f>
        <v/>
      </c>
    </row>
    <row r="2326" customFormat="false" ht="15" hidden="false" customHeight="true" outlineLevel="0" collapsed="false">
      <c r="A2326" s="7"/>
      <c r="B2326" s="18" t="str">
        <f aca="false">IF(A2326="","",IFERROR(INDEX(Sales_Memo!$B$2:$B$1001,MATCH(A2326,Sales_Memo!$A$2:$A$1001,0)),""))</f>
        <v/>
      </c>
      <c r="C2326" s="7"/>
      <c r="D2326" s="16" t="str">
        <f aca="false">IF(C2326="","",IFERROR(INDEX(Products!$B$2:$B$501,MATCH(C2326,Products!$A$2:$A$501,0)),"CODE NOT FOUND"))</f>
        <v/>
      </c>
      <c r="E2326" s="7"/>
      <c r="F2326" s="13"/>
      <c r="G2326" s="13"/>
      <c r="H2326" s="17" t="str">
        <f aca="false">IF(OR(E2326="",F2326=""),"",E2326*F2326)</f>
        <v/>
      </c>
      <c r="I2326" s="17" t="str">
        <f aca="false">IF(OR(E2326="",G2326=""),"",E2326*G2326)</f>
        <v/>
      </c>
      <c r="J2326" s="17" t="str">
        <f aca="false">IF(H2326="","",H2326-I2326)</f>
        <v/>
      </c>
    </row>
    <row r="2327" customFormat="false" ht="15" hidden="false" customHeight="true" outlineLevel="0" collapsed="false">
      <c r="A2327" s="7"/>
      <c r="B2327" s="18" t="str">
        <f aca="false">IF(A2327="","",IFERROR(INDEX(Sales_Memo!$B$2:$B$1001,MATCH(A2327,Sales_Memo!$A$2:$A$1001,0)),""))</f>
        <v/>
      </c>
      <c r="C2327" s="7"/>
      <c r="D2327" s="16" t="str">
        <f aca="false">IF(C2327="","",IFERROR(INDEX(Products!$B$2:$B$501,MATCH(C2327,Products!$A$2:$A$501,0)),"CODE NOT FOUND"))</f>
        <v/>
      </c>
      <c r="E2327" s="7"/>
      <c r="F2327" s="13"/>
      <c r="G2327" s="13"/>
      <c r="H2327" s="17" t="str">
        <f aca="false">IF(OR(E2327="",F2327=""),"",E2327*F2327)</f>
        <v/>
      </c>
      <c r="I2327" s="17" t="str">
        <f aca="false">IF(OR(E2327="",G2327=""),"",E2327*G2327)</f>
        <v/>
      </c>
      <c r="J2327" s="17" t="str">
        <f aca="false">IF(H2327="","",H2327-I2327)</f>
        <v/>
      </c>
    </row>
    <row r="2328" customFormat="false" ht="15" hidden="false" customHeight="true" outlineLevel="0" collapsed="false">
      <c r="A2328" s="7"/>
      <c r="B2328" s="18" t="str">
        <f aca="false">IF(A2328="","",IFERROR(INDEX(Sales_Memo!$B$2:$B$1001,MATCH(A2328,Sales_Memo!$A$2:$A$1001,0)),""))</f>
        <v/>
      </c>
      <c r="C2328" s="7"/>
      <c r="D2328" s="16" t="str">
        <f aca="false">IF(C2328="","",IFERROR(INDEX(Products!$B$2:$B$501,MATCH(C2328,Products!$A$2:$A$501,0)),"CODE NOT FOUND"))</f>
        <v/>
      </c>
      <c r="E2328" s="7"/>
      <c r="F2328" s="13"/>
      <c r="G2328" s="13"/>
      <c r="H2328" s="17" t="str">
        <f aca="false">IF(OR(E2328="",F2328=""),"",E2328*F2328)</f>
        <v/>
      </c>
      <c r="I2328" s="17" t="str">
        <f aca="false">IF(OR(E2328="",G2328=""),"",E2328*G2328)</f>
        <v/>
      </c>
      <c r="J2328" s="17" t="str">
        <f aca="false">IF(H2328="","",H2328-I2328)</f>
        <v/>
      </c>
    </row>
    <row r="2329" customFormat="false" ht="15" hidden="false" customHeight="true" outlineLevel="0" collapsed="false">
      <c r="A2329" s="7"/>
      <c r="B2329" s="18" t="str">
        <f aca="false">IF(A2329="","",IFERROR(INDEX(Sales_Memo!$B$2:$B$1001,MATCH(A2329,Sales_Memo!$A$2:$A$1001,0)),""))</f>
        <v/>
      </c>
      <c r="C2329" s="7"/>
      <c r="D2329" s="16" t="str">
        <f aca="false">IF(C2329="","",IFERROR(INDEX(Products!$B$2:$B$501,MATCH(C2329,Products!$A$2:$A$501,0)),"CODE NOT FOUND"))</f>
        <v/>
      </c>
      <c r="E2329" s="7"/>
      <c r="F2329" s="13"/>
      <c r="G2329" s="13"/>
      <c r="H2329" s="17" t="str">
        <f aca="false">IF(OR(E2329="",F2329=""),"",E2329*F2329)</f>
        <v/>
      </c>
      <c r="I2329" s="17" t="str">
        <f aca="false">IF(OR(E2329="",G2329=""),"",E2329*G2329)</f>
        <v/>
      </c>
      <c r="J2329" s="17" t="str">
        <f aca="false">IF(H2329="","",H2329-I2329)</f>
        <v/>
      </c>
    </row>
    <row r="2330" customFormat="false" ht="15" hidden="false" customHeight="true" outlineLevel="0" collapsed="false">
      <c r="A2330" s="7"/>
      <c r="B2330" s="18" t="str">
        <f aca="false">IF(A2330="","",IFERROR(INDEX(Sales_Memo!$B$2:$B$1001,MATCH(A2330,Sales_Memo!$A$2:$A$1001,0)),""))</f>
        <v/>
      </c>
      <c r="C2330" s="7"/>
      <c r="D2330" s="16" t="str">
        <f aca="false">IF(C2330="","",IFERROR(INDEX(Products!$B$2:$B$501,MATCH(C2330,Products!$A$2:$A$501,0)),"CODE NOT FOUND"))</f>
        <v/>
      </c>
      <c r="E2330" s="7"/>
      <c r="F2330" s="13"/>
      <c r="G2330" s="13"/>
      <c r="H2330" s="17" t="str">
        <f aca="false">IF(OR(E2330="",F2330=""),"",E2330*F2330)</f>
        <v/>
      </c>
      <c r="I2330" s="17" t="str">
        <f aca="false">IF(OR(E2330="",G2330=""),"",E2330*G2330)</f>
        <v/>
      </c>
      <c r="J2330" s="17" t="str">
        <f aca="false">IF(H2330="","",H2330-I2330)</f>
        <v/>
      </c>
    </row>
    <row r="2331" customFormat="false" ht="15" hidden="false" customHeight="true" outlineLevel="0" collapsed="false">
      <c r="A2331" s="7"/>
      <c r="B2331" s="18" t="str">
        <f aca="false">IF(A2331="","",IFERROR(INDEX(Sales_Memo!$B$2:$B$1001,MATCH(A2331,Sales_Memo!$A$2:$A$1001,0)),""))</f>
        <v/>
      </c>
      <c r="C2331" s="7"/>
      <c r="D2331" s="16" t="str">
        <f aca="false">IF(C2331="","",IFERROR(INDEX(Products!$B$2:$B$501,MATCH(C2331,Products!$A$2:$A$501,0)),"CODE NOT FOUND"))</f>
        <v/>
      </c>
      <c r="E2331" s="7"/>
      <c r="F2331" s="13"/>
      <c r="G2331" s="13"/>
      <c r="H2331" s="17" t="str">
        <f aca="false">IF(OR(E2331="",F2331=""),"",E2331*F2331)</f>
        <v/>
      </c>
      <c r="I2331" s="17" t="str">
        <f aca="false">IF(OR(E2331="",G2331=""),"",E2331*G2331)</f>
        <v/>
      </c>
      <c r="J2331" s="17" t="str">
        <f aca="false">IF(H2331="","",H2331-I2331)</f>
        <v/>
      </c>
    </row>
    <row r="2332" customFormat="false" ht="15" hidden="false" customHeight="true" outlineLevel="0" collapsed="false">
      <c r="A2332" s="7"/>
      <c r="B2332" s="18" t="str">
        <f aca="false">IF(A2332="","",IFERROR(INDEX(Sales_Memo!$B$2:$B$1001,MATCH(A2332,Sales_Memo!$A$2:$A$1001,0)),""))</f>
        <v/>
      </c>
      <c r="C2332" s="7"/>
      <c r="D2332" s="16" t="str">
        <f aca="false">IF(C2332="","",IFERROR(INDEX(Products!$B$2:$B$501,MATCH(C2332,Products!$A$2:$A$501,0)),"CODE NOT FOUND"))</f>
        <v/>
      </c>
      <c r="E2332" s="7"/>
      <c r="F2332" s="13"/>
      <c r="G2332" s="13"/>
      <c r="H2332" s="17" t="str">
        <f aca="false">IF(OR(E2332="",F2332=""),"",E2332*F2332)</f>
        <v/>
      </c>
      <c r="I2332" s="17" t="str">
        <f aca="false">IF(OR(E2332="",G2332=""),"",E2332*G2332)</f>
        <v/>
      </c>
      <c r="J2332" s="17" t="str">
        <f aca="false">IF(H2332="","",H2332-I2332)</f>
        <v/>
      </c>
    </row>
    <row r="2333" customFormat="false" ht="15" hidden="false" customHeight="true" outlineLevel="0" collapsed="false">
      <c r="A2333" s="7"/>
      <c r="B2333" s="18" t="str">
        <f aca="false">IF(A2333="","",IFERROR(INDEX(Sales_Memo!$B$2:$B$1001,MATCH(A2333,Sales_Memo!$A$2:$A$1001,0)),""))</f>
        <v/>
      </c>
      <c r="C2333" s="7"/>
      <c r="D2333" s="16" t="str">
        <f aca="false">IF(C2333="","",IFERROR(INDEX(Products!$B$2:$B$501,MATCH(C2333,Products!$A$2:$A$501,0)),"CODE NOT FOUND"))</f>
        <v/>
      </c>
      <c r="E2333" s="7"/>
      <c r="F2333" s="13"/>
      <c r="G2333" s="13"/>
      <c r="H2333" s="17" t="str">
        <f aca="false">IF(OR(E2333="",F2333=""),"",E2333*F2333)</f>
        <v/>
      </c>
      <c r="I2333" s="17" t="str">
        <f aca="false">IF(OR(E2333="",G2333=""),"",E2333*G2333)</f>
        <v/>
      </c>
      <c r="J2333" s="17" t="str">
        <f aca="false">IF(H2333="","",H2333-I2333)</f>
        <v/>
      </c>
    </row>
    <row r="2334" customFormat="false" ht="15" hidden="false" customHeight="true" outlineLevel="0" collapsed="false">
      <c r="A2334" s="7"/>
      <c r="B2334" s="18" t="str">
        <f aca="false">IF(A2334="","",IFERROR(INDEX(Sales_Memo!$B$2:$B$1001,MATCH(A2334,Sales_Memo!$A$2:$A$1001,0)),""))</f>
        <v/>
      </c>
      <c r="C2334" s="7"/>
      <c r="D2334" s="16" t="str">
        <f aca="false">IF(C2334="","",IFERROR(INDEX(Products!$B$2:$B$501,MATCH(C2334,Products!$A$2:$A$501,0)),"CODE NOT FOUND"))</f>
        <v/>
      </c>
      <c r="E2334" s="7"/>
      <c r="F2334" s="13"/>
      <c r="G2334" s="13"/>
      <c r="H2334" s="17" t="str">
        <f aca="false">IF(OR(E2334="",F2334=""),"",E2334*F2334)</f>
        <v/>
      </c>
      <c r="I2334" s="17" t="str">
        <f aca="false">IF(OR(E2334="",G2334=""),"",E2334*G2334)</f>
        <v/>
      </c>
      <c r="J2334" s="17" t="str">
        <f aca="false">IF(H2334="","",H2334-I2334)</f>
        <v/>
      </c>
    </row>
    <row r="2335" customFormat="false" ht="15" hidden="false" customHeight="true" outlineLevel="0" collapsed="false">
      <c r="A2335" s="7"/>
      <c r="B2335" s="18" t="str">
        <f aca="false">IF(A2335="","",IFERROR(INDEX(Sales_Memo!$B$2:$B$1001,MATCH(A2335,Sales_Memo!$A$2:$A$1001,0)),""))</f>
        <v/>
      </c>
      <c r="C2335" s="7"/>
      <c r="D2335" s="16" t="str">
        <f aca="false">IF(C2335="","",IFERROR(INDEX(Products!$B$2:$B$501,MATCH(C2335,Products!$A$2:$A$501,0)),"CODE NOT FOUND"))</f>
        <v/>
      </c>
      <c r="E2335" s="7"/>
      <c r="F2335" s="13"/>
      <c r="G2335" s="13"/>
      <c r="H2335" s="17" t="str">
        <f aca="false">IF(OR(E2335="",F2335=""),"",E2335*F2335)</f>
        <v/>
      </c>
      <c r="I2335" s="17" t="str">
        <f aca="false">IF(OR(E2335="",G2335=""),"",E2335*G2335)</f>
        <v/>
      </c>
      <c r="J2335" s="17" t="str">
        <f aca="false">IF(H2335="","",H2335-I2335)</f>
        <v/>
      </c>
    </row>
    <row r="2336" customFormat="false" ht="15" hidden="false" customHeight="true" outlineLevel="0" collapsed="false">
      <c r="A2336" s="7"/>
      <c r="B2336" s="18" t="str">
        <f aca="false">IF(A2336="","",IFERROR(INDEX(Sales_Memo!$B$2:$B$1001,MATCH(A2336,Sales_Memo!$A$2:$A$1001,0)),""))</f>
        <v/>
      </c>
      <c r="C2336" s="7"/>
      <c r="D2336" s="16" t="str">
        <f aca="false">IF(C2336="","",IFERROR(INDEX(Products!$B$2:$B$501,MATCH(C2336,Products!$A$2:$A$501,0)),"CODE NOT FOUND"))</f>
        <v/>
      </c>
      <c r="E2336" s="7"/>
      <c r="F2336" s="13"/>
      <c r="G2336" s="13"/>
      <c r="H2336" s="17" t="str">
        <f aca="false">IF(OR(E2336="",F2336=""),"",E2336*F2336)</f>
        <v/>
      </c>
      <c r="I2336" s="17" t="str">
        <f aca="false">IF(OR(E2336="",G2336=""),"",E2336*G2336)</f>
        <v/>
      </c>
      <c r="J2336" s="17" t="str">
        <f aca="false">IF(H2336="","",H2336-I2336)</f>
        <v/>
      </c>
    </row>
    <row r="2337" customFormat="false" ht="15" hidden="false" customHeight="true" outlineLevel="0" collapsed="false">
      <c r="A2337" s="7"/>
      <c r="B2337" s="18" t="str">
        <f aca="false">IF(A2337="","",IFERROR(INDEX(Sales_Memo!$B$2:$B$1001,MATCH(A2337,Sales_Memo!$A$2:$A$1001,0)),""))</f>
        <v/>
      </c>
      <c r="C2337" s="7"/>
      <c r="D2337" s="16" t="str">
        <f aca="false">IF(C2337="","",IFERROR(INDEX(Products!$B$2:$B$501,MATCH(C2337,Products!$A$2:$A$501,0)),"CODE NOT FOUND"))</f>
        <v/>
      </c>
      <c r="E2337" s="7"/>
      <c r="F2337" s="13"/>
      <c r="G2337" s="13"/>
      <c r="H2337" s="17" t="str">
        <f aca="false">IF(OR(E2337="",F2337=""),"",E2337*F2337)</f>
        <v/>
      </c>
      <c r="I2337" s="17" t="str">
        <f aca="false">IF(OR(E2337="",G2337=""),"",E2337*G2337)</f>
        <v/>
      </c>
      <c r="J2337" s="17" t="str">
        <f aca="false">IF(H2337="","",H2337-I2337)</f>
        <v/>
      </c>
    </row>
    <row r="2338" customFormat="false" ht="15" hidden="false" customHeight="true" outlineLevel="0" collapsed="false">
      <c r="A2338" s="7"/>
      <c r="B2338" s="18" t="str">
        <f aca="false">IF(A2338="","",IFERROR(INDEX(Sales_Memo!$B$2:$B$1001,MATCH(A2338,Sales_Memo!$A$2:$A$1001,0)),""))</f>
        <v/>
      </c>
      <c r="C2338" s="7"/>
      <c r="D2338" s="16" t="str">
        <f aca="false">IF(C2338="","",IFERROR(INDEX(Products!$B$2:$B$501,MATCH(C2338,Products!$A$2:$A$501,0)),"CODE NOT FOUND"))</f>
        <v/>
      </c>
      <c r="E2338" s="7"/>
      <c r="F2338" s="13"/>
      <c r="G2338" s="13"/>
      <c r="H2338" s="17" t="str">
        <f aca="false">IF(OR(E2338="",F2338=""),"",E2338*F2338)</f>
        <v/>
      </c>
      <c r="I2338" s="17" t="str">
        <f aca="false">IF(OR(E2338="",G2338=""),"",E2338*G2338)</f>
        <v/>
      </c>
      <c r="J2338" s="17" t="str">
        <f aca="false">IF(H2338="","",H2338-I2338)</f>
        <v/>
      </c>
    </row>
    <row r="2339" customFormat="false" ht="15" hidden="false" customHeight="true" outlineLevel="0" collapsed="false">
      <c r="A2339" s="7"/>
      <c r="B2339" s="18" t="str">
        <f aca="false">IF(A2339="","",IFERROR(INDEX(Sales_Memo!$B$2:$B$1001,MATCH(A2339,Sales_Memo!$A$2:$A$1001,0)),""))</f>
        <v/>
      </c>
      <c r="C2339" s="7"/>
      <c r="D2339" s="16" t="str">
        <f aca="false">IF(C2339="","",IFERROR(INDEX(Products!$B$2:$B$501,MATCH(C2339,Products!$A$2:$A$501,0)),"CODE NOT FOUND"))</f>
        <v/>
      </c>
      <c r="E2339" s="7"/>
      <c r="F2339" s="13"/>
      <c r="G2339" s="13"/>
      <c r="H2339" s="17" t="str">
        <f aca="false">IF(OR(E2339="",F2339=""),"",E2339*F2339)</f>
        <v/>
      </c>
      <c r="I2339" s="17" t="str">
        <f aca="false">IF(OR(E2339="",G2339=""),"",E2339*G2339)</f>
        <v/>
      </c>
      <c r="J2339" s="17" t="str">
        <f aca="false">IF(H2339="","",H2339-I2339)</f>
        <v/>
      </c>
    </row>
    <row r="2340" customFormat="false" ht="15" hidden="false" customHeight="true" outlineLevel="0" collapsed="false">
      <c r="A2340" s="7"/>
      <c r="B2340" s="18" t="str">
        <f aca="false">IF(A2340="","",IFERROR(INDEX(Sales_Memo!$B$2:$B$1001,MATCH(A2340,Sales_Memo!$A$2:$A$1001,0)),""))</f>
        <v/>
      </c>
      <c r="C2340" s="7"/>
      <c r="D2340" s="16" t="str">
        <f aca="false">IF(C2340="","",IFERROR(INDEX(Products!$B$2:$B$501,MATCH(C2340,Products!$A$2:$A$501,0)),"CODE NOT FOUND"))</f>
        <v/>
      </c>
      <c r="E2340" s="7"/>
      <c r="F2340" s="13"/>
      <c r="G2340" s="13"/>
      <c r="H2340" s="17" t="str">
        <f aca="false">IF(OR(E2340="",F2340=""),"",E2340*F2340)</f>
        <v/>
      </c>
      <c r="I2340" s="17" t="str">
        <f aca="false">IF(OR(E2340="",G2340=""),"",E2340*G2340)</f>
        <v/>
      </c>
      <c r="J2340" s="17" t="str">
        <f aca="false">IF(H2340="","",H2340-I2340)</f>
        <v/>
      </c>
    </row>
    <row r="2341" customFormat="false" ht="15" hidden="false" customHeight="true" outlineLevel="0" collapsed="false">
      <c r="A2341" s="7"/>
      <c r="B2341" s="18" t="str">
        <f aca="false">IF(A2341="","",IFERROR(INDEX(Sales_Memo!$B$2:$B$1001,MATCH(A2341,Sales_Memo!$A$2:$A$1001,0)),""))</f>
        <v/>
      </c>
      <c r="C2341" s="7"/>
      <c r="D2341" s="16" t="str">
        <f aca="false">IF(C2341="","",IFERROR(INDEX(Products!$B$2:$B$501,MATCH(C2341,Products!$A$2:$A$501,0)),"CODE NOT FOUND"))</f>
        <v/>
      </c>
      <c r="E2341" s="7"/>
      <c r="F2341" s="13"/>
      <c r="G2341" s="13"/>
      <c r="H2341" s="17" t="str">
        <f aca="false">IF(OR(E2341="",F2341=""),"",E2341*F2341)</f>
        <v/>
      </c>
      <c r="I2341" s="17" t="str">
        <f aca="false">IF(OR(E2341="",G2341=""),"",E2341*G2341)</f>
        <v/>
      </c>
      <c r="J2341" s="17" t="str">
        <f aca="false">IF(H2341="","",H2341-I2341)</f>
        <v/>
      </c>
    </row>
    <row r="2342" customFormat="false" ht="15" hidden="false" customHeight="true" outlineLevel="0" collapsed="false">
      <c r="A2342" s="7"/>
      <c r="B2342" s="18" t="str">
        <f aca="false">IF(A2342="","",IFERROR(INDEX(Sales_Memo!$B$2:$B$1001,MATCH(A2342,Sales_Memo!$A$2:$A$1001,0)),""))</f>
        <v/>
      </c>
      <c r="C2342" s="7"/>
      <c r="D2342" s="16" t="str">
        <f aca="false">IF(C2342="","",IFERROR(INDEX(Products!$B$2:$B$501,MATCH(C2342,Products!$A$2:$A$501,0)),"CODE NOT FOUND"))</f>
        <v/>
      </c>
      <c r="E2342" s="7"/>
      <c r="F2342" s="13"/>
      <c r="G2342" s="13"/>
      <c r="H2342" s="17" t="str">
        <f aca="false">IF(OR(E2342="",F2342=""),"",E2342*F2342)</f>
        <v/>
      </c>
      <c r="I2342" s="17" t="str">
        <f aca="false">IF(OR(E2342="",G2342=""),"",E2342*G2342)</f>
        <v/>
      </c>
      <c r="J2342" s="17" t="str">
        <f aca="false">IF(H2342="","",H2342-I2342)</f>
        <v/>
      </c>
    </row>
    <row r="2343" customFormat="false" ht="15" hidden="false" customHeight="true" outlineLevel="0" collapsed="false">
      <c r="A2343" s="7"/>
      <c r="B2343" s="18" t="str">
        <f aca="false">IF(A2343="","",IFERROR(INDEX(Sales_Memo!$B$2:$B$1001,MATCH(A2343,Sales_Memo!$A$2:$A$1001,0)),""))</f>
        <v/>
      </c>
      <c r="C2343" s="7"/>
      <c r="D2343" s="16" t="str">
        <f aca="false">IF(C2343="","",IFERROR(INDEX(Products!$B$2:$B$501,MATCH(C2343,Products!$A$2:$A$501,0)),"CODE NOT FOUND"))</f>
        <v/>
      </c>
      <c r="E2343" s="7"/>
      <c r="F2343" s="13"/>
      <c r="G2343" s="13"/>
      <c r="H2343" s="17" t="str">
        <f aca="false">IF(OR(E2343="",F2343=""),"",E2343*F2343)</f>
        <v/>
      </c>
      <c r="I2343" s="17" t="str">
        <f aca="false">IF(OR(E2343="",G2343=""),"",E2343*G2343)</f>
        <v/>
      </c>
      <c r="J2343" s="17" t="str">
        <f aca="false">IF(H2343="","",H2343-I2343)</f>
        <v/>
      </c>
    </row>
    <row r="2344" customFormat="false" ht="15" hidden="false" customHeight="true" outlineLevel="0" collapsed="false">
      <c r="A2344" s="7"/>
      <c r="B2344" s="18" t="str">
        <f aca="false">IF(A2344="","",IFERROR(INDEX(Sales_Memo!$B$2:$B$1001,MATCH(A2344,Sales_Memo!$A$2:$A$1001,0)),""))</f>
        <v/>
      </c>
      <c r="C2344" s="7"/>
      <c r="D2344" s="16" t="str">
        <f aca="false">IF(C2344="","",IFERROR(INDEX(Products!$B$2:$B$501,MATCH(C2344,Products!$A$2:$A$501,0)),"CODE NOT FOUND"))</f>
        <v/>
      </c>
      <c r="E2344" s="7"/>
      <c r="F2344" s="13"/>
      <c r="G2344" s="13"/>
      <c r="H2344" s="17" t="str">
        <f aca="false">IF(OR(E2344="",F2344=""),"",E2344*F2344)</f>
        <v/>
      </c>
      <c r="I2344" s="17" t="str">
        <f aca="false">IF(OR(E2344="",G2344=""),"",E2344*G2344)</f>
        <v/>
      </c>
      <c r="J2344" s="17" t="str">
        <f aca="false">IF(H2344="","",H2344-I2344)</f>
        <v/>
      </c>
    </row>
    <row r="2345" customFormat="false" ht="15" hidden="false" customHeight="true" outlineLevel="0" collapsed="false">
      <c r="A2345" s="7"/>
      <c r="B2345" s="18" t="str">
        <f aca="false">IF(A2345="","",IFERROR(INDEX(Sales_Memo!$B$2:$B$1001,MATCH(A2345,Sales_Memo!$A$2:$A$1001,0)),""))</f>
        <v/>
      </c>
      <c r="C2345" s="7"/>
      <c r="D2345" s="16" t="str">
        <f aca="false">IF(C2345="","",IFERROR(INDEX(Products!$B$2:$B$501,MATCH(C2345,Products!$A$2:$A$501,0)),"CODE NOT FOUND"))</f>
        <v/>
      </c>
      <c r="E2345" s="7"/>
      <c r="F2345" s="13"/>
      <c r="G2345" s="13"/>
      <c r="H2345" s="17" t="str">
        <f aca="false">IF(OR(E2345="",F2345=""),"",E2345*F2345)</f>
        <v/>
      </c>
      <c r="I2345" s="17" t="str">
        <f aca="false">IF(OR(E2345="",G2345=""),"",E2345*G2345)</f>
        <v/>
      </c>
      <c r="J2345" s="17" t="str">
        <f aca="false">IF(H2345="","",H2345-I2345)</f>
        <v/>
      </c>
    </row>
    <row r="2346" customFormat="false" ht="15" hidden="false" customHeight="true" outlineLevel="0" collapsed="false">
      <c r="A2346" s="7"/>
      <c r="B2346" s="18" t="str">
        <f aca="false">IF(A2346="","",IFERROR(INDEX(Sales_Memo!$B$2:$B$1001,MATCH(A2346,Sales_Memo!$A$2:$A$1001,0)),""))</f>
        <v/>
      </c>
      <c r="C2346" s="7"/>
      <c r="D2346" s="16" t="str">
        <f aca="false">IF(C2346="","",IFERROR(INDEX(Products!$B$2:$B$501,MATCH(C2346,Products!$A$2:$A$501,0)),"CODE NOT FOUND"))</f>
        <v/>
      </c>
      <c r="E2346" s="7"/>
      <c r="F2346" s="13"/>
      <c r="G2346" s="13"/>
      <c r="H2346" s="17" t="str">
        <f aca="false">IF(OR(E2346="",F2346=""),"",E2346*F2346)</f>
        <v/>
      </c>
      <c r="I2346" s="17" t="str">
        <f aca="false">IF(OR(E2346="",G2346=""),"",E2346*G2346)</f>
        <v/>
      </c>
      <c r="J2346" s="17" t="str">
        <f aca="false">IF(H2346="","",H2346-I2346)</f>
        <v/>
      </c>
    </row>
    <row r="2347" customFormat="false" ht="15" hidden="false" customHeight="true" outlineLevel="0" collapsed="false">
      <c r="A2347" s="7"/>
      <c r="B2347" s="18" t="str">
        <f aca="false">IF(A2347="","",IFERROR(INDEX(Sales_Memo!$B$2:$B$1001,MATCH(A2347,Sales_Memo!$A$2:$A$1001,0)),""))</f>
        <v/>
      </c>
      <c r="C2347" s="7"/>
      <c r="D2347" s="16" t="str">
        <f aca="false">IF(C2347="","",IFERROR(INDEX(Products!$B$2:$B$501,MATCH(C2347,Products!$A$2:$A$501,0)),"CODE NOT FOUND"))</f>
        <v/>
      </c>
      <c r="E2347" s="7"/>
      <c r="F2347" s="13"/>
      <c r="G2347" s="13"/>
      <c r="H2347" s="17" t="str">
        <f aca="false">IF(OR(E2347="",F2347=""),"",E2347*F2347)</f>
        <v/>
      </c>
      <c r="I2347" s="17" t="str">
        <f aca="false">IF(OR(E2347="",G2347=""),"",E2347*G2347)</f>
        <v/>
      </c>
      <c r="J2347" s="17" t="str">
        <f aca="false">IF(H2347="","",H2347-I2347)</f>
        <v/>
      </c>
    </row>
    <row r="2348" customFormat="false" ht="15" hidden="false" customHeight="true" outlineLevel="0" collapsed="false">
      <c r="A2348" s="7"/>
      <c r="B2348" s="18" t="str">
        <f aca="false">IF(A2348="","",IFERROR(INDEX(Sales_Memo!$B$2:$B$1001,MATCH(A2348,Sales_Memo!$A$2:$A$1001,0)),""))</f>
        <v/>
      </c>
      <c r="C2348" s="7"/>
      <c r="D2348" s="16" t="str">
        <f aca="false">IF(C2348="","",IFERROR(INDEX(Products!$B$2:$B$501,MATCH(C2348,Products!$A$2:$A$501,0)),"CODE NOT FOUND"))</f>
        <v/>
      </c>
      <c r="E2348" s="7"/>
      <c r="F2348" s="13"/>
      <c r="G2348" s="13"/>
      <c r="H2348" s="17" t="str">
        <f aca="false">IF(OR(E2348="",F2348=""),"",E2348*F2348)</f>
        <v/>
      </c>
      <c r="I2348" s="17" t="str">
        <f aca="false">IF(OR(E2348="",G2348=""),"",E2348*G2348)</f>
        <v/>
      </c>
      <c r="J2348" s="17" t="str">
        <f aca="false">IF(H2348="","",H2348-I2348)</f>
        <v/>
      </c>
    </row>
    <row r="2349" customFormat="false" ht="15" hidden="false" customHeight="true" outlineLevel="0" collapsed="false">
      <c r="A2349" s="7"/>
      <c r="B2349" s="18" t="str">
        <f aca="false">IF(A2349="","",IFERROR(INDEX(Sales_Memo!$B$2:$B$1001,MATCH(A2349,Sales_Memo!$A$2:$A$1001,0)),""))</f>
        <v/>
      </c>
      <c r="C2349" s="7"/>
      <c r="D2349" s="16" t="str">
        <f aca="false">IF(C2349="","",IFERROR(INDEX(Products!$B$2:$B$501,MATCH(C2349,Products!$A$2:$A$501,0)),"CODE NOT FOUND"))</f>
        <v/>
      </c>
      <c r="E2349" s="7"/>
      <c r="F2349" s="13"/>
      <c r="G2349" s="13"/>
      <c r="H2349" s="17" t="str">
        <f aca="false">IF(OR(E2349="",F2349=""),"",E2349*F2349)</f>
        <v/>
      </c>
      <c r="I2349" s="17" t="str">
        <f aca="false">IF(OR(E2349="",G2349=""),"",E2349*G2349)</f>
        <v/>
      </c>
      <c r="J2349" s="17" t="str">
        <f aca="false">IF(H2349="","",H2349-I2349)</f>
        <v/>
      </c>
    </row>
    <row r="2350" customFormat="false" ht="15" hidden="false" customHeight="true" outlineLevel="0" collapsed="false">
      <c r="A2350" s="7"/>
      <c r="B2350" s="18" t="str">
        <f aca="false">IF(A2350="","",IFERROR(INDEX(Sales_Memo!$B$2:$B$1001,MATCH(A2350,Sales_Memo!$A$2:$A$1001,0)),""))</f>
        <v/>
      </c>
      <c r="C2350" s="7"/>
      <c r="D2350" s="16" t="str">
        <f aca="false">IF(C2350="","",IFERROR(INDEX(Products!$B$2:$B$501,MATCH(C2350,Products!$A$2:$A$501,0)),"CODE NOT FOUND"))</f>
        <v/>
      </c>
      <c r="E2350" s="7"/>
      <c r="F2350" s="13"/>
      <c r="G2350" s="13"/>
      <c r="H2350" s="17" t="str">
        <f aca="false">IF(OR(E2350="",F2350=""),"",E2350*F2350)</f>
        <v/>
      </c>
      <c r="I2350" s="17" t="str">
        <f aca="false">IF(OR(E2350="",G2350=""),"",E2350*G2350)</f>
        <v/>
      </c>
      <c r="J2350" s="17" t="str">
        <f aca="false">IF(H2350="","",H2350-I2350)</f>
        <v/>
      </c>
    </row>
    <row r="2351" customFormat="false" ht="15" hidden="false" customHeight="true" outlineLevel="0" collapsed="false">
      <c r="A2351" s="7"/>
      <c r="B2351" s="18" t="str">
        <f aca="false">IF(A2351="","",IFERROR(INDEX(Sales_Memo!$B$2:$B$1001,MATCH(A2351,Sales_Memo!$A$2:$A$1001,0)),""))</f>
        <v/>
      </c>
      <c r="C2351" s="7"/>
      <c r="D2351" s="16" t="str">
        <f aca="false">IF(C2351="","",IFERROR(INDEX(Products!$B$2:$B$501,MATCH(C2351,Products!$A$2:$A$501,0)),"CODE NOT FOUND"))</f>
        <v/>
      </c>
      <c r="E2351" s="7"/>
      <c r="F2351" s="13"/>
      <c r="G2351" s="13"/>
      <c r="H2351" s="17" t="str">
        <f aca="false">IF(OR(E2351="",F2351=""),"",E2351*F2351)</f>
        <v/>
      </c>
      <c r="I2351" s="17" t="str">
        <f aca="false">IF(OR(E2351="",G2351=""),"",E2351*G2351)</f>
        <v/>
      </c>
      <c r="J2351" s="17" t="str">
        <f aca="false">IF(H2351="","",H2351-I2351)</f>
        <v/>
      </c>
    </row>
    <row r="2352" customFormat="false" ht="15" hidden="false" customHeight="true" outlineLevel="0" collapsed="false">
      <c r="A2352" s="7"/>
      <c r="B2352" s="18" t="str">
        <f aca="false">IF(A2352="","",IFERROR(INDEX(Sales_Memo!$B$2:$B$1001,MATCH(A2352,Sales_Memo!$A$2:$A$1001,0)),""))</f>
        <v/>
      </c>
      <c r="C2352" s="7"/>
      <c r="D2352" s="16" t="str">
        <f aca="false">IF(C2352="","",IFERROR(INDEX(Products!$B$2:$B$501,MATCH(C2352,Products!$A$2:$A$501,0)),"CODE NOT FOUND"))</f>
        <v/>
      </c>
      <c r="E2352" s="7"/>
      <c r="F2352" s="13"/>
      <c r="G2352" s="13"/>
      <c r="H2352" s="17" t="str">
        <f aca="false">IF(OR(E2352="",F2352=""),"",E2352*F2352)</f>
        <v/>
      </c>
      <c r="I2352" s="17" t="str">
        <f aca="false">IF(OR(E2352="",G2352=""),"",E2352*G2352)</f>
        <v/>
      </c>
      <c r="J2352" s="17" t="str">
        <f aca="false">IF(H2352="","",H2352-I2352)</f>
        <v/>
      </c>
    </row>
    <row r="2353" customFormat="false" ht="15" hidden="false" customHeight="true" outlineLevel="0" collapsed="false">
      <c r="A2353" s="7"/>
      <c r="B2353" s="18" t="str">
        <f aca="false">IF(A2353="","",IFERROR(INDEX(Sales_Memo!$B$2:$B$1001,MATCH(A2353,Sales_Memo!$A$2:$A$1001,0)),""))</f>
        <v/>
      </c>
      <c r="C2353" s="7"/>
      <c r="D2353" s="16" t="str">
        <f aca="false">IF(C2353="","",IFERROR(INDEX(Products!$B$2:$B$501,MATCH(C2353,Products!$A$2:$A$501,0)),"CODE NOT FOUND"))</f>
        <v/>
      </c>
      <c r="E2353" s="7"/>
      <c r="F2353" s="13"/>
      <c r="G2353" s="13"/>
      <c r="H2353" s="17" t="str">
        <f aca="false">IF(OR(E2353="",F2353=""),"",E2353*F2353)</f>
        <v/>
      </c>
      <c r="I2353" s="17" t="str">
        <f aca="false">IF(OR(E2353="",G2353=""),"",E2353*G2353)</f>
        <v/>
      </c>
      <c r="J2353" s="17" t="str">
        <f aca="false">IF(H2353="","",H2353-I2353)</f>
        <v/>
      </c>
    </row>
    <row r="2354" customFormat="false" ht="15" hidden="false" customHeight="true" outlineLevel="0" collapsed="false">
      <c r="A2354" s="7"/>
      <c r="B2354" s="18" t="str">
        <f aca="false">IF(A2354="","",IFERROR(INDEX(Sales_Memo!$B$2:$B$1001,MATCH(A2354,Sales_Memo!$A$2:$A$1001,0)),""))</f>
        <v/>
      </c>
      <c r="C2354" s="7"/>
      <c r="D2354" s="16" t="str">
        <f aca="false">IF(C2354="","",IFERROR(INDEX(Products!$B$2:$B$501,MATCH(C2354,Products!$A$2:$A$501,0)),"CODE NOT FOUND"))</f>
        <v/>
      </c>
      <c r="E2354" s="7"/>
      <c r="F2354" s="13"/>
      <c r="G2354" s="13"/>
      <c r="H2354" s="17" t="str">
        <f aca="false">IF(OR(E2354="",F2354=""),"",E2354*F2354)</f>
        <v/>
      </c>
      <c r="I2354" s="17" t="str">
        <f aca="false">IF(OR(E2354="",G2354=""),"",E2354*G2354)</f>
        <v/>
      </c>
      <c r="J2354" s="17" t="str">
        <f aca="false">IF(H2354="","",H2354-I2354)</f>
        <v/>
      </c>
    </row>
    <row r="2355" customFormat="false" ht="15" hidden="false" customHeight="true" outlineLevel="0" collapsed="false">
      <c r="A2355" s="7"/>
      <c r="B2355" s="18" t="str">
        <f aca="false">IF(A2355="","",IFERROR(INDEX(Sales_Memo!$B$2:$B$1001,MATCH(A2355,Sales_Memo!$A$2:$A$1001,0)),""))</f>
        <v/>
      </c>
      <c r="C2355" s="7"/>
      <c r="D2355" s="16" t="str">
        <f aca="false">IF(C2355="","",IFERROR(INDEX(Products!$B$2:$B$501,MATCH(C2355,Products!$A$2:$A$501,0)),"CODE NOT FOUND"))</f>
        <v/>
      </c>
      <c r="E2355" s="7"/>
      <c r="F2355" s="13"/>
      <c r="G2355" s="13"/>
      <c r="H2355" s="17" t="str">
        <f aca="false">IF(OR(E2355="",F2355=""),"",E2355*F2355)</f>
        <v/>
      </c>
      <c r="I2355" s="17" t="str">
        <f aca="false">IF(OR(E2355="",G2355=""),"",E2355*G2355)</f>
        <v/>
      </c>
      <c r="J2355" s="17" t="str">
        <f aca="false">IF(H2355="","",H2355-I2355)</f>
        <v/>
      </c>
    </row>
    <row r="2356" customFormat="false" ht="15" hidden="false" customHeight="true" outlineLevel="0" collapsed="false">
      <c r="A2356" s="7"/>
      <c r="B2356" s="18" t="str">
        <f aca="false">IF(A2356="","",IFERROR(INDEX(Sales_Memo!$B$2:$B$1001,MATCH(A2356,Sales_Memo!$A$2:$A$1001,0)),""))</f>
        <v/>
      </c>
      <c r="C2356" s="7"/>
      <c r="D2356" s="16" t="str">
        <f aca="false">IF(C2356="","",IFERROR(INDEX(Products!$B$2:$B$501,MATCH(C2356,Products!$A$2:$A$501,0)),"CODE NOT FOUND"))</f>
        <v/>
      </c>
      <c r="E2356" s="7"/>
      <c r="F2356" s="13"/>
      <c r="G2356" s="13"/>
      <c r="H2356" s="17" t="str">
        <f aca="false">IF(OR(E2356="",F2356=""),"",E2356*F2356)</f>
        <v/>
      </c>
      <c r="I2356" s="17" t="str">
        <f aca="false">IF(OR(E2356="",G2356=""),"",E2356*G2356)</f>
        <v/>
      </c>
      <c r="J2356" s="17" t="str">
        <f aca="false">IF(H2356="","",H2356-I2356)</f>
        <v/>
      </c>
    </row>
    <row r="2357" customFormat="false" ht="15" hidden="false" customHeight="true" outlineLevel="0" collapsed="false">
      <c r="A2357" s="7"/>
      <c r="B2357" s="18" t="str">
        <f aca="false">IF(A2357="","",IFERROR(INDEX(Sales_Memo!$B$2:$B$1001,MATCH(A2357,Sales_Memo!$A$2:$A$1001,0)),""))</f>
        <v/>
      </c>
      <c r="C2357" s="7"/>
      <c r="D2357" s="16" t="str">
        <f aca="false">IF(C2357="","",IFERROR(INDEX(Products!$B$2:$B$501,MATCH(C2357,Products!$A$2:$A$501,0)),"CODE NOT FOUND"))</f>
        <v/>
      </c>
      <c r="E2357" s="7"/>
      <c r="F2357" s="13"/>
      <c r="G2357" s="13"/>
      <c r="H2357" s="17" t="str">
        <f aca="false">IF(OR(E2357="",F2357=""),"",E2357*F2357)</f>
        <v/>
      </c>
      <c r="I2357" s="17" t="str">
        <f aca="false">IF(OR(E2357="",G2357=""),"",E2357*G2357)</f>
        <v/>
      </c>
      <c r="J2357" s="17" t="str">
        <f aca="false">IF(H2357="","",H2357-I2357)</f>
        <v/>
      </c>
    </row>
    <row r="2358" customFormat="false" ht="15" hidden="false" customHeight="true" outlineLevel="0" collapsed="false">
      <c r="A2358" s="7"/>
      <c r="B2358" s="18" t="str">
        <f aca="false">IF(A2358="","",IFERROR(INDEX(Sales_Memo!$B$2:$B$1001,MATCH(A2358,Sales_Memo!$A$2:$A$1001,0)),""))</f>
        <v/>
      </c>
      <c r="C2358" s="7"/>
      <c r="D2358" s="16" t="str">
        <f aca="false">IF(C2358="","",IFERROR(INDEX(Products!$B$2:$B$501,MATCH(C2358,Products!$A$2:$A$501,0)),"CODE NOT FOUND"))</f>
        <v/>
      </c>
      <c r="E2358" s="7"/>
      <c r="F2358" s="13"/>
      <c r="G2358" s="13"/>
      <c r="H2358" s="17" t="str">
        <f aca="false">IF(OR(E2358="",F2358=""),"",E2358*F2358)</f>
        <v/>
      </c>
      <c r="I2358" s="17" t="str">
        <f aca="false">IF(OR(E2358="",G2358=""),"",E2358*G2358)</f>
        <v/>
      </c>
      <c r="J2358" s="17" t="str">
        <f aca="false">IF(H2358="","",H2358-I2358)</f>
        <v/>
      </c>
    </row>
    <row r="2359" customFormat="false" ht="15" hidden="false" customHeight="true" outlineLevel="0" collapsed="false">
      <c r="A2359" s="7"/>
      <c r="B2359" s="18" t="str">
        <f aca="false">IF(A2359="","",IFERROR(INDEX(Sales_Memo!$B$2:$B$1001,MATCH(A2359,Sales_Memo!$A$2:$A$1001,0)),""))</f>
        <v/>
      </c>
      <c r="C2359" s="7"/>
      <c r="D2359" s="16" t="str">
        <f aca="false">IF(C2359="","",IFERROR(INDEX(Products!$B$2:$B$501,MATCH(C2359,Products!$A$2:$A$501,0)),"CODE NOT FOUND"))</f>
        <v/>
      </c>
      <c r="E2359" s="7"/>
      <c r="F2359" s="13"/>
      <c r="G2359" s="13"/>
      <c r="H2359" s="17" t="str">
        <f aca="false">IF(OR(E2359="",F2359=""),"",E2359*F2359)</f>
        <v/>
      </c>
      <c r="I2359" s="17" t="str">
        <f aca="false">IF(OR(E2359="",G2359=""),"",E2359*G2359)</f>
        <v/>
      </c>
      <c r="J2359" s="17" t="str">
        <f aca="false">IF(H2359="","",H2359-I2359)</f>
        <v/>
      </c>
    </row>
    <row r="2360" customFormat="false" ht="15" hidden="false" customHeight="true" outlineLevel="0" collapsed="false">
      <c r="A2360" s="7"/>
      <c r="B2360" s="18" t="str">
        <f aca="false">IF(A2360="","",IFERROR(INDEX(Sales_Memo!$B$2:$B$1001,MATCH(A2360,Sales_Memo!$A$2:$A$1001,0)),""))</f>
        <v/>
      </c>
      <c r="C2360" s="7"/>
      <c r="D2360" s="16" t="str">
        <f aca="false">IF(C2360="","",IFERROR(INDEX(Products!$B$2:$B$501,MATCH(C2360,Products!$A$2:$A$501,0)),"CODE NOT FOUND"))</f>
        <v/>
      </c>
      <c r="E2360" s="7"/>
      <c r="F2360" s="13"/>
      <c r="G2360" s="13"/>
      <c r="H2360" s="17" t="str">
        <f aca="false">IF(OR(E2360="",F2360=""),"",E2360*F2360)</f>
        <v/>
      </c>
      <c r="I2360" s="17" t="str">
        <f aca="false">IF(OR(E2360="",G2360=""),"",E2360*G2360)</f>
        <v/>
      </c>
      <c r="J2360" s="17" t="str">
        <f aca="false">IF(H2360="","",H2360-I2360)</f>
        <v/>
      </c>
    </row>
    <row r="2361" customFormat="false" ht="15" hidden="false" customHeight="true" outlineLevel="0" collapsed="false">
      <c r="A2361" s="7"/>
      <c r="B2361" s="18" t="str">
        <f aca="false">IF(A2361="","",IFERROR(INDEX(Sales_Memo!$B$2:$B$1001,MATCH(A2361,Sales_Memo!$A$2:$A$1001,0)),""))</f>
        <v/>
      </c>
      <c r="C2361" s="7"/>
      <c r="D2361" s="16" t="str">
        <f aca="false">IF(C2361="","",IFERROR(INDEX(Products!$B$2:$B$501,MATCH(C2361,Products!$A$2:$A$501,0)),"CODE NOT FOUND"))</f>
        <v/>
      </c>
      <c r="E2361" s="7"/>
      <c r="F2361" s="13"/>
      <c r="G2361" s="13"/>
      <c r="H2361" s="17" t="str">
        <f aca="false">IF(OR(E2361="",F2361=""),"",E2361*F2361)</f>
        <v/>
      </c>
      <c r="I2361" s="17" t="str">
        <f aca="false">IF(OR(E2361="",G2361=""),"",E2361*G2361)</f>
        <v/>
      </c>
      <c r="J2361" s="17" t="str">
        <f aca="false">IF(H2361="","",H2361-I2361)</f>
        <v/>
      </c>
    </row>
    <row r="2362" customFormat="false" ht="15" hidden="false" customHeight="true" outlineLevel="0" collapsed="false">
      <c r="A2362" s="7"/>
      <c r="B2362" s="18" t="str">
        <f aca="false">IF(A2362="","",IFERROR(INDEX(Sales_Memo!$B$2:$B$1001,MATCH(A2362,Sales_Memo!$A$2:$A$1001,0)),""))</f>
        <v/>
      </c>
      <c r="C2362" s="7"/>
      <c r="D2362" s="16" t="str">
        <f aca="false">IF(C2362="","",IFERROR(INDEX(Products!$B$2:$B$501,MATCH(C2362,Products!$A$2:$A$501,0)),"CODE NOT FOUND"))</f>
        <v/>
      </c>
      <c r="E2362" s="7"/>
      <c r="F2362" s="13"/>
      <c r="G2362" s="13"/>
      <c r="H2362" s="17" t="str">
        <f aca="false">IF(OR(E2362="",F2362=""),"",E2362*F2362)</f>
        <v/>
      </c>
      <c r="I2362" s="17" t="str">
        <f aca="false">IF(OR(E2362="",G2362=""),"",E2362*G2362)</f>
        <v/>
      </c>
      <c r="J2362" s="17" t="str">
        <f aca="false">IF(H2362="","",H2362-I2362)</f>
        <v/>
      </c>
    </row>
    <row r="2363" customFormat="false" ht="15" hidden="false" customHeight="true" outlineLevel="0" collapsed="false">
      <c r="A2363" s="7"/>
      <c r="B2363" s="18" t="str">
        <f aca="false">IF(A2363="","",IFERROR(INDEX(Sales_Memo!$B$2:$B$1001,MATCH(A2363,Sales_Memo!$A$2:$A$1001,0)),""))</f>
        <v/>
      </c>
      <c r="C2363" s="7"/>
      <c r="D2363" s="16" t="str">
        <f aca="false">IF(C2363="","",IFERROR(INDEX(Products!$B$2:$B$501,MATCH(C2363,Products!$A$2:$A$501,0)),"CODE NOT FOUND"))</f>
        <v/>
      </c>
      <c r="E2363" s="7"/>
      <c r="F2363" s="13"/>
      <c r="G2363" s="13"/>
      <c r="H2363" s="17" t="str">
        <f aca="false">IF(OR(E2363="",F2363=""),"",E2363*F2363)</f>
        <v/>
      </c>
      <c r="I2363" s="17" t="str">
        <f aca="false">IF(OR(E2363="",G2363=""),"",E2363*G2363)</f>
        <v/>
      </c>
      <c r="J2363" s="17" t="str">
        <f aca="false">IF(H2363="","",H2363-I2363)</f>
        <v/>
      </c>
    </row>
    <row r="2364" customFormat="false" ht="15" hidden="false" customHeight="true" outlineLevel="0" collapsed="false">
      <c r="A2364" s="7"/>
      <c r="B2364" s="18" t="str">
        <f aca="false">IF(A2364="","",IFERROR(INDEX(Sales_Memo!$B$2:$B$1001,MATCH(A2364,Sales_Memo!$A$2:$A$1001,0)),""))</f>
        <v/>
      </c>
      <c r="C2364" s="7"/>
      <c r="D2364" s="16" t="str">
        <f aca="false">IF(C2364="","",IFERROR(INDEX(Products!$B$2:$B$501,MATCH(C2364,Products!$A$2:$A$501,0)),"CODE NOT FOUND"))</f>
        <v/>
      </c>
      <c r="E2364" s="7"/>
      <c r="F2364" s="13"/>
      <c r="G2364" s="13"/>
      <c r="H2364" s="17" t="str">
        <f aca="false">IF(OR(E2364="",F2364=""),"",E2364*F2364)</f>
        <v/>
      </c>
      <c r="I2364" s="17" t="str">
        <f aca="false">IF(OR(E2364="",G2364=""),"",E2364*G2364)</f>
        <v/>
      </c>
      <c r="J2364" s="17" t="str">
        <f aca="false">IF(H2364="","",H2364-I2364)</f>
        <v/>
      </c>
    </row>
    <row r="2365" customFormat="false" ht="15" hidden="false" customHeight="true" outlineLevel="0" collapsed="false">
      <c r="A2365" s="7"/>
      <c r="B2365" s="18" t="str">
        <f aca="false">IF(A2365="","",IFERROR(INDEX(Sales_Memo!$B$2:$B$1001,MATCH(A2365,Sales_Memo!$A$2:$A$1001,0)),""))</f>
        <v/>
      </c>
      <c r="C2365" s="7"/>
      <c r="D2365" s="16" t="str">
        <f aca="false">IF(C2365="","",IFERROR(INDEX(Products!$B$2:$B$501,MATCH(C2365,Products!$A$2:$A$501,0)),"CODE NOT FOUND"))</f>
        <v/>
      </c>
      <c r="E2365" s="7"/>
      <c r="F2365" s="13"/>
      <c r="G2365" s="13"/>
      <c r="H2365" s="17" t="str">
        <f aca="false">IF(OR(E2365="",F2365=""),"",E2365*F2365)</f>
        <v/>
      </c>
      <c r="I2365" s="17" t="str">
        <f aca="false">IF(OR(E2365="",G2365=""),"",E2365*G2365)</f>
        <v/>
      </c>
      <c r="J2365" s="17" t="str">
        <f aca="false">IF(H2365="","",H2365-I2365)</f>
        <v/>
      </c>
    </row>
    <row r="2366" customFormat="false" ht="15" hidden="false" customHeight="true" outlineLevel="0" collapsed="false">
      <c r="A2366" s="7"/>
      <c r="B2366" s="18" t="str">
        <f aca="false">IF(A2366="","",IFERROR(INDEX(Sales_Memo!$B$2:$B$1001,MATCH(A2366,Sales_Memo!$A$2:$A$1001,0)),""))</f>
        <v/>
      </c>
      <c r="C2366" s="7"/>
      <c r="D2366" s="16" t="str">
        <f aca="false">IF(C2366="","",IFERROR(INDEX(Products!$B$2:$B$501,MATCH(C2366,Products!$A$2:$A$501,0)),"CODE NOT FOUND"))</f>
        <v/>
      </c>
      <c r="E2366" s="7"/>
      <c r="F2366" s="13"/>
      <c r="G2366" s="13"/>
      <c r="H2366" s="17" t="str">
        <f aca="false">IF(OR(E2366="",F2366=""),"",E2366*F2366)</f>
        <v/>
      </c>
      <c r="I2366" s="17" t="str">
        <f aca="false">IF(OR(E2366="",G2366=""),"",E2366*G2366)</f>
        <v/>
      </c>
      <c r="J2366" s="17" t="str">
        <f aca="false">IF(H2366="","",H2366-I2366)</f>
        <v/>
      </c>
    </row>
    <row r="2367" customFormat="false" ht="15" hidden="false" customHeight="true" outlineLevel="0" collapsed="false">
      <c r="A2367" s="7"/>
      <c r="B2367" s="18" t="str">
        <f aca="false">IF(A2367="","",IFERROR(INDEX(Sales_Memo!$B$2:$B$1001,MATCH(A2367,Sales_Memo!$A$2:$A$1001,0)),""))</f>
        <v/>
      </c>
      <c r="C2367" s="7"/>
      <c r="D2367" s="16" t="str">
        <f aca="false">IF(C2367="","",IFERROR(INDEX(Products!$B$2:$B$501,MATCH(C2367,Products!$A$2:$A$501,0)),"CODE NOT FOUND"))</f>
        <v/>
      </c>
      <c r="E2367" s="7"/>
      <c r="F2367" s="13"/>
      <c r="G2367" s="13"/>
      <c r="H2367" s="17" t="str">
        <f aca="false">IF(OR(E2367="",F2367=""),"",E2367*F2367)</f>
        <v/>
      </c>
      <c r="I2367" s="17" t="str">
        <f aca="false">IF(OR(E2367="",G2367=""),"",E2367*G2367)</f>
        <v/>
      </c>
      <c r="J2367" s="17" t="str">
        <f aca="false">IF(H2367="","",H2367-I2367)</f>
        <v/>
      </c>
    </row>
    <row r="2368" customFormat="false" ht="15" hidden="false" customHeight="true" outlineLevel="0" collapsed="false">
      <c r="A2368" s="7"/>
      <c r="B2368" s="18" t="str">
        <f aca="false">IF(A2368="","",IFERROR(INDEX(Sales_Memo!$B$2:$B$1001,MATCH(A2368,Sales_Memo!$A$2:$A$1001,0)),""))</f>
        <v/>
      </c>
      <c r="C2368" s="7"/>
      <c r="D2368" s="16" t="str">
        <f aca="false">IF(C2368="","",IFERROR(INDEX(Products!$B$2:$B$501,MATCH(C2368,Products!$A$2:$A$501,0)),"CODE NOT FOUND"))</f>
        <v/>
      </c>
      <c r="E2368" s="7"/>
      <c r="F2368" s="13"/>
      <c r="G2368" s="13"/>
      <c r="H2368" s="17" t="str">
        <f aca="false">IF(OR(E2368="",F2368=""),"",E2368*F2368)</f>
        <v/>
      </c>
      <c r="I2368" s="17" t="str">
        <f aca="false">IF(OR(E2368="",G2368=""),"",E2368*G2368)</f>
        <v/>
      </c>
      <c r="J2368" s="17" t="str">
        <f aca="false">IF(H2368="","",H2368-I2368)</f>
        <v/>
      </c>
    </row>
    <row r="2369" customFormat="false" ht="15" hidden="false" customHeight="true" outlineLevel="0" collapsed="false">
      <c r="A2369" s="7"/>
      <c r="B2369" s="18" t="str">
        <f aca="false">IF(A2369="","",IFERROR(INDEX(Sales_Memo!$B$2:$B$1001,MATCH(A2369,Sales_Memo!$A$2:$A$1001,0)),""))</f>
        <v/>
      </c>
      <c r="C2369" s="7"/>
      <c r="D2369" s="16" t="str">
        <f aca="false">IF(C2369="","",IFERROR(INDEX(Products!$B$2:$B$501,MATCH(C2369,Products!$A$2:$A$501,0)),"CODE NOT FOUND"))</f>
        <v/>
      </c>
      <c r="E2369" s="7"/>
      <c r="F2369" s="13"/>
      <c r="G2369" s="13"/>
      <c r="H2369" s="17" t="str">
        <f aca="false">IF(OR(E2369="",F2369=""),"",E2369*F2369)</f>
        <v/>
      </c>
      <c r="I2369" s="17" t="str">
        <f aca="false">IF(OR(E2369="",G2369=""),"",E2369*G2369)</f>
        <v/>
      </c>
      <c r="J2369" s="17" t="str">
        <f aca="false">IF(H2369="","",H2369-I2369)</f>
        <v/>
      </c>
    </row>
    <row r="2370" customFormat="false" ht="15" hidden="false" customHeight="true" outlineLevel="0" collapsed="false">
      <c r="A2370" s="7"/>
      <c r="B2370" s="18" t="str">
        <f aca="false">IF(A2370="","",IFERROR(INDEX(Sales_Memo!$B$2:$B$1001,MATCH(A2370,Sales_Memo!$A$2:$A$1001,0)),""))</f>
        <v/>
      </c>
      <c r="C2370" s="7"/>
      <c r="D2370" s="16" t="str">
        <f aca="false">IF(C2370="","",IFERROR(INDEX(Products!$B$2:$B$501,MATCH(C2370,Products!$A$2:$A$501,0)),"CODE NOT FOUND"))</f>
        <v/>
      </c>
      <c r="E2370" s="7"/>
      <c r="F2370" s="13"/>
      <c r="G2370" s="13"/>
      <c r="H2370" s="17" t="str">
        <f aca="false">IF(OR(E2370="",F2370=""),"",E2370*F2370)</f>
        <v/>
      </c>
      <c r="I2370" s="17" t="str">
        <f aca="false">IF(OR(E2370="",G2370=""),"",E2370*G2370)</f>
        <v/>
      </c>
      <c r="J2370" s="17" t="str">
        <f aca="false">IF(H2370="","",H2370-I2370)</f>
        <v/>
      </c>
    </row>
    <row r="2371" customFormat="false" ht="15" hidden="false" customHeight="true" outlineLevel="0" collapsed="false">
      <c r="A2371" s="7"/>
      <c r="B2371" s="18" t="str">
        <f aca="false">IF(A2371="","",IFERROR(INDEX(Sales_Memo!$B$2:$B$1001,MATCH(A2371,Sales_Memo!$A$2:$A$1001,0)),""))</f>
        <v/>
      </c>
      <c r="C2371" s="7"/>
      <c r="D2371" s="16" t="str">
        <f aca="false">IF(C2371="","",IFERROR(INDEX(Products!$B$2:$B$501,MATCH(C2371,Products!$A$2:$A$501,0)),"CODE NOT FOUND"))</f>
        <v/>
      </c>
      <c r="E2371" s="7"/>
      <c r="F2371" s="13"/>
      <c r="G2371" s="13"/>
      <c r="H2371" s="17" t="str">
        <f aca="false">IF(OR(E2371="",F2371=""),"",E2371*F2371)</f>
        <v/>
      </c>
      <c r="I2371" s="17" t="str">
        <f aca="false">IF(OR(E2371="",G2371=""),"",E2371*G2371)</f>
        <v/>
      </c>
      <c r="J2371" s="17" t="str">
        <f aca="false">IF(H2371="","",H2371-I2371)</f>
        <v/>
      </c>
    </row>
    <row r="2372" customFormat="false" ht="15" hidden="false" customHeight="true" outlineLevel="0" collapsed="false">
      <c r="A2372" s="7"/>
      <c r="B2372" s="18" t="str">
        <f aca="false">IF(A2372="","",IFERROR(INDEX(Sales_Memo!$B$2:$B$1001,MATCH(A2372,Sales_Memo!$A$2:$A$1001,0)),""))</f>
        <v/>
      </c>
      <c r="C2372" s="7"/>
      <c r="D2372" s="16" t="str">
        <f aca="false">IF(C2372="","",IFERROR(INDEX(Products!$B$2:$B$501,MATCH(C2372,Products!$A$2:$A$501,0)),"CODE NOT FOUND"))</f>
        <v/>
      </c>
      <c r="E2372" s="7"/>
      <c r="F2372" s="13"/>
      <c r="G2372" s="13"/>
      <c r="H2372" s="17" t="str">
        <f aca="false">IF(OR(E2372="",F2372=""),"",E2372*F2372)</f>
        <v/>
      </c>
      <c r="I2372" s="17" t="str">
        <f aca="false">IF(OR(E2372="",G2372=""),"",E2372*G2372)</f>
        <v/>
      </c>
      <c r="J2372" s="17" t="str">
        <f aca="false">IF(H2372="","",H2372-I2372)</f>
        <v/>
      </c>
    </row>
    <row r="2373" customFormat="false" ht="15" hidden="false" customHeight="true" outlineLevel="0" collapsed="false">
      <c r="A2373" s="7"/>
      <c r="B2373" s="18" t="str">
        <f aca="false">IF(A2373="","",IFERROR(INDEX(Sales_Memo!$B$2:$B$1001,MATCH(A2373,Sales_Memo!$A$2:$A$1001,0)),""))</f>
        <v/>
      </c>
      <c r="C2373" s="7"/>
      <c r="D2373" s="16" t="str">
        <f aca="false">IF(C2373="","",IFERROR(INDEX(Products!$B$2:$B$501,MATCH(C2373,Products!$A$2:$A$501,0)),"CODE NOT FOUND"))</f>
        <v/>
      </c>
      <c r="E2373" s="7"/>
      <c r="F2373" s="13"/>
      <c r="G2373" s="13"/>
      <c r="H2373" s="17" t="str">
        <f aca="false">IF(OR(E2373="",F2373=""),"",E2373*F2373)</f>
        <v/>
      </c>
      <c r="I2373" s="17" t="str">
        <f aca="false">IF(OR(E2373="",G2373=""),"",E2373*G2373)</f>
        <v/>
      </c>
      <c r="J2373" s="17" t="str">
        <f aca="false">IF(H2373="","",H2373-I2373)</f>
        <v/>
      </c>
    </row>
    <row r="2374" customFormat="false" ht="15" hidden="false" customHeight="true" outlineLevel="0" collapsed="false">
      <c r="A2374" s="7"/>
      <c r="B2374" s="18" t="str">
        <f aca="false">IF(A2374="","",IFERROR(INDEX(Sales_Memo!$B$2:$B$1001,MATCH(A2374,Sales_Memo!$A$2:$A$1001,0)),""))</f>
        <v/>
      </c>
      <c r="C2374" s="7"/>
      <c r="D2374" s="16" t="str">
        <f aca="false">IF(C2374="","",IFERROR(INDEX(Products!$B$2:$B$501,MATCH(C2374,Products!$A$2:$A$501,0)),"CODE NOT FOUND"))</f>
        <v/>
      </c>
      <c r="E2374" s="7"/>
      <c r="F2374" s="13"/>
      <c r="G2374" s="13"/>
      <c r="H2374" s="17" t="str">
        <f aca="false">IF(OR(E2374="",F2374=""),"",E2374*F2374)</f>
        <v/>
      </c>
      <c r="I2374" s="17" t="str">
        <f aca="false">IF(OR(E2374="",G2374=""),"",E2374*G2374)</f>
        <v/>
      </c>
      <c r="J2374" s="17" t="str">
        <f aca="false">IF(H2374="","",H2374-I2374)</f>
        <v/>
      </c>
    </row>
    <row r="2375" customFormat="false" ht="15" hidden="false" customHeight="true" outlineLevel="0" collapsed="false">
      <c r="A2375" s="7"/>
      <c r="B2375" s="18" t="str">
        <f aca="false">IF(A2375="","",IFERROR(INDEX(Sales_Memo!$B$2:$B$1001,MATCH(A2375,Sales_Memo!$A$2:$A$1001,0)),""))</f>
        <v/>
      </c>
      <c r="C2375" s="7"/>
      <c r="D2375" s="16" t="str">
        <f aca="false">IF(C2375="","",IFERROR(INDEX(Products!$B$2:$B$501,MATCH(C2375,Products!$A$2:$A$501,0)),"CODE NOT FOUND"))</f>
        <v/>
      </c>
      <c r="E2375" s="7"/>
      <c r="F2375" s="13"/>
      <c r="G2375" s="13"/>
      <c r="H2375" s="17" t="str">
        <f aca="false">IF(OR(E2375="",F2375=""),"",E2375*F2375)</f>
        <v/>
      </c>
      <c r="I2375" s="17" t="str">
        <f aca="false">IF(OR(E2375="",G2375=""),"",E2375*G2375)</f>
        <v/>
      </c>
      <c r="J2375" s="17" t="str">
        <f aca="false">IF(H2375="","",H2375-I2375)</f>
        <v/>
      </c>
    </row>
    <row r="2376" customFormat="false" ht="15" hidden="false" customHeight="true" outlineLevel="0" collapsed="false">
      <c r="A2376" s="7"/>
      <c r="B2376" s="18" t="str">
        <f aca="false">IF(A2376="","",IFERROR(INDEX(Sales_Memo!$B$2:$B$1001,MATCH(A2376,Sales_Memo!$A$2:$A$1001,0)),""))</f>
        <v/>
      </c>
      <c r="C2376" s="7"/>
      <c r="D2376" s="16" t="str">
        <f aca="false">IF(C2376="","",IFERROR(INDEX(Products!$B$2:$B$501,MATCH(C2376,Products!$A$2:$A$501,0)),"CODE NOT FOUND"))</f>
        <v/>
      </c>
      <c r="E2376" s="7"/>
      <c r="F2376" s="13"/>
      <c r="G2376" s="13"/>
      <c r="H2376" s="17" t="str">
        <f aca="false">IF(OR(E2376="",F2376=""),"",E2376*F2376)</f>
        <v/>
      </c>
      <c r="I2376" s="17" t="str">
        <f aca="false">IF(OR(E2376="",G2376=""),"",E2376*G2376)</f>
        <v/>
      </c>
      <c r="J2376" s="17" t="str">
        <f aca="false">IF(H2376="","",H2376-I2376)</f>
        <v/>
      </c>
    </row>
    <row r="2377" customFormat="false" ht="15" hidden="false" customHeight="true" outlineLevel="0" collapsed="false">
      <c r="A2377" s="7"/>
      <c r="B2377" s="18" t="str">
        <f aca="false">IF(A2377="","",IFERROR(INDEX(Sales_Memo!$B$2:$B$1001,MATCH(A2377,Sales_Memo!$A$2:$A$1001,0)),""))</f>
        <v/>
      </c>
      <c r="C2377" s="7"/>
      <c r="D2377" s="16" t="str">
        <f aca="false">IF(C2377="","",IFERROR(INDEX(Products!$B$2:$B$501,MATCH(C2377,Products!$A$2:$A$501,0)),"CODE NOT FOUND"))</f>
        <v/>
      </c>
      <c r="E2377" s="7"/>
      <c r="F2377" s="13"/>
      <c r="G2377" s="13"/>
      <c r="H2377" s="17" t="str">
        <f aca="false">IF(OR(E2377="",F2377=""),"",E2377*F2377)</f>
        <v/>
      </c>
      <c r="I2377" s="17" t="str">
        <f aca="false">IF(OR(E2377="",G2377=""),"",E2377*G2377)</f>
        <v/>
      </c>
      <c r="J2377" s="17" t="str">
        <f aca="false">IF(H2377="","",H2377-I2377)</f>
        <v/>
      </c>
    </row>
    <row r="2378" customFormat="false" ht="15" hidden="false" customHeight="true" outlineLevel="0" collapsed="false">
      <c r="A2378" s="7"/>
      <c r="B2378" s="18" t="str">
        <f aca="false">IF(A2378="","",IFERROR(INDEX(Sales_Memo!$B$2:$B$1001,MATCH(A2378,Sales_Memo!$A$2:$A$1001,0)),""))</f>
        <v/>
      </c>
      <c r="C2378" s="7"/>
      <c r="D2378" s="16" t="str">
        <f aca="false">IF(C2378="","",IFERROR(INDEX(Products!$B$2:$B$501,MATCH(C2378,Products!$A$2:$A$501,0)),"CODE NOT FOUND"))</f>
        <v/>
      </c>
      <c r="E2378" s="7"/>
      <c r="F2378" s="13"/>
      <c r="G2378" s="13"/>
      <c r="H2378" s="17" t="str">
        <f aca="false">IF(OR(E2378="",F2378=""),"",E2378*F2378)</f>
        <v/>
      </c>
      <c r="I2378" s="17" t="str">
        <f aca="false">IF(OR(E2378="",G2378=""),"",E2378*G2378)</f>
        <v/>
      </c>
      <c r="J2378" s="17" t="str">
        <f aca="false">IF(H2378="","",H2378-I2378)</f>
        <v/>
      </c>
    </row>
    <row r="2379" customFormat="false" ht="15" hidden="false" customHeight="true" outlineLevel="0" collapsed="false">
      <c r="A2379" s="7"/>
      <c r="B2379" s="18" t="str">
        <f aca="false">IF(A2379="","",IFERROR(INDEX(Sales_Memo!$B$2:$B$1001,MATCH(A2379,Sales_Memo!$A$2:$A$1001,0)),""))</f>
        <v/>
      </c>
      <c r="C2379" s="7"/>
      <c r="D2379" s="16" t="str">
        <f aca="false">IF(C2379="","",IFERROR(INDEX(Products!$B$2:$B$501,MATCH(C2379,Products!$A$2:$A$501,0)),"CODE NOT FOUND"))</f>
        <v/>
      </c>
      <c r="E2379" s="7"/>
      <c r="F2379" s="13"/>
      <c r="G2379" s="13"/>
      <c r="H2379" s="17" t="str">
        <f aca="false">IF(OR(E2379="",F2379=""),"",E2379*F2379)</f>
        <v/>
      </c>
      <c r="I2379" s="17" t="str">
        <f aca="false">IF(OR(E2379="",G2379=""),"",E2379*G2379)</f>
        <v/>
      </c>
      <c r="J2379" s="17" t="str">
        <f aca="false">IF(H2379="","",H2379-I2379)</f>
        <v/>
      </c>
    </row>
    <row r="2380" customFormat="false" ht="15" hidden="false" customHeight="true" outlineLevel="0" collapsed="false">
      <c r="A2380" s="7"/>
      <c r="B2380" s="18" t="str">
        <f aca="false">IF(A2380="","",IFERROR(INDEX(Sales_Memo!$B$2:$B$1001,MATCH(A2380,Sales_Memo!$A$2:$A$1001,0)),""))</f>
        <v/>
      </c>
      <c r="C2380" s="7"/>
      <c r="D2380" s="16" t="str">
        <f aca="false">IF(C2380="","",IFERROR(INDEX(Products!$B$2:$B$501,MATCH(C2380,Products!$A$2:$A$501,0)),"CODE NOT FOUND"))</f>
        <v/>
      </c>
      <c r="E2380" s="7"/>
      <c r="F2380" s="13"/>
      <c r="G2380" s="13"/>
      <c r="H2380" s="17" t="str">
        <f aca="false">IF(OR(E2380="",F2380=""),"",E2380*F2380)</f>
        <v/>
      </c>
      <c r="I2380" s="17" t="str">
        <f aca="false">IF(OR(E2380="",G2380=""),"",E2380*G2380)</f>
        <v/>
      </c>
      <c r="J2380" s="17" t="str">
        <f aca="false">IF(H2380="","",H2380-I2380)</f>
        <v/>
      </c>
    </row>
    <row r="2381" customFormat="false" ht="15" hidden="false" customHeight="true" outlineLevel="0" collapsed="false">
      <c r="A2381" s="7"/>
      <c r="B2381" s="18" t="str">
        <f aca="false">IF(A2381="","",IFERROR(INDEX(Sales_Memo!$B$2:$B$1001,MATCH(A2381,Sales_Memo!$A$2:$A$1001,0)),""))</f>
        <v/>
      </c>
      <c r="C2381" s="7"/>
      <c r="D2381" s="16" t="str">
        <f aca="false">IF(C2381="","",IFERROR(INDEX(Products!$B$2:$B$501,MATCH(C2381,Products!$A$2:$A$501,0)),"CODE NOT FOUND"))</f>
        <v/>
      </c>
      <c r="E2381" s="7"/>
      <c r="F2381" s="13"/>
      <c r="G2381" s="13"/>
      <c r="H2381" s="17" t="str">
        <f aca="false">IF(OR(E2381="",F2381=""),"",E2381*F2381)</f>
        <v/>
      </c>
      <c r="I2381" s="17" t="str">
        <f aca="false">IF(OR(E2381="",G2381=""),"",E2381*G2381)</f>
        <v/>
      </c>
      <c r="J2381" s="17" t="str">
        <f aca="false">IF(H2381="","",H2381-I2381)</f>
        <v/>
      </c>
    </row>
    <row r="2382" customFormat="false" ht="15" hidden="false" customHeight="true" outlineLevel="0" collapsed="false">
      <c r="A2382" s="7"/>
      <c r="B2382" s="18" t="str">
        <f aca="false">IF(A2382="","",IFERROR(INDEX(Sales_Memo!$B$2:$B$1001,MATCH(A2382,Sales_Memo!$A$2:$A$1001,0)),""))</f>
        <v/>
      </c>
      <c r="C2382" s="7"/>
      <c r="D2382" s="16" t="str">
        <f aca="false">IF(C2382="","",IFERROR(INDEX(Products!$B$2:$B$501,MATCH(C2382,Products!$A$2:$A$501,0)),"CODE NOT FOUND"))</f>
        <v/>
      </c>
      <c r="E2382" s="7"/>
      <c r="F2382" s="13"/>
      <c r="G2382" s="13"/>
      <c r="H2382" s="17" t="str">
        <f aca="false">IF(OR(E2382="",F2382=""),"",E2382*F2382)</f>
        <v/>
      </c>
      <c r="I2382" s="17" t="str">
        <f aca="false">IF(OR(E2382="",G2382=""),"",E2382*G2382)</f>
        <v/>
      </c>
      <c r="J2382" s="17" t="str">
        <f aca="false">IF(H2382="","",H2382-I2382)</f>
        <v/>
      </c>
    </row>
    <row r="2383" customFormat="false" ht="15" hidden="false" customHeight="true" outlineLevel="0" collapsed="false">
      <c r="A2383" s="7"/>
      <c r="B2383" s="18" t="str">
        <f aca="false">IF(A2383="","",IFERROR(INDEX(Sales_Memo!$B$2:$B$1001,MATCH(A2383,Sales_Memo!$A$2:$A$1001,0)),""))</f>
        <v/>
      </c>
      <c r="C2383" s="7"/>
      <c r="D2383" s="16" t="str">
        <f aca="false">IF(C2383="","",IFERROR(INDEX(Products!$B$2:$B$501,MATCH(C2383,Products!$A$2:$A$501,0)),"CODE NOT FOUND"))</f>
        <v/>
      </c>
      <c r="E2383" s="7"/>
      <c r="F2383" s="13"/>
      <c r="G2383" s="13"/>
      <c r="H2383" s="17" t="str">
        <f aca="false">IF(OR(E2383="",F2383=""),"",E2383*F2383)</f>
        <v/>
      </c>
      <c r="I2383" s="17" t="str">
        <f aca="false">IF(OR(E2383="",G2383=""),"",E2383*G2383)</f>
        <v/>
      </c>
      <c r="J2383" s="17" t="str">
        <f aca="false">IF(H2383="","",H2383-I2383)</f>
        <v/>
      </c>
    </row>
    <row r="2384" customFormat="false" ht="15" hidden="false" customHeight="true" outlineLevel="0" collapsed="false">
      <c r="A2384" s="7"/>
      <c r="B2384" s="18" t="str">
        <f aca="false">IF(A2384="","",IFERROR(INDEX(Sales_Memo!$B$2:$B$1001,MATCH(A2384,Sales_Memo!$A$2:$A$1001,0)),""))</f>
        <v/>
      </c>
      <c r="C2384" s="7"/>
      <c r="D2384" s="16" t="str">
        <f aca="false">IF(C2384="","",IFERROR(INDEX(Products!$B$2:$B$501,MATCH(C2384,Products!$A$2:$A$501,0)),"CODE NOT FOUND"))</f>
        <v/>
      </c>
      <c r="E2384" s="7"/>
      <c r="F2384" s="13"/>
      <c r="G2384" s="13"/>
      <c r="H2384" s="17" t="str">
        <f aca="false">IF(OR(E2384="",F2384=""),"",E2384*F2384)</f>
        <v/>
      </c>
      <c r="I2384" s="17" t="str">
        <f aca="false">IF(OR(E2384="",G2384=""),"",E2384*G2384)</f>
        <v/>
      </c>
      <c r="J2384" s="17" t="str">
        <f aca="false">IF(H2384="","",H2384-I2384)</f>
        <v/>
      </c>
    </row>
    <row r="2385" customFormat="false" ht="15" hidden="false" customHeight="true" outlineLevel="0" collapsed="false">
      <c r="A2385" s="7"/>
      <c r="B2385" s="18" t="str">
        <f aca="false">IF(A2385="","",IFERROR(INDEX(Sales_Memo!$B$2:$B$1001,MATCH(A2385,Sales_Memo!$A$2:$A$1001,0)),""))</f>
        <v/>
      </c>
      <c r="C2385" s="7"/>
      <c r="D2385" s="16" t="str">
        <f aca="false">IF(C2385="","",IFERROR(INDEX(Products!$B$2:$B$501,MATCH(C2385,Products!$A$2:$A$501,0)),"CODE NOT FOUND"))</f>
        <v/>
      </c>
      <c r="E2385" s="7"/>
      <c r="F2385" s="13"/>
      <c r="G2385" s="13"/>
      <c r="H2385" s="17" t="str">
        <f aca="false">IF(OR(E2385="",F2385=""),"",E2385*F2385)</f>
        <v/>
      </c>
      <c r="I2385" s="17" t="str">
        <f aca="false">IF(OR(E2385="",G2385=""),"",E2385*G2385)</f>
        <v/>
      </c>
      <c r="J2385" s="17" t="str">
        <f aca="false">IF(H2385="","",H2385-I2385)</f>
        <v/>
      </c>
    </row>
    <row r="2386" customFormat="false" ht="15" hidden="false" customHeight="true" outlineLevel="0" collapsed="false">
      <c r="A2386" s="7"/>
      <c r="B2386" s="18" t="str">
        <f aca="false">IF(A2386="","",IFERROR(INDEX(Sales_Memo!$B$2:$B$1001,MATCH(A2386,Sales_Memo!$A$2:$A$1001,0)),""))</f>
        <v/>
      </c>
      <c r="C2386" s="7"/>
      <c r="D2386" s="16" t="str">
        <f aca="false">IF(C2386="","",IFERROR(INDEX(Products!$B$2:$B$501,MATCH(C2386,Products!$A$2:$A$501,0)),"CODE NOT FOUND"))</f>
        <v/>
      </c>
      <c r="E2386" s="7"/>
      <c r="F2386" s="13"/>
      <c r="G2386" s="13"/>
      <c r="H2386" s="17" t="str">
        <f aca="false">IF(OR(E2386="",F2386=""),"",E2386*F2386)</f>
        <v/>
      </c>
      <c r="I2386" s="17" t="str">
        <f aca="false">IF(OR(E2386="",G2386=""),"",E2386*G2386)</f>
        <v/>
      </c>
      <c r="J2386" s="17" t="str">
        <f aca="false">IF(H2386="","",H2386-I2386)</f>
        <v/>
      </c>
    </row>
    <row r="2387" customFormat="false" ht="15" hidden="false" customHeight="true" outlineLevel="0" collapsed="false">
      <c r="A2387" s="7"/>
      <c r="B2387" s="18" t="str">
        <f aca="false">IF(A2387="","",IFERROR(INDEX(Sales_Memo!$B$2:$B$1001,MATCH(A2387,Sales_Memo!$A$2:$A$1001,0)),""))</f>
        <v/>
      </c>
      <c r="C2387" s="7"/>
      <c r="D2387" s="16" t="str">
        <f aca="false">IF(C2387="","",IFERROR(INDEX(Products!$B$2:$B$501,MATCH(C2387,Products!$A$2:$A$501,0)),"CODE NOT FOUND"))</f>
        <v/>
      </c>
      <c r="E2387" s="7"/>
      <c r="F2387" s="13"/>
      <c r="G2387" s="13"/>
      <c r="H2387" s="17" t="str">
        <f aca="false">IF(OR(E2387="",F2387=""),"",E2387*F2387)</f>
        <v/>
      </c>
      <c r="I2387" s="17" t="str">
        <f aca="false">IF(OR(E2387="",G2387=""),"",E2387*G2387)</f>
        <v/>
      </c>
      <c r="J2387" s="17" t="str">
        <f aca="false">IF(H2387="","",H2387-I2387)</f>
        <v/>
      </c>
    </row>
    <row r="2388" customFormat="false" ht="15" hidden="false" customHeight="true" outlineLevel="0" collapsed="false">
      <c r="A2388" s="7"/>
      <c r="B2388" s="18" t="str">
        <f aca="false">IF(A2388="","",IFERROR(INDEX(Sales_Memo!$B$2:$B$1001,MATCH(A2388,Sales_Memo!$A$2:$A$1001,0)),""))</f>
        <v/>
      </c>
      <c r="C2388" s="7"/>
      <c r="D2388" s="16" t="str">
        <f aca="false">IF(C2388="","",IFERROR(INDEX(Products!$B$2:$B$501,MATCH(C2388,Products!$A$2:$A$501,0)),"CODE NOT FOUND"))</f>
        <v/>
      </c>
      <c r="E2388" s="7"/>
      <c r="F2388" s="13"/>
      <c r="G2388" s="13"/>
      <c r="H2388" s="17" t="str">
        <f aca="false">IF(OR(E2388="",F2388=""),"",E2388*F2388)</f>
        <v/>
      </c>
      <c r="I2388" s="17" t="str">
        <f aca="false">IF(OR(E2388="",G2388=""),"",E2388*G2388)</f>
        <v/>
      </c>
      <c r="J2388" s="17" t="str">
        <f aca="false">IF(H2388="","",H2388-I2388)</f>
        <v/>
      </c>
    </row>
    <row r="2389" customFormat="false" ht="15" hidden="false" customHeight="true" outlineLevel="0" collapsed="false">
      <c r="A2389" s="7"/>
      <c r="B2389" s="18" t="str">
        <f aca="false">IF(A2389="","",IFERROR(INDEX(Sales_Memo!$B$2:$B$1001,MATCH(A2389,Sales_Memo!$A$2:$A$1001,0)),""))</f>
        <v/>
      </c>
      <c r="C2389" s="7"/>
      <c r="D2389" s="16" t="str">
        <f aca="false">IF(C2389="","",IFERROR(INDEX(Products!$B$2:$B$501,MATCH(C2389,Products!$A$2:$A$501,0)),"CODE NOT FOUND"))</f>
        <v/>
      </c>
      <c r="E2389" s="7"/>
      <c r="F2389" s="13"/>
      <c r="G2389" s="13"/>
      <c r="H2389" s="17" t="str">
        <f aca="false">IF(OR(E2389="",F2389=""),"",E2389*F2389)</f>
        <v/>
      </c>
      <c r="I2389" s="17" t="str">
        <f aca="false">IF(OR(E2389="",G2389=""),"",E2389*G2389)</f>
        <v/>
      </c>
      <c r="J2389" s="17" t="str">
        <f aca="false">IF(H2389="","",H2389-I2389)</f>
        <v/>
      </c>
    </row>
    <row r="2390" customFormat="false" ht="15" hidden="false" customHeight="true" outlineLevel="0" collapsed="false">
      <c r="A2390" s="7"/>
      <c r="B2390" s="18" t="str">
        <f aca="false">IF(A2390="","",IFERROR(INDEX(Sales_Memo!$B$2:$B$1001,MATCH(A2390,Sales_Memo!$A$2:$A$1001,0)),""))</f>
        <v/>
      </c>
      <c r="C2390" s="7"/>
      <c r="D2390" s="16" t="str">
        <f aca="false">IF(C2390="","",IFERROR(INDEX(Products!$B$2:$B$501,MATCH(C2390,Products!$A$2:$A$501,0)),"CODE NOT FOUND"))</f>
        <v/>
      </c>
      <c r="E2390" s="7"/>
      <c r="F2390" s="13"/>
      <c r="G2390" s="13"/>
      <c r="H2390" s="17" t="str">
        <f aca="false">IF(OR(E2390="",F2390=""),"",E2390*F2390)</f>
        <v/>
      </c>
      <c r="I2390" s="17" t="str">
        <f aca="false">IF(OR(E2390="",G2390=""),"",E2390*G2390)</f>
        <v/>
      </c>
      <c r="J2390" s="17" t="str">
        <f aca="false">IF(H2390="","",H2390-I2390)</f>
        <v/>
      </c>
    </row>
    <row r="2391" customFormat="false" ht="15" hidden="false" customHeight="true" outlineLevel="0" collapsed="false">
      <c r="A2391" s="7"/>
      <c r="B2391" s="18" t="str">
        <f aca="false">IF(A2391="","",IFERROR(INDEX(Sales_Memo!$B$2:$B$1001,MATCH(A2391,Sales_Memo!$A$2:$A$1001,0)),""))</f>
        <v/>
      </c>
      <c r="C2391" s="7"/>
      <c r="D2391" s="16" t="str">
        <f aca="false">IF(C2391="","",IFERROR(INDEX(Products!$B$2:$B$501,MATCH(C2391,Products!$A$2:$A$501,0)),"CODE NOT FOUND"))</f>
        <v/>
      </c>
      <c r="E2391" s="7"/>
      <c r="F2391" s="13"/>
      <c r="G2391" s="13"/>
      <c r="H2391" s="17" t="str">
        <f aca="false">IF(OR(E2391="",F2391=""),"",E2391*F2391)</f>
        <v/>
      </c>
      <c r="I2391" s="17" t="str">
        <f aca="false">IF(OR(E2391="",G2391=""),"",E2391*G2391)</f>
        <v/>
      </c>
      <c r="J2391" s="17" t="str">
        <f aca="false">IF(H2391="","",H2391-I2391)</f>
        <v/>
      </c>
    </row>
    <row r="2392" customFormat="false" ht="15" hidden="false" customHeight="true" outlineLevel="0" collapsed="false">
      <c r="A2392" s="7"/>
      <c r="B2392" s="18" t="str">
        <f aca="false">IF(A2392="","",IFERROR(INDEX(Sales_Memo!$B$2:$B$1001,MATCH(A2392,Sales_Memo!$A$2:$A$1001,0)),""))</f>
        <v/>
      </c>
      <c r="C2392" s="7"/>
      <c r="D2392" s="16" t="str">
        <f aca="false">IF(C2392="","",IFERROR(INDEX(Products!$B$2:$B$501,MATCH(C2392,Products!$A$2:$A$501,0)),"CODE NOT FOUND"))</f>
        <v/>
      </c>
      <c r="E2392" s="7"/>
      <c r="F2392" s="13"/>
      <c r="G2392" s="13"/>
      <c r="H2392" s="17" t="str">
        <f aca="false">IF(OR(E2392="",F2392=""),"",E2392*F2392)</f>
        <v/>
      </c>
      <c r="I2392" s="17" t="str">
        <f aca="false">IF(OR(E2392="",G2392=""),"",E2392*G2392)</f>
        <v/>
      </c>
      <c r="J2392" s="17" t="str">
        <f aca="false">IF(H2392="","",H2392-I2392)</f>
        <v/>
      </c>
    </row>
    <row r="2393" customFormat="false" ht="15" hidden="false" customHeight="true" outlineLevel="0" collapsed="false">
      <c r="A2393" s="7"/>
      <c r="B2393" s="18" t="str">
        <f aca="false">IF(A2393="","",IFERROR(INDEX(Sales_Memo!$B$2:$B$1001,MATCH(A2393,Sales_Memo!$A$2:$A$1001,0)),""))</f>
        <v/>
      </c>
      <c r="C2393" s="7"/>
      <c r="D2393" s="16" t="str">
        <f aca="false">IF(C2393="","",IFERROR(INDEX(Products!$B$2:$B$501,MATCH(C2393,Products!$A$2:$A$501,0)),"CODE NOT FOUND"))</f>
        <v/>
      </c>
      <c r="E2393" s="7"/>
      <c r="F2393" s="13"/>
      <c r="G2393" s="13"/>
      <c r="H2393" s="17" t="str">
        <f aca="false">IF(OR(E2393="",F2393=""),"",E2393*F2393)</f>
        <v/>
      </c>
      <c r="I2393" s="17" t="str">
        <f aca="false">IF(OR(E2393="",G2393=""),"",E2393*G2393)</f>
        <v/>
      </c>
      <c r="J2393" s="17" t="str">
        <f aca="false">IF(H2393="","",H2393-I2393)</f>
        <v/>
      </c>
    </row>
    <row r="2394" customFormat="false" ht="15" hidden="false" customHeight="true" outlineLevel="0" collapsed="false">
      <c r="A2394" s="7"/>
      <c r="B2394" s="18" t="str">
        <f aca="false">IF(A2394="","",IFERROR(INDEX(Sales_Memo!$B$2:$B$1001,MATCH(A2394,Sales_Memo!$A$2:$A$1001,0)),""))</f>
        <v/>
      </c>
      <c r="C2394" s="7"/>
      <c r="D2394" s="16" t="str">
        <f aca="false">IF(C2394="","",IFERROR(INDEX(Products!$B$2:$B$501,MATCH(C2394,Products!$A$2:$A$501,0)),"CODE NOT FOUND"))</f>
        <v/>
      </c>
      <c r="E2394" s="7"/>
      <c r="F2394" s="13"/>
      <c r="G2394" s="13"/>
      <c r="H2394" s="17" t="str">
        <f aca="false">IF(OR(E2394="",F2394=""),"",E2394*F2394)</f>
        <v/>
      </c>
      <c r="I2394" s="17" t="str">
        <f aca="false">IF(OR(E2394="",G2394=""),"",E2394*G2394)</f>
        <v/>
      </c>
      <c r="J2394" s="17" t="str">
        <f aca="false">IF(H2394="","",H2394-I2394)</f>
        <v/>
      </c>
    </row>
    <row r="2395" customFormat="false" ht="15" hidden="false" customHeight="true" outlineLevel="0" collapsed="false">
      <c r="A2395" s="7"/>
      <c r="B2395" s="18" t="str">
        <f aca="false">IF(A2395="","",IFERROR(INDEX(Sales_Memo!$B$2:$B$1001,MATCH(A2395,Sales_Memo!$A$2:$A$1001,0)),""))</f>
        <v/>
      </c>
      <c r="C2395" s="7"/>
      <c r="D2395" s="16" t="str">
        <f aca="false">IF(C2395="","",IFERROR(INDEX(Products!$B$2:$B$501,MATCH(C2395,Products!$A$2:$A$501,0)),"CODE NOT FOUND"))</f>
        <v/>
      </c>
      <c r="E2395" s="7"/>
      <c r="F2395" s="13"/>
      <c r="G2395" s="13"/>
      <c r="H2395" s="17" t="str">
        <f aca="false">IF(OR(E2395="",F2395=""),"",E2395*F2395)</f>
        <v/>
      </c>
      <c r="I2395" s="17" t="str">
        <f aca="false">IF(OR(E2395="",G2395=""),"",E2395*G2395)</f>
        <v/>
      </c>
      <c r="J2395" s="17" t="str">
        <f aca="false">IF(H2395="","",H2395-I2395)</f>
        <v/>
      </c>
    </row>
    <row r="2396" customFormat="false" ht="15" hidden="false" customHeight="true" outlineLevel="0" collapsed="false">
      <c r="A2396" s="7"/>
      <c r="B2396" s="18" t="str">
        <f aca="false">IF(A2396="","",IFERROR(INDEX(Sales_Memo!$B$2:$B$1001,MATCH(A2396,Sales_Memo!$A$2:$A$1001,0)),""))</f>
        <v/>
      </c>
      <c r="C2396" s="7"/>
      <c r="D2396" s="16" t="str">
        <f aca="false">IF(C2396="","",IFERROR(INDEX(Products!$B$2:$B$501,MATCH(C2396,Products!$A$2:$A$501,0)),"CODE NOT FOUND"))</f>
        <v/>
      </c>
      <c r="E2396" s="7"/>
      <c r="F2396" s="13"/>
      <c r="G2396" s="13"/>
      <c r="H2396" s="17" t="str">
        <f aca="false">IF(OR(E2396="",F2396=""),"",E2396*F2396)</f>
        <v/>
      </c>
      <c r="I2396" s="17" t="str">
        <f aca="false">IF(OR(E2396="",G2396=""),"",E2396*G2396)</f>
        <v/>
      </c>
      <c r="J2396" s="17" t="str">
        <f aca="false">IF(H2396="","",H2396-I2396)</f>
        <v/>
      </c>
    </row>
    <row r="2397" customFormat="false" ht="15" hidden="false" customHeight="true" outlineLevel="0" collapsed="false">
      <c r="A2397" s="7"/>
      <c r="B2397" s="18" t="str">
        <f aca="false">IF(A2397="","",IFERROR(INDEX(Sales_Memo!$B$2:$B$1001,MATCH(A2397,Sales_Memo!$A$2:$A$1001,0)),""))</f>
        <v/>
      </c>
      <c r="C2397" s="7"/>
      <c r="D2397" s="16" t="str">
        <f aca="false">IF(C2397="","",IFERROR(INDEX(Products!$B$2:$B$501,MATCH(C2397,Products!$A$2:$A$501,0)),"CODE NOT FOUND"))</f>
        <v/>
      </c>
      <c r="E2397" s="7"/>
      <c r="F2397" s="13"/>
      <c r="G2397" s="13"/>
      <c r="H2397" s="17" t="str">
        <f aca="false">IF(OR(E2397="",F2397=""),"",E2397*F2397)</f>
        <v/>
      </c>
      <c r="I2397" s="17" t="str">
        <f aca="false">IF(OR(E2397="",G2397=""),"",E2397*G2397)</f>
        <v/>
      </c>
      <c r="J2397" s="17" t="str">
        <f aca="false">IF(H2397="","",H2397-I2397)</f>
        <v/>
      </c>
    </row>
    <row r="2398" customFormat="false" ht="15" hidden="false" customHeight="true" outlineLevel="0" collapsed="false">
      <c r="A2398" s="7"/>
      <c r="B2398" s="18" t="str">
        <f aca="false">IF(A2398="","",IFERROR(INDEX(Sales_Memo!$B$2:$B$1001,MATCH(A2398,Sales_Memo!$A$2:$A$1001,0)),""))</f>
        <v/>
      </c>
      <c r="C2398" s="7"/>
      <c r="D2398" s="16" t="str">
        <f aca="false">IF(C2398="","",IFERROR(INDEX(Products!$B$2:$B$501,MATCH(C2398,Products!$A$2:$A$501,0)),"CODE NOT FOUND"))</f>
        <v/>
      </c>
      <c r="E2398" s="7"/>
      <c r="F2398" s="13"/>
      <c r="G2398" s="13"/>
      <c r="H2398" s="17" t="str">
        <f aca="false">IF(OR(E2398="",F2398=""),"",E2398*F2398)</f>
        <v/>
      </c>
      <c r="I2398" s="17" t="str">
        <f aca="false">IF(OR(E2398="",G2398=""),"",E2398*G2398)</f>
        <v/>
      </c>
      <c r="J2398" s="17" t="str">
        <f aca="false">IF(H2398="","",H2398-I2398)</f>
        <v/>
      </c>
    </row>
    <row r="2399" customFormat="false" ht="15" hidden="false" customHeight="true" outlineLevel="0" collapsed="false">
      <c r="A2399" s="7"/>
      <c r="B2399" s="18" t="str">
        <f aca="false">IF(A2399="","",IFERROR(INDEX(Sales_Memo!$B$2:$B$1001,MATCH(A2399,Sales_Memo!$A$2:$A$1001,0)),""))</f>
        <v/>
      </c>
      <c r="C2399" s="7"/>
      <c r="D2399" s="16" t="str">
        <f aca="false">IF(C2399="","",IFERROR(INDEX(Products!$B$2:$B$501,MATCH(C2399,Products!$A$2:$A$501,0)),"CODE NOT FOUND"))</f>
        <v/>
      </c>
      <c r="E2399" s="7"/>
      <c r="F2399" s="13"/>
      <c r="G2399" s="13"/>
      <c r="H2399" s="17" t="str">
        <f aca="false">IF(OR(E2399="",F2399=""),"",E2399*F2399)</f>
        <v/>
      </c>
      <c r="I2399" s="17" t="str">
        <f aca="false">IF(OR(E2399="",G2399=""),"",E2399*G2399)</f>
        <v/>
      </c>
      <c r="J2399" s="17" t="str">
        <f aca="false">IF(H2399="","",H2399-I2399)</f>
        <v/>
      </c>
    </row>
    <row r="2400" customFormat="false" ht="15" hidden="false" customHeight="true" outlineLevel="0" collapsed="false">
      <c r="A2400" s="7"/>
      <c r="B2400" s="18" t="str">
        <f aca="false">IF(A2400="","",IFERROR(INDEX(Sales_Memo!$B$2:$B$1001,MATCH(A2400,Sales_Memo!$A$2:$A$1001,0)),""))</f>
        <v/>
      </c>
      <c r="C2400" s="7"/>
      <c r="D2400" s="16" t="str">
        <f aca="false">IF(C2400="","",IFERROR(INDEX(Products!$B$2:$B$501,MATCH(C2400,Products!$A$2:$A$501,0)),"CODE NOT FOUND"))</f>
        <v/>
      </c>
      <c r="E2400" s="7"/>
      <c r="F2400" s="13"/>
      <c r="G2400" s="13"/>
      <c r="H2400" s="17" t="str">
        <f aca="false">IF(OR(E2400="",F2400=""),"",E2400*F2400)</f>
        <v/>
      </c>
      <c r="I2400" s="17" t="str">
        <f aca="false">IF(OR(E2400="",G2400=""),"",E2400*G2400)</f>
        <v/>
      </c>
      <c r="J2400" s="17" t="str">
        <f aca="false">IF(H2400="","",H2400-I2400)</f>
        <v/>
      </c>
    </row>
    <row r="2401" customFormat="false" ht="15" hidden="false" customHeight="true" outlineLevel="0" collapsed="false">
      <c r="A2401" s="7"/>
      <c r="B2401" s="18" t="str">
        <f aca="false">IF(A2401="","",IFERROR(INDEX(Sales_Memo!$B$2:$B$1001,MATCH(A2401,Sales_Memo!$A$2:$A$1001,0)),""))</f>
        <v/>
      </c>
      <c r="C2401" s="7"/>
      <c r="D2401" s="16" t="str">
        <f aca="false">IF(C2401="","",IFERROR(INDEX(Products!$B$2:$B$501,MATCH(C2401,Products!$A$2:$A$501,0)),"CODE NOT FOUND"))</f>
        <v/>
      </c>
      <c r="E2401" s="7"/>
      <c r="F2401" s="13"/>
      <c r="G2401" s="13"/>
      <c r="H2401" s="17" t="str">
        <f aca="false">IF(OR(E2401="",F2401=""),"",E2401*F2401)</f>
        <v/>
      </c>
      <c r="I2401" s="17" t="str">
        <f aca="false">IF(OR(E2401="",G2401=""),"",E2401*G2401)</f>
        <v/>
      </c>
      <c r="J2401" s="17" t="str">
        <f aca="false">IF(H2401="","",H2401-I2401)</f>
        <v/>
      </c>
    </row>
    <row r="2402" customFormat="false" ht="15" hidden="false" customHeight="true" outlineLevel="0" collapsed="false">
      <c r="A2402" s="7"/>
      <c r="B2402" s="18" t="str">
        <f aca="false">IF(A2402="","",IFERROR(INDEX(Sales_Memo!$B$2:$B$1001,MATCH(A2402,Sales_Memo!$A$2:$A$1001,0)),""))</f>
        <v/>
      </c>
      <c r="C2402" s="7"/>
      <c r="D2402" s="16" t="str">
        <f aca="false">IF(C2402="","",IFERROR(INDEX(Products!$B$2:$B$501,MATCH(C2402,Products!$A$2:$A$501,0)),"CODE NOT FOUND"))</f>
        <v/>
      </c>
      <c r="E2402" s="7"/>
      <c r="F2402" s="13"/>
      <c r="G2402" s="13"/>
      <c r="H2402" s="17" t="str">
        <f aca="false">IF(OR(E2402="",F2402=""),"",E2402*F2402)</f>
        <v/>
      </c>
      <c r="I2402" s="17" t="str">
        <f aca="false">IF(OR(E2402="",G2402=""),"",E2402*G2402)</f>
        <v/>
      </c>
      <c r="J2402" s="17" t="str">
        <f aca="false">IF(H2402="","",H2402-I2402)</f>
        <v/>
      </c>
    </row>
    <row r="2403" customFormat="false" ht="15" hidden="false" customHeight="true" outlineLevel="0" collapsed="false">
      <c r="A2403" s="7"/>
      <c r="B2403" s="18" t="str">
        <f aca="false">IF(A2403="","",IFERROR(INDEX(Sales_Memo!$B$2:$B$1001,MATCH(A2403,Sales_Memo!$A$2:$A$1001,0)),""))</f>
        <v/>
      </c>
      <c r="C2403" s="7"/>
      <c r="D2403" s="16" t="str">
        <f aca="false">IF(C2403="","",IFERROR(INDEX(Products!$B$2:$B$501,MATCH(C2403,Products!$A$2:$A$501,0)),"CODE NOT FOUND"))</f>
        <v/>
      </c>
      <c r="E2403" s="7"/>
      <c r="F2403" s="13"/>
      <c r="G2403" s="13"/>
      <c r="H2403" s="17" t="str">
        <f aca="false">IF(OR(E2403="",F2403=""),"",E2403*F2403)</f>
        <v/>
      </c>
      <c r="I2403" s="17" t="str">
        <f aca="false">IF(OR(E2403="",G2403=""),"",E2403*G2403)</f>
        <v/>
      </c>
      <c r="J2403" s="17" t="str">
        <f aca="false">IF(H2403="","",H2403-I2403)</f>
        <v/>
      </c>
    </row>
    <row r="2404" customFormat="false" ht="15" hidden="false" customHeight="true" outlineLevel="0" collapsed="false">
      <c r="A2404" s="7"/>
      <c r="B2404" s="18" t="str">
        <f aca="false">IF(A2404="","",IFERROR(INDEX(Sales_Memo!$B$2:$B$1001,MATCH(A2404,Sales_Memo!$A$2:$A$1001,0)),""))</f>
        <v/>
      </c>
      <c r="C2404" s="7"/>
      <c r="D2404" s="16" t="str">
        <f aca="false">IF(C2404="","",IFERROR(INDEX(Products!$B$2:$B$501,MATCH(C2404,Products!$A$2:$A$501,0)),"CODE NOT FOUND"))</f>
        <v/>
      </c>
      <c r="E2404" s="7"/>
      <c r="F2404" s="13"/>
      <c r="G2404" s="13"/>
      <c r="H2404" s="17" t="str">
        <f aca="false">IF(OR(E2404="",F2404=""),"",E2404*F2404)</f>
        <v/>
      </c>
      <c r="I2404" s="17" t="str">
        <f aca="false">IF(OR(E2404="",G2404=""),"",E2404*G2404)</f>
        <v/>
      </c>
      <c r="J2404" s="17" t="str">
        <f aca="false">IF(H2404="","",H2404-I2404)</f>
        <v/>
      </c>
    </row>
    <row r="2405" customFormat="false" ht="15" hidden="false" customHeight="true" outlineLevel="0" collapsed="false">
      <c r="A2405" s="7"/>
      <c r="B2405" s="18" t="str">
        <f aca="false">IF(A2405="","",IFERROR(INDEX(Sales_Memo!$B$2:$B$1001,MATCH(A2405,Sales_Memo!$A$2:$A$1001,0)),""))</f>
        <v/>
      </c>
      <c r="C2405" s="7"/>
      <c r="D2405" s="16" t="str">
        <f aca="false">IF(C2405="","",IFERROR(INDEX(Products!$B$2:$B$501,MATCH(C2405,Products!$A$2:$A$501,0)),"CODE NOT FOUND"))</f>
        <v/>
      </c>
      <c r="E2405" s="7"/>
      <c r="F2405" s="13"/>
      <c r="G2405" s="13"/>
      <c r="H2405" s="17" t="str">
        <f aca="false">IF(OR(E2405="",F2405=""),"",E2405*F2405)</f>
        <v/>
      </c>
      <c r="I2405" s="17" t="str">
        <f aca="false">IF(OR(E2405="",G2405=""),"",E2405*G2405)</f>
        <v/>
      </c>
      <c r="J2405" s="17" t="str">
        <f aca="false">IF(H2405="","",H2405-I2405)</f>
        <v/>
      </c>
    </row>
    <row r="2406" customFormat="false" ht="15" hidden="false" customHeight="true" outlineLevel="0" collapsed="false">
      <c r="A2406" s="7"/>
      <c r="B2406" s="18" t="str">
        <f aca="false">IF(A2406="","",IFERROR(INDEX(Sales_Memo!$B$2:$B$1001,MATCH(A2406,Sales_Memo!$A$2:$A$1001,0)),""))</f>
        <v/>
      </c>
      <c r="C2406" s="7"/>
      <c r="D2406" s="16" t="str">
        <f aca="false">IF(C2406="","",IFERROR(INDEX(Products!$B$2:$B$501,MATCH(C2406,Products!$A$2:$A$501,0)),"CODE NOT FOUND"))</f>
        <v/>
      </c>
      <c r="E2406" s="7"/>
      <c r="F2406" s="13"/>
      <c r="G2406" s="13"/>
      <c r="H2406" s="17" t="str">
        <f aca="false">IF(OR(E2406="",F2406=""),"",E2406*F2406)</f>
        <v/>
      </c>
      <c r="I2406" s="17" t="str">
        <f aca="false">IF(OR(E2406="",G2406=""),"",E2406*G2406)</f>
        <v/>
      </c>
      <c r="J2406" s="17" t="str">
        <f aca="false">IF(H2406="","",H2406-I2406)</f>
        <v/>
      </c>
    </row>
    <row r="2407" customFormat="false" ht="15" hidden="false" customHeight="true" outlineLevel="0" collapsed="false">
      <c r="A2407" s="7"/>
      <c r="B2407" s="18" t="str">
        <f aca="false">IF(A2407="","",IFERROR(INDEX(Sales_Memo!$B$2:$B$1001,MATCH(A2407,Sales_Memo!$A$2:$A$1001,0)),""))</f>
        <v/>
      </c>
      <c r="C2407" s="7"/>
      <c r="D2407" s="16" t="str">
        <f aca="false">IF(C2407="","",IFERROR(INDEX(Products!$B$2:$B$501,MATCH(C2407,Products!$A$2:$A$501,0)),"CODE NOT FOUND"))</f>
        <v/>
      </c>
      <c r="E2407" s="7"/>
      <c r="F2407" s="13"/>
      <c r="G2407" s="13"/>
      <c r="H2407" s="17" t="str">
        <f aca="false">IF(OR(E2407="",F2407=""),"",E2407*F2407)</f>
        <v/>
      </c>
      <c r="I2407" s="17" t="str">
        <f aca="false">IF(OR(E2407="",G2407=""),"",E2407*G2407)</f>
        <v/>
      </c>
      <c r="J2407" s="17" t="str">
        <f aca="false">IF(H2407="","",H2407-I2407)</f>
        <v/>
      </c>
    </row>
    <row r="2408" customFormat="false" ht="15" hidden="false" customHeight="true" outlineLevel="0" collapsed="false">
      <c r="A2408" s="7"/>
      <c r="B2408" s="18" t="str">
        <f aca="false">IF(A2408="","",IFERROR(INDEX(Sales_Memo!$B$2:$B$1001,MATCH(A2408,Sales_Memo!$A$2:$A$1001,0)),""))</f>
        <v/>
      </c>
      <c r="C2408" s="7"/>
      <c r="D2408" s="16" t="str">
        <f aca="false">IF(C2408="","",IFERROR(INDEX(Products!$B$2:$B$501,MATCH(C2408,Products!$A$2:$A$501,0)),"CODE NOT FOUND"))</f>
        <v/>
      </c>
      <c r="E2408" s="7"/>
      <c r="F2408" s="13"/>
      <c r="G2408" s="13"/>
      <c r="H2408" s="17" t="str">
        <f aca="false">IF(OR(E2408="",F2408=""),"",E2408*F2408)</f>
        <v/>
      </c>
      <c r="I2408" s="17" t="str">
        <f aca="false">IF(OR(E2408="",G2408=""),"",E2408*G2408)</f>
        <v/>
      </c>
      <c r="J2408" s="17" t="str">
        <f aca="false">IF(H2408="","",H2408-I2408)</f>
        <v/>
      </c>
    </row>
    <row r="2409" customFormat="false" ht="15" hidden="false" customHeight="true" outlineLevel="0" collapsed="false">
      <c r="A2409" s="7"/>
      <c r="B2409" s="18" t="str">
        <f aca="false">IF(A2409="","",IFERROR(INDEX(Sales_Memo!$B$2:$B$1001,MATCH(A2409,Sales_Memo!$A$2:$A$1001,0)),""))</f>
        <v/>
      </c>
      <c r="C2409" s="7"/>
      <c r="D2409" s="16" t="str">
        <f aca="false">IF(C2409="","",IFERROR(INDEX(Products!$B$2:$B$501,MATCH(C2409,Products!$A$2:$A$501,0)),"CODE NOT FOUND"))</f>
        <v/>
      </c>
      <c r="E2409" s="7"/>
      <c r="F2409" s="13"/>
      <c r="G2409" s="13"/>
      <c r="H2409" s="17" t="str">
        <f aca="false">IF(OR(E2409="",F2409=""),"",E2409*F2409)</f>
        <v/>
      </c>
      <c r="I2409" s="17" t="str">
        <f aca="false">IF(OR(E2409="",G2409=""),"",E2409*G2409)</f>
        <v/>
      </c>
      <c r="J2409" s="17" t="str">
        <f aca="false">IF(H2409="","",H2409-I2409)</f>
        <v/>
      </c>
    </row>
    <row r="2410" customFormat="false" ht="15" hidden="false" customHeight="true" outlineLevel="0" collapsed="false">
      <c r="A2410" s="7"/>
      <c r="B2410" s="18" t="str">
        <f aca="false">IF(A2410="","",IFERROR(INDEX(Sales_Memo!$B$2:$B$1001,MATCH(A2410,Sales_Memo!$A$2:$A$1001,0)),""))</f>
        <v/>
      </c>
      <c r="C2410" s="7"/>
      <c r="D2410" s="16" t="str">
        <f aca="false">IF(C2410="","",IFERROR(INDEX(Products!$B$2:$B$501,MATCH(C2410,Products!$A$2:$A$501,0)),"CODE NOT FOUND"))</f>
        <v/>
      </c>
      <c r="E2410" s="7"/>
      <c r="F2410" s="13"/>
      <c r="G2410" s="13"/>
      <c r="H2410" s="17" t="str">
        <f aca="false">IF(OR(E2410="",F2410=""),"",E2410*F2410)</f>
        <v/>
      </c>
      <c r="I2410" s="17" t="str">
        <f aca="false">IF(OR(E2410="",G2410=""),"",E2410*G2410)</f>
        <v/>
      </c>
      <c r="J2410" s="17" t="str">
        <f aca="false">IF(H2410="","",H2410-I2410)</f>
        <v/>
      </c>
    </row>
    <row r="2411" customFormat="false" ht="15" hidden="false" customHeight="true" outlineLevel="0" collapsed="false">
      <c r="A2411" s="7"/>
      <c r="B2411" s="18" t="str">
        <f aca="false">IF(A2411="","",IFERROR(INDEX(Sales_Memo!$B$2:$B$1001,MATCH(A2411,Sales_Memo!$A$2:$A$1001,0)),""))</f>
        <v/>
      </c>
      <c r="C2411" s="7"/>
      <c r="D2411" s="16" t="str">
        <f aca="false">IF(C2411="","",IFERROR(INDEX(Products!$B$2:$B$501,MATCH(C2411,Products!$A$2:$A$501,0)),"CODE NOT FOUND"))</f>
        <v/>
      </c>
      <c r="E2411" s="7"/>
      <c r="F2411" s="13"/>
      <c r="G2411" s="13"/>
      <c r="H2411" s="17" t="str">
        <f aca="false">IF(OR(E2411="",F2411=""),"",E2411*F2411)</f>
        <v/>
      </c>
      <c r="I2411" s="17" t="str">
        <f aca="false">IF(OR(E2411="",G2411=""),"",E2411*G2411)</f>
        <v/>
      </c>
      <c r="J2411" s="17" t="str">
        <f aca="false">IF(H2411="","",H2411-I2411)</f>
        <v/>
      </c>
    </row>
    <row r="2412" customFormat="false" ht="15" hidden="false" customHeight="true" outlineLevel="0" collapsed="false">
      <c r="A2412" s="7"/>
      <c r="B2412" s="18" t="str">
        <f aca="false">IF(A2412="","",IFERROR(INDEX(Sales_Memo!$B$2:$B$1001,MATCH(A2412,Sales_Memo!$A$2:$A$1001,0)),""))</f>
        <v/>
      </c>
      <c r="C2412" s="7"/>
      <c r="D2412" s="16" t="str">
        <f aca="false">IF(C2412="","",IFERROR(INDEX(Products!$B$2:$B$501,MATCH(C2412,Products!$A$2:$A$501,0)),"CODE NOT FOUND"))</f>
        <v/>
      </c>
      <c r="E2412" s="7"/>
      <c r="F2412" s="13"/>
      <c r="G2412" s="13"/>
      <c r="H2412" s="17" t="str">
        <f aca="false">IF(OR(E2412="",F2412=""),"",E2412*F2412)</f>
        <v/>
      </c>
      <c r="I2412" s="17" t="str">
        <f aca="false">IF(OR(E2412="",G2412=""),"",E2412*G2412)</f>
        <v/>
      </c>
      <c r="J2412" s="17" t="str">
        <f aca="false">IF(H2412="","",H2412-I2412)</f>
        <v/>
      </c>
    </row>
    <row r="2413" customFormat="false" ht="15" hidden="false" customHeight="true" outlineLevel="0" collapsed="false">
      <c r="A2413" s="7"/>
      <c r="B2413" s="18" t="str">
        <f aca="false">IF(A2413="","",IFERROR(INDEX(Sales_Memo!$B$2:$B$1001,MATCH(A2413,Sales_Memo!$A$2:$A$1001,0)),""))</f>
        <v/>
      </c>
      <c r="C2413" s="7"/>
      <c r="D2413" s="16" t="str">
        <f aca="false">IF(C2413="","",IFERROR(INDEX(Products!$B$2:$B$501,MATCH(C2413,Products!$A$2:$A$501,0)),"CODE NOT FOUND"))</f>
        <v/>
      </c>
      <c r="E2413" s="7"/>
      <c r="F2413" s="13"/>
      <c r="G2413" s="13"/>
      <c r="H2413" s="17" t="str">
        <f aca="false">IF(OR(E2413="",F2413=""),"",E2413*F2413)</f>
        <v/>
      </c>
      <c r="I2413" s="17" t="str">
        <f aca="false">IF(OR(E2413="",G2413=""),"",E2413*G2413)</f>
        <v/>
      </c>
      <c r="J2413" s="17" t="str">
        <f aca="false">IF(H2413="","",H2413-I2413)</f>
        <v/>
      </c>
    </row>
    <row r="2414" customFormat="false" ht="15" hidden="false" customHeight="true" outlineLevel="0" collapsed="false">
      <c r="A2414" s="7"/>
      <c r="B2414" s="18" t="str">
        <f aca="false">IF(A2414="","",IFERROR(INDEX(Sales_Memo!$B$2:$B$1001,MATCH(A2414,Sales_Memo!$A$2:$A$1001,0)),""))</f>
        <v/>
      </c>
      <c r="C2414" s="7"/>
      <c r="D2414" s="16" t="str">
        <f aca="false">IF(C2414="","",IFERROR(INDEX(Products!$B$2:$B$501,MATCH(C2414,Products!$A$2:$A$501,0)),"CODE NOT FOUND"))</f>
        <v/>
      </c>
      <c r="E2414" s="7"/>
      <c r="F2414" s="13"/>
      <c r="G2414" s="13"/>
      <c r="H2414" s="17" t="str">
        <f aca="false">IF(OR(E2414="",F2414=""),"",E2414*F2414)</f>
        <v/>
      </c>
      <c r="I2414" s="17" t="str">
        <f aca="false">IF(OR(E2414="",G2414=""),"",E2414*G2414)</f>
        <v/>
      </c>
      <c r="J2414" s="17" t="str">
        <f aca="false">IF(H2414="","",H2414-I2414)</f>
        <v/>
      </c>
    </row>
    <row r="2415" customFormat="false" ht="15" hidden="false" customHeight="true" outlineLevel="0" collapsed="false">
      <c r="A2415" s="7"/>
      <c r="B2415" s="18" t="str">
        <f aca="false">IF(A2415="","",IFERROR(INDEX(Sales_Memo!$B$2:$B$1001,MATCH(A2415,Sales_Memo!$A$2:$A$1001,0)),""))</f>
        <v/>
      </c>
      <c r="C2415" s="7"/>
      <c r="D2415" s="16" t="str">
        <f aca="false">IF(C2415="","",IFERROR(INDEX(Products!$B$2:$B$501,MATCH(C2415,Products!$A$2:$A$501,0)),"CODE NOT FOUND"))</f>
        <v/>
      </c>
      <c r="E2415" s="7"/>
      <c r="F2415" s="13"/>
      <c r="G2415" s="13"/>
      <c r="H2415" s="17" t="str">
        <f aca="false">IF(OR(E2415="",F2415=""),"",E2415*F2415)</f>
        <v/>
      </c>
      <c r="I2415" s="17" t="str">
        <f aca="false">IF(OR(E2415="",G2415=""),"",E2415*G2415)</f>
        <v/>
      </c>
      <c r="J2415" s="17" t="str">
        <f aca="false">IF(H2415="","",H2415-I2415)</f>
        <v/>
      </c>
    </row>
    <row r="2416" customFormat="false" ht="15" hidden="false" customHeight="true" outlineLevel="0" collapsed="false">
      <c r="A2416" s="7"/>
      <c r="B2416" s="18" t="str">
        <f aca="false">IF(A2416="","",IFERROR(INDEX(Sales_Memo!$B$2:$B$1001,MATCH(A2416,Sales_Memo!$A$2:$A$1001,0)),""))</f>
        <v/>
      </c>
      <c r="C2416" s="7"/>
      <c r="D2416" s="16" t="str">
        <f aca="false">IF(C2416="","",IFERROR(INDEX(Products!$B$2:$B$501,MATCH(C2416,Products!$A$2:$A$501,0)),"CODE NOT FOUND"))</f>
        <v/>
      </c>
      <c r="E2416" s="7"/>
      <c r="F2416" s="13"/>
      <c r="G2416" s="13"/>
      <c r="H2416" s="17" t="str">
        <f aca="false">IF(OR(E2416="",F2416=""),"",E2416*F2416)</f>
        <v/>
      </c>
      <c r="I2416" s="17" t="str">
        <f aca="false">IF(OR(E2416="",G2416=""),"",E2416*G2416)</f>
        <v/>
      </c>
      <c r="J2416" s="17" t="str">
        <f aca="false">IF(H2416="","",H2416-I2416)</f>
        <v/>
      </c>
    </row>
    <row r="2417" customFormat="false" ht="15" hidden="false" customHeight="true" outlineLevel="0" collapsed="false">
      <c r="A2417" s="7"/>
      <c r="B2417" s="18" t="str">
        <f aca="false">IF(A2417="","",IFERROR(INDEX(Sales_Memo!$B$2:$B$1001,MATCH(A2417,Sales_Memo!$A$2:$A$1001,0)),""))</f>
        <v/>
      </c>
      <c r="C2417" s="7"/>
      <c r="D2417" s="16" t="str">
        <f aca="false">IF(C2417="","",IFERROR(INDEX(Products!$B$2:$B$501,MATCH(C2417,Products!$A$2:$A$501,0)),"CODE NOT FOUND"))</f>
        <v/>
      </c>
      <c r="E2417" s="7"/>
      <c r="F2417" s="13"/>
      <c r="G2417" s="13"/>
      <c r="H2417" s="17" t="str">
        <f aca="false">IF(OR(E2417="",F2417=""),"",E2417*F2417)</f>
        <v/>
      </c>
      <c r="I2417" s="17" t="str">
        <f aca="false">IF(OR(E2417="",G2417=""),"",E2417*G2417)</f>
        <v/>
      </c>
      <c r="J2417" s="17" t="str">
        <f aca="false">IF(H2417="","",H2417-I2417)</f>
        <v/>
      </c>
    </row>
    <row r="2418" customFormat="false" ht="15" hidden="false" customHeight="true" outlineLevel="0" collapsed="false">
      <c r="A2418" s="7"/>
      <c r="B2418" s="18" t="str">
        <f aca="false">IF(A2418="","",IFERROR(INDEX(Sales_Memo!$B$2:$B$1001,MATCH(A2418,Sales_Memo!$A$2:$A$1001,0)),""))</f>
        <v/>
      </c>
      <c r="C2418" s="7"/>
      <c r="D2418" s="16" t="str">
        <f aca="false">IF(C2418="","",IFERROR(INDEX(Products!$B$2:$B$501,MATCH(C2418,Products!$A$2:$A$501,0)),"CODE NOT FOUND"))</f>
        <v/>
      </c>
      <c r="E2418" s="7"/>
      <c r="F2418" s="13"/>
      <c r="G2418" s="13"/>
      <c r="H2418" s="17" t="str">
        <f aca="false">IF(OR(E2418="",F2418=""),"",E2418*F2418)</f>
        <v/>
      </c>
      <c r="I2418" s="17" t="str">
        <f aca="false">IF(OR(E2418="",G2418=""),"",E2418*G2418)</f>
        <v/>
      </c>
      <c r="J2418" s="17" t="str">
        <f aca="false">IF(H2418="","",H2418-I2418)</f>
        <v/>
      </c>
    </row>
    <row r="2419" customFormat="false" ht="15" hidden="false" customHeight="true" outlineLevel="0" collapsed="false">
      <c r="A2419" s="7"/>
      <c r="B2419" s="18" t="str">
        <f aca="false">IF(A2419="","",IFERROR(INDEX(Sales_Memo!$B$2:$B$1001,MATCH(A2419,Sales_Memo!$A$2:$A$1001,0)),""))</f>
        <v/>
      </c>
      <c r="C2419" s="7"/>
      <c r="D2419" s="16" t="str">
        <f aca="false">IF(C2419="","",IFERROR(INDEX(Products!$B$2:$B$501,MATCH(C2419,Products!$A$2:$A$501,0)),"CODE NOT FOUND"))</f>
        <v/>
      </c>
      <c r="E2419" s="7"/>
      <c r="F2419" s="13"/>
      <c r="G2419" s="13"/>
      <c r="H2419" s="17" t="str">
        <f aca="false">IF(OR(E2419="",F2419=""),"",E2419*F2419)</f>
        <v/>
      </c>
      <c r="I2419" s="17" t="str">
        <f aca="false">IF(OR(E2419="",G2419=""),"",E2419*G2419)</f>
        <v/>
      </c>
      <c r="J2419" s="17" t="str">
        <f aca="false">IF(H2419="","",H2419-I2419)</f>
        <v/>
      </c>
    </row>
    <row r="2420" customFormat="false" ht="15" hidden="false" customHeight="true" outlineLevel="0" collapsed="false">
      <c r="A2420" s="7"/>
      <c r="B2420" s="18" t="str">
        <f aca="false">IF(A2420="","",IFERROR(INDEX(Sales_Memo!$B$2:$B$1001,MATCH(A2420,Sales_Memo!$A$2:$A$1001,0)),""))</f>
        <v/>
      </c>
      <c r="C2420" s="7"/>
      <c r="D2420" s="16" t="str">
        <f aca="false">IF(C2420="","",IFERROR(INDEX(Products!$B$2:$B$501,MATCH(C2420,Products!$A$2:$A$501,0)),"CODE NOT FOUND"))</f>
        <v/>
      </c>
      <c r="E2420" s="7"/>
      <c r="F2420" s="13"/>
      <c r="G2420" s="13"/>
      <c r="H2420" s="17" t="str">
        <f aca="false">IF(OR(E2420="",F2420=""),"",E2420*F2420)</f>
        <v/>
      </c>
      <c r="I2420" s="17" t="str">
        <f aca="false">IF(OR(E2420="",G2420=""),"",E2420*G2420)</f>
        <v/>
      </c>
      <c r="J2420" s="17" t="str">
        <f aca="false">IF(H2420="","",H2420-I2420)</f>
        <v/>
      </c>
    </row>
    <row r="2421" customFormat="false" ht="15" hidden="false" customHeight="true" outlineLevel="0" collapsed="false">
      <c r="A2421" s="7"/>
      <c r="B2421" s="18" t="str">
        <f aca="false">IF(A2421="","",IFERROR(INDEX(Sales_Memo!$B$2:$B$1001,MATCH(A2421,Sales_Memo!$A$2:$A$1001,0)),""))</f>
        <v/>
      </c>
      <c r="C2421" s="7"/>
      <c r="D2421" s="16" t="str">
        <f aca="false">IF(C2421="","",IFERROR(INDEX(Products!$B$2:$B$501,MATCH(C2421,Products!$A$2:$A$501,0)),"CODE NOT FOUND"))</f>
        <v/>
      </c>
      <c r="E2421" s="7"/>
      <c r="F2421" s="13"/>
      <c r="G2421" s="13"/>
      <c r="H2421" s="17" t="str">
        <f aca="false">IF(OR(E2421="",F2421=""),"",E2421*F2421)</f>
        <v/>
      </c>
      <c r="I2421" s="17" t="str">
        <f aca="false">IF(OR(E2421="",G2421=""),"",E2421*G2421)</f>
        <v/>
      </c>
      <c r="J2421" s="17" t="str">
        <f aca="false">IF(H2421="","",H2421-I2421)</f>
        <v/>
      </c>
    </row>
    <row r="2422" customFormat="false" ht="15" hidden="false" customHeight="true" outlineLevel="0" collapsed="false">
      <c r="A2422" s="7"/>
      <c r="B2422" s="18" t="str">
        <f aca="false">IF(A2422="","",IFERROR(INDEX(Sales_Memo!$B$2:$B$1001,MATCH(A2422,Sales_Memo!$A$2:$A$1001,0)),""))</f>
        <v/>
      </c>
      <c r="C2422" s="7"/>
      <c r="D2422" s="16" t="str">
        <f aca="false">IF(C2422="","",IFERROR(INDEX(Products!$B$2:$B$501,MATCH(C2422,Products!$A$2:$A$501,0)),"CODE NOT FOUND"))</f>
        <v/>
      </c>
      <c r="E2422" s="7"/>
      <c r="F2422" s="13"/>
      <c r="G2422" s="13"/>
      <c r="H2422" s="17" t="str">
        <f aca="false">IF(OR(E2422="",F2422=""),"",E2422*F2422)</f>
        <v/>
      </c>
      <c r="I2422" s="17" t="str">
        <f aca="false">IF(OR(E2422="",G2422=""),"",E2422*G2422)</f>
        <v/>
      </c>
      <c r="J2422" s="17" t="str">
        <f aca="false">IF(H2422="","",H2422-I2422)</f>
        <v/>
      </c>
    </row>
    <row r="2423" customFormat="false" ht="15" hidden="false" customHeight="true" outlineLevel="0" collapsed="false">
      <c r="A2423" s="7"/>
      <c r="B2423" s="18" t="str">
        <f aca="false">IF(A2423="","",IFERROR(INDEX(Sales_Memo!$B$2:$B$1001,MATCH(A2423,Sales_Memo!$A$2:$A$1001,0)),""))</f>
        <v/>
      </c>
      <c r="C2423" s="7"/>
      <c r="D2423" s="16" t="str">
        <f aca="false">IF(C2423="","",IFERROR(INDEX(Products!$B$2:$B$501,MATCH(C2423,Products!$A$2:$A$501,0)),"CODE NOT FOUND"))</f>
        <v/>
      </c>
      <c r="E2423" s="7"/>
      <c r="F2423" s="13"/>
      <c r="G2423" s="13"/>
      <c r="H2423" s="17" t="str">
        <f aca="false">IF(OR(E2423="",F2423=""),"",E2423*F2423)</f>
        <v/>
      </c>
      <c r="I2423" s="17" t="str">
        <f aca="false">IF(OR(E2423="",G2423=""),"",E2423*G2423)</f>
        <v/>
      </c>
      <c r="J2423" s="17" t="str">
        <f aca="false">IF(H2423="","",H2423-I2423)</f>
        <v/>
      </c>
    </row>
    <row r="2424" customFormat="false" ht="15" hidden="false" customHeight="true" outlineLevel="0" collapsed="false">
      <c r="A2424" s="7"/>
      <c r="B2424" s="18" t="str">
        <f aca="false">IF(A2424="","",IFERROR(INDEX(Sales_Memo!$B$2:$B$1001,MATCH(A2424,Sales_Memo!$A$2:$A$1001,0)),""))</f>
        <v/>
      </c>
      <c r="C2424" s="7"/>
      <c r="D2424" s="16" t="str">
        <f aca="false">IF(C2424="","",IFERROR(INDEX(Products!$B$2:$B$501,MATCH(C2424,Products!$A$2:$A$501,0)),"CODE NOT FOUND"))</f>
        <v/>
      </c>
      <c r="E2424" s="7"/>
      <c r="F2424" s="13"/>
      <c r="G2424" s="13"/>
      <c r="H2424" s="17" t="str">
        <f aca="false">IF(OR(E2424="",F2424=""),"",E2424*F2424)</f>
        <v/>
      </c>
      <c r="I2424" s="17" t="str">
        <f aca="false">IF(OR(E2424="",G2424=""),"",E2424*G2424)</f>
        <v/>
      </c>
      <c r="J2424" s="17" t="str">
        <f aca="false">IF(H2424="","",H2424-I2424)</f>
        <v/>
      </c>
    </row>
    <row r="2425" customFormat="false" ht="15" hidden="false" customHeight="true" outlineLevel="0" collapsed="false">
      <c r="A2425" s="7"/>
      <c r="B2425" s="18" t="str">
        <f aca="false">IF(A2425="","",IFERROR(INDEX(Sales_Memo!$B$2:$B$1001,MATCH(A2425,Sales_Memo!$A$2:$A$1001,0)),""))</f>
        <v/>
      </c>
      <c r="C2425" s="7"/>
      <c r="D2425" s="16" t="str">
        <f aca="false">IF(C2425="","",IFERROR(INDEX(Products!$B$2:$B$501,MATCH(C2425,Products!$A$2:$A$501,0)),"CODE NOT FOUND"))</f>
        <v/>
      </c>
      <c r="E2425" s="7"/>
      <c r="F2425" s="13"/>
      <c r="G2425" s="13"/>
      <c r="H2425" s="17" t="str">
        <f aca="false">IF(OR(E2425="",F2425=""),"",E2425*F2425)</f>
        <v/>
      </c>
      <c r="I2425" s="17" t="str">
        <f aca="false">IF(OR(E2425="",G2425=""),"",E2425*G2425)</f>
        <v/>
      </c>
      <c r="J2425" s="17" t="str">
        <f aca="false">IF(H2425="","",H2425-I2425)</f>
        <v/>
      </c>
    </row>
    <row r="2426" customFormat="false" ht="15" hidden="false" customHeight="true" outlineLevel="0" collapsed="false">
      <c r="A2426" s="7"/>
      <c r="B2426" s="18" t="str">
        <f aca="false">IF(A2426="","",IFERROR(INDEX(Sales_Memo!$B$2:$B$1001,MATCH(A2426,Sales_Memo!$A$2:$A$1001,0)),""))</f>
        <v/>
      </c>
      <c r="C2426" s="7"/>
      <c r="D2426" s="16" t="str">
        <f aca="false">IF(C2426="","",IFERROR(INDEX(Products!$B$2:$B$501,MATCH(C2426,Products!$A$2:$A$501,0)),"CODE NOT FOUND"))</f>
        <v/>
      </c>
      <c r="E2426" s="7"/>
      <c r="F2426" s="13"/>
      <c r="G2426" s="13"/>
      <c r="H2426" s="17" t="str">
        <f aca="false">IF(OR(E2426="",F2426=""),"",E2426*F2426)</f>
        <v/>
      </c>
      <c r="I2426" s="17" t="str">
        <f aca="false">IF(OR(E2426="",G2426=""),"",E2426*G2426)</f>
        <v/>
      </c>
      <c r="J2426" s="17" t="str">
        <f aca="false">IF(H2426="","",H2426-I2426)</f>
        <v/>
      </c>
    </row>
    <row r="2427" customFormat="false" ht="15" hidden="false" customHeight="true" outlineLevel="0" collapsed="false">
      <c r="A2427" s="7"/>
      <c r="B2427" s="18" t="str">
        <f aca="false">IF(A2427="","",IFERROR(INDEX(Sales_Memo!$B$2:$B$1001,MATCH(A2427,Sales_Memo!$A$2:$A$1001,0)),""))</f>
        <v/>
      </c>
      <c r="C2427" s="7"/>
      <c r="D2427" s="16" t="str">
        <f aca="false">IF(C2427="","",IFERROR(INDEX(Products!$B$2:$B$501,MATCH(C2427,Products!$A$2:$A$501,0)),"CODE NOT FOUND"))</f>
        <v/>
      </c>
      <c r="E2427" s="7"/>
      <c r="F2427" s="13"/>
      <c r="G2427" s="13"/>
      <c r="H2427" s="17" t="str">
        <f aca="false">IF(OR(E2427="",F2427=""),"",E2427*F2427)</f>
        <v/>
      </c>
      <c r="I2427" s="17" t="str">
        <f aca="false">IF(OR(E2427="",G2427=""),"",E2427*G2427)</f>
        <v/>
      </c>
      <c r="J2427" s="17" t="str">
        <f aca="false">IF(H2427="","",H2427-I2427)</f>
        <v/>
      </c>
    </row>
    <row r="2428" customFormat="false" ht="15" hidden="false" customHeight="true" outlineLevel="0" collapsed="false">
      <c r="A2428" s="7"/>
      <c r="B2428" s="18" t="str">
        <f aca="false">IF(A2428="","",IFERROR(INDEX(Sales_Memo!$B$2:$B$1001,MATCH(A2428,Sales_Memo!$A$2:$A$1001,0)),""))</f>
        <v/>
      </c>
      <c r="C2428" s="7"/>
      <c r="D2428" s="16" t="str">
        <f aca="false">IF(C2428="","",IFERROR(INDEX(Products!$B$2:$B$501,MATCH(C2428,Products!$A$2:$A$501,0)),"CODE NOT FOUND"))</f>
        <v/>
      </c>
      <c r="E2428" s="7"/>
      <c r="F2428" s="13"/>
      <c r="G2428" s="13"/>
      <c r="H2428" s="17" t="str">
        <f aca="false">IF(OR(E2428="",F2428=""),"",E2428*F2428)</f>
        <v/>
      </c>
      <c r="I2428" s="17" t="str">
        <f aca="false">IF(OR(E2428="",G2428=""),"",E2428*G2428)</f>
        <v/>
      </c>
      <c r="J2428" s="17" t="str">
        <f aca="false">IF(H2428="","",H2428-I2428)</f>
        <v/>
      </c>
    </row>
    <row r="2429" customFormat="false" ht="15" hidden="false" customHeight="true" outlineLevel="0" collapsed="false">
      <c r="A2429" s="7"/>
      <c r="B2429" s="18" t="str">
        <f aca="false">IF(A2429="","",IFERROR(INDEX(Sales_Memo!$B$2:$B$1001,MATCH(A2429,Sales_Memo!$A$2:$A$1001,0)),""))</f>
        <v/>
      </c>
      <c r="C2429" s="7"/>
      <c r="D2429" s="16" t="str">
        <f aca="false">IF(C2429="","",IFERROR(INDEX(Products!$B$2:$B$501,MATCH(C2429,Products!$A$2:$A$501,0)),"CODE NOT FOUND"))</f>
        <v/>
      </c>
      <c r="E2429" s="7"/>
      <c r="F2429" s="13"/>
      <c r="G2429" s="13"/>
      <c r="H2429" s="17" t="str">
        <f aca="false">IF(OR(E2429="",F2429=""),"",E2429*F2429)</f>
        <v/>
      </c>
      <c r="I2429" s="17" t="str">
        <f aca="false">IF(OR(E2429="",G2429=""),"",E2429*G2429)</f>
        <v/>
      </c>
      <c r="J2429" s="17" t="str">
        <f aca="false">IF(H2429="","",H2429-I2429)</f>
        <v/>
      </c>
    </row>
    <row r="2430" customFormat="false" ht="15" hidden="false" customHeight="true" outlineLevel="0" collapsed="false">
      <c r="A2430" s="7"/>
      <c r="B2430" s="18" t="str">
        <f aca="false">IF(A2430="","",IFERROR(INDEX(Sales_Memo!$B$2:$B$1001,MATCH(A2430,Sales_Memo!$A$2:$A$1001,0)),""))</f>
        <v/>
      </c>
      <c r="C2430" s="7"/>
      <c r="D2430" s="16" t="str">
        <f aca="false">IF(C2430="","",IFERROR(INDEX(Products!$B$2:$B$501,MATCH(C2430,Products!$A$2:$A$501,0)),"CODE NOT FOUND"))</f>
        <v/>
      </c>
      <c r="E2430" s="7"/>
      <c r="F2430" s="13"/>
      <c r="G2430" s="13"/>
      <c r="H2430" s="17" t="str">
        <f aca="false">IF(OR(E2430="",F2430=""),"",E2430*F2430)</f>
        <v/>
      </c>
      <c r="I2430" s="17" t="str">
        <f aca="false">IF(OR(E2430="",G2430=""),"",E2430*G2430)</f>
        <v/>
      </c>
      <c r="J2430" s="17" t="str">
        <f aca="false">IF(H2430="","",H2430-I2430)</f>
        <v/>
      </c>
    </row>
    <row r="2431" customFormat="false" ht="15" hidden="false" customHeight="true" outlineLevel="0" collapsed="false">
      <c r="A2431" s="7"/>
      <c r="B2431" s="18" t="str">
        <f aca="false">IF(A2431="","",IFERROR(INDEX(Sales_Memo!$B$2:$B$1001,MATCH(A2431,Sales_Memo!$A$2:$A$1001,0)),""))</f>
        <v/>
      </c>
      <c r="C2431" s="7"/>
      <c r="D2431" s="16" t="str">
        <f aca="false">IF(C2431="","",IFERROR(INDEX(Products!$B$2:$B$501,MATCH(C2431,Products!$A$2:$A$501,0)),"CODE NOT FOUND"))</f>
        <v/>
      </c>
      <c r="E2431" s="7"/>
      <c r="F2431" s="13"/>
      <c r="G2431" s="13"/>
      <c r="H2431" s="17" t="str">
        <f aca="false">IF(OR(E2431="",F2431=""),"",E2431*F2431)</f>
        <v/>
      </c>
      <c r="I2431" s="17" t="str">
        <f aca="false">IF(OR(E2431="",G2431=""),"",E2431*G2431)</f>
        <v/>
      </c>
      <c r="J2431" s="17" t="str">
        <f aca="false">IF(H2431="","",H2431-I2431)</f>
        <v/>
      </c>
    </row>
    <row r="2432" customFormat="false" ht="15" hidden="false" customHeight="true" outlineLevel="0" collapsed="false">
      <c r="A2432" s="7"/>
      <c r="B2432" s="18" t="str">
        <f aca="false">IF(A2432="","",IFERROR(INDEX(Sales_Memo!$B$2:$B$1001,MATCH(A2432,Sales_Memo!$A$2:$A$1001,0)),""))</f>
        <v/>
      </c>
      <c r="C2432" s="7"/>
      <c r="D2432" s="16" t="str">
        <f aca="false">IF(C2432="","",IFERROR(INDEX(Products!$B$2:$B$501,MATCH(C2432,Products!$A$2:$A$501,0)),"CODE NOT FOUND"))</f>
        <v/>
      </c>
      <c r="E2432" s="7"/>
      <c r="F2432" s="13"/>
      <c r="G2432" s="13"/>
      <c r="H2432" s="17" t="str">
        <f aca="false">IF(OR(E2432="",F2432=""),"",E2432*F2432)</f>
        <v/>
      </c>
      <c r="I2432" s="17" t="str">
        <f aca="false">IF(OR(E2432="",G2432=""),"",E2432*G2432)</f>
        <v/>
      </c>
      <c r="J2432" s="17" t="str">
        <f aca="false">IF(H2432="","",H2432-I2432)</f>
        <v/>
      </c>
    </row>
    <row r="2433" customFormat="false" ht="15" hidden="false" customHeight="true" outlineLevel="0" collapsed="false">
      <c r="A2433" s="7"/>
      <c r="B2433" s="18" t="str">
        <f aca="false">IF(A2433="","",IFERROR(INDEX(Sales_Memo!$B$2:$B$1001,MATCH(A2433,Sales_Memo!$A$2:$A$1001,0)),""))</f>
        <v/>
      </c>
      <c r="C2433" s="7"/>
      <c r="D2433" s="16" t="str">
        <f aca="false">IF(C2433="","",IFERROR(INDEX(Products!$B$2:$B$501,MATCH(C2433,Products!$A$2:$A$501,0)),"CODE NOT FOUND"))</f>
        <v/>
      </c>
      <c r="E2433" s="7"/>
      <c r="F2433" s="13"/>
      <c r="G2433" s="13"/>
      <c r="H2433" s="17" t="str">
        <f aca="false">IF(OR(E2433="",F2433=""),"",E2433*F2433)</f>
        <v/>
      </c>
      <c r="I2433" s="17" t="str">
        <f aca="false">IF(OR(E2433="",G2433=""),"",E2433*G2433)</f>
        <v/>
      </c>
      <c r="J2433" s="17" t="str">
        <f aca="false">IF(H2433="","",H2433-I2433)</f>
        <v/>
      </c>
    </row>
    <row r="2434" customFormat="false" ht="15" hidden="false" customHeight="true" outlineLevel="0" collapsed="false">
      <c r="A2434" s="7"/>
      <c r="B2434" s="18" t="str">
        <f aca="false">IF(A2434="","",IFERROR(INDEX(Sales_Memo!$B$2:$B$1001,MATCH(A2434,Sales_Memo!$A$2:$A$1001,0)),""))</f>
        <v/>
      </c>
      <c r="C2434" s="7"/>
      <c r="D2434" s="16" t="str">
        <f aca="false">IF(C2434="","",IFERROR(INDEX(Products!$B$2:$B$501,MATCH(C2434,Products!$A$2:$A$501,0)),"CODE NOT FOUND"))</f>
        <v/>
      </c>
      <c r="E2434" s="7"/>
      <c r="F2434" s="13"/>
      <c r="G2434" s="13"/>
      <c r="H2434" s="17" t="str">
        <f aca="false">IF(OR(E2434="",F2434=""),"",E2434*F2434)</f>
        <v/>
      </c>
      <c r="I2434" s="17" t="str">
        <f aca="false">IF(OR(E2434="",G2434=""),"",E2434*G2434)</f>
        <v/>
      </c>
      <c r="J2434" s="17" t="str">
        <f aca="false">IF(H2434="","",H2434-I2434)</f>
        <v/>
      </c>
    </row>
    <row r="2435" customFormat="false" ht="15" hidden="false" customHeight="true" outlineLevel="0" collapsed="false">
      <c r="A2435" s="7"/>
      <c r="B2435" s="18" t="str">
        <f aca="false">IF(A2435="","",IFERROR(INDEX(Sales_Memo!$B$2:$B$1001,MATCH(A2435,Sales_Memo!$A$2:$A$1001,0)),""))</f>
        <v/>
      </c>
      <c r="C2435" s="7"/>
      <c r="D2435" s="16" t="str">
        <f aca="false">IF(C2435="","",IFERROR(INDEX(Products!$B$2:$B$501,MATCH(C2435,Products!$A$2:$A$501,0)),"CODE NOT FOUND"))</f>
        <v/>
      </c>
      <c r="E2435" s="7"/>
      <c r="F2435" s="13"/>
      <c r="G2435" s="13"/>
      <c r="H2435" s="17" t="str">
        <f aca="false">IF(OR(E2435="",F2435=""),"",E2435*F2435)</f>
        <v/>
      </c>
      <c r="I2435" s="17" t="str">
        <f aca="false">IF(OR(E2435="",G2435=""),"",E2435*G2435)</f>
        <v/>
      </c>
      <c r="J2435" s="17" t="str">
        <f aca="false">IF(H2435="","",H2435-I2435)</f>
        <v/>
      </c>
    </row>
    <row r="2436" customFormat="false" ht="15" hidden="false" customHeight="true" outlineLevel="0" collapsed="false">
      <c r="A2436" s="7"/>
      <c r="B2436" s="18" t="str">
        <f aca="false">IF(A2436="","",IFERROR(INDEX(Sales_Memo!$B$2:$B$1001,MATCH(A2436,Sales_Memo!$A$2:$A$1001,0)),""))</f>
        <v/>
      </c>
      <c r="C2436" s="7"/>
      <c r="D2436" s="16" t="str">
        <f aca="false">IF(C2436="","",IFERROR(INDEX(Products!$B$2:$B$501,MATCH(C2436,Products!$A$2:$A$501,0)),"CODE NOT FOUND"))</f>
        <v/>
      </c>
      <c r="E2436" s="7"/>
      <c r="F2436" s="13"/>
      <c r="G2436" s="13"/>
      <c r="H2436" s="17" t="str">
        <f aca="false">IF(OR(E2436="",F2436=""),"",E2436*F2436)</f>
        <v/>
      </c>
      <c r="I2436" s="17" t="str">
        <f aca="false">IF(OR(E2436="",G2436=""),"",E2436*G2436)</f>
        <v/>
      </c>
      <c r="J2436" s="17" t="str">
        <f aca="false">IF(H2436="","",H2436-I2436)</f>
        <v/>
      </c>
    </row>
    <row r="2437" customFormat="false" ht="15" hidden="false" customHeight="true" outlineLevel="0" collapsed="false">
      <c r="A2437" s="7"/>
      <c r="B2437" s="18" t="str">
        <f aca="false">IF(A2437="","",IFERROR(INDEX(Sales_Memo!$B$2:$B$1001,MATCH(A2437,Sales_Memo!$A$2:$A$1001,0)),""))</f>
        <v/>
      </c>
      <c r="C2437" s="7"/>
      <c r="D2437" s="16" t="str">
        <f aca="false">IF(C2437="","",IFERROR(INDEX(Products!$B$2:$B$501,MATCH(C2437,Products!$A$2:$A$501,0)),"CODE NOT FOUND"))</f>
        <v/>
      </c>
      <c r="E2437" s="7"/>
      <c r="F2437" s="13"/>
      <c r="G2437" s="13"/>
      <c r="H2437" s="17" t="str">
        <f aca="false">IF(OR(E2437="",F2437=""),"",E2437*F2437)</f>
        <v/>
      </c>
      <c r="I2437" s="17" t="str">
        <f aca="false">IF(OR(E2437="",G2437=""),"",E2437*G2437)</f>
        <v/>
      </c>
      <c r="J2437" s="17" t="str">
        <f aca="false">IF(H2437="","",H2437-I2437)</f>
        <v/>
      </c>
    </row>
    <row r="2438" customFormat="false" ht="15" hidden="false" customHeight="true" outlineLevel="0" collapsed="false">
      <c r="A2438" s="7"/>
      <c r="B2438" s="18" t="str">
        <f aca="false">IF(A2438="","",IFERROR(INDEX(Sales_Memo!$B$2:$B$1001,MATCH(A2438,Sales_Memo!$A$2:$A$1001,0)),""))</f>
        <v/>
      </c>
      <c r="C2438" s="7"/>
      <c r="D2438" s="16" t="str">
        <f aca="false">IF(C2438="","",IFERROR(INDEX(Products!$B$2:$B$501,MATCH(C2438,Products!$A$2:$A$501,0)),"CODE NOT FOUND"))</f>
        <v/>
      </c>
      <c r="E2438" s="7"/>
      <c r="F2438" s="13"/>
      <c r="G2438" s="13"/>
      <c r="H2438" s="17" t="str">
        <f aca="false">IF(OR(E2438="",F2438=""),"",E2438*F2438)</f>
        <v/>
      </c>
      <c r="I2438" s="17" t="str">
        <f aca="false">IF(OR(E2438="",G2438=""),"",E2438*G2438)</f>
        <v/>
      </c>
      <c r="J2438" s="17" t="str">
        <f aca="false">IF(H2438="","",H2438-I2438)</f>
        <v/>
      </c>
    </row>
    <row r="2439" customFormat="false" ht="15" hidden="false" customHeight="true" outlineLevel="0" collapsed="false">
      <c r="A2439" s="7"/>
      <c r="B2439" s="18" t="str">
        <f aca="false">IF(A2439="","",IFERROR(INDEX(Sales_Memo!$B$2:$B$1001,MATCH(A2439,Sales_Memo!$A$2:$A$1001,0)),""))</f>
        <v/>
      </c>
      <c r="C2439" s="7"/>
      <c r="D2439" s="16" t="str">
        <f aca="false">IF(C2439="","",IFERROR(INDEX(Products!$B$2:$B$501,MATCH(C2439,Products!$A$2:$A$501,0)),"CODE NOT FOUND"))</f>
        <v/>
      </c>
      <c r="E2439" s="7"/>
      <c r="F2439" s="13"/>
      <c r="G2439" s="13"/>
      <c r="H2439" s="17" t="str">
        <f aca="false">IF(OR(E2439="",F2439=""),"",E2439*F2439)</f>
        <v/>
      </c>
      <c r="I2439" s="17" t="str">
        <f aca="false">IF(OR(E2439="",G2439=""),"",E2439*G2439)</f>
        <v/>
      </c>
      <c r="J2439" s="17" t="str">
        <f aca="false">IF(H2439="","",H2439-I2439)</f>
        <v/>
      </c>
    </row>
    <row r="2440" customFormat="false" ht="15" hidden="false" customHeight="true" outlineLevel="0" collapsed="false">
      <c r="A2440" s="7"/>
      <c r="B2440" s="18" t="str">
        <f aca="false">IF(A2440="","",IFERROR(INDEX(Sales_Memo!$B$2:$B$1001,MATCH(A2440,Sales_Memo!$A$2:$A$1001,0)),""))</f>
        <v/>
      </c>
      <c r="C2440" s="7"/>
      <c r="D2440" s="16" t="str">
        <f aca="false">IF(C2440="","",IFERROR(INDEX(Products!$B$2:$B$501,MATCH(C2440,Products!$A$2:$A$501,0)),"CODE NOT FOUND"))</f>
        <v/>
      </c>
      <c r="E2440" s="7"/>
      <c r="F2440" s="13"/>
      <c r="G2440" s="13"/>
      <c r="H2440" s="17" t="str">
        <f aca="false">IF(OR(E2440="",F2440=""),"",E2440*F2440)</f>
        <v/>
      </c>
      <c r="I2440" s="17" t="str">
        <f aca="false">IF(OR(E2440="",G2440=""),"",E2440*G2440)</f>
        <v/>
      </c>
      <c r="J2440" s="17" t="str">
        <f aca="false">IF(H2440="","",H2440-I2440)</f>
        <v/>
      </c>
    </row>
    <row r="2441" customFormat="false" ht="15" hidden="false" customHeight="true" outlineLevel="0" collapsed="false">
      <c r="A2441" s="7"/>
      <c r="B2441" s="18" t="str">
        <f aca="false">IF(A2441="","",IFERROR(INDEX(Sales_Memo!$B$2:$B$1001,MATCH(A2441,Sales_Memo!$A$2:$A$1001,0)),""))</f>
        <v/>
      </c>
      <c r="C2441" s="7"/>
      <c r="D2441" s="16" t="str">
        <f aca="false">IF(C2441="","",IFERROR(INDEX(Products!$B$2:$B$501,MATCH(C2441,Products!$A$2:$A$501,0)),"CODE NOT FOUND"))</f>
        <v/>
      </c>
      <c r="E2441" s="7"/>
      <c r="F2441" s="13"/>
      <c r="G2441" s="13"/>
      <c r="H2441" s="17" t="str">
        <f aca="false">IF(OR(E2441="",F2441=""),"",E2441*F2441)</f>
        <v/>
      </c>
      <c r="I2441" s="17" t="str">
        <f aca="false">IF(OR(E2441="",G2441=""),"",E2441*G2441)</f>
        <v/>
      </c>
      <c r="J2441" s="17" t="str">
        <f aca="false">IF(H2441="","",H2441-I2441)</f>
        <v/>
      </c>
    </row>
    <row r="2442" customFormat="false" ht="15" hidden="false" customHeight="true" outlineLevel="0" collapsed="false">
      <c r="A2442" s="7"/>
      <c r="B2442" s="18" t="str">
        <f aca="false">IF(A2442="","",IFERROR(INDEX(Sales_Memo!$B$2:$B$1001,MATCH(A2442,Sales_Memo!$A$2:$A$1001,0)),""))</f>
        <v/>
      </c>
      <c r="C2442" s="7"/>
      <c r="D2442" s="16" t="str">
        <f aca="false">IF(C2442="","",IFERROR(INDEX(Products!$B$2:$B$501,MATCH(C2442,Products!$A$2:$A$501,0)),"CODE NOT FOUND"))</f>
        <v/>
      </c>
      <c r="E2442" s="7"/>
      <c r="F2442" s="13"/>
      <c r="G2442" s="13"/>
      <c r="H2442" s="17" t="str">
        <f aca="false">IF(OR(E2442="",F2442=""),"",E2442*F2442)</f>
        <v/>
      </c>
      <c r="I2442" s="17" t="str">
        <f aca="false">IF(OR(E2442="",G2442=""),"",E2442*G2442)</f>
        <v/>
      </c>
      <c r="J2442" s="17" t="str">
        <f aca="false">IF(H2442="","",H2442-I2442)</f>
        <v/>
      </c>
    </row>
    <row r="2443" customFormat="false" ht="15" hidden="false" customHeight="true" outlineLevel="0" collapsed="false">
      <c r="A2443" s="7"/>
      <c r="B2443" s="18" t="str">
        <f aca="false">IF(A2443="","",IFERROR(INDEX(Sales_Memo!$B$2:$B$1001,MATCH(A2443,Sales_Memo!$A$2:$A$1001,0)),""))</f>
        <v/>
      </c>
      <c r="C2443" s="7"/>
      <c r="D2443" s="16" t="str">
        <f aca="false">IF(C2443="","",IFERROR(INDEX(Products!$B$2:$B$501,MATCH(C2443,Products!$A$2:$A$501,0)),"CODE NOT FOUND"))</f>
        <v/>
      </c>
      <c r="E2443" s="7"/>
      <c r="F2443" s="13"/>
      <c r="G2443" s="13"/>
      <c r="H2443" s="17" t="str">
        <f aca="false">IF(OR(E2443="",F2443=""),"",E2443*F2443)</f>
        <v/>
      </c>
      <c r="I2443" s="17" t="str">
        <f aca="false">IF(OR(E2443="",G2443=""),"",E2443*G2443)</f>
        <v/>
      </c>
      <c r="J2443" s="17" t="str">
        <f aca="false">IF(H2443="","",H2443-I2443)</f>
        <v/>
      </c>
    </row>
    <row r="2444" customFormat="false" ht="15" hidden="false" customHeight="true" outlineLevel="0" collapsed="false">
      <c r="A2444" s="7"/>
      <c r="B2444" s="18" t="str">
        <f aca="false">IF(A2444="","",IFERROR(INDEX(Sales_Memo!$B$2:$B$1001,MATCH(A2444,Sales_Memo!$A$2:$A$1001,0)),""))</f>
        <v/>
      </c>
      <c r="C2444" s="7"/>
      <c r="D2444" s="16" t="str">
        <f aca="false">IF(C2444="","",IFERROR(INDEX(Products!$B$2:$B$501,MATCH(C2444,Products!$A$2:$A$501,0)),"CODE NOT FOUND"))</f>
        <v/>
      </c>
      <c r="E2444" s="7"/>
      <c r="F2444" s="13"/>
      <c r="G2444" s="13"/>
      <c r="H2444" s="17" t="str">
        <f aca="false">IF(OR(E2444="",F2444=""),"",E2444*F2444)</f>
        <v/>
      </c>
      <c r="I2444" s="17" t="str">
        <f aca="false">IF(OR(E2444="",G2444=""),"",E2444*G2444)</f>
        <v/>
      </c>
      <c r="J2444" s="17" t="str">
        <f aca="false">IF(H2444="","",H2444-I2444)</f>
        <v/>
      </c>
    </row>
    <row r="2445" customFormat="false" ht="15" hidden="false" customHeight="true" outlineLevel="0" collapsed="false">
      <c r="A2445" s="7"/>
      <c r="B2445" s="18" t="str">
        <f aca="false">IF(A2445="","",IFERROR(INDEX(Sales_Memo!$B$2:$B$1001,MATCH(A2445,Sales_Memo!$A$2:$A$1001,0)),""))</f>
        <v/>
      </c>
      <c r="C2445" s="7"/>
      <c r="D2445" s="16" t="str">
        <f aca="false">IF(C2445="","",IFERROR(INDEX(Products!$B$2:$B$501,MATCH(C2445,Products!$A$2:$A$501,0)),"CODE NOT FOUND"))</f>
        <v/>
      </c>
      <c r="E2445" s="7"/>
      <c r="F2445" s="13"/>
      <c r="G2445" s="13"/>
      <c r="H2445" s="17" t="str">
        <f aca="false">IF(OR(E2445="",F2445=""),"",E2445*F2445)</f>
        <v/>
      </c>
      <c r="I2445" s="17" t="str">
        <f aca="false">IF(OR(E2445="",G2445=""),"",E2445*G2445)</f>
        <v/>
      </c>
      <c r="J2445" s="17" t="str">
        <f aca="false">IF(H2445="","",H2445-I2445)</f>
        <v/>
      </c>
    </row>
    <row r="2446" customFormat="false" ht="15" hidden="false" customHeight="true" outlineLevel="0" collapsed="false">
      <c r="A2446" s="7"/>
      <c r="B2446" s="18" t="str">
        <f aca="false">IF(A2446="","",IFERROR(INDEX(Sales_Memo!$B$2:$B$1001,MATCH(A2446,Sales_Memo!$A$2:$A$1001,0)),""))</f>
        <v/>
      </c>
      <c r="C2446" s="7"/>
      <c r="D2446" s="16" t="str">
        <f aca="false">IF(C2446="","",IFERROR(INDEX(Products!$B$2:$B$501,MATCH(C2446,Products!$A$2:$A$501,0)),"CODE NOT FOUND"))</f>
        <v/>
      </c>
      <c r="E2446" s="7"/>
      <c r="F2446" s="13"/>
      <c r="G2446" s="13"/>
      <c r="H2446" s="17" t="str">
        <f aca="false">IF(OR(E2446="",F2446=""),"",E2446*F2446)</f>
        <v/>
      </c>
      <c r="I2446" s="17" t="str">
        <f aca="false">IF(OR(E2446="",G2446=""),"",E2446*G2446)</f>
        <v/>
      </c>
      <c r="J2446" s="17" t="str">
        <f aca="false">IF(H2446="","",H2446-I2446)</f>
        <v/>
      </c>
    </row>
    <row r="2447" customFormat="false" ht="15" hidden="false" customHeight="true" outlineLevel="0" collapsed="false">
      <c r="A2447" s="7"/>
      <c r="B2447" s="18" t="str">
        <f aca="false">IF(A2447="","",IFERROR(INDEX(Sales_Memo!$B$2:$B$1001,MATCH(A2447,Sales_Memo!$A$2:$A$1001,0)),""))</f>
        <v/>
      </c>
      <c r="C2447" s="7"/>
      <c r="D2447" s="16" t="str">
        <f aca="false">IF(C2447="","",IFERROR(INDEX(Products!$B$2:$B$501,MATCH(C2447,Products!$A$2:$A$501,0)),"CODE NOT FOUND"))</f>
        <v/>
      </c>
      <c r="E2447" s="7"/>
      <c r="F2447" s="13"/>
      <c r="G2447" s="13"/>
      <c r="H2447" s="17" t="str">
        <f aca="false">IF(OR(E2447="",F2447=""),"",E2447*F2447)</f>
        <v/>
      </c>
      <c r="I2447" s="17" t="str">
        <f aca="false">IF(OR(E2447="",G2447=""),"",E2447*G2447)</f>
        <v/>
      </c>
      <c r="J2447" s="17" t="str">
        <f aca="false">IF(H2447="","",H2447-I2447)</f>
        <v/>
      </c>
    </row>
    <row r="2448" customFormat="false" ht="15" hidden="false" customHeight="true" outlineLevel="0" collapsed="false">
      <c r="A2448" s="7"/>
      <c r="B2448" s="18" t="str">
        <f aca="false">IF(A2448="","",IFERROR(INDEX(Sales_Memo!$B$2:$B$1001,MATCH(A2448,Sales_Memo!$A$2:$A$1001,0)),""))</f>
        <v/>
      </c>
      <c r="C2448" s="7"/>
      <c r="D2448" s="16" t="str">
        <f aca="false">IF(C2448="","",IFERROR(INDEX(Products!$B$2:$B$501,MATCH(C2448,Products!$A$2:$A$501,0)),"CODE NOT FOUND"))</f>
        <v/>
      </c>
      <c r="E2448" s="7"/>
      <c r="F2448" s="13"/>
      <c r="G2448" s="13"/>
      <c r="H2448" s="17" t="str">
        <f aca="false">IF(OR(E2448="",F2448=""),"",E2448*F2448)</f>
        <v/>
      </c>
      <c r="I2448" s="17" t="str">
        <f aca="false">IF(OR(E2448="",G2448=""),"",E2448*G2448)</f>
        <v/>
      </c>
      <c r="J2448" s="17" t="str">
        <f aca="false">IF(H2448="","",H2448-I2448)</f>
        <v/>
      </c>
    </row>
    <row r="2449" customFormat="false" ht="15" hidden="false" customHeight="true" outlineLevel="0" collapsed="false">
      <c r="A2449" s="7"/>
      <c r="B2449" s="18" t="str">
        <f aca="false">IF(A2449="","",IFERROR(INDEX(Sales_Memo!$B$2:$B$1001,MATCH(A2449,Sales_Memo!$A$2:$A$1001,0)),""))</f>
        <v/>
      </c>
      <c r="C2449" s="7"/>
      <c r="D2449" s="16" t="str">
        <f aca="false">IF(C2449="","",IFERROR(INDEX(Products!$B$2:$B$501,MATCH(C2449,Products!$A$2:$A$501,0)),"CODE NOT FOUND"))</f>
        <v/>
      </c>
      <c r="E2449" s="7"/>
      <c r="F2449" s="13"/>
      <c r="G2449" s="13"/>
      <c r="H2449" s="17" t="str">
        <f aca="false">IF(OR(E2449="",F2449=""),"",E2449*F2449)</f>
        <v/>
      </c>
      <c r="I2449" s="17" t="str">
        <f aca="false">IF(OR(E2449="",G2449=""),"",E2449*G2449)</f>
        <v/>
      </c>
      <c r="J2449" s="17" t="str">
        <f aca="false">IF(H2449="","",H2449-I2449)</f>
        <v/>
      </c>
    </row>
    <row r="2450" customFormat="false" ht="15" hidden="false" customHeight="true" outlineLevel="0" collapsed="false">
      <c r="A2450" s="7"/>
      <c r="B2450" s="18" t="str">
        <f aca="false">IF(A2450="","",IFERROR(INDEX(Sales_Memo!$B$2:$B$1001,MATCH(A2450,Sales_Memo!$A$2:$A$1001,0)),""))</f>
        <v/>
      </c>
      <c r="C2450" s="7"/>
      <c r="D2450" s="16" t="str">
        <f aca="false">IF(C2450="","",IFERROR(INDEX(Products!$B$2:$B$501,MATCH(C2450,Products!$A$2:$A$501,0)),"CODE NOT FOUND"))</f>
        <v/>
      </c>
      <c r="E2450" s="7"/>
      <c r="F2450" s="13"/>
      <c r="G2450" s="13"/>
      <c r="H2450" s="17" t="str">
        <f aca="false">IF(OR(E2450="",F2450=""),"",E2450*F2450)</f>
        <v/>
      </c>
      <c r="I2450" s="17" t="str">
        <f aca="false">IF(OR(E2450="",G2450=""),"",E2450*G2450)</f>
        <v/>
      </c>
      <c r="J2450" s="17" t="str">
        <f aca="false">IF(H2450="","",H2450-I2450)</f>
        <v/>
      </c>
    </row>
    <row r="2451" customFormat="false" ht="15" hidden="false" customHeight="true" outlineLevel="0" collapsed="false">
      <c r="A2451" s="7"/>
      <c r="B2451" s="18" t="str">
        <f aca="false">IF(A2451="","",IFERROR(INDEX(Sales_Memo!$B$2:$B$1001,MATCH(A2451,Sales_Memo!$A$2:$A$1001,0)),""))</f>
        <v/>
      </c>
      <c r="C2451" s="7"/>
      <c r="D2451" s="16" t="str">
        <f aca="false">IF(C2451="","",IFERROR(INDEX(Products!$B$2:$B$501,MATCH(C2451,Products!$A$2:$A$501,0)),"CODE NOT FOUND"))</f>
        <v/>
      </c>
      <c r="E2451" s="7"/>
      <c r="F2451" s="13"/>
      <c r="G2451" s="13"/>
      <c r="H2451" s="17" t="str">
        <f aca="false">IF(OR(E2451="",F2451=""),"",E2451*F2451)</f>
        <v/>
      </c>
      <c r="I2451" s="17" t="str">
        <f aca="false">IF(OR(E2451="",G2451=""),"",E2451*G2451)</f>
        <v/>
      </c>
      <c r="J2451" s="17" t="str">
        <f aca="false">IF(H2451="","",H2451-I2451)</f>
        <v/>
      </c>
    </row>
    <row r="2452" customFormat="false" ht="15" hidden="false" customHeight="true" outlineLevel="0" collapsed="false">
      <c r="A2452" s="7"/>
      <c r="B2452" s="18" t="str">
        <f aca="false">IF(A2452="","",IFERROR(INDEX(Sales_Memo!$B$2:$B$1001,MATCH(A2452,Sales_Memo!$A$2:$A$1001,0)),""))</f>
        <v/>
      </c>
      <c r="C2452" s="7"/>
      <c r="D2452" s="16" t="str">
        <f aca="false">IF(C2452="","",IFERROR(INDEX(Products!$B$2:$B$501,MATCH(C2452,Products!$A$2:$A$501,0)),"CODE NOT FOUND"))</f>
        <v/>
      </c>
      <c r="E2452" s="7"/>
      <c r="F2452" s="13"/>
      <c r="G2452" s="13"/>
      <c r="H2452" s="17" t="str">
        <f aca="false">IF(OR(E2452="",F2452=""),"",E2452*F2452)</f>
        <v/>
      </c>
      <c r="I2452" s="17" t="str">
        <f aca="false">IF(OR(E2452="",G2452=""),"",E2452*G2452)</f>
        <v/>
      </c>
      <c r="J2452" s="17" t="str">
        <f aca="false">IF(H2452="","",H2452-I2452)</f>
        <v/>
      </c>
    </row>
    <row r="2453" customFormat="false" ht="15" hidden="false" customHeight="true" outlineLevel="0" collapsed="false">
      <c r="A2453" s="7"/>
      <c r="B2453" s="18" t="str">
        <f aca="false">IF(A2453="","",IFERROR(INDEX(Sales_Memo!$B$2:$B$1001,MATCH(A2453,Sales_Memo!$A$2:$A$1001,0)),""))</f>
        <v/>
      </c>
      <c r="C2453" s="7"/>
      <c r="D2453" s="16" t="str">
        <f aca="false">IF(C2453="","",IFERROR(INDEX(Products!$B$2:$B$501,MATCH(C2453,Products!$A$2:$A$501,0)),"CODE NOT FOUND"))</f>
        <v/>
      </c>
      <c r="E2453" s="7"/>
      <c r="F2453" s="13"/>
      <c r="G2453" s="13"/>
      <c r="H2453" s="17" t="str">
        <f aca="false">IF(OR(E2453="",F2453=""),"",E2453*F2453)</f>
        <v/>
      </c>
      <c r="I2453" s="17" t="str">
        <f aca="false">IF(OR(E2453="",G2453=""),"",E2453*G2453)</f>
        <v/>
      </c>
      <c r="J2453" s="17" t="str">
        <f aca="false">IF(H2453="","",H2453-I2453)</f>
        <v/>
      </c>
    </row>
    <row r="2454" customFormat="false" ht="15" hidden="false" customHeight="true" outlineLevel="0" collapsed="false">
      <c r="A2454" s="7"/>
      <c r="B2454" s="18" t="str">
        <f aca="false">IF(A2454="","",IFERROR(INDEX(Sales_Memo!$B$2:$B$1001,MATCH(A2454,Sales_Memo!$A$2:$A$1001,0)),""))</f>
        <v/>
      </c>
      <c r="C2454" s="7"/>
      <c r="D2454" s="16" t="str">
        <f aca="false">IF(C2454="","",IFERROR(INDEX(Products!$B$2:$B$501,MATCH(C2454,Products!$A$2:$A$501,0)),"CODE NOT FOUND"))</f>
        <v/>
      </c>
      <c r="E2454" s="7"/>
      <c r="F2454" s="13"/>
      <c r="G2454" s="13"/>
      <c r="H2454" s="17" t="str">
        <f aca="false">IF(OR(E2454="",F2454=""),"",E2454*F2454)</f>
        <v/>
      </c>
      <c r="I2454" s="17" t="str">
        <f aca="false">IF(OR(E2454="",G2454=""),"",E2454*G2454)</f>
        <v/>
      </c>
      <c r="J2454" s="17" t="str">
        <f aca="false">IF(H2454="","",H2454-I2454)</f>
        <v/>
      </c>
    </row>
    <row r="2455" customFormat="false" ht="15" hidden="false" customHeight="true" outlineLevel="0" collapsed="false">
      <c r="A2455" s="7"/>
      <c r="B2455" s="18" t="str">
        <f aca="false">IF(A2455="","",IFERROR(INDEX(Sales_Memo!$B$2:$B$1001,MATCH(A2455,Sales_Memo!$A$2:$A$1001,0)),""))</f>
        <v/>
      </c>
      <c r="C2455" s="7"/>
      <c r="D2455" s="16" t="str">
        <f aca="false">IF(C2455="","",IFERROR(INDEX(Products!$B$2:$B$501,MATCH(C2455,Products!$A$2:$A$501,0)),"CODE NOT FOUND"))</f>
        <v/>
      </c>
      <c r="E2455" s="7"/>
      <c r="F2455" s="13"/>
      <c r="G2455" s="13"/>
      <c r="H2455" s="17" t="str">
        <f aca="false">IF(OR(E2455="",F2455=""),"",E2455*F2455)</f>
        <v/>
      </c>
      <c r="I2455" s="17" t="str">
        <f aca="false">IF(OR(E2455="",G2455=""),"",E2455*G2455)</f>
        <v/>
      </c>
      <c r="J2455" s="17" t="str">
        <f aca="false">IF(H2455="","",H2455-I2455)</f>
        <v/>
      </c>
    </row>
    <row r="2456" customFormat="false" ht="15" hidden="false" customHeight="true" outlineLevel="0" collapsed="false">
      <c r="A2456" s="7"/>
      <c r="B2456" s="18" t="str">
        <f aca="false">IF(A2456="","",IFERROR(INDEX(Sales_Memo!$B$2:$B$1001,MATCH(A2456,Sales_Memo!$A$2:$A$1001,0)),""))</f>
        <v/>
      </c>
      <c r="C2456" s="7"/>
      <c r="D2456" s="16" t="str">
        <f aca="false">IF(C2456="","",IFERROR(INDEX(Products!$B$2:$B$501,MATCH(C2456,Products!$A$2:$A$501,0)),"CODE NOT FOUND"))</f>
        <v/>
      </c>
      <c r="E2456" s="7"/>
      <c r="F2456" s="13"/>
      <c r="G2456" s="13"/>
      <c r="H2456" s="17" t="str">
        <f aca="false">IF(OR(E2456="",F2456=""),"",E2456*F2456)</f>
        <v/>
      </c>
      <c r="I2456" s="17" t="str">
        <f aca="false">IF(OR(E2456="",G2456=""),"",E2456*G2456)</f>
        <v/>
      </c>
      <c r="J2456" s="17" t="str">
        <f aca="false">IF(H2456="","",H2456-I2456)</f>
        <v/>
      </c>
    </row>
    <row r="2457" customFormat="false" ht="15" hidden="false" customHeight="true" outlineLevel="0" collapsed="false">
      <c r="A2457" s="7"/>
      <c r="B2457" s="18" t="str">
        <f aca="false">IF(A2457="","",IFERROR(INDEX(Sales_Memo!$B$2:$B$1001,MATCH(A2457,Sales_Memo!$A$2:$A$1001,0)),""))</f>
        <v/>
      </c>
      <c r="C2457" s="7"/>
      <c r="D2457" s="16" t="str">
        <f aca="false">IF(C2457="","",IFERROR(INDEX(Products!$B$2:$B$501,MATCH(C2457,Products!$A$2:$A$501,0)),"CODE NOT FOUND"))</f>
        <v/>
      </c>
      <c r="E2457" s="7"/>
      <c r="F2457" s="13"/>
      <c r="G2457" s="13"/>
      <c r="H2457" s="17" t="str">
        <f aca="false">IF(OR(E2457="",F2457=""),"",E2457*F2457)</f>
        <v/>
      </c>
      <c r="I2457" s="17" t="str">
        <f aca="false">IF(OR(E2457="",G2457=""),"",E2457*G2457)</f>
        <v/>
      </c>
      <c r="J2457" s="17" t="str">
        <f aca="false">IF(H2457="","",H2457-I2457)</f>
        <v/>
      </c>
    </row>
    <row r="2458" customFormat="false" ht="15" hidden="false" customHeight="true" outlineLevel="0" collapsed="false">
      <c r="A2458" s="7"/>
      <c r="B2458" s="18" t="str">
        <f aca="false">IF(A2458="","",IFERROR(INDEX(Sales_Memo!$B$2:$B$1001,MATCH(A2458,Sales_Memo!$A$2:$A$1001,0)),""))</f>
        <v/>
      </c>
      <c r="C2458" s="7"/>
      <c r="D2458" s="16" t="str">
        <f aca="false">IF(C2458="","",IFERROR(INDEX(Products!$B$2:$B$501,MATCH(C2458,Products!$A$2:$A$501,0)),"CODE NOT FOUND"))</f>
        <v/>
      </c>
      <c r="E2458" s="7"/>
      <c r="F2458" s="13"/>
      <c r="G2458" s="13"/>
      <c r="H2458" s="17" t="str">
        <f aca="false">IF(OR(E2458="",F2458=""),"",E2458*F2458)</f>
        <v/>
      </c>
      <c r="I2458" s="17" t="str">
        <f aca="false">IF(OR(E2458="",G2458=""),"",E2458*G2458)</f>
        <v/>
      </c>
      <c r="J2458" s="17" t="str">
        <f aca="false">IF(H2458="","",H2458-I2458)</f>
        <v/>
      </c>
    </row>
    <row r="2459" customFormat="false" ht="15" hidden="false" customHeight="true" outlineLevel="0" collapsed="false">
      <c r="A2459" s="7"/>
      <c r="B2459" s="18" t="str">
        <f aca="false">IF(A2459="","",IFERROR(INDEX(Sales_Memo!$B$2:$B$1001,MATCH(A2459,Sales_Memo!$A$2:$A$1001,0)),""))</f>
        <v/>
      </c>
      <c r="C2459" s="7"/>
      <c r="D2459" s="16" t="str">
        <f aca="false">IF(C2459="","",IFERROR(INDEX(Products!$B$2:$B$501,MATCH(C2459,Products!$A$2:$A$501,0)),"CODE NOT FOUND"))</f>
        <v/>
      </c>
      <c r="E2459" s="7"/>
      <c r="F2459" s="13"/>
      <c r="G2459" s="13"/>
      <c r="H2459" s="17" t="str">
        <f aca="false">IF(OR(E2459="",F2459=""),"",E2459*F2459)</f>
        <v/>
      </c>
      <c r="I2459" s="17" t="str">
        <f aca="false">IF(OR(E2459="",G2459=""),"",E2459*G2459)</f>
        <v/>
      </c>
      <c r="J2459" s="17" t="str">
        <f aca="false">IF(H2459="","",H2459-I2459)</f>
        <v/>
      </c>
    </row>
    <row r="2460" customFormat="false" ht="15" hidden="false" customHeight="true" outlineLevel="0" collapsed="false">
      <c r="A2460" s="7"/>
      <c r="B2460" s="18" t="str">
        <f aca="false">IF(A2460="","",IFERROR(INDEX(Sales_Memo!$B$2:$B$1001,MATCH(A2460,Sales_Memo!$A$2:$A$1001,0)),""))</f>
        <v/>
      </c>
      <c r="C2460" s="7"/>
      <c r="D2460" s="16" t="str">
        <f aca="false">IF(C2460="","",IFERROR(INDEX(Products!$B$2:$B$501,MATCH(C2460,Products!$A$2:$A$501,0)),"CODE NOT FOUND"))</f>
        <v/>
      </c>
      <c r="E2460" s="7"/>
      <c r="F2460" s="13"/>
      <c r="G2460" s="13"/>
      <c r="H2460" s="17" t="str">
        <f aca="false">IF(OR(E2460="",F2460=""),"",E2460*F2460)</f>
        <v/>
      </c>
      <c r="I2460" s="17" t="str">
        <f aca="false">IF(OR(E2460="",G2460=""),"",E2460*G2460)</f>
        <v/>
      </c>
      <c r="J2460" s="17" t="str">
        <f aca="false">IF(H2460="","",H2460-I2460)</f>
        <v/>
      </c>
    </row>
    <row r="2461" customFormat="false" ht="15" hidden="false" customHeight="true" outlineLevel="0" collapsed="false">
      <c r="A2461" s="7"/>
      <c r="B2461" s="18" t="str">
        <f aca="false">IF(A2461="","",IFERROR(INDEX(Sales_Memo!$B$2:$B$1001,MATCH(A2461,Sales_Memo!$A$2:$A$1001,0)),""))</f>
        <v/>
      </c>
      <c r="C2461" s="7"/>
      <c r="D2461" s="16" t="str">
        <f aca="false">IF(C2461="","",IFERROR(INDEX(Products!$B$2:$B$501,MATCH(C2461,Products!$A$2:$A$501,0)),"CODE NOT FOUND"))</f>
        <v/>
      </c>
      <c r="E2461" s="7"/>
      <c r="F2461" s="13"/>
      <c r="G2461" s="13"/>
      <c r="H2461" s="17" t="str">
        <f aca="false">IF(OR(E2461="",F2461=""),"",E2461*F2461)</f>
        <v/>
      </c>
      <c r="I2461" s="17" t="str">
        <f aca="false">IF(OR(E2461="",G2461=""),"",E2461*G2461)</f>
        <v/>
      </c>
      <c r="J2461" s="17" t="str">
        <f aca="false">IF(H2461="","",H2461-I2461)</f>
        <v/>
      </c>
    </row>
    <row r="2462" customFormat="false" ht="15" hidden="false" customHeight="true" outlineLevel="0" collapsed="false">
      <c r="A2462" s="7"/>
      <c r="B2462" s="18" t="str">
        <f aca="false">IF(A2462="","",IFERROR(INDEX(Sales_Memo!$B$2:$B$1001,MATCH(A2462,Sales_Memo!$A$2:$A$1001,0)),""))</f>
        <v/>
      </c>
      <c r="C2462" s="7"/>
      <c r="D2462" s="16" t="str">
        <f aca="false">IF(C2462="","",IFERROR(INDEX(Products!$B$2:$B$501,MATCH(C2462,Products!$A$2:$A$501,0)),"CODE NOT FOUND"))</f>
        <v/>
      </c>
      <c r="E2462" s="7"/>
      <c r="F2462" s="13"/>
      <c r="G2462" s="13"/>
      <c r="H2462" s="17" t="str">
        <f aca="false">IF(OR(E2462="",F2462=""),"",E2462*F2462)</f>
        <v/>
      </c>
      <c r="I2462" s="17" t="str">
        <f aca="false">IF(OR(E2462="",G2462=""),"",E2462*G2462)</f>
        <v/>
      </c>
      <c r="J2462" s="17" t="str">
        <f aca="false">IF(H2462="","",H2462-I2462)</f>
        <v/>
      </c>
    </row>
    <row r="2463" customFormat="false" ht="15" hidden="false" customHeight="true" outlineLevel="0" collapsed="false">
      <c r="A2463" s="7"/>
      <c r="B2463" s="18" t="str">
        <f aca="false">IF(A2463="","",IFERROR(INDEX(Sales_Memo!$B$2:$B$1001,MATCH(A2463,Sales_Memo!$A$2:$A$1001,0)),""))</f>
        <v/>
      </c>
      <c r="C2463" s="7"/>
      <c r="D2463" s="16" t="str">
        <f aca="false">IF(C2463="","",IFERROR(INDEX(Products!$B$2:$B$501,MATCH(C2463,Products!$A$2:$A$501,0)),"CODE NOT FOUND"))</f>
        <v/>
      </c>
      <c r="E2463" s="7"/>
      <c r="F2463" s="13"/>
      <c r="G2463" s="13"/>
      <c r="H2463" s="17" t="str">
        <f aca="false">IF(OR(E2463="",F2463=""),"",E2463*F2463)</f>
        <v/>
      </c>
      <c r="I2463" s="17" t="str">
        <f aca="false">IF(OR(E2463="",G2463=""),"",E2463*G2463)</f>
        <v/>
      </c>
      <c r="J2463" s="17" t="str">
        <f aca="false">IF(H2463="","",H2463-I2463)</f>
        <v/>
      </c>
    </row>
    <row r="2464" customFormat="false" ht="15" hidden="false" customHeight="true" outlineLevel="0" collapsed="false">
      <c r="A2464" s="7"/>
      <c r="B2464" s="18" t="str">
        <f aca="false">IF(A2464="","",IFERROR(INDEX(Sales_Memo!$B$2:$B$1001,MATCH(A2464,Sales_Memo!$A$2:$A$1001,0)),""))</f>
        <v/>
      </c>
      <c r="C2464" s="7"/>
      <c r="D2464" s="16" t="str">
        <f aca="false">IF(C2464="","",IFERROR(INDEX(Products!$B$2:$B$501,MATCH(C2464,Products!$A$2:$A$501,0)),"CODE NOT FOUND"))</f>
        <v/>
      </c>
      <c r="E2464" s="7"/>
      <c r="F2464" s="13"/>
      <c r="G2464" s="13"/>
      <c r="H2464" s="17" t="str">
        <f aca="false">IF(OR(E2464="",F2464=""),"",E2464*F2464)</f>
        <v/>
      </c>
      <c r="I2464" s="17" t="str">
        <f aca="false">IF(OR(E2464="",G2464=""),"",E2464*G2464)</f>
        <v/>
      </c>
      <c r="J2464" s="17" t="str">
        <f aca="false">IF(H2464="","",H2464-I2464)</f>
        <v/>
      </c>
    </row>
    <row r="2465" customFormat="false" ht="15" hidden="false" customHeight="true" outlineLevel="0" collapsed="false">
      <c r="A2465" s="7"/>
      <c r="B2465" s="18" t="str">
        <f aca="false">IF(A2465="","",IFERROR(INDEX(Sales_Memo!$B$2:$B$1001,MATCH(A2465,Sales_Memo!$A$2:$A$1001,0)),""))</f>
        <v/>
      </c>
      <c r="C2465" s="7"/>
      <c r="D2465" s="16" t="str">
        <f aca="false">IF(C2465="","",IFERROR(INDEX(Products!$B$2:$B$501,MATCH(C2465,Products!$A$2:$A$501,0)),"CODE NOT FOUND"))</f>
        <v/>
      </c>
      <c r="E2465" s="7"/>
      <c r="F2465" s="13"/>
      <c r="G2465" s="13"/>
      <c r="H2465" s="17" t="str">
        <f aca="false">IF(OR(E2465="",F2465=""),"",E2465*F2465)</f>
        <v/>
      </c>
      <c r="I2465" s="17" t="str">
        <f aca="false">IF(OR(E2465="",G2465=""),"",E2465*G2465)</f>
        <v/>
      </c>
      <c r="J2465" s="17" t="str">
        <f aca="false">IF(H2465="","",H2465-I2465)</f>
        <v/>
      </c>
    </row>
    <row r="2466" customFormat="false" ht="15" hidden="false" customHeight="true" outlineLevel="0" collapsed="false">
      <c r="A2466" s="7"/>
      <c r="B2466" s="18" t="str">
        <f aca="false">IF(A2466="","",IFERROR(INDEX(Sales_Memo!$B$2:$B$1001,MATCH(A2466,Sales_Memo!$A$2:$A$1001,0)),""))</f>
        <v/>
      </c>
      <c r="C2466" s="7"/>
      <c r="D2466" s="16" t="str">
        <f aca="false">IF(C2466="","",IFERROR(INDEX(Products!$B$2:$B$501,MATCH(C2466,Products!$A$2:$A$501,0)),"CODE NOT FOUND"))</f>
        <v/>
      </c>
      <c r="E2466" s="7"/>
      <c r="F2466" s="13"/>
      <c r="G2466" s="13"/>
      <c r="H2466" s="17" t="str">
        <f aca="false">IF(OR(E2466="",F2466=""),"",E2466*F2466)</f>
        <v/>
      </c>
      <c r="I2466" s="17" t="str">
        <f aca="false">IF(OR(E2466="",G2466=""),"",E2466*G2466)</f>
        <v/>
      </c>
      <c r="J2466" s="17" t="str">
        <f aca="false">IF(H2466="","",H2466-I2466)</f>
        <v/>
      </c>
    </row>
    <row r="2467" customFormat="false" ht="15" hidden="false" customHeight="true" outlineLevel="0" collapsed="false">
      <c r="A2467" s="7"/>
      <c r="B2467" s="18" t="str">
        <f aca="false">IF(A2467="","",IFERROR(INDEX(Sales_Memo!$B$2:$B$1001,MATCH(A2467,Sales_Memo!$A$2:$A$1001,0)),""))</f>
        <v/>
      </c>
      <c r="C2467" s="7"/>
      <c r="D2467" s="16" t="str">
        <f aca="false">IF(C2467="","",IFERROR(INDEX(Products!$B$2:$B$501,MATCH(C2467,Products!$A$2:$A$501,0)),"CODE NOT FOUND"))</f>
        <v/>
      </c>
      <c r="E2467" s="7"/>
      <c r="F2467" s="13"/>
      <c r="G2467" s="13"/>
      <c r="H2467" s="17" t="str">
        <f aca="false">IF(OR(E2467="",F2467=""),"",E2467*F2467)</f>
        <v/>
      </c>
      <c r="I2467" s="17" t="str">
        <f aca="false">IF(OR(E2467="",G2467=""),"",E2467*G2467)</f>
        <v/>
      </c>
      <c r="J2467" s="17" t="str">
        <f aca="false">IF(H2467="","",H2467-I2467)</f>
        <v/>
      </c>
    </row>
    <row r="2468" customFormat="false" ht="15" hidden="false" customHeight="true" outlineLevel="0" collapsed="false">
      <c r="A2468" s="7"/>
      <c r="B2468" s="18" t="str">
        <f aca="false">IF(A2468="","",IFERROR(INDEX(Sales_Memo!$B$2:$B$1001,MATCH(A2468,Sales_Memo!$A$2:$A$1001,0)),""))</f>
        <v/>
      </c>
      <c r="C2468" s="7"/>
      <c r="D2468" s="16" t="str">
        <f aca="false">IF(C2468="","",IFERROR(INDEX(Products!$B$2:$B$501,MATCH(C2468,Products!$A$2:$A$501,0)),"CODE NOT FOUND"))</f>
        <v/>
      </c>
      <c r="E2468" s="7"/>
      <c r="F2468" s="13"/>
      <c r="G2468" s="13"/>
      <c r="H2468" s="17" t="str">
        <f aca="false">IF(OR(E2468="",F2468=""),"",E2468*F2468)</f>
        <v/>
      </c>
      <c r="I2468" s="17" t="str">
        <f aca="false">IF(OR(E2468="",G2468=""),"",E2468*G2468)</f>
        <v/>
      </c>
      <c r="J2468" s="17" t="str">
        <f aca="false">IF(H2468="","",H2468-I2468)</f>
        <v/>
      </c>
    </row>
    <row r="2469" customFormat="false" ht="15" hidden="false" customHeight="true" outlineLevel="0" collapsed="false">
      <c r="A2469" s="7"/>
      <c r="B2469" s="18" t="str">
        <f aca="false">IF(A2469="","",IFERROR(INDEX(Sales_Memo!$B$2:$B$1001,MATCH(A2469,Sales_Memo!$A$2:$A$1001,0)),""))</f>
        <v/>
      </c>
      <c r="C2469" s="7"/>
      <c r="D2469" s="16" t="str">
        <f aca="false">IF(C2469="","",IFERROR(INDEX(Products!$B$2:$B$501,MATCH(C2469,Products!$A$2:$A$501,0)),"CODE NOT FOUND"))</f>
        <v/>
      </c>
      <c r="E2469" s="7"/>
      <c r="F2469" s="13"/>
      <c r="G2469" s="13"/>
      <c r="H2469" s="17" t="str">
        <f aca="false">IF(OR(E2469="",F2469=""),"",E2469*F2469)</f>
        <v/>
      </c>
      <c r="I2469" s="17" t="str">
        <f aca="false">IF(OR(E2469="",G2469=""),"",E2469*G2469)</f>
        <v/>
      </c>
      <c r="J2469" s="17" t="str">
        <f aca="false">IF(H2469="","",H2469-I2469)</f>
        <v/>
      </c>
    </row>
    <row r="2470" customFormat="false" ht="15" hidden="false" customHeight="true" outlineLevel="0" collapsed="false">
      <c r="A2470" s="7"/>
      <c r="B2470" s="18" t="str">
        <f aca="false">IF(A2470="","",IFERROR(INDEX(Sales_Memo!$B$2:$B$1001,MATCH(A2470,Sales_Memo!$A$2:$A$1001,0)),""))</f>
        <v/>
      </c>
      <c r="C2470" s="7"/>
      <c r="D2470" s="16" t="str">
        <f aca="false">IF(C2470="","",IFERROR(INDEX(Products!$B$2:$B$501,MATCH(C2470,Products!$A$2:$A$501,0)),"CODE NOT FOUND"))</f>
        <v/>
      </c>
      <c r="E2470" s="7"/>
      <c r="F2470" s="13"/>
      <c r="G2470" s="13"/>
      <c r="H2470" s="17" t="str">
        <f aca="false">IF(OR(E2470="",F2470=""),"",E2470*F2470)</f>
        <v/>
      </c>
      <c r="I2470" s="17" t="str">
        <f aca="false">IF(OR(E2470="",G2470=""),"",E2470*G2470)</f>
        <v/>
      </c>
      <c r="J2470" s="17" t="str">
        <f aca="false">IF(H2470="","",H2470-I2470)</f>
        <v/>
      </c>
    </row>
    <row r="2471" customFormat="false" ht="15" hidden="false" customHeight="true" outlineLevel="0" collapsed="false">
      <c r="A2471" s="7"/>
      <c r="B2471" s="18" t="str">
        <f aca="false">IF(A2471="","",IFERROR(INDEX(Sales_Memo!$B$2:$B$1001,MATCH(A2471,Sales_Memo!$A$2:$A$1001,0)),""))</f>
        <v/>
      </c>
      <c r="C2471" s="7"/>
      <c r="D2471" s="16" t="str">
        <f aca="false">IF(C2471="","",IFERROR(INDEX(Products!$B$2:$B$501,MATCH(C2471,Products!$A$2:$A$501,0)),"CODE NOT FOUND"))</f>
        <v/>
      </c>
      <c r="E2471" s="7"/>
      <c r="F2471" s="13"/>
      <c r="G2471" s="13"/>
      <c r="H2471" s="17" t="str">
        <f aca="false">IF(OR(E2471="",F2471=""),"",E2471*F2471)</f>
        <v/>
      </c>
      <c r="I2471" s="17" t="str">
        <f aca="false">IF(OR(E2471="",G2471=""),"",E2471*G2471)</f>
        <v/>
      </c>
      <c r="J2471" s="17" t="str">
        <f aca="false">IF(H2471="","",H2471-I2471)</f>
        <v/>
      </c>
    </row>
    <row r="2472" customFormat="false" ht="15" hidden="false" customHeight="true" outlineLevel="0" collapsed="false">
      <c r="A2472" s="7"/>
      <c r="B2472" s="18" t="str">
        <f aca="false">IF(A2472="","",IFERROR(INDEX(Sales_Memo!$B$2:$B$1001,MATCH(A2472,Sales_Memo!$A$2:$A$1001,0)),""))</f>
        <v/>
      </c>
      <c r="C2472" s="7"/>
      <c r="D2472" s="16" t="str">
        <f aca="false">IF(C2472="","",IFERROR(INDEX(Products!$B$2:$B$501,MATCH(C2472,Products!$A$2:$A$501,0)),"CODE NOT FOUND"))</f>
        <v/>
      </c>
      <c r="E2472" s="7"/>
      <c r="F2472" s="13"/>
      <c r="G2472" s="13"/>
      <c r="H2472" s="17" t="str">
        <f aca="false">IF(OR(E2472="",F2472=""),"",E2472*F2472)</f>
        <v/>
      </c>
      <c r="I2472" s="17" t="str">
        <f aca="false">IF(OR(E2472="",G2472=""),"",E2472*G2472)</f>
        <v/>
      </c>
      <c r="J2472" s="17" t="str">
        <f aca="false">IF(H2472="","",H2472-I2472)</f>
        <v/>
      </c>
    </row>
    <row r="2473" customFormat="false" ht="15" hidden="false" customHeight="true" outlineLevel="0" collapsed="false">
      <c r="A2473" s="7"/>
      <c r="B2473" s="18" t="str">
        <f aca="false">IF(A2473="","",IFERROR(INDEX(Sales_Memo!$B$2:$B$1001,MATCH(A2473,Sales_Memo!$A$2:$A$1001,0)),""))</f>
        <v/>
      </c>
      <c r="C2473" s="7"/>
      <c r="D2473" s="16" t="str">
        <f aca="false">IF(C2473="","",IFERROR(INDEX(Products!$B$2:$B$501,MATCH(C2473,Products!$A$2:$A$501,0)),"CODE NOT FOUND"))</f>
        <v/>
      </c>
      <c r="E2473" s="7"/>
      <c r="F2473" s="13"/>
      <c r="G2473" s="13"/>
      <c r="H2473" s="17" t="str">
        <f aca="false">IF(OR(E2473="",F2473=""),"",E2473*F2473)</f>
        <v/>
      </c>
      <c r="I2473" s="17" t="str">
        <f aca="false">IF(OR(E2473="",G2473=""),"",E2473*G2473)</f>
        <v/>
      </c>
      <c r="J2473" s="17" t="str">
        <f aca="false">IF(H2473="","",H2473-I2473)</f>
        <v/>
      </c>
    </row>
    <row r="2474" customFormat="false" ht="15" hidden="false" customHeight="true" outlineLevel="0" collapsed="false">
      <c r="A2474" s="7"/>
      <c r="B2474" s="18" t="str">
        <f aca="false">IF(A2474="","",IFERROR(INDEX(Sales_Memo!$B$2:$B$1001,MATCH(A2474,Sales_Memo!$A$2:$A$1001,0)),""))</f>
        <v/>
      </c>
      <c r="C2474" s="7"/>
      <c r="D2474" s="16" t="str">
        <f aca="false">IF(C2474="","",IFERROR(INDEX(Products!$B$2:$B$501,MATCH(C2474,Products!$A$2:$A$501,0)),"CODE NOT FOUND"))</f>
        <v/>
      </c>
      <c r="E2474" s="7"/>
      <c r="F2474" s="13"/>
      <c r="G2474" s="13"/>
      <c r="H2474" s="17" t="str">
        <f aca="false">IF(OR(E2474="",F2474=""),"",E2474*F2474)</f>
        <v/>
      </c>
      <c r="I2474" s="17" t="str">
        <f aca="false">IF(OR(E2474="",G2474=""),"",E2474*G2474)</f>
        <v/>
      </c>
      <c r="J2474" s="17" t="str">
        <f aca="false">IF(H2474="","",H2474-I2474)</f>
        <v/>
      </c>
    </row>
    <row r="2475" customFormat="false" ht="15" hidden="false" customHeight="true" outlineLevel="0" collapsed="false">
      <c r="A2475" s="7"/>
      <c r="B2475" s="18" t="str">
        <f aca="false">IF(A2475="","",IFERROR(INDEX(Sales_Memo!$B$2:$B$1001,MATCH(A2475,Sales_Memo!$A$2:$A$1001,0)),""))</f>
        <v/>
      </c>
      <c r="C2475" s="7"/>
      <c r="D2475" s="16" t="str">
        <f aca="false">IF(C2475="","",IFERROR(INDEX(Products!$B$2:$B$501,MATCH(C2475,Products!$A$2:$A$501,0)),"CODE NOT FOUND"))</f>
        <v/>
      </c>
      <c r="E2475" s="7"/>
      <c r="F2475" s="13"/>
      <c r="G2475" s="13"/>
      <c r="H2475" s="17" t="str">
        <f aca="false">IF(OR(E2475="",F2475=""),"",E2475*F2475)</f>
        <v/>
      </c>
      <c r="I2475" s="17" t="str">
        <f aca="false">IF(OR(E2475="",G2475=""),"",E2475*G2475)</f>
        <v/>
      </c>
      <c r="J2475" s="17" t="str">
        <f aca="false">IF(H2475="","",H2475-I2475)</f>
        <v/>
      </c>
    </row>
    <row r="2476" customFormat="false" ht="15" hidden="false" customHeight="true" outlineLevel="0" collapsed="false">
      <c r="A2476" s="7"/>
      <c r="B2476" s="18" t="str">
        <f aca="false">IF(A2476="","",IFERROR(INDEX(Sales_Memo!$B$2:$B$1001,MATCH(A2476,Sales_Memo!$A$2:$A$1001,0)),""))</f>
        <v/>
      </c>
      <c r="C2476" s="7"/>
      <c r="D2476" s="16" t="str">
        <f aca="false">IF(C2476="","",IFERROR(INDEX(Products!$B$2:$B$501,MATCH(C2476,Products!$A$2:$A$501,0)),"CODE NOT FOUND"))</f>
        <v/>
      </c>
      <c r="E2476" s="7"/>
      <c r="F2476" s="13"/>
      <c r="G2476" s="13"/>
      <c r="H2476" s="17" t="str">
        <f aca="false">IF(OR(E2476="",F2476=""),"",E2476*F2476)</f>
        <v/>
      </c>
      <c r="I2476" s="17" t="str">
        <f aca="false">IF(OR(E2476="",G2476=""),"",E2476*G2476)</f>
        <v/>
      </c>
      <c r="J2476" s="17" t="str">
        <f aca="false">IF(H2476="","",H2476-I2476)</f>
        <v/>
      </c>
    </row>
    <row r="2477" customFormat="false" ht="15" hidden="false" customHeight="true" outlineLevel="0" collapsed="false">
      <c r="A2477" s="7"/>
      <c r="B2477" s="18" t="str">
        <f aca="false">IF(A2477="","",IFERROR(INDEX(Sales_Memo!$B$2:$B$1001,MATCH(A2477,Sales_Memo!$A$2:$A$1001,0)),""))</f>
        <v/>
      </c>
      <c r="C2477" s="7"/>
      <c r="D2477" s="16" t="str">
        <f aca="false">IF(C2477="","",IFERROR(INDEX(Products!$B$2:$B$501,MATCH(C2477,Products!$A$2:$A$501,0)),"CODE NOT FOUND"))</f>
        <v/>
      </c>
      <c r="E2477" s="7"/>
      <c r="F2477" s="13"/>
      <c r="G2477" s="13"/>
      <c r="H2477" s="17" t="str">
        <f aca="false">IF(OR(E2477="",F2477=""),"",E2477*F2477)</f>
        <v/>
      </c>
      <c r="I2477" s="17" t="str">
        <f aca="false">IF(OR(E2477="",G2477=""),"",E2477*G2477)</f>
        <v/>
      </c>
      <c r="J2477" s="17" t="str">
        <f aca="false">IF(H2477="","",H2477-I2477)</f>
        <v/>
      </c>
    </row>
    <row r="2478" customFormat="false" ht="15" hidden="false" customHeight="true" outlineLevel="0" collapsed="false">
      <c r="A2478" s="7"/>
      <c r="B2478" s="18" t="str">
        <f aca="false">IF(A2478="","",IFERROR(INDEX(Sales_Memo!$B$2:$B$1001,MATCH(A2478,Sales_Memo!$A$2:$A$1001,0)),""))</f>
        <v/>
      </c>
      <c r="C2478" s="7"/>
      <c r="D2478" s="16" t="str">
        <f aca="false">IF(C2478="","",IFERROR(INDEX(Products!$B$2:$B$501,MATCH(C2478,Products!$A$2:$A$501,0)),"CODE NOT FOUND"))</f>
        <v/>
      </c>
      <c r="E2478" s="7"/>
      <c r="F2478" s="13"/>
      <c r="G2478" s="13"/>
      <c r="H2478" s="17" t="str">
        <f aca="false">IF(OR(E2478="",F2478=""),"",E2478*F2478)</f>
        <v/>
      </c>
      <c r="I2478" s="17" t="str">
        <f aca="false">IF(OR(E2478="",G2478=""),"",E2478*G2478)</f>
        <v/>
      </c>
      <c r="J2478" s="17" t="str">
        <f aca="false">IF(H2478="","",H2478-I2478)</f>
        <v/>
      </c>
    </row>
    <row r="2479" customFormat="false" ht="15" hidden="false" customHeight="true" outlineLevel="0" collapsed="false">
      <c r="A2479" s="7"/>
      <c r="B2479" s="18" t="str">
        <f aca="false">IF(A2479="","",IFERROR(INDEX(Sales_Memo!$B$2:$B$1001,MATCH(A2479,Sales_Memo!$A$2:$A$1001,0)),""))</f>
        <v/>
      </c>
      <c r="C2479" s="7"/>
      <c r="D2479" s="16" t="str">
        <f aca="false">IF(C2479="","",IFERROR(INDEX(Products!$B$2:$B$501,MATCH(C2479,Products!$A$2:$A$501,0)),"CODE NOT FOUND"))</f>
        <v/>
      </c>
      <c r="E2479" s="7"/>
      <c r="F2479" s="13"/>
      <c r="G2479" s="13"/>
      <c r="H2479" s="17" t="str">
        <f aca="false">IF(OR(E2479="",F2479=""),"",E2479*F2479)</f>
        <v/>
      </c>
      <c r="I2479" s="17" t="str">
        <f aca="false">IF(OR(E2479="",G2479=""),"",E2479*G2479)</f>
        <v/>
      </c>
      <c r="J2479" s="17" t="str">
        <f aca="false">IF(H2479="","",H2479-I2479)</f>
        <v/>
      </c>
    </row>
    <row r="2480" customFormat="false" ht="15" hidden="false" customHeight="true" outlineLevel="0" collapsed="false">
      <c r="A2480" s="7"/>
      <c r="B2480" s="18" t="str">
        <f aca="false">IF(A2480="","",IFERROR(INDEX(Sales_Memo!$B$2:$B$1001,MATCH(A2480,Sales_Memo!$A$2:$A$1001,0)),""))</f>
        <v/>
      </c>
      <c r="C2480" s="7"/>
      <c r="D2480" s="16" t="str">
        <f aca="false">IF(C2480="","",IFERROR(INDEX(Products!$B$2:$B$501,MATCH(C2480,Products!$A$2:$A$501,0)),"CODE NOT FOUND"))</f>
        <v/>
      </c>
      <c r="E2480" s="7"/>
      <c r="F2480" s="13"/>
      <c r="G2480" s="13"/>
      <c r="H2480" s="17" t="str">
        <f aca="false">IF(OR(E2480="",F2480=""),"",E2480*F2480)</f>
        <v/>
      </c>
      <c r="I2480" s="17" t="str">
        <f aca="false">IF(OR(E2480="",G2480=""),"",E2480*G2480)</f>
        <v/>
      </c>
      <c r="J2480" s="17" t="str">
        <f aca="false">IF(H2480="","",H2480-I2480)</f>
        <v/>
      </c>
    </row>
    <row r="2481" customFormat="false" ht="15" hidden="false" customHeight="true" outlineLevel="0" collapsed="false">
      <c r="A2481" s="7"/>
      <c r="B2481" s="18" t="str">
        <f aca="false">IF(A2481="","",IFERROR(INDEX(Sales_Memo!$B$2:$B$1001,MATCH(A2481,Sales_Memo!$A$2:$A$1001,0)),""))</f>
        <v/>
      </c>
      <c r="C2481" s="7"/>
      <c r="D2481" s="16" t="str">
        <f aca="false">IF(C2481="","",IFERROR(INDEX(Products!$B$2:$B$501,MATCH(C2481,Products!$A$2:$A$501,0)),"CODE NOT FOUND"))</f>
        <v/>
      </c>
      <c r="E2481" s="7"/>
      <c r="F2481" s="13"/>
      <c r="G2481" s="13"/>
      <c r="H2481" s="17" t="str">
        <f aca="false">IF(OR(E2481="",F2481=""),"",E2481*F2481)</f>
        <v/>
      </c>
      <c r="I2481" s="17" t="str">
        <f aca="false">IF(OR(E2481="",G2481=""),"",E2481*G2481)</f>
        <v/>
      </c>
      <c r="J2481" s="17" t="str">
        <f aca="false">IF(H2481="","",H2481-I2481)</f>
        <v/>
      </c>
    </row>
    <row r="2482" customFormat="false" ht="15" hidden="false" customHeight="true" outlineLevel="0" collapsed="false">
      <c r="A2482" s="7"/>
      <c r="B2482" s="18" t="str">
        <f aca="false">IF(A2482="","",IFERROR(INDEX(Sales_Memo!$B$2:$B$1001,MATCH(A2482,Sales_Memo!$A$2:$A$1001,0)),""))</f>
        <v/>
      </c>
      <c r="C2482" s="7"/>
      <c r="D2482" s="16" t="str">
        <f aca="false">IF(C2482="","",IFERROR(INDEX(Products!$B$2:$B$501,MATCH(C2482,Products!$A$2:$A$501,0)),"CODE NOT FOUND"))</f>
        <v/>
      </c>
      <c r="E2482" s="7"/>
      <c r="F2482" s="13"/>
      <c r="G2482" s="13"/>
      <c r="H2482" s="17" t="str">
        <f aca="false">IF(OR(E2482="",F2482=""),"",E2482*F2482)</f>
        <v/>
      </c>
      <c r="I2482" s="17" t="str">
        <f aca="false">IF(OR(E2482="",G2482=""),"",E2482*G2482)</f>
        <v/>
      </c>
      <c r="J2482" s="17" t="str">
        <f aca="false">IF(H2482="","",H2482-I2482)</f>
        <v/>
      </c>
    </row>
    <row r="2483" customFormat="false" ht="15" hidden="false" customHeight="true" outlineLevel="0" collapsed="false">
      <c r="A2483" s="7"/>
      <c r="B2483" s="18" t="str">
        <f aca="false">IF(A2483="","",IFERROR(INDEX(Sales_Memo!$B$2:$B$1001,MATCH(A2483,Sales_Memo!$A$2:$A$1001,0)),""))</f>
        <v/>
      </c>
      <c r="C2483" s="7"/>
      <c r="D2483" s="16" t="str">
        <f aca="false">IF(C2483="","",IFERROR(INDEX(Products!$B$2:$B$501,MATCH(C2483,Products!$A$2:$A$501,0)),"CODE NOT FOUND"))</f>
        <v/>
      </c>
      <c r="E2483" s="7"/>
      <c r="F2483" s="13"/>
      <c r="G2483" s="13"/>
      <c r="H2483" s="17" t="str">
        <f aca="false">IF(OR(E2483="",F2483=""),"",E2483*F2483)</f>
        <v/>
      </c>
      <c r="I2483" s="17" t="str">
        <f aca="false">IF(OR(E2483="",G2483=""),"",E2483*G2483)</f>
        <v/>
      </c>
      <c r="J2483" s="17" t="str">
        <f aca="false">IF(H2483="","",H2483-I2483)</f>
        <v/>
      </c>
    </row>
    <row r="2484" customFormat="false" ht="15" hidden="false" customHeight="true" outlineLevel="0" collapsed="false">
      <c r="A2484" s="7"/>
      <c r="B2484" s="18" t="str">
        <f aca="false">IF(A2484="","",IFERROR(INDEX(Sales_Memo!$B$2:$B$1001,MATCH(A2484,Sales_Memo!$A$2:$A$1001,0)),""))</f>
        <v/>
      </c>
      <c r="C2484" s="7"/>
      <c r="D2484" s="16" t="str">
        <f aca="false">IF(C2484="","",IFERROR(INDEX(Products!$B$2:$B$501,MATCH(C2484,Products!$A$2:$A$501,0)),"CODE NOT FOUND"))</f>
        <v/>
      </c>
      <c r="E2484" s="7"/>
      <c r="F2484" s="13"/>
      <c r="G2484" s="13"/>
      <c r="H2484" s="17" t="str">
        <f aca="false">IF(OR(E2484="",F2484=""),"",E2484*F2484)</f>
        <v/>
      </c>
      <c r="I2484" s="17" t="str">
        <f aca="false">IF(OR(E2484="",G2484=""),"",E2484*G2484)</f>
        <v/>
      </c>
      <c r="J2484" s="17" t="str">
        <f aca="false">IF(H2484="","",H2484-I2484)</f>
        <v/>
      </c>
    </row>
    <row r="2485" customFormat="false" ht="15" hidden="false" customHeight="true" outlineLevel="0" collapsed="false">
      <c r="A2485" s="7"/>
      <c r="B2485" s="18" t="str">
        <f aca="false">IF(A2485="","",IFERROR(INDEX(Sales_Memo!$B$2:$B$1001,MATCH(A2485,Sales_Memo!$A$2:$A$1001,0)),""))</f>
        <v/>
      </c>
      <c r="C2485" s="7"/>
      <c r="D2485" s="16" t="str">
        <f aca="false">IF(C2485="","",IFERROR(INDEX(Products!$B$2:$B$501,MATCH(C2485,Products!$A$2:$A$501,0)),"CODE NOT FOUND"))</f>
        <v/>
      </c>
      <c r="E2485" s="7"/>
      <c r="F2485" s="13"/>
      <c r="G2485" s="13"/>
      <c r="H2485" s="17" t="str">
        <f aca="false">IF(OR(E2485="",F2485=""),"",E2485*F2485)</f>
        <v/>
      </c>
      <c r="I2485" s="17" t="str">
        <f aca="false">IF(OR(E2485="",G2485=""),"",E2485*G2485)</f>
        <v/>
      </c>
      <c r="J2485" s="17" t="str">
        <f aca="false">IF(H2485="","",H2485-I2485)</f>
        <v/>
      </c>
    </row>
    <row r="2486" customFormat="false" ht="15" hidden="false" customHeight="true" outlineLevel="0" collapsed="false">
      <c r="A2486" s="7"/>
      <c r="B2486" s="18" t="str">
        <f aca="false">IF(A2486="","",IFERROR(INDEX(Sales_Memo!$B$2:$B$1001,MATCH(A2486,Sales_Memo!$A$2:$A$1001,0)),""))</f>
        <v/>
      </c>
      <c r="C2486" s="7"/>
      <c r="D2486" s="16" t="str">
        <f aca="false">IF(C2486="","",IFERROR(INDEX(Products!$B$2:$B$501,MATCH(C2486,Products!$A$2:$A$501,0)),"CODE NOT FOUND"))</f>
        <v/>
      </c>
      <c r="E2486" s="7"/>
      <c r="F2486" s="13"/>
      <c r="G2486" s="13"/>
      <c r="H2486" s="17" t="str">
        <f aca="false">IF(OR(E2486="",F2486=""),"",E2486*F2486)</f>
        <v/>
      </c>
      <c r="I2486" s="17" t="str">
        <f aca="false">IF(OR(E2486="",G2486=""),"",E2486*G2486)</f>
        <v/>
      </c>
      <c r="J2486" s="17" t="str">
        <f aca="false">IF(H2486="","",H2486-I2486)</f>
        <v/>
      </c>
    </row>
    <row r="2487" customFormat="false" ht="15" hidden="false" customHeight="true" outlineLevel="0" collapsed="false">
      <c r="A2487" s="7"/>
      <c r="B2487" s="18" t="str">
        <f aca="false">IF(A2487="","",IFERROR(INDEX(Sales_Memo!$B$2:$B$1001,MATCH(A2487,Sales_Memo!$A$2:$A$1001,0)),""))</f>
        <v/>
      </c>
      <c r="C2487" s="7"/>
      <c r="D2487" s="16" t="str">
        <f aca="false">IF(C2487="","",IFERROR(INDEX(Products!$B$2:$B$501,MATCH(C2487,Products!$A$2:$A$501,0)),"CODE NOT FOUND"))</f>
        <v/>
      </c>
      <c r="E2487" s="7"/>
      <c r="F2487" s="13"/>
      <c r="G2487" s="13"/>
      <c r="H2487" s="17" t="str">
        <f aca="false">IF(OR(E2487="",F2487=""),"",E2487*F2487)</f>
        <v/>
      </c>
      <c r="I2487" s="17" t="str">
        <f aca="false">IF(OR(E2487="",G2487=""),"",E2487*G2487)</f>
        <v/>
      </c>
      <c r="J2487" s="17" t="str">
        <f aca="false">IF(H2487="","",H2487-I2487)</f>
        <v/>
      </c>
    </row>
    <row r="2488" customFormat="false" ht="15" hidden="false" customHeight="true" outlineLevel="0" collapsed="false">
      <c r="A2488" s="7"/>
      <c r="B2488" s="18" t="str">
        <f aca="false">IF(A2488="","",IFERROR(INDEX(Sales_Memo!$B$2:$B$1001,MATCH(A2488,Sales_Memo!$A$2:$A$1001,0)),""))</f>
        <v/>
      </c>
      <c r="C2488" s="7"/>
      <c r="D2488" s="16" t="str">
        <f aca="false">IF(C2488="","",IFERROR(INDEX(Products!$B$2:$B$501,MATCH(C2488,Products!$A$2:$A$501,0)),"CODE NOT FOUND"))</f>
        <v/>
      </c>
      <c r="E2488" s="7"/>
      <c r="F2488" s="13"/>
      <c r="G2488" s="13"/>
      <c r="H2488" s="17" t="str">
        <f aca="false">IF(OR(E2488="",F2488=""),"",E2488*F2488)</f>
        <v/>
      </c>
      <c r="I2488" s="17" t="str">
        <f aca="false">IF(OR(E2488="",G2488=""),"",E2488*G2488)</f>
        <v/>
      </c>
      <c r="J2488" s="17" t="str">
        <f aca="false">IF(H2488="","",H2488-I2488)</f>
        <v/>
      </c>
    </row>
    <row r="2489" customFormat="false" ht="15" hidden="false" customHeight="true" outlineLevel="0" collapsed="false">
      <c r="A2489" s="7"/>
      <c r="B2489" s="18" t="str">
        <f aca="false">IF(A2489="","",IFERROR(INDEX(Sales_Memo!$B$2:$B$1001,MATCH(A2489,Sales_Memo!$A$2:$A$1001,0)),""))</f>
        <v/>
      </c>
      <c r="C2489" s="7"/>
      <c r="D2489" s="16" t="str">
        <f aca="false">IF(C2489="","",IFERROR(INDEX(Products!$B$2:$B$501,MATCH(C2489,Products!$A$2:$A$501,0)),"CODE NOT FOUND"))</f>
        <v/>
      </c>
      <c r="E2489" s="7"/>
      <c r="F2489" s="13"/>
      <c r="G2489" s="13"/>
      <c r="H2489" s="17" t="str">
        <f aca="false">IF(OR(E2489="",F2489=""),"",E2489*F2489)</f>
        <v/>
      </c>
      <c r="I2489" s="17" t="str">
        <f aca="false">IF(OR(E2489="",G2489=""),"",E2489*G2489)</f>
        <v/>
      </c>
      <c r="J2489" s="17" t="str">
        <f aca="false">IF(H2489="","",H2489-I2489)</f>
        <v/>
      </c>
    </row>
    <row r="2490" customFormat="false" ht="15" hidden="false" customHeight="true" outlineLevel="0" collapsed="false">
      <c r="A2490" s="7"/>
      <c r="B2490" s="18" t="str">
        <f aca="false">IF(A2490="","",IFERROR(INDEX(Sales_Memo!$B$2:$B$1001,MATCH(A2490,Sales_Memo!$A$2:$A$1001,0)),""))</f>
        <v/>
      </c>
      <c r="C2490" s="7"/>
      <c r="D2490" s="16" t="str">
        <f aca="false">IF(C2490="","",IFERROR(INDEX(Products!$B$2:$B$501,MATCH(C2490,Products!$A$2:$A$501,0)),"CODE NOT FOUND"))</f>
        <v/>
      </c>
      <c r="E2490" s="7"/>
      <c r="F2490" s="13"/>
      <c r="G2490" s="13"/>
      <c r="H2490" s="17" t="str">
        <f aca="false">IF(OR(E2490="",F2490=""),"",E2490*F2490)</f>
        <v/>
      </c>
      <c r="I2490" s="17" t="str">
        <f aca="false">IF(OR(E2490="",G2490=""),"",E2490*G2490)</f>
        <v/>
      </c>
      <c r="J2490" s="17" t="str">
        <f aca="false">IF(H2490="","",H2490-I2490)</f>
        <v/>
      </c>
    </row>
    <row r="2491" customFormat="false" ht="15" hidden="false" customHeight="true" outlineLevel="0" collapsed="false">
      <c r="A2491" s="7"/>
      <c r="B2491" s="18" t="str">
        <f aca="false">IF(A2491="","",IFERROR(INDEX(Sales_Memo!$B$2:$B$1001,MATCH(A2491,Sales_Memo!$A$2:$A$1001,0)),""))</f>
        <v/>
      </c>
      <c r="C2491" s="7"/>
      <c r="D2491" s="16" t="str">
        <f aca="false">IF(C2491="","",IFERROR(INDEX(Products!$B$2:$B$501,MATCH(C2491,Products!$A$2:$A$501,0)),"CODE NOT FOUND"))</f>
        <v/>
      </c>
      <c r="E2491" s="7"/>
      <c r="F2491" s="13"/>
      <c r="G2491" s="13"/>
      <c r="H2491" s="17" t="str">
        <f aca="false">IF(OR(E2491="",F2491=""),"",E2491*F2491)</f>
        <v/>
      </c>
      <c r="I2491" s="17" t="str">
        <f aca="false">IF(OR(E2491="",G2491=""),"",E2491*G2491)</f>
        <v/>
      </c>
      <c r="J2491" s="17" t="str">
        <f aca="false">IF(H2491="","",H2491-I2491)</f>
        <v/>
      </c>
    </row>
    <row r="2492" customFormat="false" ht="15" hidden="false" customHeight="true" outlineLevel="0" collapsed="false">
      <c r="A2492" s="7"/>
      <c r="B2492" s="18" t="str">
        <f aca="false">IF(A2492="","",IFERROR(INDEX(Sales_Memo!$B$2:$B$1001,MATCH(A2492,Sales_Memo!$A$2:$A$1001,0)),""))</f>
        <v/>
      </c>
      <c r="C2492" s="7"/>
      <c r="D2492" s="16" t="str">
        <f aca="false">IF(C2492="","",IFERROR(INDEX(Products!$B$2:$B$501,MATCH(C2492,Products!$A$2:$A$501,0)),"CODE NOT FOUND"))</f>
        <v/>
      </c>
      <c r="E2492" s="7"/>
      <c r="F2492" s="13"/>
      <c r="G2492" s="13"/>
      <c r="H2492" s="17" t="str">
        <f aca="false">IF(OR(E2492="",F2492=""),"",E2492*F2492)</f>
        <v/>
      </c>
      <c r="I2492" s="17" t="str">
        <f aca="false">IF(OR(E2492="",G2492=""),"",E2492*G2492)</f>
        <v/>
      </c>
      <c r="J2492" s="17" t="str">
        <f aca="false">IF(H2492="","",H2492-I2492)</f>
        <v/>
      </c>
    </row>
    <row r="2493" customFormat="false" ht="15" hidden="false" customHeight="true" outlineLevel="0" collapsed="false">
      <c r="A2493" s="7"/>
      <c r="B2493" s="18" t="str">
        <f aca="false">IF(A2493="","",IFERROR(INDEX(Sales_Memo!$B$2:$B$1001,MATCH(A2493,Sales_Memo!$A$2:$A$1001,0)),""))</f>
        <v/>
      </c>
      <c r="C2493" s="7"/>
      <c r="D2493" s="16" t="str">
        <f aca="false">IF(C2493="","",IFERROR(INDEX(Products!$B$2:$B$501,MATCH(C2493,Products!$A$2:$A$501,0)),"CODE NOT FOUND"))</f>
        <v/>
      </c>
      <c r="E2493" s="7"/>
      <c r="F2493" s="13"/>
      <c r="G2493" s="13"/>
      <c r="H2493" s="17" t="str">
        <f aca="false">IF(OR(E2493="",F2493=""),"",E2493*F2493)</f>
        <v/>
      </c>
      <c r="I2493" s="17" t="str">
        <f aca="false">IF(OR(E2493="",G2493=""),"",E2493*G2493)</f>
        <v/>
      </c>
      <c r="J2493" s="17" t="str">
        <f aca="false">IF(H2493="","",H2493-I2493)</f>
        <v/>
      </c>
    </row>
    <row r="2494" customFormat="false" ht="15" hidden="false" customHeight="true" outlineLevel="0" collapsed="false">
      <c r="A2494" s="7"/>
      <c r="B2494" s="18" t="str">
        <f aca="false">IF(A2494="","",IFERROR(INDEX(Sales_Memo!$B$2:$B$1001,MATCH(A2494,Sales_Memo!$A$2:$A$1001,0)),""))</f>
        <v/>
      </c>
      <c r="C2494" s="7"/>
      <c r="D2494" s="16" t="str">
        <f aca="false">IF(C2494="","",IFERROR(INDEX(Products!$B$2:$B$501,MATCH(C2494,Products!$A$2:$A$501,0)),"CODE NOT FOUND"))</f>
        <v/>
      </c>
      <c r="E2494" s="7"/>
      <c r="F2494" s="13"/>
      <c r="G2494" s="13"/>
      <c r="H2494" s="17" t="str">
        <f aca="false">IF(OR(E2494="",F2494=""),"",E2494*F2494)</f>
        <v/>
      </c>
      <c r="I2494" s="17" t="str">
        <f aca="false">IF(OR(E2494="",G2494=""),"",E2494*G2494)</f>
        <v/>
      </c>
      <c r="J2494" s="17" t="str">
        <f aca="false">IF(H2494="","",H2494-I2494)</f>
        <v/>
      </c>
    </row>
    <row r="2495" customFormat="false" ht="15" hidden="false" customHeight="true" outlineLevel="0" collapsed="false">
      <c r="A2495" s="7"/>
      <c r="B2495" s="18" t="str">
        <f aca="false">IF(A2495="","",IFERROR(INDEX(Sales_Memo!$B$2:$B$1001,MATCH(A2495,Sales_Memo!$A$2:$A$1001,0)),""))</f>
        <v/>
      </c>
      <c r="C2495" s="7"/>
      <c r="D2495" s="16" t="str">
        <f aca="false">IF(C2495="","",IFERROR(INDEX(Products!$B$2:$B$501,MATCH(C2495,Products!$A$2:$A$501,0)),"CODE NOT FOUND"))</f>
        <v/>
      </c>
      <c r="E2495" s="7"/>
      <c r="F2495" s="13"/>
      <c r="G2495" s="13"/>
      <c r="H2495" s="17" t="str">
        <f aca="false">IF(OR(E2495="",F2495=""),"",E2495*F2495)</f>
        <v/>
      </c>
      <c r="I2495" s="17" t="str">
        <f aca="false">IF(OR(E2495="",G2495=""),"",E2495*G2495)</f>
        <v/>
      </c>
      <c r="J2495" s="17" t="str">
        <f aca="false">IF(H2495="","",H2495-I2495)</f>
        <v/>
      </c>
    </row>
    <row r="2496" customFormat="false" ht="15" hidden="false" customHeight="true" outlineLevel="0" collapsed="false">
      <c r="A2496" s="7"/>
      <c r="B2496" s="18" t="str">
        <f aca="false">IF(A2496="","",IFERROR(INDEX(Sales_Memo!$B$2:$B$1001,MATCH(A2496,Sales_Memo!$A$2:$A$1001,0)),""))</f>
        <v/>
      </c>
      <c r="C2496" s="7"/>
      <c r="D2496" s="16" t="str">
        <f aca="false">IF(C2496="","",IFERROR(INDEX(Products!$B$2:$B$501,MATCH(C2496,Products!$A$2:$A$501,0)),"CODE NOT FOUND"))</f>
        <v/>
      </c>
      <c r="E2496" s="7"/>
      <c r="F2496" s="13"/>
      <c r="G2496" s="13"/>
      <c r="H2496" s="17" t="str">
        <f aca="false">IF(OR(E2496="",F2496=""),"",E2496*F2496)</f>
        <v/>
      </c>
      <c r="I2496" s="17" t="str">
        <f aca="false">IF(OR(E2496="",G2496=""),"",E2496*G2496)</f>
        <v/>
      </c>
      <c r="J2496" s="17" t="str">
        <f aca="false">IF(H2496="","",H2496-I2496)</f>
        <v/>
      </c>
    </row>
    <row r="2497" customFormat="false" ht="15" hidden="false" customHeight="true" outlineLevel="0" collapsed="false">
      <c r="A2497" s="7"/>
      <c r="B2497" s="18" t="str">
        <f aca="false">IF(A2497="","",IFERROR(INDEX(Sales_Memo!$B$2:$B$1001,MATCH(A2497,Sales_Memo!$A$2:$A$1001,0)),""))</f>
        <v/>
      </c>
      <c r="C2497" s="7"/>
      <c r="D2497" s="16" t="str">
        <f aca="false">IF(C2497="","",IFERROR(INDEX(Products!$B$2:$B$501,MATCH(C2497,Products!$A$2:$A$501,0)),"CODE NOT FOUND"))</f>
        <v/>
      </c>
      <c r="E2497" s="7"/>
      <c r="F2497" s="13"/>
      <c r="G2497" s="13"/>
      <c r="H2497" s="17" t="str">
        <f aca="false">IF(OR(E2497="",F2497=""),"",E2497*F2497)</f>
        <v/>
      </c>
      <c r="I2497" s="17" t="str">
        <f aca="false">IF(OR(E2497="",G2497=""),"",E2497*G2497)</f>
        <v/>
      </c>
      <c r="J2497" s="17" t="str">
        <f aca="false">IF(H2497="","",H2497-I2497)</f>
        <v/>
      </c>
    </row>
    <row r="2498" customFormat="false" ht="15" hidden="false" customHeight="true" outlineLevel="0" collapsed="false">
      <c r="A2498" s="7"/>
      <c r="B2498" s="18" t="str">
        <f aca="false">IF(A2498="","",IFERROR(INDEX(Sales_Memo!$B$2:$B$1001,MATCH(A2498,Sales_Memo!$A$2:$A$1001,0)),""))</f>
        <v/>
      </c>
      <c r="C2498" s="7"/>
      <c r="D2498" s="16" t="str">
        <f aca="false">IF(C2498="","",IFERROR(INDEX(Products!$B$2:$B$501,MATCH(C2498,Products!$A$2:$A$501,0)),"CODE NOT FOUND"))</f>
        <v/>
      </c>
      <c r="E2498" s="7"/>
      <c r="F2498" s="13"/>
      <c r="G2498" s="13"/>
      <c r="H2498" s="17" t="str">
        <f aca="false">IF(OR(E2498="",F2498=""),"",E2498*F2498)</f>
        <v/>
      </c>
      <c r="I2498" s="17" t="str">
        <f aca="false">IF(OR(E2498="",G2498=""),"",E2498*G2498)</f>
        <v/>
      </c>
      <c r="J2498" s="17" t="str">
        <f aca="false">IF(H2498="","",H2498-I2498)</f>
        <v/>
      </c>
    </row>
    <row r="2499" customFormat="false" ht="15" hidden="false" customHeight="true" outlineLevel="0" collapsed="false">
      <c r="A2499" s="7"/>
      <c r="B2499" s="18" t="str">
        <f aca="false">IF(A2499="","",IFERROR(INDEX(Sales_Memo!$B$2:$B$1001,MATCH(A2499,Sales_Memo!$A$2:$A$1001,0)),""))</f>
        <v/>
      </c>
      <c r="C2499" s="7"/>
      <c r="D2499" s="16" t="str">
        <f aca="false">IF(C2499="","",IFERROR(INDEX(Products!$B$2:$B$501,MATCH(C2499,Products!$A$2:$A$501,0)),"CODE NOT FOUND"))</f>
        <v/>
      </c>
      <c r="E2499" s="7"/>
      <c r="F2499" s="13"/>
      <c r="G2499" s="13"/>
      <c r="H2499" s="17" t="str">
        <f aca="false">IF(OR(E2499="",F2499=""),"",E2499*F2499)</f>
        <v/>
      </c>
      <c r="I2499" s="17" t="str">
        <f aca="false">IF(OR(E2499="",G2499=""),"",E2499*G2499)</f>
        <v/>
      </c>
      <c r="J2499" s="17" t="str">
        <f aca="false">IF(H2499="","",H2499-I2499)</f>
        <v/>
      </c>
    </row>
    <row r="2500" customFormat="false" ht="15" hidden="false" customHeight="true" outlineLevel="0" collapsed="false">
      <c r="A2500" s="7"/>
      <c r="B2500" s="18" t="str">
        <f aca="false">IF(A2500="","",IFERROR(INDEX(Sales_Memo!$B$2:$B$1001,MATCH(A2500,Sales_Memo!$A$2:$A$1001,0)),""))</f>
        <v/>
      </c>
      <c r="C2500" s="7"/>
      <c r="D2500" s="16" t="str">
        <f aca="false">IF(C2500="","",IFERROR(INDEX(Products!$B$2:$B$501,MATCH(C2500,Products!$A$2:$A$501,0)),"CODE NOT FOUND"))</f>
        <v/>
      </c>
      <c r="E2500" s="7"/>
      <c r="F2500" s="13"/>
      <c r="G2500" s="13"/>
      <c r="H2500" s="17" t="str">
        <f aca="false">IF(OR(E2500="",F2500=""),"",E2500*F2500)</f>
        <v/>
      </c>
      <c r="I2500" s="17" t="str">
        <f aca="false">IF(OR(E2500="",G2500=""),"",E2500*G2500)</f>
        <v/>
      </c>
      <c r="J2500" s="17" t="str">
        <f aca="false">IF(H2500="","",H2500-I2500)</f>
        <v/>
      </c>
    </row>
    <row r="2501" customFormat="false" ht="15" hidden="false" customHeight="true" outlineLevel="0" collapsed="false">
      <c r="A2501" s="7"/>
      <c r="B2501" s="18" t="str">
        <f aca="false">IF(A2501="","",IFERROR(INDEX(Sales_Memo!$B$2:$B$1001,MATCH(A2501,Sales_Memo!$A$2:$A$1001,0)),""))</f>
        <v/>
      </c>
      <c r="C2501" s="7"/>
      <c r="D2501" s="16" t="str">
        <f aca="false">IF(C2501="","",IFERROR(INDEX(Products!$B$2:$B$501,MATCH(C2501,Products!$A$2:$A$501,0)),"CODE NOT FOUND"))</f>
        <v/>
      </c>
      <c r="E2501" s="7"/>
      <c r="F2501" s="13"/>
      <c r="G2501" s="13"/>
      <c r="H2501" s="17" t="str">
        <f aca="false">IF(OR(E2501="",F2501=""),"",E2501*F2501)</f>
        <v/>
      </c>
      <c r="I2501" s="17" t="str">
        <f aca="false">IF(OR(E2501="",G2501=""),"",E2501*G2501)</f>
        <v/>
      </c>
      <c r="J2501" s="17" t="str">
        <f aca="false">IF(H2501="","",H2501-I2501)</f>
        <v/>
      </c>
    </row>
    <row r="2502" customFormat="false" ht="15" hidden="false" customHeight="true" outlineLevel="0" collapsed="false">
      <c r="A2502" s="7"/>
      <c r="B2502" s="18" t="str">
        <f aca="false">IF(A2502="","",IFERROR(INDEX(Sales_Memo!$B$2:$B$1001,MATCH(A2502,Sales_Memo!$A$2:$A$1001,0)),""))</f>
        <v/>
      </c>
      <c r="C2502" s="7"/>
      <c r="D2502" s="16" t="str">
        <f aca="false">IF(C2502="","",IFERROR(INDEX(Products!$B$2:$B$501,MATCH(C2502,Products!$A$2:$A$501,0)),"CODE NOT FOUND"))</f>
        <v/>
      </c>
      <c r="E2502" s="7"/>
      <c r="F2502" s="13"/>
      <c r="G2502" s="13"/>
      <c r="H2502" s="17" t="str">
        <f aca="false">IF(OR(E2502="",F2502=""),"",E2502*F2502)</f>
        <v/>
      </c>
      <c r="I2502" s="17" t="str">
        <f aca="false">IF(OR(E2502="",G2502=""),"",E2502*G2502)</f>
        <v/>
      </c>
      <c r="J2502" s="17" t="str">
        <f aca="false">IF(H2502="","",H2502-I2502)</f>
        <v/>
      </c>
    </row>
    <row r="2503" customFormat="false" ht="15" hidden="false" customHeight="true" outlineLevel="0" collapsed="false">
      <c r="A2503" s="7"/>
      <c r="B2503" s="18" t="str">
        <f aca="false">IF(A2503="","",IFERROR(INDEX(Sales_Memo!$B$2:$B$1001,MATCH(A2503,Sales_Memo!$A$2:$A$1001,0)),""))</f>
        <v/>
      </c>
      <c r="C2503" s="7"/>
      <c r="D2503" s="16" t="str">
        <f aca="false">IF(C2503="","",IFERROR(INDEX(Products!$B$2:$B$501,MATCH(C2503,Products!$A$2:$A$501,0)),"CODE NOT FOUND"))</f>
        <v/>
      </c>
      <c r="E2503" s="7"/>
      <c r="F2503" s="13"/>
      <c r="G2503" s="13"/>
      <c r="H2503" s="17" t="str">
        <f aca="false">IF(OR(E2503="",F2503=""),"",E2503*F2503)</f>
        <v/>
      </c>
      <c r="I2503" s="17" t="str">
        <f aca="false">IF(OR(E2503="",G2503=""),"",E2503*G2503)</f>
        <v/>
      </c>
      <c r="J2503" s="17" t="str">
        <f aca="false">IF(H2503="","",H2503-I2503)</f>
        <v/>
      </c>
    </row>
    <row r="2504" customFormat="false" ht="15" hidden="false" customHeight="true" outlineLevel="0" collapsed="false">
      <c r="A2504" s="7"/>
      <c r="B2504" s="18" t="str">
        <f aca="false">IF(A2504="","",IFERROR(INDEX(Sales_Memo!$B$2:$B$1001,MATCH(A2504,Sales_Memo!$A$2:$A$1001,0)),""))</f>
        <v/>
      </c>
      <c r="C2504" s="7"/>
      <c r="D2504" s="16" t="str">
        <f aca="false">IF(C2504="","",IFERROR(INDEX(Products!$B$2:$B$501,MATCH(C2504,Products!$A$2:$A$501,0)),"CODE NOT FOUND"))</f>
        <v/>
      </c>
      <c r="E2504" s="7"/>
      <c r="F2504" s="13"/>
      <c r="G2504" s="13"/>
      <c r="H2504" s="17" t="str">
        <f aca="false">IF(OR(E2504="",F2504=""),"",E2504*F2504)</f>
        <v/>
      </c>
      <c r="I2504" s="17" t="str">
        <f aca="false">IF(OR(E2504="",G2504=""),"",E2504*G2504)</f>
        <v/>
      </c>
      <c r="J2504" s="17" t="str">
        <f aca="false">IF(H2504="","",H2504-I2504)</f>
        <v/>
      </c>
    </row>
    <row r="2505" customFormat="false" ht="15" hidden="false" customHeight="true" outlineLevel="0" collapsed="false">
      <c r="A2505" s="7"/>
      <c r="B2505" s="18" t="str">
        <f aca="false">IF(A2505="","",IFERROR(INDEX(Sales_Memo!$B$2:$B$1001,MATCH(A2505,Sales_Memo!$A$2:$A$1001,0)),""))</f>
        <v/>
      </c>
      <c r="C2505" s="7"/>
      <c r="D2505" s="16" t="str">
        <f aca="false">IF(C2505="","",IFERROR(INDEX(Products!$B$2:$B$501,MATCH(C2505,Products!$A$2:$A$501,0)),"CODE NOT FOUND"))</f>
        <v/>
      </c>
      <c r="E2505" s="7"/>
      <c r="F2505" s="13"/>
      <c r="G2505" s="13"/>
      <c r="H2505" s="17" t="str">
        <f aca="false">IF(OR(E2505="",F2505=""),"",E2505*F2505)</f>
        <v/>
      </c>
      <c r="I2505" s="17" t="str">
        <f aca="false">IF(OR(E2505="",G2505=""),"",E2505*G2505)</f>
        <v/>
      </c>
      <c r="J2505" s="17" t="str">
        <f aca="false">IF(H2505="","",H2505-I2505)</f>
        <v/>
      </c>
    </row>
    <row r="2506" customFormat="false" ht="15" hidden="false" customHeight="true" outlineLevel="0" collapsed="false">
      <c r="A2506" s="7"/>
      <c r="B2506" s="18" t="str">
        <f aca="false">IF(A2506="","",IFERROR(INDEX(Sales_Memo!$B$2:$B$1001,MATCH(A2506,Sales_Memo!$A$2:$A$1001,0)),""))</f>
        <v/>
      </c>
      <c r="C2506" s="7"/>
      <c r="D2506" s="16" t="str">
        <f aca="false">IF(C2506="","",IFERROR(INDEX(Products!$B$2:$B$501,MATCH(C2506,Products!$A$2:$A$501,0)),"CODE NOT FOUND"))</f>
        <v/>
      </c>
      <c r="E2506" s="7"/>
      <c r="F2506" s="13"/>
      <c r="G2506" s="13"/>
      <c r="H2506" s="17" t="str">
        <f aca="false">IF(OR(E2506="",F2506=""),"",E2506*F2506)</f>
        <v/>
      </c>
      <c r="I2506" s="17" t="str">
        <f aca="false">IF(OR(E2506="",G2506=""),"",E2506*G2506)</f>
        <v/>
      </c>
      <c r="J2506" s="17" t="str">
        <f aca="false">IF(H2506="","",H2506-I2506)</f>
        <v/>
      </c>
    </row>
    <row r="2507" customFormat="false" ht="15" hidden="false" customHeight="true" outlineLevel="0" collapsed="false">
      <c r="A2507" s="7"/>
      <c r="B2507" s="18" t="str">
        <f aca="false">IF(A2507="","",IFERROR(INDEX(Sales_Memo!$B$2:$B$1001,MATCH(A2507,Sales_Memo!$A$2:$A$1001,0)),""))</f>
        <v/>
      </c>
      <c r="C2507" s="7"/>
      <c r="D2507" s="16" t="str">
        <f aca="false">IF(C2507="","",IFERROR(INDEX(Products!$B$2:$B$501,MATCH(C2507,Products!$A$2:$A$501,0)),"CODE NOT FOUND"))</f>
        <v/>
      </c>
      <c r="E2507" s="7"/>
      <c r="F2507" s="13"/>
      <c r="G2507" s="13"/>
      <c r="H2507" s="17" t="str">
        <f aca="false">IF(OR(E2507="",F2507=""),"",E2507*F2507)</f>
        <v/>
      </c>
      <c r="I2507" s="17" t="str">
        <f aca="false">IF(OR(E2507="",G2507=""),"",E2507*G2507)</f>
        <v/>
      </c>
      <c r="J2507" s="17" t="str">
        <f aca="false">IF(H2507="","",H2507-I2507)</f>
        <v/>
      </c>
    </row>
    <row r="2508" customFormat="false" ht="15" hidden="false" customHeight="true" outlineLevel="0" collapsed="false">
      <c r="A2508" s="7"/>
      <c r="B2508" s="18" t="str">
        <f aca="false">IF(A2508="","",IFERROR(INDEX(Sales_Memo!$B$2:$B$1001,MATCH(A2508,Sales_Memo!$A$2:$A$1001,0)),""))</f>
        <v/>
      </c>
      <c r="C2508" s="7"/>
      <c r="D2508" s="16" t="str">
        <f aca="false">IF(C2508="","",IFERROR(INDEX(Products!$B$2:$B$501,MATCH(C2508,Products!$A$2:$A$501,0)),"CODE NOT FOUND"))</f>
        <v/>
      </c>
      <c r="E2508" s="7"/>
      <c r="F2508" s="13"/>
      <c r="G2508" s="13"/>
      <c r="H2508" s="17" t="str">
        <f aca="false">IF(OR(E2508="",F2508=""),"",E2508*F2508)</f>
        <v/>
      </c>
      <c r="I2508" s="17" t="str">
        <f aca="false">IF(OR(E2508="",G2508=""),"",E2508*G2508)</f>
        <v/>
      </c>
      <c r="J2508" s="17" t="str">
        <f aca="false">IF(H2508="","",H2508-I2508)</f>
        <v/>
      </c>
    </row>
    <row r="2509" customFormat="false" ht="15" hidden="false" customHeight="true" outlineLevel="0" collapsed="false">
      <c r="A2509" s="7"/>
      <c r="B2509" s="18" t="str">
        <f aca="false">IF(A2509="","",IFERROR(INDEX(Sales_Memo!$B$2:$B$1001,MATCH(A2509,Sales_Memo!$A$2:$A$1001,0)),""))</f>
        <v/>
      </c>
      <c r="C2509" s="7"/>
      <c r="D2509" s="16" t="str">
        <f aca="false">IF(C2509="","",IFERROR(INDEX(Products!$B$2:$B$501,MATCH(C2509,Products!$A$2:$A$501,0)),"CODE NOT FOUND"))</f>
        <v/>
      </c>
      <c r="E2509" s="7"/>
      <c r="F2509" s="13"/>
      <c r="G2509" s="13"/>
      <c r="H2509" s="17" t="str">
        <f aca="false">IF(OR(E2509="",F2509=""),"",E2509*F2509)</f>
        <v/>
      </c>
      <c r="I2509" s="17" t="str">
        <f aca="false">IF(OR(E2509="",G2509=""),"",E2509*G2509)</f>
        <v/>
      </c>
      <c r="J2509" s="17" t="str">
        <f aca="false">IF(H2509="","",H2509-I2509)</f>
        <v/>
      </c>
    </row>
    <row r="2510" customFormat="false" ht="15" hidden="false" customHeight="true" outlineLevel="0" collapsed="false">
      <c r="A2510" s="7"/>
      <c r="B2510" s="18" t="str">
        <f aca="false">IF(A2510="","",IFERROR(INDEX(Sales_Memo!$B$2:$B$1001,MATCH(A2510,Sales_Memo!$A$2:$A$1001,0)),""))</f>
        <v/>
      </c>
      <c r="C2510" s="7"/>
      <c r="D2510" s="16" t="str">
        <f aca="false">IF(C2510="","",IFERROR(INDEX(Products!$B$2:$B$501,MATCH(C2510,Products!$A$2:$A$501,0)),"CODE NOT FOUND"))</f>
        <v/>
      </c>
      <c r="E2510" s="7"/>
      <c r="F2510" s="13"/>
      <c r="G2510" s="13"/>
      <c r="H2510" s="17" t="str">
        <f aca="false">IF(OR(E2510="",F2510=""),"",E2510*F2510)</f>
        <v/>
      </c>
      <c r="I2510" s="17" t="str">
        <f aca="false">IF(OR(E2510="",G2510=""),"",E2510*G2510)</f>
        <v/>
      </c>
      <c r="J2510" s="17" t="str">
        <f aca="false">IF(H2510="","",H2510-I2510)</f>
        <v/>
      </c>
    </row>
    <row r="2511" customFormat="false" ht="15" hidden="false" customHeight="true" outlineLevel="0" collapsed="false">
      <c r="A2511" s="7"/>
      <c r="B2511" s="18" t="str">
        <f aca="false">IF(A2511="","",IFERROR(INDEX(Sales_Memo!$B$2:$B$1001,MATCH(A2511,Sales_Memo!$A$2:$A$1001,0)),""))</f>
        <v/>
      </c>
      <c r="C2511" s="7"/>
      <c r="D2511" s="16" t="str">
        <f aca="false">IF(C2511="","",IFERROR(INDEX(Products!$B$2:$B$501,MATCH(C2511,Products!$A$2:$A$501,0)),"CODE NOT FOUND"))</f>
        <v/>
      </c>
      <c r="E2511" s="7"/>
      <c r="F2511" s="13"/>
      <c r="G2511" s="13"/>
      <c r="H2511" s="17" t="str">
        <f aca="false">IF(OR(E2511="",F2511=""),"",E2511*F2511)</f>
        <v/>
      </c>
      <c r="I2511" s="17" t="str">
        <f aca="false">IF(OR(E2511="",G2511=""),"",E2511*G2511)</f>
        <v/>
      </c>
      <c r="J2511" s="17" t="str">
        <f aca="false">IF(H2511="","",H2511-I2511)</f>
        <v/>
      </c>
    </row>
    <row r="2512" customFormat="false" ht="15" hidden="false" customHeight="true" outlineLevel="0" collapsed="false">
      <c r="A2512" s="7"/>
      <c r="B2512" s="18" t="str">
        <f aca="false">IF(A2512="","",IFERROR(INDEX(Sales_Memo!$B$2:$B$1001,MATCH(A2512,Sales_Memo!$A$2:$A$1001,0)),""))</f>
        <v/>
      </c>
      <c r="C2512" s="7"/>
      <c r="D2512" s="16" t="str">
        <f aca="false">IF(C2512="","",IFERROR(INDEX(Products!$B$2:$B$501,MATCH(C2512,Products!$A$2:$A$501,0)),"CODE NOT FOUND"))</f>
        <v/>
      </c>
      <c r="E2512" s="7"/>
      <c r="F2512" s="13"/>
      <c r="G2512" s="13"/>
      <c r="H2512" s="17" t="str">
        <f aca="false">IF(OR(E2512="",F2512=""),"",E2512*F2512)</f>
        <v/>
      </c>
      <c r="I2512" s="17" t="str">
        <f aca="false">IF(OR(E2512="",G2512=""),"",E2512*G2512)</f>
        <v/>
      </c>
      <c r="J2512" s="17" t="str">
        <f aca="false">IF(H2512="","",H2512-I2512)</f>
        <v/>
      </c>
    </row>
    <row r="2513" customFormat="false" ht="15" hidden="false" customHeight="true" outlineLevel="0" collapsed="false">
      <c r="A2513" s="7"/>
      <c r="B2513" s="18" t="str">
        <f aca="false">IF(A2513="","",IFERROR(INDEX(Sales_Memo!$B$2:$B$1001,MATCH(A2513,Sales_Memo!$A$2:$A$1001,0)),""))</f>
        <v/>
      </c>
      <c r="C2513" s="7"/>
      <c r="D2513" s="16" t="str">
        <f aca="false">IF(C2513="","",IFERROR(INDEX(Products!$B$2:$B$501,MATCH(C2513,Products!$A$2:$A$501,0)),"CODE NOT FOUND"))</f>
        <v/>
      </c>
      <c r="E2513" s="7"/>
      <c r="F2513" s="13"/>
      <c r="G2513" s="13"/>
      <c r="H2513" s="17" t="str">
        <f aca="false">IF(OR(E2513="",F2513=""),"",E2513*F2513)</f>
        <v/>
      </c>
      <c r="I2513" s="17" t="str">
        <f aca="false">IF(OR(E2513="",G2513=""),"",E2513*G2513)</f>
        <v/>
      </c>
      <c r="J2513" s="17" t="str">
        <f aca="false">IF(H2513="","",H2513-I2513)</f>
        <v/>
      </c>
    </row>
    <row r="2514" customFormat="false" ht="15" hidden="false" customHeight="true" outlineLevel="0" collapsed="false">
      <c r="A2514" s="7"/>
      <c r="B2514" s="18" t="str">
        <f aca="false">IF(A2514="","",IFERROR(INDEX(Sales_Memo!$B$2:$B$1001,MATCH(A2514,Sales_Memo!$A$2:$A$1001,0)),""))</f>
        <v/>
      </c>
      <c r="C2514" s="7"/>
      <c r="D2514" s="16" t="str">
        <f aca="false">IF(C2514="","",IFERROR(INDEX(Products!$B$2:$B$501,MATCH(C2514,Products!$A$2:$A$501,0)),"CODE NOT FOUND"))</f>
        <v/>
      </c>
      <c r="E2514" s="7"/>
      <c r="F2514" s="13"/>
      <c r="G2514" s="13"/>
      <c r="H2514" s="17" t="str">
        <f aca="false">IF(OR(E2514="",F2514=""),"",E2514*F2514)</f>
        <v/>
      </c>
      <c r="I2514" s="17" t="str">
        <f aca="false">IF(OR(E2514="",G2514=""),"",E2514*G2514)</f>
        <v/>
      </c>
      <c r="J2514" s="17" t="str">
        <f aca="false">IF(H2514="","",H2514-I2514)</f>
        <v/>
      </c>
    </row>
    <row r="2515" customFormat="false" ht="15" hidden="false" customHeight="true" outlineLevel="0" collapsed="false">
      <c r="A2515" s="7"/>
      <c r="B2515" s="18" t="str">
        <f aca="false">IF(A2515="","",IFERROR(INDEX(Sales_Memo!$B$2:$B$1001,MATCH(A2515,Sales_Memo!$A$2:$A$1001,0)),""))</f>
        <v/>
      </c>
      <c r="C2515" s="7"/>
      <c r="D2515" s="16" t="str">
        <f aca="false">IF(C2515="","",IFERROR(INDEX(Products!$B$2:$B$501,MATCH(C2515,Products!$A$2:$A$501,0)),"CODE NOT FOUND"))</f>
        <v/>
      </c>
      <c r="E2515" s="7"/>
      <c r="F2515" s="13"/>
      <c r="G2515" s="13"/>
      <c r="H2515" s="17" t="str">
        <f aca="false">IF(OR(E2515="",F2515=""),"",E2515*F2515)</f>
        <v/>
      </c>
      <c r="I2515" s="17" t="str">
        <f aca="false">IF(OR(E2515="",G2515=""),"",E2515*G2515)</f>
        <v/>
      </c>
      <c r="J2515" s="17" t="str">
        <f aca="false">IF(H2515="","",H2515-I2515)</f>
        <v/>
      </c>
    </row>
    <row r="2516" customFormat="false" ht="15" hidden="false" customHeight="true" outlineLevel="0" collapsed="false">
      <c r="A2516" s="7"/>
      <c r="B2516" s="18" t="str">
        <f aca="false">IF(A2516="","",IFERROR(INDEX(Sales_Memo!$B$2:$B$1001,MATCH(A2516,Sales_Memo!$A$2:$A$1001,0)),""))</f>
        <v/>
      </c>
      <c r="C2516" s="7"/>
      <c r="D2516" s="16" t="str">
        <f aca="false">IF(C2516="","",IFERROR(INDEX(Products!$B$2:$B$501,MATCH(C2516,Products!$A$2:$A$501,0)),"CODE NOT FOUND"))</f>
        <v/>
      </c>
      <c r="E2516" s="7"/>
      <c r="F2516" s="13"/>
      <c r="G2516" s="13"/>
      <c r="H2516" s="17" t="str">
        <f aca="false">IF(OR(E2516="",F2516=""),"",E2516*F2516)</f>
        <v/>
      </c>
      <c r="I2516" s="17" t="str">
        <f aca="false">IF(OR(E2516="",G2516=""),"",E2516*G2516)</f>
        <v/>
      </c>
      <c r="J2516" s="17" t="str">
        <f aca="false">IF(H2516="","",H2516-I2516)</f>
        <v/>
      </c>
    </row>
    <row r="2517" customFormat="false" ht="15" hidden="false" customHeight="true" outlineLevel="0" collapsed="false">
      <c r="A2517" s="7"/>
      <c r="B2517" s="18" t="str">
        <f aca="false">IF(A2517="","",IFERROR(INDEX(Sales_Memo!$B$2:$B$1001,MATCH(A2517,Sales_Memo!$A$2:$A$1001,0)),""))</f>
        <v/>
      </c>
      <c r="C2517" s="7"/>
      <c r="D2517" s="16" t="str">
        <f aca="false">IF(C2517="","",IFERROR(INDEX(Products!$B$2:$B$501,MATCH(C2517,Products!$A$2:$A$501,0)),"CODE NOT FOUND"))</f>
        <v/>
      </c>
      <c r="E2517" s="7"/>
      <c r="F2517" s="13"/>
      <c r="G2517" s="13"/>
      <c r="H2517" s="17" t="str">
        <f aca="false">IF(OR(E2517="",F2517=""),"",E2517*F2517)</f>
        <v/>
      </c>
      <c r="I2517" s="17" t="str">
        <f aca="false">IF(OR(E2517="",G2517=""),"",E2517*G2517)</f>
        <v/>
      </c>
      <c r="J2517" s="17" t="str">
        <f aca="false">IF(H2517="","",H2517-I2517)</f>
        <v/>
      </c>
    </row>
    <row r="2518" customFormat="false" ht="15" hidden="false" customHeight="true" outlineLevel="0" collapsed="false">
      <c r="A2518" s="7"/>
      <c r="B2518" s="18" t="str">
        <f aca="false">IF(A2518="","",IFERROR(INDEX(Sales_Memo!$B$2:$B$1001,MATCH(A2518,Sales_Memo!$A$2:$A$1001,0)),""))</f>
        <v/>
      </c>
      <c r="C2518" s="7"/>
      <c r="D2518" s="16" t="str">
        <f aca="false">IF(C2518="","",IFERROR(INDEX(Products!$B$2:$B$501,MATCH(C2518,Products!$A$2:$A$501,0)),"CODE NOT FOUND"))</f>
        <v/>
      </c>
      <c r="E2518" s="7"/>
      <c r="F2518" s="13"/>
      <c r="G2518" s="13"/>
      <c r="H2518" s="17" t="str">
        <f aca="false">IF(OR(E2518="",F2518=""),"",E2518*F2518)</f>
        <v/>
      </c>
      <c r="I2518" s="17" t="str">
        <f aca="false">IF(OR(E2518="",G2518=""),"",E2518*G2518)</f>
        <v/>
      </c>
      <c r="J2518" s="17" t="str">
        <f aca="false">IF(H2518="","",H2518-I2518)</f>
        <v/>
      </c>
    </row>
    <row r="2519" customFormat="false" ht="15" hidden="false" customHeight="true" outlineLevel="0" collapsed="false">
      <c r="A2519" s="7"/>
      <c r="B2519" s="18" t="str">
        <f aca="false">IF(A2519="","",IFERROR(INDEX(Sales_Memo!$B$2:$B$1001,MATCH(A2519,Sales_Memo!$A$2:$A$1001,0)),""))</f>
        <v/>
      </c>
      <c r="C2519" s="7"/>
      <c r="D2519" s="16" t="str">
        <f aca="false">IF(C2519="","",IFERROR(INDEX(Products!$B$2:$B$501,MATCH(C2519,Products!$A$2:$A$501,0)),"CODE NOT FOUND"))</f>
        <v/>
      </c>
      <c r="E2519" s="7"/>
      <c r="F2519" s="13"/>
      <c r="G2519" s="13"/>
      <c r="H2519" s="17" t="str">
        <f aca="false">IF(OR(E2519="",F2519=""),"",E2519*F2519)</f>
        <v/>
      </c>
      <c r="I2519" s="17" t="str">
        <f aca="false">IF(OR(E2519="",G2519=""),"",E2519*G2519)</f>
        <v/>
      </c>
      <c r="J2519" s="17" t="str">
        <f aca="false">IF(H2519="","",H2519-I2519)</f>
        <v/>
      </c>
    </row>
    <row r="2520" customFormat="false" ht="15" hidden="false" customHeight="true" outlineLevel="0" collapsed="false">
      <c r="A2520" s="7"/>
      <c r="B2520" s="18" t="str">
        <f aca="false">IF(A2520="","",IFERROR(INDEX(Sales_Memo!$B$2:$B$1001,MATCH(A2520,Sales_Memo!$A$2:$A$1001,0)),""))</f>
        <v/>
      </c>
      <c r="C2520" s="7"/>
      <c r="D2520" s="16" t="str">
        <f aca="false">IF(C2520="","",IFERROR(INDEX(Products!$B$2:$B$501,MATCH(C2520,Products!$A$2:$A$501,0)),"CODE NOT FOUND"))</f>
        <v/>
      </c>
      <c r="E2520" s="7"/>
      <c r="F2520" s="13"/>
      <c r="G2520" s="13"/>
      <c r="H2520" s="17" t="str">
        <f aca="false">IF(OR(E2520="",F2520=""),"",E2520*F2520)</f>
        <v/>
      </c>
      <c r="I2520" s="17" t="str">
        <f aca="false">IF(OR(E2520="",G2520=""),"",E2520*G2520)</f>
        <v/>
      </c>
      <c r="J2520" s="17" t="str">
        <f aca="false">IF(H2520="","",H2520-I2520)</f>
        <v/>
      </c>
    </row>
    <row r="2521" customFormat="false" ht="15" hidden="false" customHeight="true" outlineLevel="0" collapsed="false">
      <c r="A2521" s="7"/>
      <c r="B2521" s="18" t="str">
        <f aca="false">IF(A2521="","",IFERROR(INDEX(Sales_Memo!$B$2:$B$1001,MATCH(A2521,Sales_Memo!$A$2:$A$1001,0)),""))</f>
        <v/>
      </c>
      <c r="C2521" s="7"/>
      <c r="D2521" s="16" t="str">
        <f aca="false">IF(C2521="","",IFERROR(INDEX(Products!$B$2:$B$501,MATCH(C2521,Products!$A$2:$A$501,0)),"CODE NOT FOUND"))</f>
        <v/>
      </c>
      <c r="E2521" s="7"/>
      <c r="F2521" s="13"/>
      <c r="G2521" s="13"/>
      <c r="H2521" s="17" t="str">
        <f aca="false">IF(OR(E2521="",F2521=""),"",E2521*F2521)</f>
        <v/>
      </c>
      <c r="I2521" s="17" t="str">
        <f aca="false">IF(OR(E2521="",G2521=""),"",E2521*G2521)</f>
        <v/>
      </c>
      <c r="J2521" s="17" t="str">
        <f aca="false">IF(H2521="","",H2521-I2521)</f>
        <v/>
      </c>
    </row>
    <row r="2522" customFormat="false" ht="15" hidden="false" customHeight="true" outlineLevel="0" collapsed="false">
      <c r="A2522" s="7"/>
      <c r="B2522" s="18" t="str">
        <f aca="false">IF(A2522="","",IFERROR(INDEX(Sales_Memo!$B$2:$B$1001,MATCH(A2522,Sales_Memo!$A$2:$A$1001,0)),""))</f>
        <v/>
      </c>
      <c r="C2522" s="7"/>
      <c r="D2522" s="16" t="str">
        <f aca="false">IF(C2522="","",IFERROR(INDEX(Products!$B$2:$B$501,MATCH(C2522,Products!$A$2:$A$501,0)),"CODE NOT FOUND"))</f>
        <v/>
      </c>
      <c r="E2522" s="7"/>
      <c r="F2522" s="13"/>
      <c r="G2522" s="13"/>
      <c r="H2522" s="17" t="str">
        <f aca="false">IF(OR(E2522="",F2522=""),"",E2522*F2522)</f>
        <v/>
      </c>
      <c r="I2522" s="17" t="str">
        <f aca="false">IF(OR(E2522="",G2522=""),"",E2522*G2522)</f>
        <v/>
      </c>
      <c r="J2522" s="17" t="str">
        <f aca="false">IF(H2522="","",H2522-I2522)</f>
        <v/>
      </c>
    </row>
    <row r="2523" customFormat="false" ht="15" hidden="false" customHeight="true" outlineLevel="0" collapsed="false">
      <c r="A2523" s="7"/>
      <c r="B2523" s="18" t="str">
        <f aca="false">IF(A2523="","",IFERROR(INDEX(Sales_Memo!$B$2:$B$1001,MATCH(A2523,Sales_Memo!$A$2:$A$1001,0)),""))</f>
        <v/>
      </c>
      <c r="C2523" s="7"/>
      <c r="D2523" s="16" t="str">
        <f aca="false">IF(C2523="","",IFERROR(INDEX(Products!$B$2:$B$501,MATCH(C2523,Products!$A$2:$A$501,0)),"CODE NOT FOUND"))</f>
        <v/>
      </c>
      <c r="E2523" s="7"/>
      <c r="F2523" s="13"/>
      <c r="G2523" s="13"/>
      <c r="H2523" s="17" t="str">
        <f aca="false">IF(OR(E2523="",F2523=""),"",E2523*F2523)</f>
        <v/>
      </c>
      <c r="I2523" s="17" t="str">
        <f aca="false">IF(OR(E2523="",G2523=""),"",E2523*G2523)</f>
        <v/>
      </c>
      <c r="J2523" s="17" t="str">
        <f aca="false">IF(H2523="","",H2523-I2523)</f>
        <v/>
      </c>
    </row>
    <row r="2524" customFormat="false" ht="15" hidden="false" customHeight="true" outlineLevel="0" collapsed="false">
      <c r="A2524" s="7"/>
      <c r="B2524" s="18" t="str">
        <f aca="false">IF(A2524="","",IFERROR(INDEX(Sales_Memo!$B$2:$B$1001,MATCH(A2524,Sales_Memo!$A$2:$A$1001,0)),""))</f>
        <v/>
      </c>
      <c r="C2524" s="7"/>
      <c r="D2524" s="16" t="str">
        <f aca="false">IF(C2524="","",IFERROR(INDEX(Products!$B$2:$B$501,MATCH(C2524,Products!$A$2:$A$501,0)),"CODE NOT FOUND"))</f>
        <v/>
      </c>
      <c r="E2524" s="7"/>
      <c r="F2524" s="13"/>
      <c r="G2524" s="13"/>
      <c r="H2524" s="17" t="str">
        <f aca="false">IF(OR(E2524="",F2524=""),"",E2524*F2524)</f>
        <v/>
      </c>
      <c r="I2524" s="17" t="str">
        <f aca="false">IF(OR(E2524="",G2524=""),"",E2524*G2524)</f>
        <v/>
      </c>
      <c r="J2524" s="17" t="str">
        <f aca="false">IF(H2524="","",H2524-I2524)</f>
        <v/>
      </c>
    </row>
    <row r="2525" customFormat="false" ht="15" hidden="false" customHeight="true" outlineLevel="0" collapsed="false">
      <c r="A2525" s="7"/>
      <c r="B2525" s="18" t="str">
        <f aca="false">IF(A2525="","",IFERROR(INDEX(Sales_Memo!$B$2:$B$1001,MATCH(A2525,Sales_Memo!$A$2:$A$1001,0)),""))</f>
        <v/>
      </c>
      <c r="C2525" s="7"/>
      <c r="D2525" s="16" t="str">
        <f aca="false">IF(C2525="","",IFERROR(INDEX(Products!$B$2:$B$501,MATCH(C2525,Products!$A$2:$A$501,0)),"CODE NOT FOUND"))</f>
        <v/>
      </c>
      <c r="E2525" s="7"/>
      <c r="F2525" s="13"/>
      <c r="G2525" s="13"/>
      <c r="H2525" s="17" t="str">
        <f aca="false">IF(OR(E2525="",F2525=""),"",E2525*F2525)</f>
        <v/>
      </c>
      <c r="I2525" s="17" t="str">
        <f aca="false">IF(OR(E2525="",G2525=""),"",E2525*G2525)</f>
        <v/>
      </c>
      <c r="J2525" s="17" t="str">
        <f aca="false">IF(H2525="","",H2525-I2525)</f>
        <v/>
      </c>
    </row>
    <row r="2526" customFormat="false" ht="15" hidden="false" customHeight="true" outlineLevel="0" collapsed="false">
      <c r="A2526" s="7"/>
      <c r="B2526" s="18" t="str">
        <f aca="false">IF(A2526="","",IFERROR(INDEX(Sales_Memo!$B$2:$B$1001,MATCH(A2526,Sales_Memo!$A$2:$A$1001,0)),""))</f>
        <v/>
      </c>
      <c r="C2526" s="7"/>
      <c r="D2526" s="16" t="str">
        <f aca="false">IF(C2526="","",IFERROR(INDEX(Products!$B$2:$B$501,MATCH(C2526,Products!$A$2:$A$501,0)),"CODE NOT FOUND"))</f>
        <v/>
      </c>
      <c r="E2526" s="7"/>
      <c r="F2526" s="13"/>
      <c r="G2526" s="13"/>
      <c r="H2526" s="17" t="str">
        <f aca="false">IF(OR(E2526="",F2526=""),"",E2526*F2526)</f>
        <v/>
      </c>
      <c r="I2526" s="17" t="str">
        <f aca="false">IF(OR(E2526="",G2526=""),"",E2526*G2526)</f>
        <v/>
      </c>
      <c r="J2526" s="17" t="str">
        <f aca="false">IF(H2526="","",H2526-I2526)</f>
        <v/>
      </c>
    </row>
    <row r="2527" customFormat="false" ht="15" hidden="false" customHeight="true" outlineLevel="0" collapsed="false">
      <c r="A2527" s="7"/>
      <c r="B2527" s="18" t="str">
        <f aca="false">IF(A2527="","",IFERROR(INDEX(Sales_Memo!$B$2:$B$1001,MATCH(A2527,Sales_Memo!$A$2:$A$1001,0)),""))</f>
        <v/>
      </c>
      <c r="C2527" s="7"/>
      <c r="D2527" s="16" t="str">
        <f aca="false">IF(C2527="","",IFERROR(INDEX(Products!$B$2:$B$501,MATCH(C2527,Products!$A$2:$A$501,0)),"CODE NOT FOUND"))</f>
        <v/>
      </c>
      <c r="E2527" s="7"/>
      <c r="F2527" s="13"/>
      <c r="G2527" s="13"/>
      <c r="H2527" s="17" t="str">
        <f aca="false">IF(OR(E2527="",F2527=""),"",E2527*F2527)</f>
        <v/>
      </c>
      <c r="I2527" s="17" t="str">
        <f aca="false">IF(OR(E2527="",G2527=""),"",E2527*G2527)</f>
        <v/>
      </c>
      <c r="J2527" s="17" t="str">
        <f aca="false">IF(H2527="","",H2527-I2527)</f>
        <v/>
      </c>
    </row>
    <row r="2528" customFormat="false" ht="15" hidden="false" customHeight="true" outlineLevel="0" collapsed="false">
      <c r="A2528" s="7"/>
      <c r="B2528" s="18" t="str">
        <f aca="false">IF(A2528="","",IFERROR(INDEX(Sales_Memo!$B$2:$B$1001,MATCH(A2528,Sales_Memo!$A$2:$A$1001,0)),""))</f>
        <v/>
      </c>
      <c r="C2528" s="7"/>
      <c r="D2528" s="16" t="str">
        <f aca="false">IF(C2528="","",IFERROR(INDEX(Products!$B$2:$B$501,MATCH(C2528,Products!$A$2:$A$501,0)),"CODE NOT FOUND"))</f>
        <v/>
      </c>
      <c r="E2528" s="7"/>
      <c r="F2528" s="13"/>
      <c r="G2528" s="13"/>
      <c r="H2528" s="17" t="str">
        <f aca="false">IF(OR(E2528="",F2528=""),"",E2528*F2528)</f>
        <v/>
      </c>
      <c r="I2528" s="17" t="str">
        <f aca="false">IF(OR(E2528="",G2528=""),"",E2528*G2528)</f>
        <v/>
      </c>
      <c r="J2528" s="17" t="str">
        <f aca="false">IF(H2528="","",H2528-I2528)</f>
        <v/>
      </c>
    </row>
    <row r="2529" customFormat="false" ht="15" hidden="false" customHeight="true" outlineLevel="0" collapsed="false">
      <c r="A2529" s="7"/>
      <c r="B2529" s="18" t="str">
        <f aca="false">IF(A2529="","",IFERROR(INDEX(Sales_Memo!$B$2:$B$1001,MATCH(A2529,Sales_Memo!$A$2:$A$1001,0)),""))</f>
        <v/>
      </c>
      <c r="C2529" s="7"/>
      <c r="D2529" s="16" t="str">
        <f aca="false">IF(C2529="","",IFERROR(INDEX(Products!$B$2:$B$501,MATCH(C2529,Products!$A$2:$A$501,0)),"CODE NOT FOUND"))</f>
        <v/>
      </c>
      <c r="E2529" s="7"/>
      <c r="F2529" s="13"/>
      <c r="G2529" s="13"/>
      <c r="H2529" s="17" t="str">
        <f aca="false">IF(OR(E2529="",F2529=""),"",E2529*F2529)</f>
        <v/>
      </c>
      <c r="I2529" s="17" t="str">
        <f aca="false">IF(OR(E2529="",G2529=""),"",E2529*G2529)</f>
        <v/>
      </c>
      <c r="J2529" s="17" t="str">
        <f aca="false">IF(H2529="","",H2529-I2529)</f>
        <v/>
      </c>
    </row>
    <row r="2530" customFormat="false" ht="15" hidden="false" customHeight="true" outlineLevel="0" collapsed="false">
      <c r="A2530" s="7"/>
      <c r="B2530" s="18" t="str">
        <f aca="false">IF(A2530="","",IFERROR(INDEX(Sales_Memo!$B$2:$B$1001,MATCH(A2530,Sales_Memo!$A$2:$A$1001,0)),""))</f>
        <v/>
      </c>
      <c r="C2530" s="7"/>
      <c r="D2530" s="16" t="str">
        <f aca="false">IF(C2530="","",IFERROR(INDEX(Products!$B$2:$B$501,MATCH(C2530,Products!$A$2:$A$501,0)),"CODE NOT FOUND"))</f>
        <v/>
      </c>
      <c r="E2530" s="7"/>
      <c r="F2530" s="13"/>
      <c r="G2530" s="13"/>
      <c r="H2530" s="17" t="str">
        <f aca="false">IF(OR(E2530="",F2530=""),"",E2530*F2530)</f>
        <v/>
      </c>
      <c r="I2530" s="17" t="str">
        <f aca="false">IF(OR(E2530="",G2530=""),"",E2530*G2530)</f>
        <v/>
      </c>
      <c r="J2530" s="17" t="str">
        <f aca="false">IF(H2530="","",H2530-I2530)</f>
        <v/>
      </c>
    </row>
    <row r="2531" customFormat="false" ht="15" hidden="false" customHeight="true" outlineLevel="0" collapsed="false">
      <c r="A2531" s="7"/>
      <c r="B2531" s="18" t="str">
        <f aca="false">IF(A2531="","",IFERROR(INDEX(Sales_Memo!$B$2:$B$1001,MATCH(A2531,Sales_Memo!$A$2:$A$1001,0)),""))</f>
        <v/>
      </c>
      <c r="C2531" s="7"/>
      <c r="D2531" s="16" t="str">
        <f aca="false">IF(C2531="","",IFERROR(INDEX(Products!$B$2:$B$501,MATCH(C2531,Products!$A$2:$A$501,0)),"CODE NOT FOUND"))</f>
        <v/>
      </c>
      <c r="E2531" s="7"/>
      <c r="F2531" s="13"/>
      <c r="G2531" s="13"/>
      <c r="H2531" s="17" t="str">
        <f aca="false">IF(OR(E2531="",F2531=""),"",E2531*F2531)</f>
        <v/>
      </c>
      <c r="I2531" s="17" t="str">
        <f aca="false">IF(OR(E2531="",G2531=""),"",E2531*G2531)</f>
        <v/>
      </c>
      <c r="J2531" s="17" t="str">
        <f aca="false">IF(H2531="","",H2531-I2531)</f>
        <v/>
      </c>
    </row>
    <row r="2532" customFormat="false" ht="15" hidden="false" customHeight="true" outlineLevel="0" collapsed="false">
      <c r="A2532" s="7"/>
      <c r="B2532" s="18" t="str">
        <f aca="false">IF(A2532="","",IFERROR(INDEX(Sales_Memo!$B$2:$B$1001,MATCH(A2532,Sales_Memo!$A$2:$A$1001,0)),""))</f>
        <v/>
      </c>
      <c r="C2532" s="7"/>
      <c r="D2532" s="16" t="str">
        <f aca="false">IF(C2532="","",IFERROR(INDEX(Products!$B$2:$B$501,MATCH(C2532,Products!$A$2:$A$501,0)),"CODE NOT FOUND"))</f>
        <v/>
      </c>
      <c r="E2532" s="7"/>
      <c r="F2532" s="13"/>
      <c r="G2532" s="13"/>
      <c r="H2532" s="17" t="str">
        <f aca="false">IF(OR(E2532="",F2532=""),"",E2532*F2532)</f>
        <v/>
      </c>
      <c r="I2532" s="17" t="str">
        <f aca="false">IF(OR(E2532="",G2532=""),"",E2532*G2532)</f>
        <v/>
      </c>
      <c r="J2532" s="17" t="str">
        <f aca="false">IF(H2532="","",H2532-I2532)</f>
        <v/>
      </c>
    </row>
    <row r="2533" customFormat="false" ht="15" hidden="false" customHeight="true" outlineLevel="0" collapsed="false">
      <c r="A2533" s="7"/>
      <c r="B2533" s="18" t="str">
        <f aca="false">IF(A2533="","",IFERROR(INDEX(Sales_Memo!$B$2:$B$1001,MATCH(A2533,Sales_Memo!$A$2:$A$1001,0)),""))</f>
        <v/>
      </c>
      <c r="C2533" s="7"/>
      <c r="D2533" s="16" t="str">
        <f aca="false">IF(C2533="","",IFERROR(INDEX(Products!$B$2:$B$501,MATCH(C2533,Products!$A$2:$A$501,0)),"CODE NOT FOUND"))</f>
        <v/>
      </c>
      <c r="E2533" s="7"/>
      <c r="F2533" s="13"/>
      <c r="G2533" s="13"/>
      <c r="H2533" s="17" t="str">
        <f aca="false">IF(OR(E2533="",F2533=""),"",E2533*F2533)</f>
        <v/>
      </c>
      <c r="I2533" s="17" t="str">
        <f aca="false">IF(OR(E2533="",G2533=""),"",E2533*G2533)</f>
        <v/>
      </c>
      <c r="J2533" s="17" t="str">
        <f aca="false">IF(H2533="","",H2533-I2533)</f>
        <v/>
      </c>
    </row>
    <row r="2534" customFormat="false" ht="15" hidden="false" customHeight="true" outlineLevel="0" collapsed="false">
      <c r="A2534" s="7"/>
      <c r="B2534" s="18" t="str">
        <f aca="false">IF(A2534="","",IFERROR(INDEX(Sales_Memo!$B$2:$B$1001,MATCH(A2534,Sales_Memo!$A$2:$A$1001,0)),""))</f>
        <v/>
      </c>
      <c r="C2534" s="7"/>
      <c r="D2534" s="16" t="str">
        <f aca="false">IF(C2534="","",IFERROR(INDEX(Products!$B$2:$B$501,MATCH(C2534,Products!$A$2:$A$501,0)),"CODE NOT FOUND"))</f>
        <v/>
      </c>
      <c r="E2534" s="7"/>
      <c r="F2534" s="13"/>
      <c r="G2534" s="13"/>
      <c r="H2534" s="17" t="str">
        <f aca="false">IF(OR(E2534="",F2534=""),"",E2534*F2534)</f>
        <v/>
      </c>
      <c r="I2534" s="17" t="str">
        <f aca="false">IF(OR(E2534="",G2534=""),"",E2534*G2534)</f>
        <v/>
      </c>
      <c r="J2534" s="17" t="str">
        <f aca="false">IF(H2534="","",H2534-I2534)</f>
        <v/>
      </c>
    </row>
    <row r="2535" customFormat="false" ht="15" hidden="false" customHeight="true" outlineLevel="0" collapsed="false">
      <c r="A2535" s="7"/>
      <c r="B2535" s="18" t="str">
        <f aca="false">IF(A2535="","",IFERROR(INDEX(Sales_Memo!$B$2:$B$1001,MATCH(A2535,Sales_Memo!$A$2:$A$1001,0)),""))</f>
        <v/>
      </c>
      <c r="C2535" s="7"/>
      <c r="D2535" s="16" t="str">
        <f aca="false">IF(C2535="","",IFERROR(INDEX(Products!$B$2:$B$501,MATCH(C2535,Products!$A$2:$A$501,0)),"CODE NOT FOUND"))</f>
        <v/>
      </c>
      <c r="E2535" s="7"/>
      <c r="F2535" s="13"/>
      <c r="G2535" s="13"/>
      <c r="H2535" s="17" t="str">
        <f aca="false">IF(OR(E2535="",F2535=""),"",E2535*F2535)</f>
        <v/>
      </c>
      <c r="I2535" s="17" t="str">
        <f aca="false">IF(OR(E2535="",G2535=""),"",E2535*G2535)</f>
        <v/>
      </c>
      <c r="J2535" s="17" t="str">
        <f aca="false">IF(H2535="","",H2535-I2535)</f>
        <v/>
      </c>
    </row>
    <row r="2536" customFormat="false" ht="15" hidden="false" customHeight="true" outlineLevel="0" collapsed="false">
      <c r="A2536" s="7"/>
      <c r="B2536" s="18" t="str">
        <f aca="false">IF(A2536="","",IFERROR(INDEX(Sales_Memo!$B$2:$B$1001,MATCH(A2536,Sales_Memo!$A$2:$A$1001,0)),""))</f>
        <v/>
      </c>
      <c r="C2536" s="7"/>
      <c r="D2536" s="16" t="str">
        <f aca="false">IF(C2536="","",IFERROR(INDEX(Products!$B$2:$B$501,MATCH(C2536,Products!$A$2:$A$501,0)),"CODE NOT FOUND"))</f>
        <v/>
      </c>
      <c r="E2536" s="7"/>
      <c r="F2536" s="13"/>
      <c r="G2536" s="13"/>
      <c r="H2536" s="17" t="str">
        <f aca="false">IF(OR(E2536="",F2536=""),"",E2536*F2536)</f>
        <v/>
      </c>
      <c r="I2536" s="17" t="str">
        <f aca="false">IF(OR(E2536="",G2536=""),"",E2536*G2536)</f>
        <v/>
      </c>
      <c r="J2536" s="17" t="str">
        <f aca="false">IF(H2536="","",H2536-I2536)</f>
        <v/>
      </c>
    </row>
    <row r="2537" customFormat="false" ht="15" hidden="false" customHeight="true" outlineLevel="0" collapsed="false">
      <c r="A2537" s="7"/>
      <c r="B2537" s="18" t="str">
        <f aca="false">IF(A2537="","",IFERROR(INDEX(Sales_Memo!$B$2:$B$1001,MATCH(A2537,Sales_Memo!$A$2:$A$1001,0)),""))</f>
        <v/>
      </c>
      <c r="C2537" s="7"/>
      <c r="D2537" s="16" t="str">
        <f aca="false">IF(C2537="","",IFERROR(INDEX(Products!$B$2:$B$501,MATCH(C2537,Products!$A$2:$A$501,0)),"CODE NOT FOUND"))</f>
        <v/>
      </c>
      <c r="E2537" s="7"/>
      <c r="F2537" s="13"/>
      <c r="G2537" s="13"/>
      <c r="H2537" s="17" t="str">
        <f aca="false">IF(OR(E2537="",F2537=""),"",E2537*F2537)</f>
        <v/>
      </c>
      <c r="I2537" s="17" t="str">
        <f aca="false">IF(OR(E2537="",G2537=""),"",E2537*G2537)</f>
        <v/>
      </c>
      <c r="J2537" s="17" t="str">
        <f aca="false">IF(H2537="","",H2537-I2537)</f>
        <v/>
      </c>
    </row>
    <row r="2538" customFormat="false" ht="15" hidden="false" customHeight="true" outlineLevel="0" collapsed="false">
      <c r="A2538" s="7"/>
      <c r="B2538" s="18" t="str">
        <f aca="false">IF(A2538="","",IFERROR(INDEX(Sales_Memo!$B$2:$B$1001,MATCH(A2538,Sales_Memo!$A$2:$A$1001,0)),""))</f>
        <v/>
      </c>
      <c r="C2538" s="7"/>
      <c r="D2538" s="16" t="str">
        <f aca="false">IF(C2538="","",IFERROR(INDEX(Products!$B$2:$B$501,MATCH(C2538,Products!$A$2:$A$501,0)),"CODE NOT FOUND"))</f>
        <v/>
      </c>
      <c r="E2538" s="7"/>
      <c r="F2538" s="13"/>
      <c r="G2538" s="13"/>
      <c r="H2538" s="17" t="str">
        <f aca="false">IF(OR(E2538="",F2538=""),"",E2538*F2538)</f>
        <v/>
      </c>
      <c r="I2538" s="17" t="str">
        <f aca="false">IF(OR(E2538="",G2538=""),"",E2538*G2538)</f>
        <v/>
      </c>
      <c r="J2538" s="17" t="str">
        <f aca="false">IF(H2538="","",H2538-I2538)</f>
        <v/>
      </c>
    </row>
    <row r="2539" customFormat="false" ht="15" hidden="false" customHeight="true" outlineLevel="0" collapsed="false">
      <c r="A2539" s="7"/>
      <c r="B2539" s="18" t="str">
        <f aca="false">IF(A2539="","",IFERROR(INDEX(Sales_Memo!$B$2:$B$1001,MATCH(A2539,Sales_Memo!$A$2:$A$1001,0)),""))</f>
        <v/>
      </c>
      <c r="C2539" s="7"/>
      <c r="D2539" s="16" t="str">
        <f aca="false">IF(C2539="","",IFERROR(INDEX(Products!$B$2:$B$501,MATCH(C2539,Products!$A$2:$A$501,0)),"CODE NOT FOUND"))</f>
        <v/>
      </c>
      <c r="E2539" s="7"/>
      <c r="F2539" s="13"/>
      <c r="G2539" s="13"/>
      <c r="H2539" s="17" t="str">
        <f aca="false">IF(OR(E2539="",F2539=""),"",E2539*F2539)</f>
        <v/>
      </c>
      <c r="I2539" s="17" t="str">
        <f aca="false">IF(OR(E2539="",G2539=""),"",E2539*G2539)</f>
        <v/>
      </c>
      <c r="J2539" s="17" t="str">
        <f aca="false">IF(H2539="","",H2539-I2539)</f>
        <v/>
      </c>
    </row>
    <row r="2540" customFormat="false" ht="15" hidden="false" customHeight="true" outlineLevel="0" collapsed="false">
      <c r="A2540" s="7"/>
      <c r="B2540" s="18" t="str">
        <f aca="false">IF(A2540="","",IFERROR(INDEX(Sales_Memo!$B$2:$B$1001,MATCH(A2540,Sales_Memo!$A$2:$A$1001,0)),""))</f>
        <v/>
      </c>
      <c r="C2540" s="7"/>
      <c r="D2540" s="16" t="str">
        <f aca="false">IF(C2540="","",IFERROR(INDEX(Products!$B$2:$B$501,MATCH(C2540,Products!$A$2:$A$501,0)),"CODE NOT FOUND"))</f>
        <v/>
      </c>
      <c r="E2540" s="7"/>
      <c r="F2540" s="13"/>
      <c r="G2540" s="13"/>
      <c r="H2540" s="17" t="str">
        <f aca="false">IF(OR(E2540="",F2540=""),"",E2540*F2540)</f>
        <v/>
      </c>
      <c r="I2540" s="17" t="str">
        <f aca="false">IF(OR(E2540="",G2540=""),"",E2540*G2540)</f>
        <v/>
      </c>
      <c r="J2540" s="17" t="str">
        <f aca="false">IF(H2540="","",H2540-I2540)</f>
        <v/>
      </c>
    </row>
    <row r="2541" customFormat="false" ht="15" hidden="false" customHeight="true" outlineLevel="0" collapsed="false">
      <c r="A2541" s="7"/>
      <c r="B2541" s="18" t="str">
        <f aca="false">IF(A2541="","",IFERROR(INDEX(Sales_Memo!$B$2:$B$1001,MATCH(A2541,Sales_Memo!$A$2:$A$1001,0)),""))</f>
        <v/>
      </c>
      <c r="C2541" s="7"/>
      <c r="D2541" s="16" t="str">
        <f aca="false">IF(C2541="","",IFERROR(INDEX(Products!$B$2:$B$501,MATCH(C2541,Products!$A$2:$A$501,0)),"CODE NOT FOUND"))</f>
        <v/>
      </c>
      <c r="E2541" s="7"/>
      <c r="F2541" s="13"/>
      <c r="G2541" s="13"/>
      <c r="H2541" s="17" t="str">
        <f aca="false">IF(OR(E2541="",F2541=""),"",E2541*F2541)</f>
        <v/>
      </c>
      <c r="I2541" s="17" t="str">
        <f aca="false">IF(OR(E2541="",G2541=""),"",E2541*G2541)</f>
        <v/>
      </c>
      <c r="J2541" s="17" t="str">
        <f aca="false">IF(H2541="","",H2541-I2541)</f>
        <v/>
      </c>
    </row>
    <row r="2542" customFormat="false" ht="15" hidden="false" customHeight="true" outlineLevel="0" collapsed="false">
      <c r="A2542" s="7"/>
      <c r="B2542" s="18" t="str">
        <f aca="false">IF(A2542="","",IFERROR(INDEX(Sales_Memo!$B$2:$B$1001,MATCH(A2542,Sales_Memo!$A$2:$A$1001,0)),""))</f>
        <v/>
      </c>
      <c r="C2542" s="7"/>
      <c r="D2542" s="16" t="str">
        <f aca="false">IF(C2542="","",IFERROR(INDEX(Products!$B$2:$B$501,MATCH(C2542,Products!$A$2:$A$501,0)),"CODE NOT FOUND"))</f>
        <v/>
      </c>
      <c r="E2542" s="7"/>
      <c r="F2542" s="13"/>
      <c r="G2542" s="13"/>
      <c r="H2542" s="17" t="str">
        <f aca="false">IF(OR(E2542="",F2542=""),"",E2542*F2542)</f>
        <v/>
      </c>
      <c r="I2542" s="17" t="str">
        <f aca="false">IF(OR(E2542="",G2542=""),"",E2542*G2542)</f>
        <v/>
      </c>
      <c r="J2542" s="17" t="str">
        <f aca="false">IF(H2542="","",H2542-I2542)</f>
        <v/>
      </c>
    </row>
    <row r="2543" customFormat="false" ht="15" hidden="false" customHeight="true" outlineLevel="0" collapsed="false">
      <c r="A2543" s="7"/>
      <c r="B2543" s="18" t="str">
        <f aca="false">IF(A2543="","",IFERROR(INDEX(Sales_Memo!$B$2:$B$1001,MATCH(A2543,Sales_Memo!$A$2:$A$1001,0)),""))</f>
        <v/>
      </c>
      <c r="C2543" s="7"/>
      <c r="D2543" s="16" t="str">
        <f aca="false">IF(C2543="","",IFERROR(INDEX(Products!$B$2:$B$501,MATCH(C2543,Products!$A$2:$A$501,0)),"CODE NOT FOUND"))</f>
        <v/>
      </c>
      <c r="E2543" s="7"/>
      <c r="F2543" s="13"/>
      <c r="G2543" s="13"/>
      <c r="H2543" s="17" t="str">
        <f aca="false">IF(OR(E2543="",F2543=""),"",E2543*F2543)</f>
        <v/>
      </c>
      <c r="I2543" s="17" t="str">
        <f aca="false">IF(OR(E2543="",G2543=""),"",E2543*G2543)</f>
        <v/>
      </c>
      <c r="J2543" s="17" t="str">
        <f aca="false">IF(H2543="","",H2543-I2543)</f>
        <v/>
      </c>
    </row>
    <row r="2544" customFormat="false" ht="15" hidden="false" customHeight="true" outlineLevel="0" collapsed="false">
      <c r="A2544" s="7"/>
      <c r="B2544" s="18" t="str">
        <f aca="false">IF(A2544="","",IFERROR(INDEX(Sales_Memo!$B$2:$B$1001,MATCH(A2544,Sales_Memo!$A$2:$A$1001,0)),""))</f>
        <v/>
      </c>
      <c r="C2544" s="7"/>
      <c r="D2544" s="16" t="str">
        <f aca="false">IF(C2544="","",IFERROR(INDEX(Products!$B$2:$B$501,MATCH(C2544,Products!$A$2:$A$501,0)),"CODE NOT FOUND"))</f>
        <v/>
      </c>
      <c r="E2544" s="7"/>
      <c r="F2544" s="13"/>
      <c r="G2544" s="13"/>
      <c r="H2544" s="17" t="str">
        <f aca="false">IF(OR(E2544="",F2544=""),"",E2544*F2544)</f>
        <v/>
      </c>
      <c r="I2544" s="17" t="str">
        <f aca="false">IF(OR(E2544="",G2544=""),"",E2544*G2544)</f>
        <v/>
      </c>
      <c r="J2544" s="17" t="str">
        <f aca="false">IF(H2544="","",H2544-I2544)</f>
        <v/>
      </c>
    </row>
    <row r="2545" customFormat="false" ht="15" hidden="false" customHeight="true" outlineLevel="0" collapsed="false">
      <c r="A2545" s="7"/>
      <c r="B2545" s="18" t="str">
        <f aca="false">IF(A2545="","",IFERROR(INDEX(Sales_Memo!$B$2:$B$1001,MATCH(A2545,Sales_Memo!$A$2:$A$1001,0)),""))</f>
        <v/>
      </c>
      <c r="C2545" s="7"/>
      <c r="D2545" s="16" t="str">
        <f aca="false">IF(C2545="","",IFERROR(INDEX(Products!$B$2:$B$501,MATCH(C2545,Products!$A$2:$A$501,0)),"CODE NOT FOUND"))</f>
        <v/>
      </c>
      <c r="E2545" s="7"/>
      <c r="F2545" s="13"/>
      <c r="G2545" s="13"/>
      <c r="H2545" s="17" t="str">
        <f aca="false">IF(OR(E2545="",F2545=""),"",E2545*F2545)</f>
        <v/>
      </c>
      <c r="I2545" s="17" t="str">
        <f aca="false">IF(OR(E2545="",G2545=""),"",E2545*G2545)</f>
        <v/>
      </c>
      <c r="J2545" s="17" t="str">
        <f aca="false">IF(H2545="","",H2545-I2545)</f>
        <v/>
      </c>
    </row>
    <row r="2546" customFormat="false" ht="15" hidden="false" customHeight="true" outlineLevel="0" collapsed="false">
      <c r="A2546" s="7"/>
      <c r="B2546" s="18" t="str">
        <f aca="false">IF(A2546="","",IFERROR(INDEX(Sales_Memo!$B$2:$B$1001,MATCH(A2546,Sales_Memo!$A$2:$A$1001,0)),""))</f>
        <v/>
      </c>
      <c r="C2546" s="7"/>
      <c r="D2546" s="16" t="str">
        <f aca="false">IF(C2546="","",IFERROR(INDEX(Products!$B$2:$B$501,MATCH(C2546,Products!$A$2:$A$501,0)),"CODE NOT FOUND"))</f>
        <v/>
      </c>
      <c r="E2546" s="7"/>
      <c r="F2546" s="13"/>
      <c r="G2546" s="13"/>
      <c r="H2546" s="17" t="str">
        <f aca="false">IF(OR(E2546="",F2546=""),"",E2546*F2546)</f>
        <v/>
      </c>
      <c r="I2546" s="17" t="str">
        <f aca="false">IF(OR(E2546="",G2546=""),"",E2546*G2546)</f>
        <v/>
      </c>
      <c r="J2546" s="17" t="str">
        <f aca="false">IF(H2546="","",H2546-I2546)</f>
        <v/>
      </c>
    </row>
    <row r="2547" customFormat="false" ht="15" hidden="false" customHeight="true" outlineLevel="0" collapsed="false">
      <c r="A2547" s="7"/>
      <c r="B2547" s="18" t="str">
        <f aca="false">IF(A2547="","",IFERROR(INDEX(Sales_Memo!$B$2:$B$1001,MATCH(A2547,Sales_Memo!$A$2:$A$1001,0)),""))</f>
        <v/>
      </c>
      <c r="C2547" s="7"/>
      <c r="D2547" s="16" t="str">
        <f aca="false">IF(C2547="","",IFERROR(INDEX(Products!$B$2:$B$501,MATCH(C2547,Products!$A$2:$A$501,0)),"CODE NOT FOUND"))</f>
        <v/>
      </c>
      <c r="E2547" s="7"/>
      <c r="F2547" s="13"/>
      <c r="G2547" s="13"/>
      <c r="H2547" s="17" t="str">
        <f aca="false">IF(OR(E2547="",F2547=""),"",E2547*F2547)</f>
        <v/>
      </c>
      <c r="I2547" s="17" t="str">
        <f aca="false">IF(OR(E2547="",G2547=""),"",E2547*G2547)</f>
        <v/>
      </c>
      <c r="J2547" s="17" t="str">
        <f aca="false">IF(H2547="","",H2547-I2547)</f>
        <v/>
      </c>
    </row>
    <row r="2548" customFormat="false" ht="15" hidden="false" customHeight="true" outlineLevel="0" collapsed="false">
      <c r="A2548" s="7"/>
      <c r="B2548" s="18" t="str">
        <f aca="false">IF(A2548="","",IFERROR(INDEX(Sales_Memo!$B$2:$B$1001,MATCH(A2548,Sales_Memo!$A$2:$A$1001,0)),""))</f>
        <v/>
      </c>
      <c r="C2548" s="7"/>
      <c r="D2548" s="16" t="str">
        <f aca="false">IF(C2548="","",IFERROR(INDEX(Products!$B$2:$B$501,MATCH(C2548,Products!$A$2:$A$501,0)),"CODE NOT FOUND"))</f>
        <v/>
      </c>
      <c r="E2548" s="7"/>
      <c r="F2548" s="13"/>
      <c r="G2548" s="13"/>
      <c r="H2548" s="17" t="str">
        <f aca="false">IF(OR(E2548="",F2548=""),"",E2548*F2548)</f>
        <v/>
      </c>
      <c r="I2548" s="17" t="str">
        <f aca="false">IF(OR(E2548="",G2548=""),"",E2548*G2548)</f>
        <v/>
      </c>
      <c r="J2548" s="17" t="str">
        <f aca="false">IF(H2548="","",H2548-I2548)</f>
        <v/>
      </c>
    </row>
    <row r="2549" customFormat="false" ht="15" hidden="false" customHeight="true" outlineLevel="0" collapsed="false">
      <c r="A2549" s="7"/>
      <c r="B2549" s="18" t="str">
        <f aca="false">IF(A2549="","",IFERROR(INDEX(Sales_Memo!$B$2:$B$1001,MATCH(A2549,Sales_Memo!$A$2:$A$1001,0)),""))</f>
        <v/>
      </c>
      <c r="C2549" s="7"/>
      <c r="D2549" s="16" t="str">
        <f aca="false">IF(C2549="","",IFERROR(INDEX(Products!$B$2:$B$501,MATCH(C2549,Products!$A$2:$A$501,0)),"CODE NOT FOUND"))</f>
        <v/>
      </c>
      <c r="E2549" s="7"/>
      <c r="F2549" s="13"/>
      <c r="G2549" s="13"/>
      <c r="H2549" s="17" t="str">
        <f aca="false">IF(OR(E2549="",F2549=""),"",E2549*F2549)</f>
        <v/>
      </c>
      <c r="I2549" s="17" t="str">
        <f aca="false">IF(OR(E2549="",G2549=""),"",E2549*G2549)</f>
        <v/>
      </c>
      <c r="J2549" s="17" t="str">
        <f aca="false">IF(H2549="","",H2549-I2549)</f>
        <v/>
      </c>
    </row>
    <row r="2550" customFormat="false" ht="15" hidden="false" customHeight="true" outlineLevel="0" collapsed="false">
      <c r="A2550" s="7"/>
      <c r="B2550" s="18" t="str">
        <f aca="false">IF(A2550="","",IFERROR(INDEX(Sales_Memo!$B$2:$B$1001,MATCH(A2550,Sales_Memo!$A$2:$A$1001,0)),""))</f>
        <v/>
      </c>
      <c r="C2550" s="7"/>
      <c r="D2550" s="16" t="str">
        <f aca="false">IF(C2550="","",IFERROR(INDEX(Products!$B$2:$B$501,MATCH(C2550,Products!$A$2:$A$501,0)),"CODE NOT FOUND"))</f>
        <v/>
      </c>
      <c r="E2550" s="7"/>
      <c r="F2550" s="13"/>
      <c r="G2550" s="13"/>
      <c r="H2550" s="17" t="str">
        <f aca="false">IF(OR(E2550="",F2550=""),"",E2550*F2550)</f>
        <v/>
      </c>
      <c r="I2550" s="17" t="str">
        <f aca="false">IF(OR(E2550="",G2550=""),"",E2550*G2550)</f>
        <v/>
      </c>
      <c r="J2550" s="17" t="str">
        <f aca="false">IF(H2550="","",H2550-I2550)</f>
        <v/>
      </c>
    </row>
    <row r="2551" customFormat="false" ht="15" hidden="false" customHeight="true" outlineLevel="0" collapsed="false">
      <c r="A2551" s="7"/>
      <c r="B2551" s="18" t="str">
        <f aca="false">IF(A2551="","",IFERROR(INDEX(Sales_Memo!$B$2:$B$1001,MATCH(A2551,Sales_Memo!$A$2:$A$1001,0)),""))</f>
        <v/>
      </c>
      <c r="C2551" s="7"/>
      <c r="D2551" s="16" t="str">
        <f aca="false">IF(C2551="","",IFERROR(INDEX(Products!$B$2:$B$501,MATCH(C2551,Products!$A$2:$A$501,0)),"CODE NOT FOUND"))</f>
        <v/>
      </c>
      <c r="E2551" s="7"/>
      <c r="F2551" s="13"/>
      <c r="G2551" s="13"/>
      <c r="H2551" s="17" t="str">
        <f aca="false">IF(OR(E2551="",F2551=""),"",E2551*F2551)</f>
        <v/>
      </c>
      <c r="I2551" s="17" t="str">
        <f aca="false">IF(OR(E2551="",G2551=""),"",E2551*G2551)</f>
        <v/>
      </c>
      <c r="J2551" s="17" t="str">
        <f aca="false">IF(H2551="","",H2551-I2551)</f>
        <v/>
      </c>
    </row>
    <row r="2552" customFormat="false" ht="15" hidden="false" customHeight="true" outlineLevel="0" collapsed="false">
      <c r="A2552" s="7"/>
      <c r="B2552" s="18" t="str">
        <f aca="false">IF(A2552="","",IFERROR(INDEX(Sales_Memo!$B$2:$B$1001,MATCH(A2552,Sales_Memo!$A$2:$A$1001,0)),""))</f>
        <v/>
      </c>
      <c r="C2552" s="7"/>
      <c r="D2552" s="16" t="str">
        <f aca="false">IF(C2552="","",IFERROR(INDEX(Products!$B$2:$B$501,MATCH(C2552,Products!$A$2:$A$501,0)),"CODE NOT FOUND"))</f>
        <v/>
      </c>
      <c r="E2552" s="7"/>
      <c r="F2552" s="13"/>
      <c r="G2552" s="13"/>
      <c r="H2552" s="17" t="str">
        <f aca="false">IF(OR(E2552="",F2552=""),"",E2552*F2552)</f>
        <v/>
      </c>
      <c r="I2552" s="17" t="str">
        <f aca="false">IF(OR(E2552="",G2552=""),"",E2552*G2552)</f>
        <v/>
      </c>
      <c r="J2552" s="17" t="str">
        <f aca="false">IF(H2552="","",H2552-I2552)</f>
        <v/>
      </c>
    </row>
    <row r="2553" customFormat="false" ht="15" hidden="false" customHeight="true" outlineLevel="0" collapsed="false">
      <c r="A2553" s="7"/>
      <c r="B2553" s="18" t="str">
        <f aca="false">IF(A2553="","",IFERROR(INDEX(Sales_Memo!$B$2:$B$1001,MATCH(A2553,Sales_Memo!$A$2:$A$1001,0)),""))</f>
        <v/>
      </c>
      <c r="C2553" s="7"/>
      <c r="D2553" s="16" t="str">
        <f aca="false">IF(C2553="","",IFERROR(INDEX(Products!$B$2:$B$501,MATCH(C2553,Products!$A$2:$A$501,0)),"CODE NOT FOUND"))</f>
        <v/>
      </c>
      <c r="E2553" s="7"/>
      <c r="F2553" s="13"/>
      <c r="G2553" s="13"/>
      <c r="H2553" s="17" t="str">
        <f aca="false">IF(OR(E2553="",F2553=""),"",E2553*F2553)</f>
        <v/>
      </c>
      <c r="I2553" s="17" t="str">
        <f aca="false">IF(OR(E2553="",G2553=""),"",E2553*G2553)</f>
        <v/>
      </c>
      <c r="J2553" s="17" t="str">
        <f aca="false">IF(H2553="","",H2553-I2553)</f>
        <v/>
      </c>
    </row>
    <row r="2554" customFormat="false" ht="15" hidden="false" customHeight="true" outlineLevel="0" collapsed="false">
      <c r="A2554" s="7"/>
      <c r="B2554" s="18" t="str">
        <f aca="false">IF(A2554="","",IFERROR(INDEX(Sales_Memo!$B$2:$B$1001,MATCH(A2554,Sales_Memo!$A$2:$A$1001,0)),""))</f>
        <v/>
      </c>
      <c r="C2554" s="7"/>
      <c r="D2554" s="16" t="str">
        <f aca="false">IF(C2554="","",IFERROR(INDEX(Products!$B$2:$B$501,MATCH(C2554,Products!$A$2:$A$501,0)),"CODE NOT FOUND"))</f>
        <v/>
      </c>
      <c r="E2554" s="7"/>
      <c r="F2554" s="13"/>
      <c r="G2554" s="13"/>
      <c r="H2554" s="17" t="str">
        <f aca="false">IF(OR(E2554="",F2554=""),"",E2554*F2554)</f>
        <v/>
      </c>
      <c r="I2554" s="17" t="str">
        <f aca="false">IF(OR(E2554="",G2554=""),"",E2554*G2554)</f>
        <v/>
      </c>
      <c r="J2554" s="17" t="str">
        <f aca="false">IF(H2554="","",H2554-I2554)</f>
        <v/>
      </c>
    </row>
    <row r="2555" customFormat="false" ht="15" hidden="false" customHeight="true" outlineLevel="0" collapsed="false">
      <c r="A2555" s="7"/>
      <c r="B2555" s="18" t="str">
        <f aca="false">IF(A2555="","",IFERROR(INDEX(Sales_Memo!$B$2:$B$1001,MATCH(A2555,Sales_Memo!$A$2:$A$1001,0)),""))</f>
        <v/>
      </c>
      <c r="C2555" s="7"/>
      <c r="D2555" s="16" t="str">
        <f aca="false">IF(C2555="","",IFERROR(INDEX(Products!$B$2:$B$501,MATCH(C2555,Products!$A$2:$A$501,0)),"CODE NOT FOUND"))</f>
        <v/>
      </c>
      <c r="E2555" s="7"/>
      <c r="F2555" s="13"/>
      <c r="G2555" s="13"/>
      <c r="H2555" s="17" t="str">
        <f aca="false">IF(OR(E2555="",F2555=""),"",E2555*F2555)</f>
        <v/>
      </c>
      <c r="I2555" s="17" t="str">
        <f aca="false">IF(OR(E2555="",G2555=""),"",E2555*G2555)</f>
        <v/>
      </c>
      <c r="J2555" s="17" t="str">
        <f aca="false">IF(H2555="","",H2555-I2555)</f>
        <v/>
      </c>
    </row>
    <row r="2556" customFormat="false" ht="15" hidden="false" customHeight="true" outlineLevel="0" collapsed="false">
      <c r="A2556" s="7"/>
      <c r="B2556" s="18" t="str">
        <f aca="false">IF(A2556="","",IFERROR(INDEX(Sales_Memo!$B$2:$B$1001,MATCH(A2556,Sales_Memo!$A$2:$A$1001,0)),""))</f>
        <v/>
      </c>
      <c r="C2556" s="7"/>
      <c r="D2556" s="16" t="str">
        <f aca="false">IF(C2556="","",IFERROR(INDEX(Products!$B$2:$B$501,MATCH(C2556,Products!$A$2:$A$501,0)),"CODE NOT FOUND"))</f>
        <v/>
      </c>
      <c r="E2556" s="7"/>
      <c r="F2556" s="13"/>
      <c r="G2556" s="13"/>
      <c r="H2556" s="17" t="str">
        <f aca="false">IF(OR(E2556="",F2556=""),"",E2556*F2556)</f>
        <v/>
      </c>
      <c r="I2556" s="17" t="str">
        <f aca="false">IF(OR(E2556="",G2556=""),"",E2556*G2556)</f>
        <v/>
      </c>
      <c r="J2556" s="17" t="str">
        <f aca="false">IF(H2556="","",H2556-I2556)</f>
        <v/>
      </c>
    </row>
    <row r="2557" customFormat="false" ht="15" hidden="false" customHeight="true" outlineLevel="0" collapsed="false">
      <c r="A2557" s="7"/>
      <c r="B2557" s="18" t="str">
        <f aca="false">IF(A2557="","",IFERROR(INDEX(Sales_Memo!$B$2:$B$1001,MATCH(A2557,Sales_Memo!$A$2:$A$1001,0)),""))</f>
        <v/>
      </c>
      <c r="C2557" s="7"/>
      <c r="D2557" s="16" t="str">
        <f aca="false">IF(C2557="","",IFERROR(INDEX(Products!$B$2:$B$501,MATCH(C2557,Products!$A$2:$A$501,0)),"CODE NOT FOUND"))</f>
        <v/>
      </c>
      <c r="E2557" s="7"/>
      <c r="F2557" s="13"/>
      <c r="G2557" s="13"/>
      <c r="H2557" s="17" t="str">
        <f aca="false">IF(OR(E2557="",F2557=""),"",E2557*F2557)</f>
        <v/>
      </c>
      <c r="I2557" s="17" t="str">
        <f aca="false">IF(OR(E2557="",G2557=""),"",E2557*G2557)</f>
        <v/>
      </c>
      <c r="J2557" s="17" t="str">
        <f aca="false">IF(H2557="","",H2557-I2557)</f>
        <v/>
      </c>
    </row>
    <row r="2558" customFormat="false" ht="15" hidden="false" customHeight="true" outlineLevel="0" collapsed="false">
      <c r="A2558" s="7"/>
      <c r="B2558" s="18" t="str">
        <f aca="false">IF(A2558="","",IFERROR(INDEX(Sales_Memo!$B$2:$B$1001,MATCH(A2558,Sales_Memo!$A$2:$A$1001,0)),""))</f>
        <v/>
      </c>
      <c r="C2558" s="7"/>
      <c r="D2558" s="16" t="str">
        <f aca="false">IF(C2558="","",IFERROR(INDEX(Products!$B$2:$B$501,MATCH(C2558,Products!$A$2:$A$501,0)),"CODE NOT FOUND"))</f>
        <v/>
      </c>
      <c r="E2558" s="7"/>
      <c r="F2558" s="13"/>
      <c r="G2558" s="13"/>
      <c r="H2558" s="17" t="str">
        <f aca="false">IF(OR(E2558="",F2558=""),"",E2558*F2558)</f>
        <v/>
      </c>
      <c r="I2558" s="17" t="str">
        <f aca="false">IF(OR(E2558="",G2558=""),"",E2558*G2558)</f>
        <v/>
      </c>
      <c r="J2558" s="17" t="str">
        <f aca="false">IF(H2558="","",H2558-I2558)</f>
        <v/>
      </c>
    </row>
    <row r="2559" customFormat="false" ht="15" hidden="false" customHeight="true" outlineLevel="0" collapsed="false">
      <c r="A2559" s="7"/>
      <c r="B2559" s="18" t="str">
        <f aca="false">IF(A2559="","",IFERROR(INDEX(Sales_Memo!$B$2:$B$1001,MATCH(A2559,Sales_Memo!$A$2:$A$1001,0)),""))</f>
        <v/>
      </c>
      <c r="C2559" s="7"/>
      <c r="D2559" s="16" t="str">
        <f aca="false">IF(C2559="","",IFERROR(INDEX(Products!$B$2:$B$501,MATCH(C2559,Products!$A$2:$A$501,0)),"CODE NOT FOUND"))</f>
        <v/>
      </c>
      <c r="E2559" s="7"/>
      <c r="F2559" s="13"/>
      <c r="G2559" s="13"/>
      <c r="H2559" s="17" t="str">
        <f aca="false">IF(OR(E2559="",F2559=""),"",E2559*F2559)</f>
        <v/>
      </c>
      <c r="I2559" s="17" t="str">
        <f aca="false">IF(OR(E2559="",G2559=""),"",E2559*G2559)</f>
        <v/>
      </c>
      <c r="J2559" s="17" t="str">
        <f aca="false">IF(H2559="","",H2559-I2559)</f>
        <v/>
      </c>
    </row>
    <row r="2560" customFormat="false" ht="15" hidden="false" customHeight="true" outlineLevel="0" collapsed="false">
      <c r="A2560" s="7"/>
      <c r="B2560" s="18" t="str">
        <f aca="false">IF(A2560="","",IFERROR(INDEX(Sales_Memo!$B$2:$B$1001,MATCH(A2560,Sales_Memo!$A$2:$A$1001,0)),""))</f>
        <v/>
      </c>
      <c r="C2560" s="7"/>
      <c r="D2560" s="16" t="str">
        <f aca="false">IF(C2560="","",IFERROR(INDEX(Products!$B$2:$B$501,MATCH(C2560,Products!$A$2:$A$501,0)),"CODE NOT FOUND"))</f>
        <v/>
      </c>
      <c r="E2560" s="7"/>
      <c r="F2560" s="13"/>
      <c r="G2560" s="13"/>
      <c r="H2560" s="17" t="str">
        <f aca="false">IF(OR(E2560="",F2560=""),"",E2560*F2560)</f>
        <v/>
      </c>
      <c r="I2560" s="17" t="str">
        <f aca="false">IF(OR(E2560="",G2560=""),"",E2560*G2560)</f>
        <v/>
      </c>
      <c r="J2560" s="17" t="str">
        <f aca="false">IF(H2560="","",H2560-I2560)</f>
        <v/>
      </c>
    </row>
    <row r="2561" customFormat="false" ht="15" hidden="false" customHeight="true" outlineLevel="0" collapsed="false">
      <c r="A2561" s="7"/>
      <c r="B2561" s="18" t="str">
        <f aca="false">IF(A2561="","",IFERROR(INDEX(Sales_Memo!$B$2:$B$1001,MATCH(A2561,Sales_Memo!$A$2:$A$1001,0)),""))</f>
        <v/>
      </c>
      <c r="C2561" s="7"/>
      <c r="D2561" s="16" t="str">
        <f aca="false">IF(C2561="","",IFERROR(INDEX(Products!$B$2:$B$501,MATCH(C2561,Products!$A$2:$A$501,0)),"CODE NOT FOUND"))</f>
        <v/>
      </c>
      <c r="E2561" s="7"/>
      <c r="F2561" s="13"/>
      <c r="G2561" s="13"/>
      <c r="H2561" s="17" t="str">
        <f aca="false">IF(OR(E2561="",F2561=""),"",E2561*F2561)</f>
        <v/>
      </c>
      <c r="I2561" s="17" t="str">
        <f aca="false">IF(OR(E2561="",G2561=""),"",E2561*G2561)</f>
        <v/>
      </c>
      <c r="J2561" s="17" t="str">
        <f aca="false">IF(H2561="","",H2561-I2561)</f>
        <v/>
      </c>
    </row>
    <row r="2562" customFormat="false" ht="15" hidden="false" customHeight="true" outlineLevel="0" collapsed="false">
      <c r="A2562" s="7"/>
      <c r="B2562" s="18" t="str">
        <f aca="false">IF(A2562="","",IFERROR(INDEX(Sales_Memo!$B$2:$B$1001,MATCH(A2562,Sales_Memo!$A$2:$A$1001,0)),""))</f>
        <v/>
      </c>
      <c r="C2562" s="7"/>
      <c r="D2562" s="16" t="str">
        <f aca="false">IF(C2562="","",IFERROR(INDEX(Products!$B$2:$B$501,MATCH(C2562,Products!$A$2:$A$501,0)),"CODE NOT FOUND"))</f>
        <v/>
      </c>
      <c r="E2562" s="7"/>
      <c r="F2562" s="13"/>
      <c r="G2562" s="13"/>
      <c r="H2562" s="17" t="str">
        <f aca="false">IF(OR(E2562="",F2562=""),"",E2562*F2562)</f>
        <v/>
      </c>
      <c r="I2562" s="17" t="str">
        <f aca="false">IF(OR(E2562="",G2562=""),"",E2562*G2562)</f>
        <v/>
      </c>
      <c r="J2562" s="17" t="str">
        <f aca="false">IF(H2562="","",H2562-I2562)</f>
        <v/>
      </c>
    </row>
    <row r="2563" customFormat="false" ht="15" hidden="false" customHeight="true" outlineLevel="0" collapsed="false">
      <c r="A2563" s="7"/>
      <c r="B2563" s="18" t="str">
        <f aca="false">IF(A2563="","",IFERROR(INDEX(Sales_Memo!$B$2:$B$1001,MATCH(A2563,Sales_Memo!$A$2:$A$1001,0)),""))</f>
        <v/>
      </c>
      <c r="C2563" s="7"/>
      <c r="D2563" s="16" t="str">
        <f aca="false">IF(C2563="","",IFERROR(INDEX(Products!$B$2:$B$501,MATCH(C2563,Products!$A$2:$A$501,0)),"CODE NOT FOUND"))</f>
        <v/>
      </c>
      <c r="E2563" s="7"/>
      <c r="F2563" s="13"/>
      <c r="G2563" s="13"/>
      <c r="H2563" s="17" t="str">
        <f aca="false">IF(OR(E2563="",F2563=""),"",E2563*F2563)</f>
        <v/>
      </c>
      <c r="I2563" s="17" t="str">
        <f aca="false">IF(OR(E2563="",G2563=""),"",E2563*G2563)</f>
        <v/>
      </c>
      <c r="J2563" s="17" t="str">
        <f aca="false">IF(H2563="","",H2563-I2563)</f>
        <v/>
      </c>
    </row>
    <row r="2564" customFormat="false" ht="15" hidden="false" customHeight="true" outlineLevel="0" collapsed="false">
      <c r="A2564" s="7"/>
      <c r="B2564" s="18" t="str">
        <f aca="false">IF(A2564="","",IFERROR(INDEX(Sales_Memo!$B$2:$B$1001,MATCH(A2564,Sales_Memo!$A$2:$A$1001,0)),""))</f>
        <v/>
      </c>
      <c r="C2564" s="7"/>
      <c r="D2564" s="16" t="str">
        <f aca="false">IF(C2564="","",IFERROR(INDEX(Products!$B$2:$B$501,MATCH(C2564,Products!$A$2:$A$501,0)),"CODE NOT FOUND"))</f>
        <v/>
      </c>
      <c r="E2564" s="7"/>
      <c r="F2564" s="13"/>
      <c r="G2564" s="13"/>
      <c r="H2564" s="17" t="str">
        <f aca="false">IF(OR(E2564="",F2564=""),"",E2564*F2564)</f>
        <v/>
      </c>
      <c r="I2564" s="17" t="str">
        <f aca="false">IF(OR(E2564="",G2564=""),"",E2564*G2564)</f>
        <v/>
      </c>
      <c r="J2564" s="17" t="str">
        <f aca="false">IF(H2564="","",H2564-I2564)</f>
        <v/>
      </c>
    </row>
    <row r="2565" customFormat="false" ht="15" hidden="false" customHeight="true" outlineLevel="0" collapsed="false">
      <c r="A2565" s="7"/>
      <c r="B2565" s="18" t="str">
        <f aca="false">IF(A2565="","",IFERROR(INDEX(Sales_Memo!$B$2:$B$1001,MATCH(A2565,Sales_Memo!$A$2:$A$1001,0)),""))</f>
        <v/>
      </c>
      <c r="C2565" s="7"/>
      <c r="D2565" s="16" t="str">
        <f aca="false">IF(C2565="","",IFERROR(INDEX(Products!$B$2:$B$501,MATCH(C2565,Products!$A$2:$A$501,0)),"CODE NOT FOUND"))</f>
        <v/>
      </c>
      <c r="E2565" s="7"/>
      <c r="F2565" s="13"/>
      <c r="G2565" s="13"/>
      <c r="H2565" s="17" t="str">
        <f aca="false">IF(OR(E2565="",F2565=""),"",E2565*F2565)</f>
        <v/>
      </c>
      <c r="I2565" s="17" t="str">
        <f aca="false">IF(OR(E2565="",G2565=""),"",E2565*G2565)</f>
        <v/>
      </c>
      <c r="J2565" s="17" t="str">
        <f aca="false">IF(H2565="","",H2565-I2565)</f>
        <v/>
      </c>
    </row>
    <row r="2566" customFormat="false" ht="15" hidden="false" customHeight="true" outlineLevel="0" collapsed="false">
      <c r="A2566" s="7"/>
      <c r="B2566" s="18" t="str">
        <f aca="false">IF(A2566="","",IFERROR(INDEX(Sales_Memo!$B$2:$B$1001,MATCH(A2566,Sales_Memo!$A$2:$A$1001,0)),""))</f>
        <v/>
      </c>
      <c r="C2566" s="7"/>
      <c r="D2566" s="16" t="str">
        <f aca="false">IF(C2566="","",IFERROR(INDEX(Products!$B$2:$B$501,MATCH(C2566,Products!$A$2:$A$501,0)),"CODE NOT FOUND"))</f>
        <v/>
      </c>
      <c r="E2566" s="7"/>
      <c r="F2566" s="13"/>
      <c r="G2566" s="13"/>
      <c r="H2566" s="17" t="str">
        <f aca="false">IF(OR(E2566="",F2566=""),"",E2566*F2566)</f>
        <v/>
      </c>
      <c r="I2566" s="17" t="str">
        <f aca="false">IF(OR(E2566="",G2566=""),"",E2566*G2566)</f>
        <v/>
      </c>
      <c r="J2566" s="17" t="str">
        <f aca="false">IF(H2566="","",H2566-I2566)</f>
        <v/>
      </c>
    </row>
    <row r="2567" customFormat="false" ht="15" hidden="false" customHeight="true" outlineLevel="0" collapsed="false">
      <c r="A2567" s="7"/>
      <c r="B2567" s="18" t="str">
        <f aca="false">IF(A2567="","",IFERROR(INDEX(Sales_Memo!$B$2:$B$1001,MATCH(A2567,Sales_Memo!$A$2:$A$1001,0)),""))</f>
        <v/>
      </c>
      <c r="C2567" s="7"/>
      <c r="D2567" s="16" t="str">
        <f aca="false">IF(C2567="","",IFERROR(INDEX(Products!$B$2:$B$501,MATCH(C2567,Products!$A$2:$A$501,0)),"CODE NOT FOUND"))</f>
        <v/>
      </c>
      <c r="E2567" s="7"/>
      <c r="F2567" s="13"/>
      <c r="G2567" s="13"/>
      <c r="H2567" s="17" t="str">
        <f aca="false">IF(OR(E2567="",F2567=""),"",E2567*F2567)</f>
        <v/>
      </c>
      <c r="I2567" s="17" t="str">
        <f aca="false">IF(OR(E2567="",G2567=""),"",E2567*G2567)</f>
        <v/>
      </c>
      <c r="J2567" s="17" t="str">
        <f aca="false">IF(H2567="","",H2567-I2567)</f>
        <v/>
      </c>
    </row>
    <row r="2568" customFormat="false" ht="15" hidden="false" customHeight="true" outlineLevel="0" collapsed="false">
      <c r="A2568" s="7"/>
      <c r="B2568" s="18" t="str">
        <f aca="false">IF(A2568="","",IFERROR(INDEX(Sales_Memo!$B$2:$B$1001,MATCH(A2568,Sales_Memo!$A$2:$A$1001,0)),""))</f>
        <v/>
      </c>
      <c r="C2568" s="7"/>
      <c r="D2568" s="16" t="str">
        <f aca="false">IF(C2568="","",IFERROR(INDEX(Products!$B$2:$B$501,MATCH(C2568,Products!$A$2:$A$501,0)),"CODE NOT FOUND"))</f>
        <v/>
      </c>
      <c r="E2568" s="7"/>
      <c r="F2568" s="13"/>
      <c r="G2568" s="13"/>
      <c r="H2568" s="17" t="str">
        <f aca="false">IF(OR(E2568="",F2568=""),"",E2568*F2568)</f>
        <v/>
      </c>
      <c r="I2568" s="17" t="str">
        <f aca="false">IF(OR(E2568="",G2568=""),"",E2568*G2568)</f>
        <v/>
      </c>
      <c r="J2568" s="17" t="str">
        <f aca="false">IF(H2568="","",H2568-I2568)</f>
        <v/>
      </c>
    </row>
    <row r="2569" customFormat="false" ht="15" hidden="false" customHeight="true" outlineLevel="0" collapsed="false">
      <c r="A2569" s="7"/>
      <c r="B2569" s="18" t="str">
        <f aca="false">IF(A2569="","",IFERROR(INDEX(Sales_Memo!$B$2:$B$1001,MATCH(A2569,Sales_Memo!$A$2:$A$1001,0)),""))</f>
        <v/>
      </c>
      <c r="C2569" s="7"/>
      <c r="D2569" s="16" t="str">
        <f aca="false">IF(C2569="","",IFERROR(INDEX(Products!$B$2:$B$501,MATCH(C2569,Products!$A$2:$A$501,0)),"CODE NOT FOUND"))</f>
        <v/>
      </c>
      <c r="E2569" s="7"/>
      <c r="F2569" s="13"/>
      <c r="G2569" s="13"/>
      <c r="H2569" s="17" t="str">
        <f aca="false">IF(OR(E2569="",F2569=""),"",E2569*F2569)</f>
        <v/>
      </c>
      <c r="I2569" s="17" t="str">
        <f aca="false">IF(OR(E2569="",G2569=""),"",E2569*G2569)</f>
        <v/>
      </c>
      <c r="J2569" s="17" t="str">
        <f aca="false">IF(H2569="","",H2569-I2569)</f>
        <v/>
      </c>
    </row>
    <row r="2570" customFormat="false" ht="15" hidden="false" customHeight="true" outlineLevel="0" collapsed="false">
      <c r="A2570" s="7"/>
      <c r="B2570" s="18" t="str">
        <f aca="false">IF(A2570="","",IFERROR(INDEX(Sales_Memo!$B$2:$B$1001,MATCH(A2570,Sales_Memo!$A$2:$A$1001,0)),""))</f>
        <v/>
      </c>
      <c r="C2570" s="7"/>
      <c r="D2570" s="16" t="str">
        <f aca="false">IF(C2570="","",IFERROR(INDEX(Products!$B$2:$B$501,MATCH(C2570,Products!$A$2:$A$501,0)),"CODE NOT FOUND"))</f>
        <v/>
      </c>
      <c r="E2570" s="7"/>
      <c r="F2570" s="13"/>
      <c r="G2570" s="13"/>
      <c r="H2570" s="17" t="str">
        <f aca="false">IF(OR(E2570="",F2570=""),"",E2570*F2570)</f>
        <v/>
      </c>
      <c r="I2570" s="17" t="str">
        <f aca="false">IF(OR(E2570="",G2570=""),"",E2570*G2570)</f>
        <v/>
      </c>
      <c r="J2570" s="17" t="str">
        <f aca="false">IF(H2570="","",H2570-I2570)</f>
        <v/>
      </c>
    </row>
    <row r="2571" customFormat="false" ht="15" hidden="false" customHeight="true" outlineLevel="0" collapsed="false">
      <c r="A2571" s="7"/>
      <c r="B2571" s="18" t="str">
        <f aca="false">IF(A2571="","",IFERROR(INDEX(Sales_Memo!$B$2:$B$1001,MATCH(A2571,Sales_Memo!$A$2:$A$1001,0)),""))</f>
        <v/>
      </c>
      <c r="C2571" s="7"/>
      <c r="D2571" s="16" t="str">
        <f aca="false">IF(C2571="","",IFERROR(INDEX(Products!$B$2:$B$501,MATCH(C2571,Products!$A$2:$A$501,0)),"CODE NOT FOUND"))</f>
        <v/>
      </c>
      <c r="E2571" s="7"/>
      <c r="F2571" s="13"/>
      <c r="G2571" s="13"/>
      <c r="H2571" s="17" t="str">
        <f aca="false">IF(OR(E2571="",F2571=""),"",E2571*F2571)</f>
        <v/>
      </c>
      <c r="I2571" s="17" t="str">
        <f aca="false">IF(OR(E2571="",G2571=""),"",E2571*G2571)</f>
        <v/>
      </c>
      <c r="J2571" s="17" t="str">
        <f aca="false">IF(H2571="","",H2571-I2571)</f>
        <v/>
      </c>
    </row>
    <row r="2572" customFormat="false" ht="15" hidden="false" customHeight="true" outlineLevel="0" collapsed="false">
      <c r="A2572" s="7"/>
      <c r="B2572" s="18" t="str">
        <f aca="false">IF(A2572="","",IFERROR(INDEX(Sales_Memo!$B$2:$B$1001,MATCH(A2572,Sales_Memo!$A$2:$A$1001,0)),""))</f>
        <v/>
      </c>
      <c r="C2572" s="7"/>
      <c r="D2572" s="16" t="str">
        <f aca="false">IF(C2572="","",IFERROR(INDEX(Products!$B$2:$B$501,MATCH(C2572,Products!$A$2:$A$501,0)),"CODE NOT FOUND"))</f>
        <v/>
      </c>
      <c r="E2572" s="7"/>
      <c r="F2572" s="13"/>
      <c r="G2572" s="13"/>
      <c r="H2572" s="17" t="str">
        <f aca="false">IF(OR(E2572="",F2572=""),"",E2572*F2572)</f>
        <v/>
      </c>
      <c r="I2572" s="17" t="str">
        <f aca="false">IF(OR(E2572="",G2572=""),"",E2572*G2572)</f>
        <v/>
      </c>
      <c r="J2572" s="17" t="str">
        <f aca="false">IF(H2572="","",H2572-I2572)</f>
        <v/>
      </c>
    </row>
    <row r="2573" customFormat="false" ht="15" hidden="false" customHeight="true" outlineLevel="0" collapsed="false">
      <c r="A2573" s="7"/>
      <c r="B2573" s="18" t="str">
        <f aca="false">IF(A2573="","",IFERROR(INDEX(Sales_Memo!$B$2:$B$1001,MATCH(A2573,Sales_Memo!$A$2:$A$1001,0)),""))</f>
        <v/>
      </c>
      <c r="C2573" s="7"/>
      <c r="D2573" s="16" t="str">
        <f aca="false">IF(C2573="","",IFERROR(INDEX(Products!$B$2:$B$501,MATCH(C2573,Products!$A$2:$A$501,0)),"CODE NOT FOUND"))</f>
        <v/>
      </c>
      <c r="E2573" s="7"/>
      <c r="F2573" s="13"/>
      <c r="G2573" s="13"/>
      <c r="H2573" s="17" t="str">
        <f aca="false">IF(OR(E2573="",F2573=""),"",E2573*F2573)</f>
        <v/>
      </c>
      <c r="I2573" s="17" t="str">
        <f aca="false">IF(OR(E2573="",G2573=""),"",E2573*G2573)</f>
        <v/>
      </c>
      <c r="J2573" s="17" t="str">
        <f aca="false">IF(H2573="","",H2573-I2573)</f>
        <v/>
      </c>
    </row>
    <row r="2574" customFormat="false" ht="15" hidden="false" customHeight="true" outlineLevel="0" collapsed="false">
      <c r="A2574" s="7"/>
      <c r="B2574" s="18" t="str">
        <f aca="false">IF(A2574="","",IFERROR(INDEX(Sales_Memo!$B$2:$B$1001,MATCH(A2574,Sales_Memo!$A$2:$A$1001,0)),""))</f>
        <v/>
      </c>
      <c r="C2574" s="7"/>
      <c r="D2574" s="16" t="str">
        <f aca="false">IF(C2574="","",IFERROR(INDEX(Products!$B$2:$B$501,MATCH(C2574,Products!$A$2:$A$501,0)),"CODE NOT FOUND"))</f>
        <v/>
      </c>
      <c r="E2574" s="7"/>
      <c r="F2574" s="13"/>
      <c r="G2574" s="13"/>
      <c r="H2574" s="17" t="str">
        <f aca="false">IF(OR(E2574="",F2574=""),"",E2574*F2574)</f>
        <v/>
      </c>
      <c r="I2574" s="17" t="str">
        <f aca="false">IF(OR(E2574="",G2574=""),"",E2574*G2574)</f>
        <v/>
      </c>
      <c r="J2574" s="17" t="str">
        <f aca="false">IF(H2574="","",H2574-I2574)</f>
        <v/>
      </c>
    </row>
    <row r="2575" customFormat="false" ht="15" hidden="false" customHeight="true" outlineLevel="0" collapsed="false">
      <c r="A2575" s="7"/>
      <c r="B2575" s="18" t="str">
        <f aca="false">IF(A2575="","",IFERROR(INDEX(Sales_Memo!$B$2:$B$1001,MATCH(A2575,Sales_Memo!$A$2:$A$1001,0)),""))</f>
        <v/>
      </c>
      <c r="C2575" s="7"/>
      <c r="D2575" s="16" t="str">
        <f aca="false">IF(C2575="","",IFERROR(INDEX(Products!$B$2:$B$501,MATCH(C2575,Products!$A$2:$A$501,0)),"CODE NOT FOUND"))</f>
        <v/>
      </c>
      <c r="E2575" s="7"/>
      <c r="F2575" s="13"/>
      <c r="G2575" s="13"/>
      <c r="H2575" s="17" t="str">
        <f aca="false">IF(OR(E2575="",F2575=""),"",E2575*F2575)</f>
        <v/>
      </c>
      <c r="I2575" s="17" t="str">
        <f aca="false">IF(OR(E2575="",G2575=""),"",E2575*G2575)</f>
        <v/>
      </c>
      <c r="J2575" s="17" t="str">
        <f aca="false">IF(H2575="","",H2575-I2575)</f>
        <v/>
      </c>
    </row>
    <row r="2576" customFormat="false" ht="15" hidden="false" customHeight="true" outlineLevel="0" collapsed="false">
      <c r="A2576" s="7"/>
      <c r="B2576" s="18" t="str">
        <f aca="false">IF(A2576="","",IFERROR(INDEX(Sales_Memo!$B$2:$B$1001,MATCH(A2576,Sales_Memo!$A$2:$A$1001,0)),""))</f>
        <v/>
      </c>
      <c r="C2576" s="7"/>
      <c r="D2576" s="16" t="str">
        <f aca="false">IF(C2576="","",IFERROR(INDEX(Products!$B$2:$B$501,MATCH(C2576,Products!$A$2:$A$501,0)),"CODE NOT FOUND"))</f>
        <v/>
      </c>
      <c r="E2576" s="7"/>
      <c r="F2576" s="13"/>
      <c r="G2576" s="13"/>
      <c r="H2576" s="17" t="str">
        <f aca="false">IF(OR(E2576="",F2576=""),"",E2576*F2576)</f>
        <v/>
      </c>
      <c r="I2576" s="17" t="str">
        <f aca="false">IF(OR(E2576="",G2576=""),"",E2576*G2576)</f>
        <v/>
      </c>
      <c r="J2576" s="17" t="str">
        <f aca="false">IF(H2576="","",H2576-I2576)</f>
        <v/>
      </c>
    </row>
    <row r="2577" customFormat="false" ht="15" hidden="false" customHeight="true" outlineLevel="0" collapsed="false">
      <c r="A2577" s="7"/>
      <c r="B2577" s="18" t="str">
        <f aca="false">IF(A2577="","",IFERROR(INDEX(Sales_Memo!$B$2:$B$1001,MATCH(A2577,Sales_Memo!$A$2:$A$1001,0)),""))</f>
        <v/>
      </c>
      <c r="C2577" s="7"/>
      <c r="D2577" s="16" t="str">
        <f aca="false">IF(C2577="","",IFERROR(INDEX(Products!$B$2:$B$501,MATCH(C2577,Products!$A$2:$A$501,0)),"CODE NOT FOUND"))</f>
        <v/>
      </c>
      <c r="E2577" s="7"/>
      <c r="F2577" s="13"/>
      <c r="G2577" s="13"/>
      <c r="H2577" s="17" t="str">
        <f aca="false">IF(OR(E2577="",F2577=""),"",E2577*F2577)</f>
        <v/>
      </c>
      <c r="I2577" s="17" t="str">
        <f aca="false">IF(OR(E2577="",G2577=""),"",E2577*G2577)</f>
        <v/>
      </c>
      <c r="J2577" s="17" t="str">
        <f aca="false">IF(H2577="","",H2577-I2577)</f>
        <v/>
      </c>
    </row>
    <row r="2578" customFormat="false" ht="15" hidden="false" customHeight="true" outlineLevel="0" collapsed="false">
      <c r="A2578" s="7"/>
      <c r="B2578" s="18" t="str">
        <f aca="false">IF(A2578="","",IFERROR(INDEX(Sales_Memo!$B$2:$B$1001,MATCH(A2578,Sales_Memo!$A$2:$A$1001,0)),""))</f>
        <v/>
      </c>
      <c r="C2578" s="7"/>
      <c r="D2578" s="16" t="str">
        <f aca="false">IF(C2578="","",IFERROR(INDEX(Products!$B$2:$B$501,MATCH(C2578,Products!$A$2:$A$501,0)),"CODE NOT FOUND"))</f>
        <v/>
      </c>
      <c r="E2578" s="7"/>
      <c r="F2578" s="13"/>
      <c r="G2578" s="13"/>
      <c r="H2578" s="17" t="str">
        <f aca="false">IF(OR(E2578="",F2578=""),"",E2578*F2578)</f>
        <v/>
      </c>
      <c r="I2578" s="17" t="str">
        <f aca="false">IF(OR(E2578="",G2578=""),"",E2578*G2578)</f>
        <v/>
      </c>
      <c r="J2578" s="17" t="str">
        <f aca="false">IF(H2578="","",H2578-I2578)</f>
        <v/>
      </c>
    </row>
    <row r="2579" customFormat="false" ht="15" hidden="false" customHeight="true" outlineLevel="0" collapsed="false">
      <c r="A2579" s="7"/>
      <c r="B2579" s="18" t="str">
        <f aca="false">IF(A2579="","",IFERROR(INDEX(Sales_Memo!$B$2:$B$1001,MATCH(A2579,Sales_Memo!$A$2:$A$1001,0)),""))</f>
        <v/>
      </c>
      <c r="C2579" s="7"/>
      <c r="D2579" s="16" t="str">
        <f aca="false">IF(C2579="","",IFERROR(INDEX(Products!$B$2:$B$501,MATCH(C2579,Products!$A$2:$A$501,0)),"CODE NOT FOUND"))</f>
        <v/>
      </c>
      <c r="E2579" s="7"/>
      <c r="F2579" s="13"/>
      <c r="G2579" s="13"/>
      <c r="H2579" s="17" t="str">
        <f aca="false">IF(OR(E2579="",F2579=""),"",E2579*F2579)</f>
        <v/>
      </c>
      <c r="I2579" s="17" t="str">
        <f aca="false">IF(OR(E2579="",G2579=""),"",E2579*G2579)</f>
        <v/>
      </c>
      <c r="J2579" s="17" t="str">
        <f aca="false">IF(H2579="","",H2579-I2579)</f>
        <v/>
      </c>
    </row>
    <row r="2580" customFormat="false" ht="15" hidden="false" customHeight="true" outlineLevel="0" collapsed="false">
      <c r="A2580" s="7"/>
      <c r="B2580" s="18" t="str">
        <f aca="false">IF(A2580="","",IFERROR(INDEX(Sales_Memo!$B$2:$B$1001,MATCH(A2580,Sales_Memo!$A$2:$A$1001,0)),""))</f>
        <v/>
      </c>
      <c r="C2580" s="7"/>
      <c r="D2580" s="16" t="str">
        <f aca="false">IF(C2580="","",IFERROR(INDEX(Products!$B$2:$B$501,MATCH(C2580,Products!$A$2:$A$501,0)),"CODE NOT FOUND"))</f>
        <v/>
      </c>
      <c r="E2580" s="7"/>
      <c r="F2580" s="13"/>
      <c r="G2580" s="13"/>
      <c r="H2580" s="17" t="str">
        <f aca="false">IF(OR(E2580="",F2580=""),"",E2580*F2580)</f>
        <v/>
      </c>
      <c r="I2580" s="17" t="str">
        <f aca="false">IF(OR(E2580="",G2580=""),"",E2580*G2580)</f>
        <v/>
      </c>
      <c r="J2580" s="17" t="str">
        <f aca="false">IF(H2580="","",H2580-I2580)</f>
        <v/>
      </c>
    </row>
    <row r="2581" customFormat="false" ht="15" hidden="false" customHeight="true" outlineLevel="0" collapsed="false">
      <c r="A2581" s="7"/>
      <c r="B2581" s="18" t="str">
        <f aca="false">IF(A2581="","",IFERROR(INDEX(Sales_Memo!$B$2:$B$1001,MATCH(A2581,Sales_Memo!$A$2:$A$1001,0)),""))</f>
        <v/>
      </c>
      <c r="C2581" s="7"/>
      <c r="D2581" s="16" t="str">
        <f aca="false">IF(C2581="","",IFERROR(INDEX(Products!$B$2:$B$501,MATCH(C2581,Products!$A$2:$A$501,0)),"CODE NOT FOUND"))</f>
        <v/>
      </c>
      <c r="E2581" s="7"/>
      <c r="F2581" s="13"/>
      <c r="G2581" s="13"/>
      <c r="H2581" s="17" t="str">
        <f aca="false">IF(OR(E2581="",F2581=""),"",E2581*F2581)</f>
        <v/>
      </c>
      <c r="I2581" s="17" t="str">
        <f aca="false">IF(OR(E2581="",G2581=""),"",E2581*G2581)</f>
        <v/>
      </c>
      <c r="J2581" s="17" t="str">
        <f aca="false">IF(H2581="","",H2581-I2581)</f>
        <v/>
      </c>
    </row>
    <row r="2582" customFormat="false" ht="15" hidden="false" customHeight="true" outlineLevel="0" collapsed="false">
      <c r="A2582" s="7"/>
      <c r="B2582" s="18" t="str">
        <f aca="false">IF(A2582="","",IFERROR(INDEX(Sales_Memo!$B$2:$B$1001,MATCH(A2582,Sales_Memo!$A$2:$A$1001,0)),""))</f>
        <v/>
      </c>
      <c r="C2582" s="7"/>
      <c r="D2582" s="16" t="str">
        <f aca="false">IF(C2582="","",IFERROR(INDEX(Products!$B$2:$B$501,MATCH(C2582,Products!$A$2:$A$501,0)),"CODE NOT FOUND"))</f>
        <v/>
      </c>
      <c r="E2582" s="7"/>
      <c r="F2582" s="13"/>
      <c r="G2582" s="13"/>
      <c r="H2582" s="17" t="str">
        <f aca="false">IF(OR(E2582="",F2582=""),"",E2582*F2582)</f>
        <v/>
      </c>
      <c r="I2582" s="17" t="str">
        <f aca="false">IF(OR(E2582="",G2582=""),"",E2582*G2582)</f>
        <v/>
      </c>
      <c r="J2582" s="17" t="str">
        <f aca="false">IF(H2582="","",H2582-I2582)</f>
        <v/>
      </c>
    </row>
    <row r="2583" customFormat="false" ht="15" hidden="false" customHeight="true" outlineLevel="0" collapsed="false">
      <c r="A2583" s="7"/>
      <c r="B2583" s="18" t="str">
        <f aca="false">IF(A2583="","",IFERROR(INDEX(Sales_Memo!$B$2:$B$1001,MATCH(A2583,Sales_Memo!$A$2:$A$1001,0)),""))</f>
        <v/>
      </c>
      <c r="C2583" s="7"/>
      <c r="D2583" s="16" t="str">
        <f aca="false">IF(C2583="","",IFERROR(INDEX(Products!$B$2:$B$501,MATCH(C2583,Products!$A$2:$A$501,0)),"CODE NOT FOUND"))</f>
        <v/>
      </c>
      <c r="E2583" s="7"/>
      <c r="F2583" s="13"/>
      <c r="G2583" s="13"/>
      <c r="H2583" s="17" t="str">
        <f aca="false">IF(OR(E2583="",F2583=""),"",E2583*F2583)</f>
        <v/>
      </c>
      <c r="I2583" s="17" t="str">
        <f aca="false">IF(OR(E2583="",G2583=""),"",E2583*G2583)</f>
        <v/>
      </c>
      <c r="J2583" s="17" t="str">
        <f aca="false">IF(H2583="","",H2583-I2583)</f>
        <v/>
      </c>
    </row>
    <row r="2584" customFormat="false" ht="15" hidden="false" customHeight="true" outlineLevel="0" collapsed="false">
      <c r="A2584" s="7"/>
      <c r="B2584" s="18" t="str">
        <f aca="false">IF(A2584="","",IFERROR(INDEX(Sales_Memo!$B$2:$B$1001,MATCH(A2584,Sales_Memo!$A$2:$A$1001,0)),""))</f>
        <v/>
      </c>
      <c r="C2584" s="7"/>
      <c r="D2584" s="16" t="str">
        <f aca="false">IF(C2584="","",IFERROR(INDEX(Products!$B$2:$B$501,MATCH(C2584,Products!$A$2:$A$501,0)),"CODE NOT FOUND"))</f>
        <v/>
      </c>
      <c r="E2584" s="7"/>
      <c r="F2584" s="13"/>
      <c r="G2584" s="13"/>
      <c r="H2584" s="17" t="str">
        <f aca="false">IF(OR(E2584="",F2584=""),"",E2584*F2584)</f>
        <v/>
      </c>
      <c r="I2584" s="17" t="str">
        <f aca="false">IF(OR(E2584="",G2584=""),"",E2584*G2584)</f>
        <v/>
      </c>
      <c r="J2584" s="17" t="str">
        <f aca="false">IF(H2584="","",H2584-I2584)</f>
        <v/>
      </c>
    </row>
    <row r="2585" customFormat="false" ht="15" hidden="false" customHeight="true" outlineLevel="0" collapsed="false">
      <c r="A2585" s="7"/>
      <c r="B2585" s="18" t="str">
        <f aca="false">IF(A2585="","",IFERROR(INDEX(Sales_Memo!$B$2:$B$1001,MATCH(A2585,Sales_Memo!$A$2:$A$1001,0)),""))</f>
        <v/>
      </c>
      <c r="C2585" s="7"/>
      <c r="D2585" s="16" t="str">
        <f aca="false">IF(C2585="","",IFERROR(INDEX(Products!$B$2:$B$501,MATCH(C2585,Products!$A$2:$A$501,0)),"CODE NOT FOUND"))</f>
        <v/>
      </c>
      <c r="E2585" s="7"/>
      <c r="F2585" s="13"/>
      <c r="G2585" s="13"/>
      <c r="H2585" s="17" t="str">
        <f aca="false">IF(OR(E2585="",F2585=""),"",E2585*F2585)</f>
        <v/>
      </c>
      <c r="I2585" s="17" t="str">
        <f aca="false">IF(OR(E2585="",G2585=""),"",E2585*G2585)</f>
        <v/>
      </c>
      <c r="J2585" s="17" t="str">
        <f aca="false">IF(H2585="","",H2585-I2585)</f>
        <v/>
      </c>
    </row>
    <row r="2586" customFormat="false" ht="15" hidden="false" customHeight="true" outlineLevel="0" collapsed="false">
      <c r="A2586" s="7"/>
      <c r="B2586" s="18" t="str">
        <f aca="false">IF(A2586="","",IFERROR(INDEX(Sales_Memo!$B$2:$B$1001,MATCH(A2586,Sales_Memo!$A$2:$A$1001,0)),""))</f>
        <v/>
      </c>
      <c r="C2586" s="7"/>
      <c r="D2586" s="16" t="str">
        <f aca="false">IF(C2586="","",IFERROR(INDEX(Products!$B$2:$B$501,MATCH(C2586,Products!$A$2:$A$501,0)),"CODE NOT FOUND"))</f>
        <v/>
      </c>
      <c r="E2586" s="7"/>
      <c r="F2586" s="13"/>
      <c r="G2586" s="13"/>
      <c r="H2586" s="17" t="str">
        <f aca="false">IF(OR(E2586="",F2586=""),"",E2586*F2586)</f>
        <v/>
      </c>
      <c r="I2586" s="17" t="str">
        <f aca="false">IF(OR(E2586="",G2586=""),"",E2586*G2586)</f>
        <v/>
      </c>
      <c r="J2586" s="17" t="str">
        <f aca="false">IF(H2586="","",H2586-I2586)</f>
        <v/>
      </c>
    </row>
    <row r="2587" customFormat="false" ht="15" hidden="false" customHeight="true" outlineLevel="0" collapsed="false">
      <c r="A2587" s="7"/>
      <c r="B2587" s="18" t="str">
        <f aca="false">IF(A2587="","",IFERROR(INDEX(Sales_Memo!$B$2:$B$1001,MATCH(A2587,Sales_Memo!$A$2:$A$1001,0)),""))</f>
        <v/>
      </c>
      <c r="C2587" s="7"/>
      <c r="D2587" s="16" t="str">
        <f aca="false">IF(C2587="","",IFERROR(INDEX(Products!$B$2:$B$501,MATCH(C2587,Products!$A$2:$A$501,0)),"CODE NOT FOUND"))</f>
        <v/>
      </c>
      <c r="E2587" s="7"/>
      <c r="F2587" s="13"/>
      <c r="G2587" s="13"/>
      <c r="H2587" s="17" t="str">
        <f aca="false">IF(OR(E2587="",F2587=""),"",E2587*F2587)</f>
        <v/>
      </c>
      <c r="I2587" s="17" t="str">
        <f aca="false">IF(OR(E2587="",G2587=""),"",E2587*G2587)</f>
        <v/>
      </c>
      <c r="J2587" s="17" t="str">
        <f aca="false">IF(H2587="","",H2587-I2587)</f>
        <v/>
      </c>
    </row>
    <row r="2588" customFormat="false" ht="15" hidden="false" customHeight="true" outlineLevel="0" collapsed="false">
      <c r="A2588" s="7"/>
      <c r="B2588" s="18" t="str">
        <f aca="false">IF(A2588="","",IFERROR(INDEX(Sales_Memo!$B$2:$B$1001,MATCH(A2588,Sales_Memo!$A$2:$A$1001,0)),""))</f>
        <v/>
      </c>
      <c r="C2588" s="7"/>
      <c r="D2588" s="16" t="str">
        <f aca="false">IF(C2588="","",IFERROR(INDEX(Products!$B$2:$B$501,MATCH(C2588,Products!$A$2:$A$501,0)),"CODE NOT FOUND"))</f>
        <v/>
      </c>
      <c r="E2588" s="7"/>
      <c r="F2588" s="13"/>
      <c r="G2588" s="13"/>
      <c r="H2588" s="17" t="str">
        <f aca="false">IF(OR(E2588="",F2588=""),"",E2588*F2588)</f>
        <v/>
      </c>
      <c r="I2588" s="17" t="str">
        <f aca="false">IF(OR(E2588="",G2588=""),"",E2588*G2588)</f>
        <v/>
      </c>
      <c r="J2588" s="17" t="str">
        <f aca="false">IF(H2588="","",H2588-I2588)</f>
        <v/>
      </c>
    </row>
    <row r="2589" customFormat="false" ht="15" hidden="false" customHeight="true" outlineLevel="0" collapsed="false">
      <c r="A2589" s="7"/>
      <c r="B2589" s="18" t="str">
        <f aca="false">IF(A2589="","",IFERROR(INDEX(Sales_Memo!$B$2:$B$1001,MATCH(A2589,Sales_Memo!$A$2:$A$1001,0)),""))</f>
        <v/>
      </c>
      <c r="C2589" s="7"/>
      <c r="D2589" s="16" t="str">
        <f aca="false">IF(C2589="","",IFERROR(INDEX(Products!$B$2:$B$501,MATCH(C2589,Products!$A$2:$A$501,0)),"CODE NOT FOUND"))</f>
        <v/>
      </c>
      <c r="E2589" s="7"/>
      <c r="F2589" s="13"/>
      <c r="G2589" s="13"/>
      <c r="H2589" s="17" t="str">
        <f aca="false">IF(OR(E2589="",F2589=""),"",E2589*F2589)</f>
        <v/>
      </c>
      <c r="I2589" s="17" t="str">
        <f aca="false">IF(OR(E2589="",G2589=""),"",E2589*G2589)</f>
        <v/>
      </c>
      <c r="J2589" s="17" t="str">
        <f aca="false">IF(H2589="","",H2589-I2589)</f>
        <v/>
      </c>
    </row>
    <row r="2590" customFormat="false" ht="15" hidden="false" customHeight="true" outlineLevel="0" collapsed="false">
      <c r="A2590" s="7"/>
      <c r="B2590" s="18" t="str">
        <f aca="false">IF(A2590="","",IFERROR(INDEX(Sales_Memo!$B$2:$B$1001,MATCH(A2590,Sales_Memo!$A$2:$A$1001,0)),""))</f>
        <v/>
      </c>
      <c r="C2590" s="7"/>
      <c r="D2590" s="16" t="str">
        <f aca="false">IF(C2590="","",IFERROR(INDEX(Products!$B$2:$B$501,MATCH(C2590,Products!$A$2:$A$501,0)),"CODE NOT FOUND"))</f>
        <v/>
      </c>
      <c r="E2590" s="7"/>
      <c r="F2590" s="13"/>
      <c r="G2590" s="13"/>
      <c r="H2590" s="17" t="str">
        <f aca="false">IF(OR(E2590="",F2590=""),"",E2590*F2590)</f>
        <v/>
      </c>
      <c r="I2590" s="17" t="str">
        <f aca="false">IF(OR(E2590="",G2590=""),"",E2590*G2590)</f>
        <v/>
      </c>
      <c r="J2590" s="17" t="str">
        <f aca="false">IF(H2590="","",H2590-I2590)</f>
        <v/>
      </c>
    </row>
    <row r="2591" customFormat="false" ht="15" hidden="false" customHeight="true" outlineLevel="0" collapsed="false">
      <c r="A2591" s="7"/>
      <c r="B2591" s="18" t="str">
        <f aca="false">IF(A2591="","",IFERROR(INDEX(Sales_Memo!$B$2:$B$1001,MATCH(A2591,Sales_Memo!$A$2:$A$1001,0)),""))</f>
        <v/>
      </c>
      <c r="C2591" s="7"/>
      <c r="D2591" s="16" t="str">
        <f aca="false">IF(C2591="","",IFERROR(INDEX(Products!$B$2:$B$501,MATCH(C2591,Products!$A$2:$A$501,0)),"CODE NOT FOUND"))</f>
        <v/>
      </c>
      <c r="E2591" s="7"/>
      <c r="F2591" s="13"/>
      <c r="G2591" s="13"/>
      <c r="H2591" s="17" t="str">
        <f aca="false">IF(OR(E2591="",F2591=""),"",E2591*F2591)</f>
        <v/>
      </c>
      <c r="I2591" s="17" t="str">
        <f aca="false">IF(OR(E2591="",G2591=""),"",E2591*G2591)</f>
        <v/>
      </c>
      <c r="J2591" s="17" t="str">
        <f aca="false">IF(H2591="","",H2591-I2591)</f>
        <v/>
      </c>
    </row>
    <row r="2592" customFormat="false" ht="15" hidden="false" customHeight="true" outlineLevel="0" collapsed="false">
      <c r="A2592" s="7"/>
      <c r="B2592" s="18" t="str">
        <f aca="false">IF(A2592="","",IFERROR(INDEX(Sales_Memo!$B$2:$B$1001,MATCH(A2592,Sales_Memo!$A$2:$A$1001,0)),""))</f>
        <v/>
      </c>
      <c r="C2592" s="7"/>
      <c r="D2592" s="16" t="str">
        <f aca="false">IF(C2592="","",IFERROR(INDEX(Products!$B$2:$B$501,MATCH(C2592,Products!$A$2:$A$501,0)),"CODE NOT FOUND"))</f>
        <v/>
      </c>
      <c r="E2592" s="7"/>
      <c r="F2592" s="13"/>
      <c r="G2592" s="13"/>
      <c r="H2592" s="17" t="str">
        <f aca="false">IF(OR(E2592="",F2592=""),"",E2592*F2592)</f>
        <v/>
      </c>
      <c r="I2592" s="17" t="str">
        <f aca="false">IF(OR(E2592="",G2592=""),"",E2592*G2592)</f>
        <v/>
      </c>
      <c r="J2592" s="17" t="str">
        <f aca="false">IF(H2592="","",H2592-I2592)</f>
        <v/>
      </c>
    </row>
    <row r="2593" customFormat="false" ht="15" hidden="false" customHeight="true" outlineLevel="0" collapsed="false">
      <c r="A2593" s="7"/>
      <c r="B2593" s="18" t="str">
        <f aca="false">IF(A2593="","",IFERROR(INDEX(Sales_Memo!$B$2:$B$1001,MATCH(A2593,Sales_Memo!$A$2:$A$1001,0)),""))</f>
        <v/>
      </c>
      <c r="C2593" s="7"/>
      <c r="D2593" s="16" t="str">
        <f aca="false">IF(C2593="","",IFERROR(INDEX(Products!$B$2:$B$501,MATCH(C2593,Products!$A$2:$A$501,0)),"CODE NOT FOUND"))</f>
        <v/>
      </c>
      <c r="E2593" s="7"/>
      <c r="F2593" s="13"/>
      <c r="G2593" s="13"/>
      <c r="H2593" s="17" t="str">
        <f aca="false">IF(OR(E2593="",F2593=""),"",E2593*F2593)</f>
        <v/>
      </c>
      <c r="I2593" s="17" t="str">
        <f aca="false">IF(OR(E2593="",G2593=""),"",E2593*G2593)</f>
        <v/>
      </c>
      <c r="J2593" s="17" t="str">
        <f aca="false">IF(H2593="","",H2593-I2593)</f>
        <v/>
      </c>
    </row>
    <row r="2594" customFormat="false" ht="15" hidden="false" customHeight="true" outlineLevel="0" collapsed="false">
      <c r="A2594" s="7"/>
      <c r="B2594" s="18" t="str">
        <f aca="false">IF(A2594="","",IFERROR(INDEX(Sales_Memo!$B$2:$B$1001,MATCH(A2594,Sales_Memo!$A$2:$A$1001,0)),""))</f>
        <v/>
      </c>
      <c r="C2594" s="7"/>
      <c r="D2594" s="16" t="str">
        <f aca="false">IF(C2594="","",IFERROR(INDEX(Products!$B$2:$B$501,MATCH(C2594,Products!$A$2:$A$501,0)),"CODE NOT FOUND"))</f>
        <v/>
      </c>
      <c r="E2594" s="7"/>
      <c r="F2594" s="13"/>
      <c r="G2594" s="13"/>
      <c r="H2594" s="17" t="str">
        <f aca="false">IF(OR(E2594="",F2594=""),"",E2594*F2594)</f>
        <v/>
      </c>
      <c r="I2594" s="17" t="str">
        <f aca="false">IF(OR(E2594="",G2594=""),"",E2594*G2594)</f>
        <v/>
      </c>
      <c r="J2594" s="17" t="str">
        <f aca="false">IF(H2594="","",H2594-I2594)</f>
        <v/>
      </c>
    </row>
    <row r="2595" customFormat="false" ht="15" hidden="false" customHeight="true" outlineLevel="0" collapsed="false">
      <c r="A2595" s="7"/>
      <c r="B2595" s="18" t="str">
        <f aca="false">IF(A2595="","",IFERROR(INDEX(Sales_Memo!$B$2:$B$1001,MATCH(A2595,Sales_Memo!$A$2:$A$1001,0)),""))</f>
        <v/>
      </c>
      <c r="C2595" s="7"/>
      <c r="D2595" s="16" t="str">
        <f aca="false">IF(C2595="","",IFERROR(INDEX(Products!$B$2:$B$501,MATCH(C2595,Products!$A$2:$A$501,0)),"CODE NOT FOUND"))</f>
        <v/>
      </c>
      <c r="E2595" s="7"/>
      <c r="F2595" s="13"/>
      <c r="G2595" s="13"/>
      <c r="H2595" s="17" t="str">
        <f aca="false">IF(OR(E2595="",F2595=""),"",E2595*F2595)</f>
        <v/>
      </c>
      <c r="I2595" s="17" t="str">
        <f aca="false">IF(OR(E2595="",G2595=""),"",E2595*G2595)</f>
        <v/>
      </c>
      <c r="J2595" s="17" t="str">
        <f aca="false">IF(H2595="","",H2595-I2595)</f>
        <v/>
      </c>
    </row>
    <row r="2596" customFormat="false" ht="15" hidden="false" customHeight="true" outlineLevel="0" collapsed="false">
      <c r="A2596" s="7"/>
      <c r="B2596" s="18" t="str">
        <f aca="false">IF(A2596="","",IFERROR(INDEX(Sales_Memo!$B$2:$B$1001,MATCH(A2596,Sales_Memo!$A$2:$A$1001,0)),""))</f>
        <v/>
      </c>
      <c r="C2596" s="7"/>
      <c r="D2596" s="16" t="str">
        <f aca="false">IF(C2596="","",IFERROR(INDEX(Products!$B$2:$B$501,MATCH(C2596,Products!$A$2:$A$501,0)),"CODE NOT FOUND"))</f>
        <v/>
      </c>
      <c r="E2596" s="7"/>
      <c r="F2596" s="13"/>
      <c r="G2596" s="13"/>
      <c r="H2596" s="17" t="str">
        <f aca="false">IF(OR(E2596="",F2596=""),"",E2596*F2596)</f>
        <v/>
      </c>
      <c r="I2596" s="17" t="str">
        <f aca="false">IF(OR(E2596="",G2596=""),"",E2596*G2596)</f>
        <v/>
      </c>
      <c r="J2596" s="17" t="str">
        <f aca="false">IF(H2596="","",H2596-I2596)</f>
        <v/>
      </c>
    </row>
    <row r="2597" customFormat="false" ht="15" hidden="false" customHeight="true" outlineLevel="0" collapsed="false">
      <c r="A2597" s="7"/>
      <c r="B2597" s="18" t="str">
        <f aca="false">IF(A2597="","",IFERROR(INDEX(Sales_Memo!$B$2:$B$1001,MATCH(A2597,Sales_Memo!$A$2:$A$1001,0)),""))</f>
        <v/>
      </c>
      <c r="C2597" s="7"/>
      <c r="D2597" s="16" t="str">
        <f aca="false">IF(C2597="","",IFERROR(INDEX(Products!$B$2:$B$501,MATCH(C2597,Products!$A$2:$A$501,0)),"CODE NOT FOUND"))</f>
        <v/>
      </c>
      <c r="E2597" s="7"/>
      <c r="F2597" s="13"/>
      <c r="G2597" s="13"/>
      <c r="H2597" s="17" t="str">
        <f aca="false">IF(OR(E2597="",F2597=""),"",E2597*F2597)</f>
        <v/>
      </c>
      <c r="I2597" s="17" t="str">
        <f aca="false">IF(OR(E2597="",G2597=""),"",E2597*G2597)</f>
        <v/>
      </c>
      <c r="J2597" s="17" t="str">
        <f aca="false">IF(H2597="","",H2597-I2597)</f>
        <v/>
      </c>
    </row>
    <row r="2598" customFormat="false" ht="15" hidden="false" customHeight="true" outlineLevel="0" collapsed="false">
      <c r="A2598" s="7"/>
      <c r="B2598" s="18" t="str">
        <f aca="false">IF(A2598="","",IFERROR(INDEX(Sales_Memo!$B$2:$B$1001,MATCH(A2598,Sales_Memo!$A$2:$A$1001,0)),""))</f>
        <v/>
      </c>
      <c r="C2598" s="7"/>
      <c r="D2598" s="16" t="str">
        <f aca="false">IF(C2598="","",IFERROR(INDEX(Products!$B$2:$B$501,MATCH(C2598,Products!$A$2:$A$501,0)),"CODE NOT FOUND"))</f>
        <v/>
      </c>
      <c r="E2598" s="7"/>
      <c r="F2598" s="13"/>
      <c r="G2598" s="13"/>
      <c r="H2598" s="17" t="str">
        <f aca="false">IF(OR(E2598="",F2598=""),"",E2598*F2598)</f>
        <v/>
      </c>
      <c r="I2598" s="17" t="str">
        <f aca="false">IF(OR(E2598="",G2598=""),"",E2598*G2598)</f>
        <v/>
      </c>
      <c r="J2598" s="17" t="str">
        <f aca="false">IF(H2598="","",H2598-I2598)</f>
        <v/>
      </c>
    </row>
    <row r="2599" customFormat="false" ht="15" hidden="false" customHeight="true" outlineLevel="0" collapsed="false">
      <c r="A2599" s="7"/>
      <c r="B2599" s="18" t="str">
        <f aca="false">IF(A2599="","",IFERROR(INDEX(Sales_Memo!$B$2:$B$1001,MATCH(A2599,Sales_Memo!$A$2:$A$1001,0)),""))</f>
        <v/>
      </c>
      <c r="C2599" s="7"/>
      <c r="D2599" s="16" t="str">
        <f aca="false">IF(C2599="","",IFERROR(INDEX(Products!$B$2:$B$501,MATCH(C2599,Products!$A$2:$A$501,0)),"CODE NOT FOUND"))</f>
        <v/>
      </c>
      <c r="E2599" s="7"/>
      <c r="F2599" s="13"/>
      <c r="G2599" s="13"/>
      <c r="H2599" s="17" t="str">
        <f aca="false">IF(OR(E2599="",F2599=""),"",E2599*F2599)</f>
        <v/>
      </c>
      <c r="I2599" s="17" t="str">
        <f aca="false">IF(OR(E2599="",G2599=""),"",E2599*G2599)</f>
        <v/>
      </c>
      <c r="J2599" s="17" t="str">
        <f aca="false">IF(H2599="","",H2599-I2599)</f>
        <v/>
      </c>
    </row>
    <row r="2600" customFormat="false" ht="15" hidden="false" customHeight="true" outlineLevel="0" collapsed="false">
      <c r="A2600" s="7"/>
      <c r="B2600" s="18" t="str">
        <f aca="false">IF(A2600="","",IFERROR(INDEX(Sales_Memo!$B$2:$B$1001,MATCH(A2600,Sales_Memo!$A$2:$A$1001,0)),""))</f>
        <v/>
      </c>
      <c r="C2600" s="7"/>
      <c r="D2600" s="16" t="str">
        <f aca="false">IF(C2600="","",IFERROR(INDEX(Products!$B$2:$B$501,MATCH(C2600,Products!$A$2:$A$501,0)),"CODE NOT FOUND"))</f>
        <v/>
      </c>
      <c r="E2600" s="7"/>
      <c r="F2600" s="13"/>
      <c r="G2600" s="13"/>
      <c r="H2600" s="17" t="str">
        <f aca="false">IF(OR(E2600="",F2600=""),"",E2600*F2600)</f>
        <v/>
      </c>
      <c r="I2600" s="17" t="str">
        <f aca="false">IF(OR(E2600="",G2600=""),"",E2600*G2600)</f>
        <v/>
      </c>
      <c r="J2600" s="17" t="str">
        <f aca="false">IF(H2600="","",H2600-I2600)</f>
        <v/>
      </c>
    </row>
    <row r="2601" customFormat="false" ht="15" hidden="false" customHeight="true" outlineLevel="0" collapsed="false">
      <c r="A2601" s="7"/>
      <c r="B2601" s="18" t="str">
        <f aca="false">IF(A2601="","",IFERROR(INDEX(Sales_Memo!$B$2:$B$1001,MATCH(A2601,Sales_Memo!$A$2:$A$1001,0)),""))</f>
        <v/>
      </c>
      <c r="C2601" s="7"/>
      <c r="D2601" s="16" t="str">
        <f aca="false">IF(C2601="","",IFERROR(INDEX(Products!$B$2:$B$501,MATCH(C2601,Products!$A$2:$A$501,0)),"CODE NOT FOUND"))</f>
        <v/>
      </c>
      <c r="E2601" s="7"/>
      <c r="F2601" s="13"/>
      <c r="G2601" s="13"/>
      <c r="H2601" s="17" t="str">
        <f aca="false">IF(OR(E2601="",F2601=""),"",E2601*F2601)</f>
        <v/>
      </c>
      <c r="I2601" s="17" t="str">
        <f aca="false">IF(OR(E2601="",G2601=""),"",E2601*G2601)</f>
        <v/>
      </c>
      <c r="J2601" s="17" t="str">
        <f aca="false">IF(H2601="","",H2601-I2601)</f>
        <v/>
      </c>
    </row>
    <row r="2602" customFormat="false" ht="15" hidden="false" customHeight="true" outlineLevel="0" collapsed="false">
      <c r="A2602" s="7"/>
      <c r="B2602" s="18" t="str">
        <f aca="false">IF(A2602="","",IFERROR(INDEX(Sales_Memo!$B$2:$B$1001,MATCH(A2602,Sales_Memo!$A$2:$A$1001,0)),""))</f>
        <v/>
      </c>
      <c r="C2602" s="7"/>
      <c r="D2602" s="16" t="str">
        <f aca="false">IF(C2602="","",IFERROR(INDEX(Products!$B$2:$B$501,MATCH(C2602,Products!$A$2:$A$501,0)),"CODE NOT FOUND"))</f>
        <v/>
      </c>
      <c r="E2602" s="7"/>
      <c r="F2602" s="13"/>
      <c r="G2602" s="13"/>
      <c r="H2602" s="17" t="str">
        <f aca="false">IF(OR(E2602="",F2602=""),"",E2602*F2602)</f>
        <v/>
      </c>
      <c r="I2602" s="17" t="str">
        <f aca="false">IF(OR(E2602="",G2602=""),"",E2602*G2602)</f>
        <v/>
      </c>
      <c r="J2602" s="17" t="str">
        <f aca="false">IF(H2602="","",H2602-I2602)</f>
        <v/>
      </c>
    </row>
    <row r="2603" customFormat="false" ht="15" hidden="false" customHeight="true" outlineLevel="0" collapsed="false">
      <c r="A2603" s="7"/>
      <c r="B2603" s="18" t="str">
        <f aca="false">IF(A2603="","",IFERROR(INDEX(Sales_Memo!$B$2:$B$1001,MATCH(A2603,Sales_Memo!$A$2:$A$1001,0)),""))</f>
        <v/>
      </c>
      <c r="C2603" s="7"/>
      <c r="D2603" s="16" t="str">
        <f aca="false">IF(C2603="","",IFERROR(INDEX(Products!$B$2:$B$501,MATCH(C2603,Products!$A$2:$A$501,0)),"CODE NOT FOUND"))</f>
        <v/>
      </c>
      <c r="E2603" s="7"/>
      <c r="F2603" s="13"/>
      <c r="G2603" s="13"/>
      <c r="H2603" s="17" t="str">
        <f aca="false">IF(OR(E2603="",F2603=""),"",E2603*F2603)</f>
        <v/>
      </c>
      <c r="I2603" s="17" t="str">
        <f aca="false">IF(OR(E2603="",G2603=""),"",E2603*G2603)</f>
        <v/>
      </c>
      <c r="J2603" s="17" t="str">
        <f aca="false">IF(H2603="","",H2603-I2603)</f>
        <v/>
      </c>
    </row>
    <row r="2604" customFormat="false" ht="15" hidden="false" customHeight="true" outlineLevel="0" collapsed="false">
      <c r="A2604" s="7"/>
      <c r="B2604" s="18" t="str">
        <f aca="false">IF(A2604="","",IFERROR(INDEX(Sales_Memo!$B$2:$B$1001,MATCH(A2604,Sales_Memo!$A$2:$A$1001,0)),""))</f>
        <v/>
      </c>
      <c r="C2604" s="7"/>
      <c r="D2604" s="16" t="str">
        <f aca="false">IF(C2604="","",IFERROR(INDEX(Products!$B$2:$B$501,MATCH(C2604,Products!$A$2:$A$501,0)),"CODE NOT FOUND"))</f>
        <v/>
      </c>
      <c r="E2604" s="7"/>
      <c r="F2604" s="13"/>
      <c r="G2604" s="13"/>
      <c r="H2604" s="17" t="str">
        <f aca="false">IF(OR(E2604="",F2604=""),"",E2604*F2604)</f>
        <v/>
      </c>
      <c r="I2604" s="17" t="str">
        <f aca="false">IF(OR(E2604="",G2604=""),"",E2604*G2604)</f>
        <v/>
      </c>
      <c r="J2604" s="17" t="str">
        <f aca="false">IF(H2604="","",H2604-I2604)</f>
        <v/>
      </c>
    </row>
    <row r="2605" customFormat="false" ht="15" hidden="false" customHeight="true" outlineLevel="0" collapsed="false">
      <c r="A2605" s="7"/>
      <c r="B2605" s="18" t="str">
        <f aca="false">IF(A2605="","",IFERROR(INDEX(Sales_Memo!$B$2:$B$1001,MATCH(A2605,Sales_Memo!$A$2:$A$1001,0)),""))</f>
        <v/>
      </c>
      <c r="C2605" s="7"/>
      <c r="D2605" s="16" t="str">
        <f aca="false">IF(C2605="","",IFERROR(INDEX(Products!$B$2:$B$501,MATCH(C2605,Products!$A$2:$A$501,0)),"CODE NOT FOUND"))</f>
        <v/>
      </c>
      <c r="E2605" s="7"/>
      <c r="F2605" s="13"/>
      <c r="G2605" s="13"/>
      <c r="H2605" s="17" t="str">
        <f aca="false">IF(OR(E2605="",F2605=""),"",E2605*F2605)</f>
        <v/>
      </c>
      <c r="I2605" s="17" t="str">
        <f aca="false">IF(OR(E2605="",G2605=""),"",E2605*G2605)</f>
        <v/>
      </c>
      <c r="J2605" s="17" t="str">
        <f aca="false">IF(H2605="","",H2605-I2605)</f>
        <v/>
      </c>
    </row>
    <row r="2606" customFormat="false" ht="15" hidden="false" customHeight="true" outlineLevel="0" collapsed="false">
      <c r="A2606" s="7"/>
      <c r="B2606" s="18" t="str">
        <f aca="false">IF(A2606="","",IFERROR(INDEX(Sales_Memo!$B$2:$B$1001,MATCH(A2606,Sales_Memo!$A$2:$A$1001,0)),""))</f>
        <v/>
      </c>
      <c r="C2606" s="7"/>
      <c r="D2606" s="16" t="str">
        <f aca="false">IF(C2606="","",IFERROR(INDEX(Products!$B$2:$B$501,MATCH(C2606,Products!$A$2:$A$501,0)),"CODE NOT FOUND"))</f>
        <v/>
      </c>
      <c r="E2606" s="7"/>
      <c r="F2606" s="13"/>
      <c r="G2606" s="13"/>
      <c r="H2606" s="17" t="str">
        <f aca="false">IF(OR(E2606="",F2606=""),"",E2606*F2606)</f>
        <v/>
      </c>
      <c r="I2606" s="17" t="str">
        <f aca="false">IF(OR(E2606="",G2606=""),"",E2606*G2606)</f>
        <v/>
      </c>
      <c r="J2606" s="17" t="str">
        <f aca="false">IF(H2606="","",H2606-I2606)</f>
        <v/>
      </c>
    </row>
    <row r="2607" customFormat="false" ht="15" hidden="false" customHeight="true" outlineLevel="0" collapsed="false">
      <c r="A2607" s="7"/>
      <c r="B2607" s="18" t="str">
        <f aca="false">IF(A2607="","",IFERROR(INDEX(Sales_Memo!$B$2:$B$1001,MATCH(A2607,Sales_Memo!$A$2:$A$1001,0)),""))</f>
        <v/>
      </c>
      <c r="C2607" s="7"/>
      <c r="D2607" s="16" t="str">
        <f aca="false">IF(C2607="","",IFERROR(INDEX(Products!$B$2:$B$501,MATCH(C2607,Products!$A$2:$A$501,0)),"CODE NOT FOUND"))</f>
        <v/>
      </c>
      <c r="E2607" s="7"/>
      <c r="F2607" s="13"/>
      <c r="G2607" s="13"/>
      <c r="H2607" s="17" t="str">
        <f aca="false">IF(OR(E2607="",F2607=""),"",E2607*F2607)</f>
        <v/>
      </c>
      <c r="I2607" s="17" t="str">
        <f aca="false">IF(OR(E2607="",G2607=""),"",E2607*G2607)</f>
        <v/>
      </c>
      <c r="J2607" s="17" t="str">
        <f aca="false">IF(H2607="","",H2607-I2607)</f>
        <v/>
      </c>
    </row>
    <row r="2608" customFormat="false" ht="15" hidden="false" customHeight="true" outlineLevel="0" collapsed="false">
      <c r="A2608" s="7"/>
      <c r="B2608" s="18" t="str">
        <f aca="false">IF(A2608="","",IFERROR(INDEX(Sales_Memo!$B$2:$B$1001,MATCH(A2608,Sales_Memo!$A$2:$A$1001,0)),""))</f>
        <v/>
      </c>
      <c r="C2608" s="7"/>
      <c r="D2608" s="16" t="str">
        <f aca="false">IF(C2608="","",IFERROR(INDEX(Products!$B$2:$B$501,MATCH(C2608,Products!$A$2:$A$501,0)),"CODE NOT FOUND"))</f>
        <v/>
      </c>
      <c r="E2608" s="7"/>
      <c r="F2608" s="13"/>
      <c r="G2608" s="13"/>
      <c r="H2608" s="17" t="str">
        <f aca="false">IF(OR(E2608="",F2608=""),"",E2608*F2608)</f>
        <v/>
      </c>
      <c r="I2608" s="17" t="str">
        <f aca="false">IF(OR(E2608="",G2608=""),"",E2608*G2608)</f>
        <v/>
      </c>
      <c r="J2608" s="17" t="str">
        <f aca="false">IF(H2608="","",H2608-I2608)</f>
        <v/>
      </c>
    </row>
    <row r="2609" customFormat="false" ht="15" hidden="false" customHeight="true" outlineLevel="0" collapsed="false">
      <c r="A2609" s="7"/>
      <c r="B2609" s="18" t="str">
        <f aca="false">IF(A2609="","",IFERROR(INDEX(Sales_Memo!$B$2:$B$1001,MATCH(A2609,Sales_Memo!$A$2:$A$1001,0)),""))</f>
        <v/>
      </c>
      <c r="C2609" s="7"/>
      <c r="D2609" s="16" t="str">
        <f aca="false">IF(C2609="","",IFERROR(INDEX(Products!$B$2:$B$501,MATCH(C2609,Products!$A$2:$A$501,0)),"CODE NOT FOUND"))</f>
        <v/>
      </c>
      <c r="E2609" s="7"/>
      <c r="F2609" s="13"/>
      <c r="G2609" s="13"/>
      <c r="H2609" s="17" t="str">
        <f aca="false">IF(OR(E2609="",F2609=""),"",E2609*F2609)</f>
        <v/>
      </c>
      <c r="I2609" s="17" t="str">
        <f aca="false">IF(OR(E2609="",G2609=""),"",E2609*G2609)</f>
        <v/>
      </c>
      <c r="J2609" s="17" t="str">
        <f aca="false">IF(H2609="","",H2609-I2609)</f>
        <v/>
      </c>
    </row>
    <row r="2610" customFormat="false" ht="15" hidden="false" customHeight="true" outlineLevel="0" collapsed="false">
      <c r="A2610" s="7"/>
      <c r="B2610" s="18" t="str">
        <f aca="false">IF(A2610="","",IFERROR(INDEX(Sales_Memo!$B$2:$B$1001,MATCH(A2610,Sales_Memo!$A$2:$A$1001,0)),""))</f>
        <v/>
      </c>
      <c r="C2610" s="7"/>
      <c r="D2610" s="16" t="str">
        <f aca="false">IF(C2610="","",IFERROR(INDEX(Products!$B$2:$B$501,MATCH(C2610,Products!$A$2:$A$501,0)),"CODE NOT FOUND"))</f>
        <v/>
      </c>
      <c r="E2610" s="7"/>
      <c r="F2610" s="13"/>
      <c r="G2610" s="13"/>
      <c r="H2610" s="17" t="str">
        <f aca="false">IF(OR(E2610="",F2610=""),"",E2610*F2610)</f>
        <v/>
      </c>
      <c r="I2610" s="17" t="str">
        <f aca="false">IF(OR(E2610="",G2610=""),"",E2610*G2610)</f>
        <v/>
      </c>
      <c r="J2610" s="17" t="str">
        <f aca="false">IF(H2610="","",H2610-I2610)</f>
        <v/>
      </c>
    </row>
    <row r="2611" customFormat="false" ht="15" hidden="false" customHeight="true" outlineLevel="0" collapsed="false">
      <c r="A2611" s="7"/>
      <c r="B2611" s="18" t="str">
        <f aca="false">IF(A2611="","",IFERROR(INDEX(Sales_Memo!$B$2:$B$1001,MATCH(A2611,Sales_Memo!$A$2:$A$1001,0)),""))</f>
        <v/>
      </c>
      <c r="C2611" s="7"/>
      <c r="D2611" s="16" t="str">
        <f aca="false">IF(C2611="","",IFERROR(INDEX(Products!$B$2:$B$501,MATCH(C2611,Products!$A$2:$A$501,0)),"CODE NOT FOUND"))</f>
        <v/>
      </c>
      <c r="E2611" s="7"/>
      <c r="F2611" s="13"/>
      <c r="G2611" s="13"/>
      <c r="H2611" s="17" t="str">
        <f aca="false">IF(OR(E2611="",F2611=""),"",E2611*F2611)</f>
        <v/>
      </c>
      <c r="I2611" s="17" t="str">
        <f aca="false">IF(OR(E2611="",G2611=""),"",E2611*G2611)</f>
        <v/>
      </c>
      <c r="J2611" s="17" t="str">
        <f aca="false">IF(H2611="","",H2611-I2611)</f>
        <v/>
      </c>
    </row>
    <row r="2612" customFormat="false" ht="15" hidden="false" customHeight="true" outlineLevel="0" collapsed="false">
      <c r="A2612" s="7"/>
      <c r="B2612" s="18" t="str">
        <f aca="false">IF(A2612="","",IFERROR(INDEX(Sales_Memo!$B$2:$B$1001,MATCH(A2612,Sales_Memo!$A$2:$A$1001,0)),""))</f>
        <v/>
      </c>
      <c r="C2612" s="7"/>
      <c r="D2612" s="16" t="str">
        <f aca="false">IF(C2612="","",IFERROR(INDEX(Products!$B$2:$B$501,MATCH(C2612,Products!$A$2:$A$501,0)),"CODE NOT FOUND"))</f>
        <v/>
      </c>
      <c r="E2612" s="7"/>
      <c r="F2612" s="13"/>
      <c r="G2612" s="13"/>
      <c r="H2612" s="17" t="str">
        <f aca="false">IF(OR(E2612="",F2612=""),"",E2612*F2612)</f>
        <v/>
      </c>
      <c r="I2612" s="17" t="str">
        <f aca="false">IF(OR(E2612="",G2612=""),"",E2612*G2612)</f>
        <v/>
      </c>
      <c r="J2612" s="17" t="str">
        <f aca="false">IF(H2612="","",H2612-I2612)</f>
        <v/>
      </c>
    </row>
    <row r="2613" customFormat="false" ht="15" hidden="false" customHeight="true" outlineLevel="0" collapsed="false">
      <c r="A2613" s="7"/>
      <c r="B2613" s="18" t="str">
        <f aca="false">IF(A2613="","",IFERROR(INDEX(Sales_Memo!$B$2:$B$1001,MATCH(A2613,Sales_Memo!$A$2:$A$1001,0)),""))</f>
        <v/>
      </c>
      <c r="C2613" s="7"/>
      <c r="D2613" s="16" t="str">
        <f aca="false">IF(C2613="","",IFERROR(INDEX(Products!$B$2:$B$501,MATCH(C2613,Products!$A$2:$A$501,0)),"CODE NOT FOUND"))</f>
        <v/>
      </c>
      <c r="E2613" s="7"/>
      <c r="F2613" s="13"/>
      <c r="G2613" s="13"/>
      <c r="H2613" s="17" t="str">
        <f aca="false">IF(OR(E2613="",F2613=""),"",E2613*F2613)</f>
        <v/>
      </c>
      <c r="I2613" s="17" t="str">
        <f aca="false">IF(OR(E2613="",G2613=""),"",E2613*G2613)</f>
        <v/>
      </c>
      <c r="J2613" s="17" t="str">
        <f aca="false">IF(H2613="","",H2613-I2613)</f>
        <v/>
      </c>
    </row>
    <row r="2614" customFormat="false" ht="15" hidden="false" customHeight="true" outlineLevel="0" collapsed="false">
      <c r="A2614" s="7"/>
      <c r="B2614" s="18" t="str">
        <f aca="false">IF(A2614="","",IFERROR(INDEX(Sales_Memo!$B$2:$B$1001,MATCH(A2614,Sales_Memo!$A$2:$A$1001,0)),""))</f>
        <v/>
      </c>
      <c r="C2614" s="7"/>
      <c r="D2614" s="16" t="str">
        <f aca="false">IF(C2614="","",IFERROR(INDEX(Products!$B$2:$B$501,MATCH(C2614,Products!$A$2:$A$501,0)),"CODE NOT FOUND"))</f>
        <v/>
      </c>
      <c r="E2614" s="7"/>
      <c r="F2614" s="13"/>
      <c r="G2614" s="13"/>
      <c r="H2614" s="17" t="str">
        <f aca="false">IF(OR(E2614="",F2614=""),"",E2614*F2614)</f>
        <v/>
      </c>
      <c r="I2614" s="17" t="str">
        <f aca="false">IF(OR(E2614="",G2614=""),"",E2614*G2614)</f>
        <v/>
      </c>
      <c r="J2614" s="17" t="str">
        <f aca="false">IF(H2614="","",H2614-I2614)</f>
        <v/>
      </c>
    </row>
    <row r="2615" customFormat="false" ht="15" hidden="false" customHeight="true" outlineLevel="0" collapsed="false">
      <c r="A2615" s="7"/>
      <c r="B2615" s="18" t="str">
        <f aca="false">IF(A2615="","",IFERROR(INDEX(Sales_Memo!$B$2:$B$1001,MATCH(A2615,Sales_Memo!$A$2:$A$1001,0)),""))</f>
        <v/>
      </c>
      <c r="C2615" s="7"/>
      <c r="D2615" s="16" t="str">
        <f aca="false">IF(C2615="","",IFERROR(INDEX(Products!$B$2:$B$501,MATCH(C2615,Products!$A$2:$A$501,0)),"CODE NOT FOUND"))</f>
        <v/>
      </c>
      <c r="E2615" s="7"/>
      <c r="F2615" s="13"/>
      <c r="G2615" s="13"/>
      <c r="H2615" s="17" t="str">
        <f aca="false">IF(OR(E2615="",F2615=""),"",E2615*F2615)</f>
        <v/>
      </c>
      <c r="I2615" s="17" t="str">
        <f aca="false">IF(OR(E2615="",G2615=""),"",E2615*G2615)</f>
        <v/>
      </c>
      <c r="J2615" s="17" t="str">
        <f aca="false">IF(H2615="","",H2615-I2615)</f>
        <v/>
      </c>
    </row>
    <row r="2616" customFormat="false" ht="15" hidden="false" customHeight="true" outlineLevel="0" collapsed="false">
      <c r="A2616" s="7"/>
      <c r="B2616" s="18" t="str">
        <f aca="false">IF(A2616="","",IFERROR(INDEX(Sales_Memo!$B$2:$B$1001,MATCH(A2616,Sales_Memo!$A$2:$A$1001,0)),""))</f>
        <v/>
      </c>
      <c r="C2616" s="7"/>
      <c r="D2616" s="16" t="str">
        <f aca="false">IF(C2616="","",IFERROR(INDEX(Products!$B$2:$B$501,MATCH(C2616,Products!$A$2:$A$501,0)),"CODE NOT FOUND"))</f>
        <v/>
      </c>
      <c r="E2616" s="7"/>
      <c r="F2616" s="13"/>
      <c r="G2616" s="13"/>
      <c r="H2616" s="17" t="str">
        <f aca="false">IF(OR(E2616="",F2616=""),"",E2616*F2616)</f>
        <v/>
      </c>
      <c r="I2616" s="17" t="str">
        <f aca="false">IF(OR(E2616="",G2616=""),"",E2616*G2616)</f>
        <v/>
      </c>
      <c r="J2616" s="17" t="str">
        <f aca="false">IF(H2616="","",H2616-I2616)</f>
        <v/>
      </c>
    </row>
    <row r="2617" customFormat="false" ht="15" hidden="false" customHeight="true" outlineLevel="0" collapsed="false">
      <c r="A2617" s="7"/>
      <c r="B2617" s="18" t="str">
        <f aca="false">IF(A2617="","",IFERROR(INDEX(Sales_Memo!$B$2:$B$1001,MATCH(A2617,Sales_Memo!$A$2:$A$1001,0)),""))</f>
        <v/>
      </c>
      <c r="C2617" s="7"/>
      <c r="D2617" s="16" t="str">
        <f aca="false">IF(C2617="","",IFERROR(INDEX(Products!$B$2:$B$501,MATCH(C2617,Products!$A$2:$A$501,0)),"CODE NOT FOUND"))</f>
        <v/>
      </c>
      <c r="E2617" s="7"/>
      <c r="F2617" s="13"/>
      <c r="G2617" s="13"/>
      <c r="H2617" s="17" t="str">
        <f aca="false">IF(OR(E2617="",F2617=""),"",E2617*F2617)</f>
        <v/>
      </c>
      <c r="I2617" s="17" t="str">
        <f aca="false">IF(OR(E2617="",G2617=""),"",E2617*G2617)</f>
        <v/>
      </c>
      <c r="J2617" s="17" t="str">
        <f aca="false">IF(H2617="","",H2617-I2617)</f>
        <v/>
      </c>
    </row>
    <row r="2618" customFormat="false" ht="15" hidden="false" customHeight="true" outlineLevel="0" collapsed="false">
      <c r="A2618" s="7"/>
      <c r="B2618" s="18" t="str">
        <f aca="false">IF(A2618="","",IFERROR(INDEX(Sales_Memo!$B$2:$B$1001,MATCH(A2618,Sales_Memo!$A$2:$A$1001,0)),""))</f>
        <v/>
      </c>
      <c r="C2618" s="7"/>
      <c r="D2618" s="16" t="str">
        <f aca="false">IF(C2618="","",IFERROR(INDEX(Products!$B$2:$B$501,MATCH(C2618,Products!$A$2:$A$501,0)),"CODE NOT FOUND"))</f>
        <v/>
      </c>
      <c r="E2618" s="7"/>
      <c r="F2618" s="13"/>
      <c r="G2618" s="13"/>
      <c r="H2618" s="17" t="str">
        <f aca="false">IF(OR(E2618="",F2618=""),"",E2618*F2618)</f>
        <v/>
      </c>
      <c r="I2618" s="17" t="str">
        <f aca="false">IF(OR(E2618="",G2618=""),"",E2618*G2618)</f>
        <v/>
      </c>
      <c r="J2618" s="17" t="str">
        <f aca="false">IF(H2618="","",H2618-I2618)</f>
        <v/>
      </c>
    </row>
    <row r="2619" customFormat="false" ht="15" hidden="false" customHeight="true" outlineLevel="0" collapsed="false">
      <c r="A2619" s="7"/>
      <c r="B2619" s="18" t="str">
        <f aca="false">IF(A2619="","",IFERROR(INDEX(Sales_Memo!$B$2:$B$1001,MATCH(A2619,Sales_Memo!$A$2:$A$1001,0)),""))</f>
        <v/>
      </c>
      <c r="C2619" s="7"/>
      <c r="D2619" s="16" t="str">
        <f aca="false">IF(C2619="","",IFERROR(INDEX(Products!$B$2:$B$501,MATCH(C2619,Products!$A$2:$A$501,0)),"CODE NOT FOUND"))</f>
        <v/>
      </c>
      <c r="E2619" s="7"/>
      <c r="F2619" s="13"/>
      <c r="G2619" s="13"/>
      <c r="H2619" s="17" t="str">
        <f aca="false">IF(OR(E2619="",F2619=""),"",E2619*F2619)</f>
        <v/>
      </c>
      <c r="I2619" s="17" t="str">
        <f aca="false">IF(OR(E2619="",G2619=""),"",E2619*G2619)</f>
        <v/>
      </c>
      <c r="J2619" s="17" t="str">
        <f aca="false">IF(H2619="","",H2619-I2619)</f>
        <v/>
      </c>
    </row>
    <row r="2620" customFormat="false" ht="15" hidden="false" customHeight="true" outlineLevel="0" collapsed="false">
      <c r="A2620" s="7"/>
      <c r="B2620" s="18" t="str">
        <f aca="false">IF(A2620="","",IFERROR(INDEX(Sales_Memo!$B$2:$B$1001,MATCH(A2620,Sales_Memo!$A$2:$A$1001,0)),""))</f>
        <v/>
      </c>
      <c r="C2620" s="7"/>
      <c r="D2620" s="16" t="str">
        <f aca="false">IF(C2620="","",IFERROR(INDEX(Products!$B$2:$B$501,MATCH(C2620,Products!$A$2:$A$501,0)),"CODE NOT FOUND"))</f>
        <v/>
      </c>
      <c r="E2620" s="7"/>
      <c r="F2620" s="13"/>
      <c r="G2620" s="13"/>
      <c r="H2620" s="17" t="str">
        <f aca="false">IF(OR(E2620="",F2620=""),"",E2620*F2620)</f>
        <v/>
      </c>
      <c r="I2620" s="17" t="str">
        <f aca="false">IF(OR(E2620="",G2620=""),"",E2620*G2620)</f>
        <v/>
      </c>
      <c r="J2620" s="17" t="str">
        <f aca="false">IF(H2620="","",H2620-I2620)</f>
        <v/>
      </c>
    </row>
    <row r="2621" customFormat="false" ht="15" hidden="false" customHeight="true" outlineLevel="0" collapsed="false">
      <c r="A2621" s="7"/>
      <c r="B2621" s="18" t="str">
        <f aca="false">IF(A2621="","",IFERROR(INDEX(Sales_Memo!$B$2:$B$1001,MATCH(A2621,Sales_Memo!$A$2:$A$1001,0)),""))</f>
        <v/>
      </c>
      <c r="C2621" s="7"/>
      <c r="D2621" s="16" t="str">
        <f aca="false">IF(C2621="","",IFERROR(INDEX(Products!$B$2:$B$501,MATCH(C2621,Products!$A$2:$A$501,0)),"CODE NOT FOUND"))</f>
        <v/>
      </c>
      <c r="E2621" s="7"/>
      <c r="F2621" s="13"/>
      <c r="G2621" s="13"/>
      <c r="H2621" s="17" t="str">
        <f aca="false">IF(OR(E2621="",F2621=""),"",E2621*F2621)</f>
        <v/>
      </c>
      <c r="I2621" s="17" t="str">
        <f aca="false">IF(OR(E2621="",G2621=""),"",E2621*G2621)</f>
        <v/>
      </c>
      <c r="J2621" s="17" t="str">
        <f aca="false">IF(H2621="","",H2621-I2621)</f>
        <v/>
      </c>
    </row>
    <row r="2622" customFormat="false" ht="15" hidden="false" customHeight="true" outlineLevel="0" collapsed="false">
      <c r="A2622" s="7"/>
      <c r="B2622" s="18" t="str">
        <f aca="false">IF(A2622="","",IFERROR(INDEX(Sales_Memo!$B$2:$B$1001,MATCH(A2622,Sales_Memo!$A$2:$A$1001,0)),""))</f>
        <v/>
      </c>
      <c r="C2622" s="7"/>
      <c r="D2622" s="16" t="str">
        <f aca="false">IF(C2622="","",IFERROR(INDEX(Products!$B$2:$B$501,MATCH(C2622,Products!$A$2:$A$501,0)),"CODE NOT FOUND"))</f>
        <v/>
      </c>
      <c r="E2622" s="7"/>
      <c r="F2622" s="13"/>
      <c r="G2622" s="13"/>
      <c r="H2622" s="17" t="str">
        <f aca="false">IF(OR(E2622="",F2622=""),"",E2622*F2622)</f>
        <v/>
      </c>
      <c r="I2622" s="17" t="str">
        <f aca="false">IF(OR(E2622="",G2622=""),"",E2622*G2622)</f>
        <v/>
      </c>
      <c r="J2622" s="17" t="str">
        <f aca="false">IF(H2622="","",H2622-I2622)</f>
        <v/>
      </c>
    </row>
    <row r="2623" customFormat="false" ht="15" hidden="false" customHeight="true" outlineLevel="0" collapsed="false">
      <c r="A2623" s="7"/>
      <c r="B2623" s="18" t="str">
        <f aca="false">IF(A2623="","",IFERROR(INDEX(Sales_Memo!$B$2:$B$1001,MATCH(A2623,Sales_Memo!$A$2:$A$1001,0)),""))</f>
        <v/>
      </c>
      <c r="C2623" s="7"/>
      <c r="D2623" s="16" t="str">
        <f aca="false">IF(C2623="","",IFERROR(INDEX(Products!$B$2:$B$501,MATCH(C2623,Products!$A$2:$A$501,0)),"CODE NOT FOUND"))</f>
        <v/>
      </c>
      <c r="E2623" s="7"/>
      <c r="F2623" s="13"/>
      <c r="G2623" s="13"/>
      <c r="H2623" s="17" t="str">
        <f aca="false">IF(OR(E2623="",F2623=""),"",E2623*F2623)</f>
        <v/>
      </c>
      <c r="I2623" s="17" t="str">
        <f aca="false">IF(OR(E2623="",G2623=""),"",E2623*G2623)</f>
        <v/>
      </c>
      <c r="J2623" s="17" t="str">
        <f aca="false">IF(H2623="","",H2623-I2623)</f>
        <v/>
      </c>
    </row>
    <row r="2624" customFormat="false" ht="15" hidden="false" customHeight="true" outlineLevel="0" collapsed="false">
      <c r="A2624" s="7"/>
      <c r="B2624" s="18" t="str">
        <f aca="false">IF(A2624="","",IFERROR(INDEX(Sales_Memo!$B$2:$B$1001,MATCH(A2624,Sales_Memo!$A$2:$A$1001,0)),""))</f>
        <v/>
      </c>
      <c r="C2624" s="7"/>
      <c r="D2624" s="16" t="str">
        <f aca="false">IF(C2624="","",IFERROR(INDEX(Products!$B$2:$B$501,MATCH(C2624,Products!$A$2:$A$501,0)),"CODE NOT FOUND"))</f>
        <v/>
      </c>
      <c r="E2624" s="7"/>
      <c r="F2624" s="13"/>
      <c r="G2624" s="13"/>
      <c r="H2624" s="17" t="str">
        <f aca="false">IF(OR(E2624="",F2624=""),"",E2624*F2624)</f>
        <v/>
      </c>
      <c r="I2624" s="17" t="str">
        <f aca="false">IF(OR(E2624="",G2624=""),"",E2624*G2624)</f>
        <v/>
      </c>
      <c r="J2624" s="17" t="str">
        <f aca="false">IF(H2624="","",H2624-I2624)</f>
        <v/>
      </c>
    </row>
    <row r="2625" customFormat="false" ht="15" hidden="false" customHeight="true" outlineLevel="0" collapsed="false">
      <c r="A2625" s="7"/>
      <c r="B2625" s="18" t="str">
        <f aca="false">IF(A2625="","",IFERROR(INDEX(Sales_Memo!$B$2:$B$1001,MATCH(A2625,Sales_Memo!$A$2:$A$1001,0)),""))</f>
        <v/>
      </c>
      <c r="C2625" s="7"/>
      <c r="D2625" s="16" t="str">
        <f aca="false">IF(C2625="","",IFERROR(INDEX(Products!$B$2:$B$501,MATCH(C2625,Products!$A$2:$A$501,0)),"CODE NOT FOUND"))</f>
        <v/>
      </c>
      <c r="E2625" s="7"/>
      <c r="F2625" s="13"/>
      <c r="G2625" s="13"/>
      <c r="H2625" s="17" t="str">
        <f aca="false">IF(OR(E2625="",F2625=""),"",E2625*F2625)</f>
        <v/>
      </c>
      <c r="I2625" s="17" t="str">
        <f aca="false">IF(OR(E2625="",G2625=""),"",E2625*G2625)</f>
        <v/>
      </c>
      <c r="J2625" s="17" t="str">
        <f aca="false">IF(H2625="","",H2625-I2625)</f>
        <v/>
      </c>
    </row>
    <row r="2626" customFormat="false" ht="15" hidden="false" customHeight="true" outlineLevel="0" collapsed="false">
      <c r="A2626" s="7"/>
      <c r="B2626" s="18" t="str">
        <f aca="false">IF(A2626="","",IFERROR(INDEX(Sales_Memo!$B$2:$B$1001,MATCH(A2626,Sales_Memo!$A$2:$A$1001,0)),""))</f>
        <v/>
      </c>
      <c r="C2626" s="7"/>
      <c r="D2626" s="16" t="str">
        <f aca="false">IF(C2626="","",IFERROR(INDEX(Products!$B$2:$B$501,MATCH(C2626,Products!$A$2:$A$501,0)),"CODE NOT FOUND"))</f>
        <v/>
      </c>
      <c r="E2626" s="7"/>
      <c r="F2626" s="13"/>
      <c r="G2626" s="13"/>
      <c r="H2626" s="17" t="str">
        <f aca="false">IF(OR(E2626="",F2626=""),"",E2626*F2626)</f>
        <v/>
      </c>
      <c r="I2626" s="17" t="str">
        <f aca="false">IF(OR(E2626="",G2626=""),"",E2626*G2626)</f>
        <v/>
      </c>
      <c r="J2626" s="17" t="str">
        <f aca="false">IF(H2626="","",H2626-I2626)</f>
        <v/>
      </c>
    </row>
    <row r="2627" customFormat="false" ht="15" hidden="false" customHeight="true" outlineLevel="0" collapsed="false">
      <c r="A2627" s="7"/>
      <c r="B2627" s="18" t="str">
        <f aca="false">IF(A2627="","",IFERROR(INDEX(Sales_Memo!$B$2:$B$1001,MATCH(A2627,Sales_Memo!$A$2:$A$1001,0)),""))</f>
        <v/>
      </c>
      <c r="C2627" s="7"/>
      <c r="D2627" s="16" t="str">
        <f aca="false">IF(C2627="","",IFERROR(INDEX(Products!$B$2:$B$501,MATCH(C2627,Products!$A$2:$A$501,0)),"CODE NOT FOUND"))</f>
        <v/>
      </c>
      <c r="E2627" s="7"/>
      <c r="F2627" s="13"/>
      <c r="G2627" s="13"/>
      <c r="H2627" s="17" t="str">
        <f aca="false">IF(OR(E2627="",F2627=""),"",E2627*F2627)</f>
        <v/>
      </c>
      <c r="I2627" s="17" t="str">
        <f aca="false">IF(OR(E2627="",G2627=""),"",E2627*G2627)</f>
        <v/>
      </c>
      <c r="J2627" s="17" t="str">
        <f aca="false">IF(H2627="","",H2627-I2627)</f>
        <v/>
      </c>
    </row>
    <row r="2628" customFormat="false" ht="15" hidden="false" customHeight="true" outlineLevel="0" collapsed="false">
      <c r="A2628" s="7"/>
      <c r="B2628" s="18" t="str">
        <f aca="false">IF(A2628="","",IFERROR(INDEX(Sales_Memo!$B$2:$B$1001,MATCH(A2628,Sales_Memo!$A$2:$A$1001,0)),""))</f>
        <v/>
      </c>
      <c r="C2628" s="7"/>
      <c r="D2628" s="16" t="str">
        <f aca="false">IF(C2628="","",IFERROR(INDEX(Products!$B$2:$B$501,MATCH(C2628,Products!$A$2:$A$501,0)),"CODE NOT FOUND"))</f>
        <v/>
      </c>
      <c r="E2628" s="7"/>
      <c r="F2628" s="13"/>
      <c r="G2628" s="13"/>
      <c r="H2628" s="17" t="str">
        <f aca="false">IF(OR(E2628="",F2628=""),"",E2628*F2628)</f>
        <v/>
      </c>
      <c r="I2628" s="17" t="str">
        <f aca="false">IF(OR(E2628="",G2628=""),"",E2628*G2628)</f>
        <v/>
      </c>
      <c r="J2628" s="17" t="str">
        <f aca="false">IF(H2628="","",H2628-I2628)</f>
        <v/>
      </c>
    </row>
    <row r="2629" customFormat="false" ht="15" hidden="false" customHeight="true" outlineLevel="0" collapsed="false">
      <c r="A2629" s="7"/>
      <c r="B2629" s="18" t="str">
        <f aca="false">IF(A2629="","",IFERROR(INDEX(Sales_Memo!$B$2:$B$1001,MATCH(A2629,Sales_Memo!$A$2:$A$1001,0)),""))</f>
        <v/>
      </c>
      <c r="C2629" s="7"/>
      <c r="D2629" s="16" t="str">
        <f aca="false">IF(C2629="","",IFERROR(INDEX(Products!$B$2:$B$501,MATCH(C2629,Products!$A$2:$A$501,0)),"CODE NOT FOUND"))</f>
        <v/>
      </c>
      <c r="E2629" s="7"/>
      <c r="F2629" s="13"/>
      <c r="G2629" s="13"/>
      <c r="H2629" s="17" t="str">
        <f aca="false">IF(OR(E2629="",F2629=""),"",E2629*F2629)</f>
        <v/>
      </c>
      <c r="I2629" s="17" t="str">
        <f aca="false">IF(OR(E2629="",G2629=""),"",E2629*G2629)</f>
        <v/>
      </c>
      <c r="J2629" s="17" t="str">
        <f aca="false">IF(H2629="","",H2629-I2629)</f>
        <v/>
      </c>
    </row>
    <row r="2630" customFormat="false" ht="15" hidden="false" customHeight="true" outlineLevel="0" collapsed="false">
      <c r="A2630" s="7"/>
      <c r="B2630" s="18" t="str">
        <f aca="false">IF(A2630="","",IFERROR(INDEX(Sales_Memo!$B$2:$B$1001,MATCH(A2630,Sales_Memo!$A$2:$A$1001,0)),""))</f>
        <v/>
      </c>
      <c r="C2630" s="7"/>
      <c r="D2630" s="16" t="str">
        <f aca="false">IF(C2630="","",IFERROR(INDEX(Products!$B$2:$B$501,MATCH(C2630,Products!$A$2:$A$501,0)),"CODE NOT FOUND"))</f>
        <v/>
      </c>
      <c r="E2630" s="7"/>
      <c r="F2630" s="13"/>
      <c r="G2630" s="13"/>
      <c r="H2630" s="17" t="str">
        <f aca="false">IF(OR(E2630="",F2630=""),"",E2630*F2630)</f>
        <v/>
      </c>
      <c r="I2630" s="17" t="str">
        <f aca="false">IF(OR(E2630="",G2630=""),"",E2630*G2630)</f>
        <v/>
      </c>
      <c r="J2630" s="17" t="str">
        <f aca="false">IF(H2630="","",H2630-I2630)</f>
        <v/>
      </c>
    </row>
    <row r="2631" customFormat="false" ht="15" hidden="false" customHeight="true" outlineLevel="0" collapsed="false">
      <c r="A2631" s="7"/>
      <c r="B2631" s="18" t="str">
        <f aca="false">IF(A2631="","",IFERROR(INDEX(Sales_Memo!$B$2:$B$1001,MATCH(A2631,Sales_Memo!$A$2:$A$1001,0)),""))</f>
        <v/>
      </c>
      <c r="C2631" s="7"/>
      <c r="D2631" s="16" t="str">
        <f aca="false">IF(C2631="","",IFERROR(INDEX(Products!$B$2:$B$501,MATCH(C2631,Products!$A$2:$A$501,0)),"CODE NOT FOUND"))</f>
        <v/>
      </c>
      <c r="E2631" s="7"/>
      <c r="F2631" s="13"/>
      <c r="G2631" s="13"/>
      <c r="H2631" s="17" t="str">
        <f aca="false">IF(OR(E2631="",F2631=""),"",E2631*F2631)</f>
        <v/>
      </c>
      <c r="I2631" s="17" t="str">
        <f aca="false">IF(OR(E2631="",G2631=""),"",E2631*G2631)</f>
        <v/>
      </c>
      <c r="J2631" s="17" t="str">
        <f aca="false">IF(H2631="","",H2631-I2631)</f>
        <v/>
      </c>
    </row>
    <row r="2632" customFormat="false" ht="15" hidden="false" customHeight="true" outlineLevel="0" collapsed="false">
      <c r="A2632" s="7"/>
      <c r="B2632" s="18" t="str">
        <f aca="false">IF(A2632="","",IFERROR(INDEX(Sales_Memo!$B$2:$B$1001,MATCH(A2632,Sales_Memo!$A$2:$A$1001,0)),""))</f>
        <v/>
      </c>
      <c r="C2632" s="7"/>
      <c r="D2632" s="16" t="str">
        <f aca="false">IF(C2632="","",IFERROR(INDEX(Products!$B$2:$B$501,MATCH(C2632,Products!$A$2:$A$501,0)),"CODE NOT FOUND"))</f>
        <v/>
      </c>
      <c r="E2632" s="7"/>
      <c r="F2632" s="13"/>
      <c r="G2632" s="13"/>
      <c r="H2632" s="17" t="str">
        <f aca="false">IF(OR(E2632="",F2632=""),"",E2632*F2632)</f>
        <v/>
      </c>
      <c r="I2632" s="17" t="str">
        <f aca="false">IF(OR(E2632="",G2632=""),"",E2632*G2632)</f>
        <v/>
      </c>
      <c r="J2632" s="17" t="str">
        <f aca="false">IF(H2632="","",H2632-I2632)</f>
        <v/>
      </c>
    </row>
    <row r="2633" customFormat="false" ht="15" hidden="false" customHeight="true" outlineLevel="0" collapsed="false">
      <c r="A2633" s="7"/>
      <c r="B2633" s="18" t="str">
        <f aca="false">IF(A2633="","",IFERROR(INDEX(Sales_Memo!$B$2:$B$1001,MATCH(A2633,Sales_Memo!$A$2:$A$1001,0)),""))</f>
        <v/>
      </c>
      <c r="C2633" s="7"/>
      <c r="D2633" s="16" t="str">
        <f aca="false">IF(C2633="","",IFERROR(INDEX(Products!$B$2:$B$501,MATCH(C2633,Products!$A$2:$A$501,0)),"CODE NOT FOUND"))</f>
        <v/>
      </c>
      <c r="E2633" s="7"/>
      <c r="F2633" s="13"/>
      <c r="G2633" s="13"/>
      <c r="H2633" s="17" t="str">
        <f aca="false">IF(OR(E2633="",F2633=""),"",E2633*F2633)</f>
        <v/>
      </c>
      <c r="I2633" s="17" t="str">
        <f aca="false">IF(OR(E2633="",G2633=""),"",E2633*G2633)</f>
        <v/>
      </c>
      <c r="J2633" s="17" t="str">
        <f aca="false">IF(H2633="","",H2633-I2633)</f>
        <v/>
      </c>
    </row>
    <row r="2634" customFormat="false" ht="15" hidden="false" customHeight="true" outlineLevel="0" collapsed="false">
      <c r="A2634" s="7"/>
      <c r="B2634" s="18" t="str">
        <f aca="false">IF(A2634="","",IFERROR(INDEX(Sales_Memo!$B$2:$B$1001,MATCH(A2634,Sales_Memo!$A$2:$A$1001,0)),""))</f>
        <v/>
      </c>
      <c r="C2634" s="7"/>
      <c r="D2634" s="16" t="str">
        <f aca="false">IF(C2634="","",IFERROR(INDEX(Products!$B$2:$B$501,MATCH(C2634,Products!$A$2:$A$501,0)),"CODE NOT FOUND"))</f>
        <v/>
      </c>
      <c r="E2634" s="7"/>
      <c r="F2634" s="13"/>
      <c r="G2634" s="13"/>
      <c r="H2634" s="17" t="str">
        <f aca="false">IF(OR(E2634="",F2634=""),"",E2634*F2634)</f>
        <v/>
      </c>
      <c r="I2634" s="17" t="str">
        <f aca="false">IF(OR(E2634="",G2634=""),"",E2634*G2634)</f>
        <v/>
      </c>
      <c r="J2634" s="17" t="str">
        <f aca="false">IF(H2634="","",H2634-I2634)</f>
        <v/>
      </c>
    </row>
    <row r="2635" customFormat="false" ht="15" hidden="false" customHeight="true" outlineLevel="0" collapsed="false">
      <c r="A2635" s="7"/>
      <c r="B2635" s="18" t="str">
        <f aca="false">IF(A2635="","",IFERROR(INDEX(Sales_Memo!$B$2:$B$1001,MATCH(A2635,Sales_Memo!$A$2:$A$1001,0)),""))</f>
        <v/>
      </c>
      <c r="C2635" s="7"/>
      <c r="D2635" s="16" t="str">
        <f aca="false">IF(C2635="","",IFERROR(INDEX(Products!$B$2:$B$501,MATCH(C2635,Products!$A$2:$A$501,0)),"CODE NOT FOUND"))</f>
        <v/>
      </c>
      <c r="E2635" s="7"/>
      <c r="F2635" s="13"/>
      <c r="G2635" s="13"/>
      <c r="H2635" s="17" t="str">
        <f aca="false">IF(OR(E2635="",F2635=""),"",E2635*F2635)</f>
        <v/>
      </c>
      <c r="I2635" s="17" t="str">
        <f aca="false">IF(OR(E2635="",G2635=""),"",E2635*G2635)</f>
        <v/>
      </c>
      <c r="J2635" s="17" t="str">
        <f aca="false">IF(H2635="","",H2635-I2635)</f>
        <v/>
      </c>
    </row>
    <row r="2636" customFormat="false" ht="15" hidden="false" customHeight="true" outlineLevel="0" collapsed="false">
      <c r="A2636" s="7"/>
      <c r="B2636" s="18" t="str">
        <f aca="false">IF(A2636="","",IFERROR(INDEX(Sales_Memo!$B$2:$B$1001,MATCH(A2636,Sales_Memo!$A$2:$A$1001,0)),""))</f>
        <v/>
      </c>
      <c r="C2636" s="7"/>
      <c r="D2636" s="16" t="str">
        <f aca="false">IF(C2636="","",IFERROR(INDEX(Products!$B$2:$B$501,MATCH(C2636,Products!$A$2:$A$501,0)),"CODE NOT FOUND"))</f>
        <v/>
      </c>
      <c r="E2636" s="7"/>
      <c r="F2636" s="13"/>
      <c r="G2636" s="13"/>
      <c r="H2636" s="17" t="str">
        <f aca="false">IF(OR(E2636="",F2636=""),"",E2636*F2636)</f>
        <v/>
      </c>
      <c r="I2636" s="17" t="str">
        <f aca="false">IF(OR(E2636="",G2636=""),"",E2636*G2636)</f>
        <v/>
      </c>
      <c r="J2636" s="17" t="str">
        <f aca="false">IF(H2636="","",H2636-I2636)</f>
        <v/>
      </c>
    </row>
    <row r="2637" customFormat="false" ht="15" hidden="false" customHeight="true" outlineLevel="0" collapsed="false">
      <c r="A2637" s="7"/>
      <c r="B2637" s="18" t="str">
        <f aca="false">IF(A2637="","",IFERROR(INDEX(Sales_Memo!$B$2:$B$1001,MATCH(A2637,Sales_Memo!$A$2:$A$1001,0)),""))</f>
        <v/>
      </c>
      <c r="C2637" s="7"/>
      <c r="D2637" s="16" t="str">
        <f aca="false">IF(C2637="","",IFERROR(INDEX(Products!$B$2:$B$501,MATCH(C2637,Products!$A$2:$A$501,0)),"CODE NOT FOUND"))</f>
        <v/>
      </c>
      <c r="E2637" s="7"/>
      <c r="F2637" s="13"/>
      <c r="G2637" s="13"/>
      <c r="H2637" s="17" t="str">
        <f aca="false">IF(OR(E2637="",F2637=""),"",E2637*F2637)</f>
        <v/>
      </c>
      <c r="I2637" s="17" t="str">
        <f aca="false">IF(OR(E2637="",G2637=""),"",E2637*G2637)</f>
        <v/>
      </c>
      <c r="J2637" s="17" t="str">
        <f aca="false">IF(H2637="","",H2637-I2637)</f>
        <v/>
      </c>
    </row>
    <row r="2638" customFormat="false" ht="15" hidden="false" customHeight="true" outlineLevel="0" collapsed="false">
      <c r="A2638" s="7"/>
      <c r="B2638" s="18" t="str">
        <f aca="false">IF(A2638="","",IFERROR(INDEX(Sales_Memo!$B$2:$B$1001,MATCH(A2638,Sales_Memo!$A$2:$A$1001,0)),""))</f>
        <v/>
      </c>
      <c r="C2638" s="7"/>
      <c r="D2638" s="16" t="str">
        <f aca="false">IF(C2638="","",IFERROR(INDEX(Products!$B$2:$B$501,MATCH(C2638,Products!$A$2:$A$501,0)),"CODE NOT FOUND"))</f>
        <v/>
      </c>
      <c r="E2638" s="7"/>
      <c r="F2638" s="13"/>
      <c r="G2638" s="13"/>
      <c r="H2638" s="17" t="str">
        <f aca="false">IF(OR(E2638="",F2638=""),"",E2638*F2638)</f>
        <v/>
      </c>
      <c r="I2638" s="17" t="str">
        <f aca="false">IF(OR(E2638="",G2638=""),"",E2638*G2638)</f>
        <v/>
      </c>
      <c r="J2638" s="17" t="str">
        <f aca="false">IF(H2638="","",H2638-I2638)</f>
        <v/>
      </c>
    </row>
    <row r="2639" customFormat="false" ht="15" hidden="false" customHeight="true" outlineLevel="0" collapsed="false">
      <c r="A2639" s="7"/>
      <c r="B2639" s="18" t="str">
        <f aca="false">IF(A2639="","",IFERROR(INDEX(Sales_Memo!$B$2:$B$1001,MATCH(A2639,Sales_Memo!$A$2:$A$1001,0)),""))</f>
        <v/>
      </c>
      <c r="C2639" s="7"/>
      <c r="D2639" s="16" t="str">
        <f aca="false">IF(C2639="","",IFERROR(INDEX(Products!$B$2:$B$501,MATCH(C2639,Products!$A$2:$A$501,0)),"CODE NOT FOUND"))</f>
        <v/>
      </c>
      <c r="E2639" s="7"/>
      <c r="F2639" s="13"/>
      <c r="G2639" s="13"/>
      <c r="H2639" s="17" t="str">
        <f aca="false">IF(OR(E2639="",F2639=""),"",E2639*F2639)</f>
        <v/>
      </c>
      <c r="I2639" s="17" t="str">
        <f aca="false">IF(OR(E2639="",G2639=""),"",E2639*G2639)</f>
        <v/>
      </c>
      <c r="J2639" s="17" t="str">
        <f aca="false">IF(H2639="","",H2639-I2639)</f>
        <v/>
      </c>
    </row>
    <row r="2640" customFormat="false" ht="15" hidden="false" customHeight="true" outlineLevel="0" collapsed="false">
      <c r="A2640" s="7"/>
      <c r="B2640" s="18" t="str">
        <f aca="false">IF(A2640="","",IFERROR(INDEX(Sales_Memo!$B$2:$B$1001,MATCH(A2640,Sales_Memo!$A$2:$A$1001,0)),""))</f>
        <v/>
      </c>
      <c r="C2640" s="7"/>
      <c r="D2640" s="16" t="str">
        <f aca="false">IF(C2640="","",IFERROR(INDEX(Products!$B$2:$B$501,MATCH(C2640,Products!$A$2:$A$501,0)),"CODE NOT FOUND"))</f>
        <v/>
      </c>
      <c r="E2640" s="7"/>
      <c r="F2640" s="13"/>
      <c r="G2640" s="13"/>
      <c r="H2640" s="17" t="str">
        <f aca="false">IF(OR(E2640="",F2640=""),"",E2640*F2640)</f>
        <v/>
      </c>
      <c r="I2640" s="17" t="str">
        <f aca="false">IF(OR(E2640="",G2640=""),"",E2640*G2640)</f>
        <v/>
      </c>
      <c r="J2640" s="17" t="str">
        <f aca="false">IF(H2640="","",H2640-I2640)</f>
        <v/>
      </c>
    </row>
    <row r="2641" customFormat="false" ht="15" hidden="false" customHeight="true" outlineLevel="0" collapsed="false">
      <c r="A2641" s="7"/>
      <c r="B2641" s="18" t="str">
        <f aca="false">IF(A2641="","",IFERROR(INDEX(Sales_Memo!$B$2:$B$1001,MATCH(A2641,Sales_Memo!$A$2:$A$1001,0)),""))</f>
        <v/>
      </c>
      <c r="C2641" s="7"/>
      <c r="D2641" s="16" t="str">
        <f aca="false">IF(C2641="","",IFERROR(INDEX(Products!$B$2:$B$501,MATCH(C2641,Products!$A$2:$A$501,0)),"CODE NOT FOUND"))</f>
        <v/>
      </c>
      <c r="E2641" s="7"/>
      <c r="F2641" s="13"/>
      <c r="G2641" s="13"/>
      <c r="H2641" s="17" t="str">
        <f aca="false">IF(OR(E2641="",F2641=""),"",E2641*F2641)</f>
        <v/>
      </c>
      <c r="I2641" s="17" t="str">
        <f aca="false">IF(OR(E2641="",G2641=""),"",E2641*G2641)</f>
        <v/>
      </c>
      <c r="J2641" s="17" t="str">
        <f aca="false">IF(H2641="","",H2641-I2641)</f>
        <v/>
      </c>
    </row>
    <row r="2642" customFormat="false" ht="15" hidden="false" customHeight="true" outlineLevel="0" collapsed="false">
      <c r="A2642" s="7"/>
      <c r="B2642" s="18" t="str">
        <f aca="false">IF(A2642="","",IFERROR(INDEX(Sales_Memo!$B$2:$B$1001,MATCH(A2642,Sales_Memo!$A$2:$A$1001,0)),""))</f>
        <v/>
      </c>
      <c r="C2642" s="7"/>
      <c r="D2642" s="16" t="str">
        <f aca="false">IF(C2642="","",IFERROR(INDEX(Products!$B$2:$B$501,MATCH(C2642,Products!$A$2:$A$501,0)),"CODE NOT FOUND"))</f>
        <v/>
      </c>
      <c r="E2642" s="7"/>
      <c r="F2642" s="13"/>
      <c r="G2642" s="13"/>
      <c r="H2642" s="17" t="str">
        <f aca="false">IF(OR(E2642="",F2642=""),"",E2642*F2642)</f>
        <v/>
      </c>
      <c r="I2642" s="17" t="str">
        <f aca="false">IF(OR(E2642="",G2642=""),"",E2642*G2642)</f>
        <v/>
      </c>
      <c r="J2642" s="17" t="str">
        <f aca="false">IF(H2642="","",H2642-I2642)</f>
        <v/>
      </c>
    </row>
    <row r="2643" customFormat="false" ht="15" hidden="false" customHeight="true" outlineLevel="0" collapsed="false">
      <c r="A2643" s="7"/>
      <c r="B2643" s="18" t="str">
        <f aca="false">IF(A2643="","",IFERROR(INDEX(Sales_Memo!$B$2:$B$1001,MATCH(A2643,Sales_Memo!$A$2:$A$1001,0)),""))</f>
        <v/>
      </c>
      <c r="C2643" s="7"/>
      <c r="D2643" s="16" t="str">
        <f aca="false">IF(C2643="","",IFERROR(INDEX(Products!$B$2:$B$501,MATCH(C2643,Products!$A$2:$A$501,0)),"CODE NOT FOUND"))</f>
        <v/>
      </c>
      <c r="E2643" s="7"/>
      <c r="F2643" s="13"/>
      <c r="G2643" s="13"/>
      <c r="H2643" s="17" t="str">
        <f aca="false">IF(OR(E2643="",F2643=""),"",E2643*F2643)</f>
        <v/>
      </c>
      <c r="I2643" s="17" t="str">
        <f aca="false">IF(OR(E2643="",G2643=""),"",E2643*G2643)</f>
        <v/>
      </c>
      <c r="J2643" s="17" t="str">
        <f aca="false">IF(H2643="","",H2643-I2643)</f>
        <v/>
      </c>
    </row>
    <row r="2644" customFormat="false" ht="15" hidden="false" customHeight="true" outlineLevel="0" collapsed="false">
      <c r="A2644" s="7"/>
      <c r="B2644" s="18" t="str">
        <f aca="false">IF(A2644="","",IFERROR(INDEX(Sales_Memo!$B$2:$B$1001,MATCH(A2644,Sales_Memo!$A$2:$A$1001,0)),""))</f>
        <v/>
      </c>
      <c r="C2644" s="7"/>
      <c r="D2644" s="16" t="str">
        <f aca="false">IF(C2644="","",IFERROR(INDEX(Products!$B$2:$B$501,MATCH(C2644,Products!$A$2:$A$501,0)),"CODE NOT FOUND"))</f>
        <v/>
      </c>
      <c r="E2644" s="7"/>
      <c r="F2644" s="13"/>
      <c r="G2644" s="13"/>
      <c r="H2644" s="17" t="str">
        <f aca="false">IF(OR(E2644="",F2644=""),"",E2644*F2644)</f>
        <v/>
      </c>
      <c r="I2644" s="17" t="str">
        <f aca="false">IF(OR(E2644="",G2644=""),"",E2644*G2644)</f>
        <v/>
      </c>
      <c r="J2644" s="17" t="str">
        <f aca="false">IF(H2644="","",H2644-I2644)</f>
        <v/>
      </c>
    </row>
    <row r="2645" customFormat="false" ht="15" hidden="false" customHeight="true" outlineLevel="0" collapsed="false">
      <c r="A2645" s="7"/>
      <c r="B2645" s="18" t="str">
        <f aca="false">IF(A2645="","",IFERROR(INDEX(Sales_Memo!$B$2:$B$1001,MATCH(A2645,Sales_Memo!$A$2:$A$1001,0)),""))</f>
        <v/>
      </c>
      <c r="C2645" s="7"/>
      <c r="D2645" s="16" t="str">
        <f aca="false">IF(C2645="","",IFERROR(INDEX(Products!$B$2:$B$501,MATCH(C2645,Products!$A$2:$A$501,0)),"CODE NOT FOUND"))</f>
        <v/>
      </c>
      <c r="E2645" s="7"/>
      <c r="F2645" s="13"/>
      <c r="G2645" s="13"/>
      <c r="H2645" s="17" t="str">
        <f aca="false">IF(OR(E2645="",F2645=""),"",E2645*F2645)</f>
        <v/>
      </c>
      <c r="I2645" s="17" t="str">
        <f aca="false">IF(OR(E2645="",G2645=""),"",E2645*G2645)</f>
        <v/>
      </c>
      <c r="J2645" s="17" t="str">
        <f aca="false">IF(H2645="","",H2645-I2645)</f>
        <v/>
      </c>
    </row>
    <row r="2646" customFormat="false" ht="15" hidden="false" customHeight="true" outlineLevel="0" collapsed="false">
      <c r="A2646" s="7"/>
      <c r="B2646" s="18" t="str">
        <f aca="false">IF(A2646="","",IFERROR(INDEX(Sales_Memo!$B$2:$B$1001,MATCH(A2646,Sales_Memo!$A$2:$A$1001,0)),""))</f>
        <v/>
      </c>
      <c r="C2646" s="7"/>
      <c r="D2646" s="16" t="str">
        <f aca="false">IF(C2646="","",IFERROR(INDEX(Products!$B$2:$B$501,MATCH(C2646,Products!$A$2:$A$501,0)),"CODE NOT FOUND"))</f>
        <v/>
      </c>
      <c r="E2646" s="7"/>
      <c r="F2646" s="13"/>
      <c r="G2646" s="13"/>
      <c r="H2646" s="17" t="str">
        <f aca="false">IF(OR(E2646="",F2646=""),"",E2646*F2646)</f>
        <v/>
      </c>
      <c r="I2646" s="17" t="str">
        <f aca="false">IF(OR(E2646="",G2646=""),"",E2646*G2646)</f>
        <v/>
      </c>
      <c r="J2646" s="17" t="str">
        <f aca="false">IF(H2646="","",H2646-I2646)</f>
        <v/>
      </c>
    </row>
    <row r="2647" customFormat="false" ht="15" hidden="false" customHeight="true" outlineLevel="0" collapsed="false">
      <c r="A2647" s="7"/>
      <c r="B2647" s="18" t="str">
        <f aca="false">IF(A2647="","",IFERROR(INDEX(Sales_Memo!$B$2:$B$1001,MATCH(A2647,Sales_Memo!$A$2:$A$1001,0)),""))</f>
        <v/>
      </c>
      <c r="C2647" s="7"/>
      <c r="D2647" s="16" t="str">
        <f aca="false">IF(C2647="","",IFERROR(INDEX(Products!$B$2:$B$501,MATCH(C2647,Products!$A$2:$A$501,0)),"CODE NOT FOUND"))</f>
        <v/>
      </c>
      <c r="E2647" s="7"/>
      <c r="F2647" s="13"/>
      <c r="G2647" s="13"/>
      <c r="H2647" s="17" t="str">
        <f aca="false">IF(OR(E2647="",F2647=""),"",E2647*F2647)</f>
        <v/>
      </c>
      <c r="I2647" s="17" t="str">
        <f aca="false">IF(OR(E2647="",G2647=""),"",E2647*G2647)</f>
        <v/>
      </c>
      <c r="J2647" s="17" t="str">
        <f aca="false">IF(H2647="","",H2647-I2647)</f>
        <v/>
      </c>
    </row>
    <row r="2648" customFormat="false" ht="15" hidden="false" customHeight="true" outlineLevel="0" collapsed="false">
      <c r="A2648" s="7"/>
      <c r="B2648" s="18" t="str">
        <f aca="false">IF(A2648="","",IFERROR(INDEX(Sales_Memo!$B$2:$B$1001,MATCH(A2648,Sales_Memo!$A$2:$A$1001,0)),""))</f>
        <v/>
      </c>
      <c r="C2648" s="7"/>
      <c r="D2648" s="16" t="str">
        <f aca="false">IF(C2648="","",IFERROR(INDEX(Products!$B$2:$B$501,MATCH(C2648,Products!$A$2:$A$501,0)),"CODE NOT FOUND"))</f>
        <v/>
      </c>
      <c r="E2648" s="7"/>
      <c r="F2648" s="13"/>
      <c r="G2648" s="13"/>
      <c r="H2648" s="17" t="str">
        <f aca="false">IF(OR(E2648="",F2648=""),"",E2648*F2648)</f>
        <v/>
      </c>
      <c r="I2648" s="17" t="str">
        <f aca="false">IF(OR(E2648="",G2648=""),"",E2648*G2648)</f>
        <v/>
      </c>
      <c r="J2648" s="17" t="str">
        <f aca="false">IF(H2648="","",H2648-I2648)</f>
        <v/>
      </c>
    </row>
    <row r="2649" customFormat="false" ht="15" hidden="false" customHeight="true" outlineLevel="0" collapsed="false">
      <c r="A2649" s="7"/>
      <c r="B2649" s="18" t="str">
        <f aca="false">IF(A2649="","",IFERROR(INDEX(Sales_Memo!$B$2:$B$1001,MATCH(A2649,Sales_Memo!$A$2:$A$1001,0)),""))</f>
        <v/>
      </c>
      <c r="C2649" s="7"/>
      <c r="D2649" s="16" t="str">
        <f aca="false">IF(C2649="","",IFERROR(INDEX(Products!$B$2:$B$501,MATCH(C2649,Products!$A$2:$A$501,0)),"CODE NOT FOUND"))</f>
        <v/>
      </c>
      <c r="E2649" s="7"/>
      <c r="F2649" s="13"/>
      <c r="G2649" s="13"/>
      <c r="H2649" s="17" t="str">
        <f aca="false">IF(OR(E2649="",F2649=""),"",E2649*F2649)</f>
        <v/>
      </c>
      <c r="I2649" s="17" t="str">
        <f aca="false">IF(OR(E2649="",G2649=""),"",E2649*G2649)</f>
        <v/>
      </c>
      <c r="J2649" s="17" t="str">
        <f aca="false">IF(H2649="","",H2649-I2649)</f>
        <v/>
      </c>
    </row>
    <row r="2650" customFormat="false" ht="15" hidden="false" customHeight="true" outlineLevel="0" collapsed="false">
      <c r="A2650" s="7"/>
      <c r="B2650" s="18" t="str">
        <f aca="false">IF(A2650="","",IFERROR(INDEX(Sales_Memo!$B$2:$B$1001,MATCH(A2650,Sales_Memo!$A$2:$A$1001,0)),""))</f>
        <v/>
      </c>
      <c r="C2650" s="7"/>
      <c r="D2650" s="16" t="str">
        <f aca="false">IF(C2650="","",IFERROR(INDEX(Products!$B$2:$B$501,MATCH(C2650,Products!$A$2:$A$501,0)),"CODE NOT FOUND"))</f>
        <v/>
      </c>
      <c r="E2650" s="7"/>
      <c r="F2650" s="13"/>
      <c r="G2650" s="13"/>
      <c r="H2650" s="17" t="str">
        <f aca="false">IF(OR(E2650="",F2650=""),"",E2650*F2650)</f>
        <v/>
      </c>
      <c r="I2650" s="17" t="str">
        <f aca="false">IF(OR(E2650="",G2650=""),"",E2650*G2650)</f>
        <v/>
      </c>
      <c r="J2650" s="17" t="str">
        <f aca="false">IF(H2650="","",H2650-I2650)</f>
        <v/>
      </c>
    </row>
    <row r="2651" customFormat="false" ht="15" hidden="false" customHeight="true" outlineLevel="0" collapsed="false">
      <c r="A2651" s="7"/>
      <c r="B2651" s="18" t="str">
        <f aca="false">IF(A2651="","",IFERROR(INDEX(Sales_Memo!$B$2:$B$1001,MATCH(A2651,Sales_Memo!$A$2:$A$1001,0)),""))</f>
        <v/>
      </c>
      <c r="C2651" s="7"/>
      <c r="D2651" s="16" t="str">
        <f aca="false">IF(C2651="","",IFERROR(INDEX(Products!$B$2:$B$501,MATCH(C2651,Products!$A$2:$A$501,0)),"CODE NOT FOUND"))</f>
        <v/>
      </c>
      <c r="E2651" s="7"/>
      <c r="F2651" s="13"/>
      <c r="G2651" s="13"/>
      <c r="H2651" s="17" t="str">
        <f aca="false">IF(OR(E2651="",F2651=""),"",E2651*F2651)</f>
        <v/>
      </c>
      <c r="I2651" s="17" t="str">
        <f aca="false">IF(OR(E2651="",G2651=""),"",E2651*G2651)</f>
        <v/>
      </c>
      <c r="J2651" s="17" t="str">
        <f aca="false">IF(H2651="","",H2651-I2651)</f>
        <v/>
      </c>
    </row>
    <row r="2652" customFormat="false" ht="15" hidden="false" customHeight="true" outlineLevel="0" collapsed="false">
      <c r="A2652" s="7"/>
      <c r="B2652" s="18" t="str">
        <f aca="false">IF(A2652="","",IFERROR(INDEX(Sales_Memo!$B$2:$B$1001,MATCH(A2652,Sales_Memo!$A$2:$A$1001,0)),""))</f>
        <v/>
      </c>
      <c r="C2652" s="7"/>
      <c r="D2652" s="16" t="str">
        <f aca="false">IF(C2652="","",IFERROR(INDEX(Products!$B$2:$B$501,MATCH(C2652,Products!$A$2:$A$501,0)),"CODE NOT FOUND"))</f>
        <v/>
      </c>
      <c r="E2652" s="7"/>
      <c r="F2652" s="13"/>
      <c r="G2652" s="13"/>
      <c r="H2652" s="17" t="str">
        <f aca="false">IF(OR(E2652="",F2652=""),"",E2652*F2652)</f>
        <v/>
      </c>
      <c r="I2652" s="17" t="str">
        <f aca="false">IF(OR(E2652="",G2652=""),"",E2652*G2652)</f>
        <v/>
      </c>
      <c r="J2652" s="17" t="str">
        <f aca="false">IF(H2652="","",H2652-I2652)</f>
        <v/>
      </c>
    </row>
    <row r="2653" customFormat="false" ht="15" hidden="false" customHeight="true" outlineLevel="0" collapsed="false">
      <c r="A2653" s="7"/>
      <c r="B2653" s="18" t="str">
        <f aca="false">IF(A2653="","",IFERROR(INDEX(Sales_Memo!$B$2:$B$1001,MATCH(A2653,Sales_Memo!$A$2:$A$1001,0)),""))</f>
        <v/>
      </c>
      <c r="C2653" s="7"/>
      <c r="D2653" s="16" t="str">
        <f aca="false">IF(C2653="","",IFERROR(INDEX(Products!$B$2:$B$501,MATCH(C2653,Products!$A$2:$A$501,0)),"CODE NOT FOUND"))</f>
        <v/>
      </c>
      <c r="E2653" s="7"/>
      <c r="F2653" s="13"/>
      <c r="G2653" s="13"/>
      <c r="H2653" s="17" t="str">
        <f aca="false">IF(OR(E2653="",F2653=""),"",E2653*F2653)</f>
        <v/>
      </c>
      <c r="I2653" s="17" t="str">
        <f aca="false">IF(OR(E2653="",G2653=""),"",E2653*G2653)</f>
        <v/>
      </c>
      <c r="J2653" s="17" t="str">
        <f aca="false">IF(H2653="","",H2653-I2653)</f>
        <v/>
      </c>
    </row>
    <row r="2654" customFormat="false" ht="15" hidden="false" customHeight="true" outlineLevel="0" collapsed="false">
      <c r="A2654" s="7"/>
      <c r="B2654" s="18" t="str">
        <f aca="false">IF(A2654="","",IFERROR(INDEX(Sales_Memo!$B$2:$B$1001,MATCH(A2654,Sales_Memo!$A$2:$A$1001,0)),""))</f>
        <v/>
      </c>
      <c r="C2654" s="7"/>
      <c r="D2654" s="16" t="str">
        <f aca="false">IF(C2654="","",IFERROR(INDEX(Products!$B$2:$B$501,MATCH(C2654,Products!$A$2:$A$501,0)),"CODE NOT FOUND"))</f>
        <v/>
      </c>
      <c r="E2654" s="7"/>
      <c r="F2654" s="13"/>
      <c r="G2654" s="13"/>
      <c r="H2654" s="17" t="str">
        <f aca="false">IF(OR(E2654="",F2654=""),"",E2654*F2654)</f>
        <v/>
      </c>
      <c r="I2654" s="17" t="str">
        <f aca="false">IF(OR(E2654="",G2654=""),"",E2654*G2654)</f>
        <v/>
      </c>
      <c r="J2654" s="17" t="str">
        <f aca="false">IF(H2654="","",H2654-I2654)</f>
        <v/>
      </c>
    </row>
    <row r="2655" customFormat="false" ht="15" hidden="false" customHeight="true" outlineLevel="0" collapsed="false">
      <c r="A2655" s="7"/>
      <c r="B2655" s="18" t="str">
        <f aca="false">IF(A2655="","",IFERROR(INDEX(Sales_Memo!$B$2:$B$1001,MATCH(A2655,Sales_Memo!$A$2:$A$1001,0)),""))</f>
        <v/>
      </c>
      <c r="C2655" s="7"/>
      <c r="D2655" s="16" t="str">
        <f aca="false">IF(C2655="","",IFERROR(INDEX(Products!$B$2:$B$501,MATCH(C2655,Products!$A$2:$A$501,0)),"CODE NOT FOUND"))</f>
        <v/>
      </c>
      <c r="E2655" s="7"/>
      <c r="F2655" s="13"/>
      <c r="G2655" s="13"/>
      <c r="H2655" s="17" t="str">
        <f aca="false">IF(OR(E2655="",F2655=""),"",E2655*F2655)</f>
        <v/>
      </c>
      <c r="I2655" s="17" t="str">
        <f aca="false">IF(OR(E2655="",G2655=""),"",E2655*G2655)</f>
        <v/>
      </c>
      <c r="J2655" s="17" t="str">
        <f aca="false">IF(H2655="","",H2655-I2655)</f>
        <v/>
      </c>
    </row>
    <row r="2656" customFormat="false" ht="15" hidden="false" customHeight="true" outlineLevel="0" collapsed="false">
      <c r="A2656" s="7"/>
      <c r="B2656" s="18" t="str">
        <f aca="false">IF(A2656="","",IFERROR(INDEX(Sales_Memo!$B$2:$B$1001,MATCH(A2656,Sales_Memo!$A$2:$A$1001,0)),""))</f>
        <v/>
      </c>
      <c r="C2656" s="7"/>
      <c r="D2656" s="16" t="str">
        <f aca="false">IF(C2656="","",IFERROR(INDEX(Products!$B$2:$B$501,MATCH(C2656,Products!$A$2:$A$501,0)),"CODE NOT FOUND"))</f>
        <v/>
      </c>
      <c r="E2656" s="7"/>
      <c r="F2656" s="13"/>
      <c r="G2656" s="13"/>
      <c r="H2656" s="17" t="str">
        <f aca="false">IF(OR(E2656="",F2656=""),"",E2656*F2656)</f>
        <v/>
      </c>
      <c r="I2656" s="17" t="str">
        <f aca="false">IF(OR(E2656="",G2656=""),"",E2656*G2656)</f>
        <v/>
      </c>
      <c r="J2656" s="17" t="str">
        <f aca="false">IF(H2656="","",H2656-I2656)</f>
        <v/>
      </c>
    </row>
    <row r="2657" customFormat="false" ht="15" hidden="false" customHeight="true" outlineLevel="0" collapsed="false">
      <c r="A2657" s="7"/>
      <c r="B2657" s="18" t="str">
        <f aca="false">IF(A2657="","",IFERROR(INDEX(Sales_Memo!$B$2:$B$1001,MATCH(A2657,Sales_Memo!$A$2:$A$1001,0)),""))</f>
        <v/>
      </c>
      <c r="C2657" s="7"/>
      <c r="D2657" s="16" t="str">
        <f aca="false">IF(C2657="","",IFERROR(INDEX(Products!$B$2:$B$501,MATCH(C2657,Products!$A$2:$A$501,0)),"CODE NOT FOUND"))</f>
        <v/>
      </c>
      <c r="E2657" s="7"/>
      <c r="F2657" s="13"/>
      <c r="G2657" s="13"/>
      <c r="H2657" s="17" t="str">
        <f aca="false">IF(OR(E2657="",F2657=""),"",E2657*F2657)</f>
        <v/>
      </c>
      <c r="I2657" s="17" t="str">
        <f aca="false">IF(OR(E2657="",G2657=""),"",E2657*G2657)</f>
        <v/>
      </c>
      <c r="J2657" s="17" t="str">
        <f aca="false">IF(H2657="","",H2657-I2657)</f>
        <v/>
      </c>
    </row>
    <row r="2658" customFormat="false" ht="15" hidden="false" customHeight="true" outlineLevel="0" collapsed="false">
      <c r="A2658" s="7"/>
      <c r="B2658" s="18" t="str">
        <f aca="false">IF(A2658="","",IFERROR(INDEX(Sales_Memo!$B$2:$B$1001,MATCH(A2658,Sales_Memo!$A$2:$A$1001,0)),""))</f>
        <v/>
      </c>
      <c r="C2658" s="7"/>
      <c r="D2658" s="16" t="str">
        <f aca="false">IF(C2658="","",IFERROR(INDEX(Products!$B$2:$B$501,MATCH(C2658,Products!$A$2:$A$501,0)),"CODE NOT FOUND"))</f>
        <v/>
      </c>
      <c r="E2658" s="7"/>
      <c r="F2658" s="13"/>
      <c r="G2658" s="13"/>
      <c r="H2658" s="17" t="str">
        <f aca="false">IF(OR(E2658="",F2658=""),"",E2658*F2658)</f>
        <v/>
      </c>
      <c r="I2658" s="17" t="str">
        <f aca="false">IF(OR(E2658="",G2658=""),"",E2658*G2658)</f>
        <v/>
      </c>
      <c r="J2658" s="17" t="str">
        <f aca="false">IF(H2658="","",H2658-I2658)</f>
        <v/>
      </c>
    </row>
    <row r="2659" customFormat="false" ht="15" hidden="false" customHeight="true" outlineLevel="0" collapsed="false">
      <c r="A2659" s="7"/>
      <c r="B2659" s="18" t="str">
        <f aca="false">IF(A2659="","",IFERROR(INDEX(Sales_Memo!$B$2:$B$1001,MATCH(A2659,Sales_Memo!$A$2:$A$1001,0)),""))</f>
        <v/>
      </c>
      <c r="C2659" s="7"/>
      <c r="D2659" s="16" t="str">
        <f aca="false">IF(C2659="","",IFERROR(INDEX(Products!$B$2:$B$501,MATCH(C2659,Products!$A$2:$A$501,0)),"CODE NOT FOUND"))</f>
        <v/>
      </c>
      <c r="E2659" s="7"/>
      <c r="F2659" s="13"/>
      <c r="G2659" s="13"/>
      <c r="H2659" s="17" t="str">
        <f aca="false">IF(OR(E2659="",F2659=""),"",E2659*F2659)</f>
        <v/>
      </c>
      <c r="I2659" s="17" t="str">
        <f aca="false">IF(OR(E2659="",G2659=""),"",E2659*G2659)</f>
        <v/>
      </c>
      <c r="J2659" s="17" t="str">
        <f aca="false">IF(H2659="","",H2659-I2659)</f>
        <v/>
      </c>
    </row>
    <row r="2660" customFormat="false" ht="15" hidden="false" customHeight="true" outlineLevel="0" collapsed="false">
      <c r="A2660" s="7"/>
      <c r="B2660" s="18" t="str">
        <f aca="false">IF(A2660="","",IFERROR(INDEX(Sales_Memo!$B$2:$B$1001,MATCH(A2660,Sales_Memo!$A$2:$A$1001,0)),""))</f>
        <v/>
      </c>
      <c r="C2660" s="7"/>
      <c r="D2660" s="16" t="str">
        <f aca="false">IF(C2660="","",IFERROR(INDEX(Products!$B$2:$B$501,MATCH(C2660,Products!$A$2:$A$501,0)),"CODE NOT FOUND"))</f>
        <v/>
      </c>
      <c r="E2660" s="7"/>
      <c r="F2660" s="13"/>
      <c r="G2660" s="13"/>
      <c r="H2660" s="17" t="str">
        <f aca="false">IF(OR(E2660="",F2660=""),"",E2660*F2660)</f>
        <v/>
      </c>
      <c r="I2660" s="17" t="str">
        <f aca="false">IF(OR(E2660="",G2660=""),"",E2660*G2660)</f>
        <v/>
      </c>
      <c r="J2660" s="17" t="str">
        <f aca="false">IF(H2660="","",H2660-I2660)</f>
        <v/>
      </c>
    </row>
    <row r="2661" customFormat="false" ht="15" hidden="false" customHeight="true" outlineLevel="0" collapsed="false">
      <c r="A2661" s="7"/>
      <c r="B2661" s="18" t="str">
        <f aca="false">IF(A2661="","",IFERROR(INDEX(Sales_Memo!$B$2:$B$1001,MATCH(A2661,Sales_Memo!$A$2:$A$1001,0)),""))</f>
        <v/>
      </c>
      <c r="C2661" s="7"/>
      <c r="D2661" s="16" t="str">
        <f aca="false">IF(C2661="","",IFERROR(INDEX(Products!$B$2:$B$501,MATCH(C2661,Products!$A$2:$A$501,0)),"CODE NOT FOUND"))</f>
        <v/>
      </c>
      <c r="E2661" s="7"/>
      <c r="F2661" s="13"/>
      <c r="G2661" s="13"/>
      <c r="H2661" s="17" t="str">
        <f aca="false">IF(OR(E2661="",F2661=""),"",E2661*F2661)</f>
        <v/>
      </c>
      <c r="I2661" s="17" t="str">
        <f aca="false">IF(OR(E2661="",G2661=""),"",E2661*G2661)</f>
        <v/>
      </c>
      <c r="J2661" s="17" t="str">
        <f aca="false">IF(H2661="","",H2661-I2661)</f>
        <v/>
      </c>
    </row>
    <row r="2662" customFormat="false" ht="15" hidden="false" customHeight="true" outlineLevel="0" collapsed="false">
      <c r="A2662" s="7"/>
      <c r="B2662" s="18" t="str">
        <f aca="false">IF(A2662="","",IFERROR(INDEX(Sales_Memo!$B$2:$B$1001,MATCH(A2662,Sales_Memo!$A$2:$A$1001,0)),""))</f>
        <v/>
      </c>
      <c r="C2662" s="7"/>
      <c r="D2662" s="16" t="str">
        <f aca="false">IF(C2662="","",IFERROR(INDEX(Products!$B$2:$B$501,MATCH(C2662,Products!$A$2:$A$501,0)),"CODE NOT FOUND"))</f>
        <v/>
      </c>
      <c r="E2662" s="7"/>
      <c r="F2662" s="13"/>
      <c r="G2662" s="13"/>
      <c r="H2662" s="17" t="str">
        <f aca="false">IF(OR(E2662="",F2662=""),"",E2662*F2662)</f>
        <v/>
      </c>
      <c r="I2662" s="17" t="str">
        <f aca="false">IF(OR(E2662="",G2662=""),"",E2662*G2662)</f>
        <v/>
      </c>
      <c r="J2662" s="17" t="str">
        <f aca="false">IF(H2662="","",H2662-I2662)</f>
        <v/>
      </c>
    </row>
    <row r="2663" customFormat="false" ht="15" hidden="false" customHeight="true" outlineLevel="0" collapsed="false">
      <c r="A2663" s="7"/>
      <c r="B2663" s="18" t="str">
        <f aca="false">IF(A2663="","",IFERROR(INDEX(Sales_Memo!$B$2:$B$1001,MATCH(A2663,Sales_Memo!$A$2:$A$1001,0)),""))</f>
        <v/>
      </c>
      <c r="C2663" s="7"/>
      <c r="D2663" s="16" t="str">
        <f aca="false">IF(C2663="","",IFERROR(INDEX(Products!$B$2:$B$501,MATCH(C2663,Products!$A$2:$A$501,0)),"CODE NOT FOUND"))</f>
        <v/>
      </c>
      <c r="E2663" s="7"/>
      <c r="F2663" s="13"/>
      <c r="G2663" s="13"/>
      <c r="H2663" s="17" t="str">
        <f aca="false">IF(OR(E2663="",F2663=""),"",E2663*F2663)</f>
        <v/>
      </c>
      <c r="I2663" s="17" t="str">
        <f aca="false">IF(OR(E2663="",G2663=""),"",E2663*G2663)</f>
        <v/>
      </c>
      <c r="J2663" s="17" t="str">
        <f aca="false">IF(H2663="","",H2663-I2663)</f>
        <v/>
      </c>
    </row>
    <row r="2664" customFormat="false" ht="15" hidden="false" customHeight="true" outlineLevel="0" collapsed="false">
      <c r="A2664" s="7"/>
      <c r="B2664" s="18" t="str">
        <f aca="false">IF(A2664="","",IFERROR(INDEX(Sales_Memo!$B$2:$B$1001,MATCH(A2664,Sales_Memo!$A$2:$A$1001,0)),""))</f>
        <v/>
      </c>
      <c r="C2664" s="7"/>
      <c r="D2664" s="16" t="str">
        <f aca="false">IF(C2664="","",IFERROR(INDEX(Products!$B$2:$B$501,MATCH(C2664,Products!$A$2:$A$501,0)),"CODE NOT FOUND"))</f>
        <v/>
      </c>
      <c r="E2664" s="7"/>
      <c r="F2664" s="13"/>
      <c r="G2664" s="13"/>
      <c r="H2664" s="17" t="str">
        <f aca="false">IF(OR(E2664="",F2664=""),"",E2664*F2664)</f>
        <v/>
      </c>
      <c r="I2664" s="17" t="str">
        <f aca="false">IF(OR(E2664="",G2664=""),"",E2664*G2664)</f>
        <v/>
      </c>
      <c r="J2664" s="17" t="str">
        <f aca="false">IF(H2664="","",H2664-I2664)</f>
        <v/>
      </c>
    </row>
    <row r="2665" customFormat="false" ht="15" hidden="false" customHeight="true" outlineLevel="0" collapsed="false">
      <c r="A2665" s="7"/>
      <c r="B2665" s="18" t="str">
        <f aca="false">IF(A2665="","",IFERROR(INDEX(Sales_Memo!$B$2:$B$1001,MATCH(A2665,Sales_Memo!$A$2:$A$1001,0)),""))</f>
        <v/>
      </c>
      <c r="C2665" s="7"/>
      <c r="D2665" s="16" t="str">
        <f aca="false">IF(C2665="","",IFERROR(INDEX(Products!$B$2:$B$501,MATCH(C2665,Products!$A$2:$A$501,0)),"CODE NOT FOUND"))</f>
        <v/>
      </c>
      <c r="E2665" s="7"/>
      <c r="F2665" s="13"/>
      <c r="G2665" s="13"/>
      <c r="H2665" s="17" t="str">
        <f aca="false">IF(OR(E2665="",F2665=""),"",E2665*F2665)</f>
        <v/>
      </c>
      <c r="I2665" s="17" t="str">
        <f aca="false">IF(OR(E2665="",G2665=""),"",E2665*G2665)</f>
        <v/>
      </c>
      <c r="J2665" s="17" t="str">
        <f aca="false">IF(H2665="","",H2665-I2665)</f>
        <v/>
      </c>
    </row>
    <row r="2666" customFormat="false" ht="15" hidden="false" customHeight="true" outlineLevel="0" collapsed="false">
      <c r="A2666" s="7"/>
      <c r="B2666" s="18" t="str">
        <f aca="false">IF(A2666="","",IFERROR(INDEX(Sales_Memo!$B$2:$B$1001,MATCH(A2666,Sales_Memo!$A$2:$A$1001,0)),""))</f>
        <v/>
      </c>
      <c r="C2666" s="7"/>
      <c r="D2666" s="16" t="str">
        <f aca="false">IF(C2666="","",IFERROR(INDEX(Products!$B$2:$B$501,MATCH(C2666,Products!$A$2:$A$501,0)),"CODE NOT FOUND"))</f>
        <v/>
      </c>
      <c r="E2666" s="7"/>
      <c r="F2666" s="13"/>
      <c r="G2666" s="13"/>
      <c r="H2666" s="17" t="str">
        <f aca="false">IF(OR(E2666="",F2666=""),"",E2666*F2666)</f>
        <v/>
      </c>
      <c r="I2666" s="17" t="str">
        <f aca="false">IF(OR(E2666="",G2666=""),"",E2666*G2666)</f>
        <v/>
      </c>
      <c r="J2666" s="17" t="str">
        <f aca="false">IF(H2666="","",H2666-I2666)</f>
        <v/>
      </c>
    </row>
    <row r="2667" customFormat="false" ht="15" hidden="false" customHeight="true" outlineLevel="0" collapsed="false">
      <c r="A2667" s="7"/>
      <c r="B2667" s="18" t="str">
        <f aca="false">IF(A2667="","",IFERROR(INDEX(Sales_Memo!$B$2:$B$1001,MATCH(A2667,Sales_Memo!$A$2:$A$1001,0)),""))</f>
        <v/>
      </c>
      <c r="C2667" s="7"/>
      <c r="D2667" s="16" t="str">
        <f aca="false">IF(C2667="","",IFERROR(INDEX(Products!$B$2:$B$501,MATCH(C2667,Products!$A$2:$A$501,0)),"CODE NOT FOUND"))</f>
        <v/>
      </c>
      <c r="E2667" s="7"/>
      <c r="F2667" s="13"/>
      <c r="G2667" s="13"/>
      <c r="H2667" s="17" t="str">
        <f aca="false">IF(OR(E2667="",F2667=""),"",E2667*F2667)</f>
        <v/>
      </c>
      <c r="I2667" s="17" t="str">
        <f aca="false">IF(OR(E2667="",G2667=""),"",E2667*G2667)</f>
        <v/>
      </c>
      <c r="J2667" s="17" t="str">
        <f aca="false">IF(H2667="","",H2667-I2667)</f>
        <v/>
      </c>
    </row>
    <row r="2668" customFormat="false" ht="15" hidden="false" customHeight="true" outlineLevel="0" collapsed="false">
      <c r="A2668" s="7"/>
      <c r="B2668" s="18" t="str">
        <f aca="false">IF(A2668="","",IFERROR(INDEX(Sales_Memo!$B$2:$B$1001,MATCH(A2668,Sales_Memo!$A$2:$A$1001,0)),""))</f>
        <v/>
      </c>
      <c r="C2668" s="7"/>
      <c r="D2668" s="16" t="str">
        <f aca="false">IF(C2668="","",IFERROR(INDEX(Products!$B$2:$B$501,MATCH(C2668,Products!$A$2:$A$501,0)),"CODE NOT FOUND"))</f>
        <v/>
      </c>
      <c r="E2668" s="7"/>
      <c r="F2668" s="13"/>
      <c r="G2668" s="13"/>
      <c r="H2668" s="17" t="str">
        <f aca="false">IF(OR(E2668="",F2668=""),"",E2668*F2668)</f>
        <v/>
      </c>
      <c r="I2668" s="17" t="str">
        <f aca="false">IF(OR(E2668="",G2668=""),"",E2668*G2668)</f>
        <v/>
      </c>
      <c r="J2668" s="17" t="str">
        <f aca="false">IF(H2668="","",H2668-I2668)</f>
        <v/>
      </c>
    </row>
    <row r="2669" customFormat="false" ht="15" hidden="false" customHeight="true" outlineLevel="0" collapsed="false">
      <c r="A2669" s="7"/>
      <c r="B2669" s="18" t="str">
        <f aca="false">IF(A2669="","",IFERROR(INDEX(Sales_Memo!$B$2:$B$1001,MATCH(A2669,Sales_Memo!$A$2:$A$1001,0)),""))</f>
        <v/>
      </c>
      <c r="C2669" s="7"/>
      <c r="D2669" s="16" t="str">
        <f aca="false">IF(C2669="","",IFERROR(INDEX(Products!$B$2:$B$501,MATCH(C2669,Products!$A$2:$A$501,0)),"CODE NOT FOUND"))</f>
        <v/>
      </c>
      <c r="E2669" s="7"/>
      <c r="F2669" s="13"/>
      <c r="G2669" s="13"/>
      <c r="H2669" s="17" t="str">
        <f aca="false">IF(OR(E2669="",F2669=""),"",E2669*F2669)</f>
        <v/>
      </c>
      <c r="I2669" s="17" t="str">
        <f aca="false">IF(OR(E2669="",G2669=""),"",E2669*G2669)</f>
        <v/>
      </c>
      <c r="J2669" s="17" t="str">
        <f aca="false">IF(H2669="","",H2669-I2669)</f>
        <v/>
      </c>
    </row>
    <row r="2670" customFormat="false" ht="15" hidden="false" customHeight="true" outlineLevel="0" collapsed="false">
      <c r="A2670" s="7"/>
      <c r="B2670" s="18" t="str">
        <f aca="false">IF(A2670="","",IFERROR(INDEX(Sales_Memo!$B$2:$B$1001,MATCH(A2670,Sales_Memo!$A$2:$A$1001,0)),""))</f>
        <v/>
      </c>
      <c r="C2670" s="7"/>
      <c r="D2670" s="16" t="str">
        <f aca="false">IF(C2670="","",IFERROR(INDEX(Products!$B$2:$B$501,MATCH(C2670,Products!$A$2:$A$501,0)),"CODE NOT FOUND"))</f>
        <v/>
      </c>
      <c r="E2670" s="7"/>
      <c r="F2670" s="13"/>
      <c r="G2670" s="13"/>
      <c r="H2670" s="17" t="str">
        <f aca="false">IF(OR(E2670="",F2670=""),"",E2670*F2670)</f>
        <v/>
      </c>
      <c r="I2670" s="17" t="str">
        <f aca="false">IF(OR(E2670="",G2670=""),"",E2670*G2670)</f>
        <v/>
      </c>
      <c r="J2670" s="17" t="str">
        <f aca="false">IF(H2670="","",H2670-I2670)</f>
        <v/>
      </c>
    </row>
    <row r="2671" customFormat="false" ht="15" hidden="false" customHeight="true" outlineLevel="0" collapsed="false">
      <c r="A2671" s="7"/>
      <c r="B2671" s="18" t="str">
        <f aca="false">IF(A2671="","",IFERROR(INDEX(Sales_Memo!$B$2:$B$1001,MATCH(A2671,Sales_Memo!$A$2:$A$1001,0)),""))</f>
        <v/>
      </c>
      <c r="C2671" s="7"/>
      <c r="D2671" s="16" t="str">
        <f aca="false">IF(C2671="","",IFERROR(INDEX(Products!$B$2:$B$501,MATCH(C2671,Products!$A$2:$A$501,0)),"CODE NOT FOUND"))</f>
        <v/>
      </c>
      <c r="E2671" s="7"/>
      <c r="F2671" s="13"/>
      <c r="G2671" s="13"/>
      <c r="H2671" s="17" t="str">
        <f aca="false">IF(OR(E2671="",F2671=""),"",E2671*F2671)</f>
        <v/>
      </c>
      <c r="I2671" s="17" t="str">
        <f aca="false">IF(OR(E2671="",G2671=""),"",E2671*G2671)</f>
        <v/>
      </c>
      <c r="J2671" s="17" t="str">
        <f aca="false">IF(H2671="","",H2671-I2671)</f>
        <v/>
      </c>
    </row>
    <row r="2672" customFormat="false" ht="15" hidden="false" customHeight="true" outlineLevel="0" collapsed="false">
      <c r="A2672" s="7"/>
      <c r="B2672" s="18" t="str">
        <f aca="false">IF(A2672="","",IFERROR(INDEX(Sales_Memo!$B$2:$B$1001,MATCH(A2672,Sales_Memo!$A$2:$A$1001,0)),""))</f>
        <v/>
      </c>
      <c r="C2672" s="7"/>
      <c r="D2672" s="16" t="str">
        <f aca="false">IF(C2672="","",IFERROR(INDEX(Products!$B$2:$B$501,MATCH(C2672,Products!$A$2:$A$501,0)),"CODE NOT FOUND"))</f>
        <v/>
      </c>
      <c r="E2672" s="7"/>
      <c r="F2672" s="13"/>
      <c r="G2672" s="13"/>
      <c r="H2672" s="17" t="str">
        <f aca="false">IF(OR(E2672="",F2672=""),"",E2672*F2672)</f>
        <v/>
      </c>
      <c r="I2672" s="17" t="str">
        <f aca="false">IF(OR(E2672="",G2672=""),"",E2672*G2672)</f>
        <v/>
      </c>
      <c r="J2672" s="17" t="str">
        <f aca="false">IF(H2672="","",H2672-I2672)</f>
        <v/>
      </c>
    </row>
    <row r="2673" customFormat="false" ht="15" hidden="false" customHeight="true" outlineLevel="0" collapsed="false">
      <c r="A2673" s="7"/>
      <c r="B2673" s="18" t="str">
        <f aca="false">IF(A2673="","",IFERROR(INDEX(Sales_Memo!$B$2:$B$1001,MATCH(A2673,Sales_Memo!$A$2:$A$1001,0)),""))</f>
        <v/>
      </c>
      <c r="C2673" s="7"/>
      <c r="D2673" s="16" t="str">
        <f aca="false">IF(C2673="","",IFERROR(INDEX(Products!$B$2:$B$501,MATCH(C2673,Products!$A$2:$A$501,0)),"CODE NOT FOUND"))</f>
        <v/>
      </c>
      <c r="E2673" s="7"/>
      <c r="F2673" s="13"/>
      <c r="G2673" s="13"/>
      <c r="H2673" s="17" t="str">
        <f aca="false">IF(OR(E2673="",F2673=""),"",E2673*F2673)</f>
        <v/>
      </c>
      <c r="I2673" s="17" t="str">
        <f aca="false">IF(OR(E2673="",G2673=""),"",E2673*G2673)</f>
        <v/>
      </c>
      <c r="J2673" s="17" t="str">
        <f aca="false">IF(H2673="","",H2673-I2673)</f>
        <v/>
      </c>
    </row>
    <row r="2674" customFormat="false" ht="15" hidden="false" customHeight="true" outlineLevel="0" collapsed="false">
      <c r="A2674" s="7"/>
      <c r="B2674" s="18" t="str">
        <f aca="false">IF(A2674="","",IFERROR(INDEX(Sales_Memo!$B$2:$B$1001,MATCH(A2674,Sales_Memo!$A$2:$A$1001,0)),""))</f>
        <v/>
      </c>
      <c r="C2674" s="7"/>
      <c r="D2674" s="16" t="str">
        <f aca="false">IF(C2674="","",IFERROR(INDEX(Products!$B$2:$B$501,MATCH(C2674,Products!$A$2:$A$501,0)),"CODE NOT FOUND"))</f>
        <v/>
      </c>
      <c r="E2674" s="7"/>
      <c r="F2674" s="13"/>
      <c r="G2674" s="13"/>
      <c r="H2674" s="17" t="str">
        <f aca="false">IF(OR(E2674="",F2674=""),"",E2674*F2674)</f>
        <v/>
      </c>
      <c r="I2674" s="17" t="str">
        <f aca="false">IF(OR(E2674="",G2674=""),"",E2674*G2674)</f>
        <v/>
      </c>
      <c r="J2674" s="17" t="str">
        <f aca="false">IF(H2674="","",H2674-I2674)</f>
        <v/>
      </c>
    </row>
    <row r="2675" customFormat="false" ht="15" hidden="false" customHeight="true" outlineLevel="0" collapsed="false">
      <c r="A2675" s="7"/>
      <c r="B2675" s="18" t="str">
        <f aca="false">IF(A2675="","",IFERROR(INDEX(Sales_Memo!$B$2:$B$1001,MATCH(A2675,Sales_Memo!$A$2:$A$1001,0)),""))</f>
        <v/>
      </c>
      <c r="C2675" s="7"/>
      <c r="D2675" s="16" t="str">
        <f aca="false">IF(C2675="","",IFERROR(INDEX(Products!$B$2:$B$501,MATCH(C2675,Products!$A$2:$A$501,0)),"CODE NOT FOUND"))</f>
        <v/>
      </c>
      <c r="E2675" s="7"/>
      <c r="F2675" s="13"/>
      <c r="G2675" s="13"/>
      <c r="H2675" s="17" t="str">
        <f aca="false">IF(OR(E2675="",F2675=""),"",E2675*F2675)</f>
        <v/>
      </c>
      <c r="I2675" s="17" t="str">
        <f aca="false">IF(OR(E2675="",G2675=""),"",E2675*G2675)</f>
        <v/>
      </c>
      <c r="J2675" s="17" t="str">
        <f aca="false">IF(H2675="","",H2675-I2675)</f>
        <v/>
      </c>
    </row>
    <row r="2676" customFormat="false" ht="15" hidden="false" customHeight="true" outlineLevel="0" collapsed="false">
      <c r="A2676" s="7"/>
      <c r="B2676" s="18" t="str">
        <f aca="false">IF(A2676="","",IFERROR(INDEX(Sales_Memo!$B$2:$B$1001,MATCH(A2676,Sales_Memo!$A$2:$A$1001,0)),""))</f>
        <v/>
      </c>
      <c r="C2676" s="7"/>
      <c r="D2676" s="16" t="str">
        <f aca="false">IF(C2676="","",IFERROR(INDEX(Products!$B$2:$B$501,MATCH(C2676,Products!$A$2:$A$501,0)),"CODE NOT FOUND"))</f>
        <v/>
      </c>
      <c r="E2676" s="7"/>
      <c r="F2676" s="13"/>
      <c r="G2676" s="13"/>
      <c r="H2676" s="17" t="str">
        <f aca="false">IF(OR(E2676="",F2676=""),"",E2676*F2676)</f>
        <v/>
      </c>
      <c r="I2676" s="17" t="str">
        <f aca="false">IF(OR(E2676="",G2676=""),"",E2676*G2676)</f>
        <v/>
      </c>
      <c r="J2676" s="17" t="str">
        <f aca="false">IF(H2676="","",H2676-I2676)</f>
        <v/>
      </c>
    </row>
    <row r="2677" customFormat="false" ht="15" hidden="false" customHeight="true" outlineLevel="0" collapsed="false">
      <c r="A2677" s="7"/>
      <c r="B2677" s="18" t="str">
        <f aca="false">IF(A2677="","",IFERROR(INDEX(Sales_Memo!$B$2:$B$1001,MATCH(A2677,Sales_Memo!$A$2:$A$1001,0)),""))</f>
        <v/>
      </c>
      <c r="C2677" s="7"/>
      <c r="D2677" s="16" t="str">
        <f aca="false">IF(C2677="","",IFERROR(INDEX(Products!$B$2:$B$501,MATCH(C2677,Products!$A$2:$A$501,0)),"CODE NOT FOUND"))</f>
        <v/>
      </c>
      <c r="E2677" s="7"/>
      <c r="F2677" s="13"/>
      <c r="G2677" s="13"/>
      <c r="H2677" s="17" t="str">
        <f aca="false">IF(OR(E2677="",F2677=""),"",E2677*F2677)</f>
        <v/>
      </c>
      <c r="I2677" s="17" t="str">
        <f aca="false">IF(OR(E2677="",G2677=""),"",E2677*G2677)</f>
        <v/>
      </c>
      <c r="J2677" s="17" t="str">
        <f aca="false">IF(H2677="","",H2677-I2677)</f>
        <v/>
      </c>
    </row>
    <row r="2678" customFormat="false" ht="15" hidden="false" customHeight="true" outlineLevel="0" collapsed="false">
      <c r="A2678" s="7"/>
      <c r="B2678" s="18" t="str">
        <f aca="false">IF(A2678="","",IFERROR(INDEX(Sales_Memo!$B$2:$B$1001,MATCH(A2678,Sales_Memo!$A$2:$A$1001,0)),""))</f>
        <v/>
      </c>
      <c r="C2678" s="7"/>
      <c r="D2678" s="16" t="str">
        <f aca="false">IF(C2678="","",IFERROR(INDEX(Products!$B$2:$B$501,MATCH(C2678,Products!$A$2:$A$501,0)),"CODE NOT FOUND"))</f>
        <v/>
      </c>
      <c r="E2678" s="7"/>
      <c r="F2678" s="13"/>
      <c r="G2678" s="13"/>
      <c r="H2678" s="17" t="str">
        <f aca="false">IF(OR(E2678="",F2678=""),"",E2678*F2678)</f>
        <v/>
      </c>
      <c r="I2678" s="17" t="str">
        <f aca="false">IF(OR(E2678="",G2678=""),"",E2678*G2678)</f>
        <v/>
      </c>
      <c r="J2678" s="17" t="str">
        <f aca="false">IF(H2678="","",H2678-I2678)</f>
        <v/>
      </c>
    </row>
    <row r="2679" customFormat="false" ht="15" hidden="false" customHeight="true" outlineLevel="0" collapsed="false">
      <c r="A2679" s="7"/>
      <c r="B2679" s="18" t="str">
        <f aca="false">IF(A2679="","",IFERROR(INDEX(Sales_Memo!$B$2:$B$1001,MATCH(A2679,Sales_Memo!$A$2:$A$1001,0)),""))</f>
        <v/>
      </c>
      <c r="C2679" s="7"/>
      <c r="D2679" s="16" t="str">
        <f aca="false">IF(C2679="","",IFERROR(INDEX(Products!$B$2:$B$501,MATCH(C2679,Products!$A$2:$A$501,0)),"CODE NOT FOUND"))</f>
        <v/>
      </c>
      <c r="E2679" s="7"/>
      <c r="F2679" s="13"/>
      <c r="G2679" s="13"/>
      <c r="H2679" s="17" t="str">
        <f aca="false">IF(OR(E2679="",F2679=""),"",E2679*F2679)</f>
        <v/>
      </c>
      <c r="I2679" s="17" t="str">
        <f aca="false">IF(OR(E2679="",G2679=""),"",E2679*G2679)</f>
        <v/>
      </c>
      <c r="J2679" s="17" t="str">
        <f aca="false">IF(H2679="","",H2679-I2679)</f>
        <v/>
      </c>
    </row>
    <row r="2680" customFormat="false" ht="15" hidden="false" customHeight="true" outlineLevel="0" collapsed="false">
      <c r="A2680" s="7"/>
      <c r="B2680" s="18" t="str">
        <f aca="false">IF(A2680="","",IFERROR(INDEX(Sales_Memo!$B$2:$B$1001,MATCH(A2680,Sales_Memo!$A$2:$A$1001,0)),""))</f>
        <v/>
      </c>
      <c r="C2680" s="7"/>
      <c r="D2680" s="16" t="str">
        <f aca="false">IF(C2680="","",IFERROR(INDEX(Products!$B$2:$B$501,MATCH(C2680,Products!$A$2:$A$501,0)),"CODE NOT FOUND"))</f>
        <v/>
      </c>
      <c r="E2680" s="7"/>
      <c r="F2680" s="13"/>
      <c r="G2680" s="13"/>
      <c r="H2680" s="17" t="str">
        <f aca="false">IF(OR(E2680="",F2680=""),"",E2680*F2680)</f>
        <v/>
      </c>
      <c r="I2680" s="17" t="str">
        <f aca="false">IF(OR(E2680="",G2680=""),"",E2680*G2680)</f>
        <v/>
      </c>
      <c r="J2680" s="17" t="str">
        <f aca="false">IF(H2680="","",H2680-I2680)</f>
        <v/>
      </c>
    </row>
    <row r="2681" customFormat="false" ht="15" hidden="false" customHeight="true" outlineLevel="0" collapsed="false">
      <c r="A2681" s="7"/>
      <c r="B2681" s="18" t="str">
        <f aca="false">IF(A2681="","",IFERROR(INDEX(Sales_Memo!$B$2:$B$1001,MATCH(A2681,Sales_Memo!$A$2:$A$1001,0)),""))</f>
        <v/>
      </c>
      <c r="C2681" s="7"/>
      <c r="D2681" s="16" t="str">
        <f aca="false">IF(C2681="","",IFERROR(INDEX(Products!$B$2:$B$501,MATCH(C2681,Products!$A$2:$A$501,0)),"CODE NOT FOUND"))</f>
        <v/>
      </c>
      <c r="E2681" s="7"/>
      <c r="F2681" s="13"/>
      <c r="G2681" s="13"/>
      <c r="H2681" s="17" t="str">
        <f aca="false">IF(OR(E2681="",F2681=""),"",E2681*F2681)</f>
        <v/>
      </c>
      <c r="I2681" s="17" t="str">
        <f aca="false">IF(OR(E2681="",G2681=""),"",E2681*G2681)</f>
        <v/>
      </c>
      <c r="J2681" s="17" t="str">
        <f aca="false">IF(H2681="","",H2681-I2681)</f>
        <v/>
      </c>
    </row>
    <row r="2682" customFormat="false" ht="15" hidden="false" customHeight="true" outlineLevel="0" collapsed="false">
      <c r="A2682" s="7"/>
      <c r="B2682" s="18" t="str">
        <f aca="false">IF(A2682="","",IFERROR(INDEX(Sales_Memo!$B$2:$B$1001,MATCH(A2682,Sales_Memo!$A$2:$A$1001,0)),""))</f>
        <v/>
      </c>
      <c r="C2682" s="7"/>
      <c r="D2682" s="16" t="str">
        <f aca="false">IF(C2682="","",IFERROR(INDEX(Products!$B$2:$B$501,MATCH(C2682,Products!$A$2:$A$501,0)),"CODE NOT FOUND"))</f>
        <v/>
      </c>
      <c r="E2682" s="7"/>
      <c r="F2682" s="13"/>
      <c r="G2682" s="13"/>
      <c r="H2682" s="17" t="str">
        <f aca="false">IF(OR(E2682="",F2682=""),"",E2682*F2682)</f>
        <v/>
      </c>
      <c r="I2682" s="17" t="str">
        <f aca="false">IF(OR(E2682="",G2682=""),"",E2682*G2682)</f>
        <v/>
      </c>
      <c r="J2682" s="17" t="str">
        <f aca="false">IF(H2682="","",H2682-I2682)</f>
        <v/>
      </c>
    </row>
    <row r="2683" customFormat="false" ht="15" hidden="false" customHeight="true" outlineLevel="0" collapsed="false">
      <c r="A2683" s="7"/>
      <c r="B2683" s="18" t="str">
        <f aca="false">IF(A2683="","",IFERROR(INDEX(Sales_Memo!$B$2:$B$1001,MATCH(A2683,Sales_Memo!$A$2:$A$1001,0)),""))</f>
        <v/>
      </c>
      <c r="C2683" s="7"/>
      <c r="D2683" s="16" t="str">
        <f aca="false">IF(C2683="","",IFERROR(INDEX(Products!$B$2:$B$501,MATCH(C2683,Products!$A$2:$A$501,0)),"CODE NOT FOUND"))</f>
        <v/>
      </c>
      <c r="E2683" s="7"/>
      <c r="F2683" s="13"/>
      <c r="G2683" s="13"/>
      <c r="H2683" s="17" t="str">
        <f aca="false">IF(OR(E2683="",F2683=""),"",E2683*F2683)</f>
        <v/>
      </c>
      <c r="I2683" s="17" t="str">
        <f aca="false">IF(OR(E2683="",G2683=""),"",E2683*G2683)</f>
        <v/>
      </c>
      <c r="J2683" s="17" t="str">
        <f aca="false">IF(H2683="","",H2683-I2683)</f>
        <v/>
      </c>
    </row>
    <row r="2684" customFormat="false" ht="15" hidden="false" customHeight="true" outlineLevel="0" collapsed="false">
      <c r="A2684" s="7"/>
      <c r="B2684" s="18" t="str">
        <f aca="false">IF(A2684="","",IFERROR(INDEX(Sales_Memo!$B$2:$B$1001,MATCH(A2684,Sales_Memo!$A$2:$A$1001,0)),""))</f>
        <v/>
      </c>
      <c r="C2684" s="7"/>
      <c r="D2684" s="16" t="str">
        <f aca="false">IF(C2684="","",IFERROR(INDEX(Products!$B$2:$B$501,MATCH(C2684,Products!$A$2:$A$501,0)),"CODE NOT FOUND"))</f>
        <v/>
      </c>
      <c r="E2684" s="7"/>
      <c r="F2684" s="13"/>
      <c r="G2684" s="13"/>
      <c r="H2684" s="17" t="str">
        <f aca="false">IF(OR(E2684="",F2684=""),"",E2684*F2684)</f>
        <v/>
      </c>
      <c r="I2684" s="17" t="str">
        <f aca="false">IF(OR(E2684="",G2684=""),"",E2684*G2684)</f>
        <v/>
      </c>
      <c r="J2684" s="17" t="str">
        <f aca="false">IF(H2684="","",H2684-I2684)</f>
        <v/>
      </c>
    </row>
    <row r="2685" customFormat="false" ht="15" hidden="false" customHeight="true" outlineLevel="0" collapsed="false">
      <c r="A2685" s="7"/>
      <c r="B2685" s="18" t="str">
        <f aca="false">IF(A2685="","",IFERROR(INDEX(Sales_Memo!$B$2:$B$1001,MATCH(A2685,Sales_Memo!$A$2:$A$1001,0)),""))</f>
        <v/>
      </c>
      <c r="C2685" s="7"/>
      <c r="D2685" s="16" t="str">
        <f aca="false">IF(C2685="","",IFERROR(INDEX(Products!$B$2:$B$501,MATCH(C2685,Products!$A$2:$A$501,0)),"CODE NOT FOUND"))</f>
        <v/>
      </c>
      <c r="E2685" s="7"/>
      <c r="F2685" s="13"/>
      <c r="G2685" s="13"/>
      <c r="H2685" s="17" t="str">
        <f aca="false">IF(OR(E2685="",F2685=""),"",E2685*F2685)</f>
        <v/>
      </c>
      <c r="I2685" s="17" t="str">
        <f aca="false">IF(OR(E2685="",G2685=""),"",E2685*G2685)</f>
        <v/>
      </c>
      <c r="J2685" s="17" t="str">
        <f aca="false">IF(H2685="","",H2685-I2685)</f>
        <v/>
      </c>
    </row>
    <row r="2686" customFormat="false" ht="15" hidden="false" customHeight="true" outlineLevel="0" collapsed="false">
      <c r="A2686" s="7"/>
      <c r="B2686" s="18" t="str">
        <f aca="false">IF(A2686="","",IFERROR(INDEX(Sales_Memo!$B$2:$B$1001,MATCH(A2686,Sales_Memo!$A$2:$A$1001,0)),""))</f>
        <v/>
      </c>
      <c r="C2686" s="7"/>
      <c r="D2686" s="16" t="str">
        <f aca="false">IF(C2686="","",IFERROR(INDEX(Products!$B$2:$B$501,MATCH(C2686,Products!$A$2:$A$501,0)),"CODE NOT FOUND"))</f>
        <v/>
      </c>
      <c r="E2686" s="7"/>
      <c r="F2686" s="13"/>
      <c r="G2686" s="13"/>
      <c r="H2686" s="17" t="str">
        <f aca="false">IF(OR(E2686="",F2686=""),"",E2686*F2686)</f>
        <v/>
      </c>
      <c r="I2686" s="17" t="str">
        <f aca="false">IF(OR(E2686="",G2686=""),"",E2686*G2686)</f>
        <v/>
      </c>
      <c r="J2686" s="17" t="str">
        <f aca="false">IF(H2686="","",H2686-I2686)</f>
        <v/>
      </c>
    </row>
    <row r="2687" customFormat="false" ht="15" hidden="false" customHeight="true" outlineLevel="0" collapsed="false">
      <c r="A2687" s="7"/>
      <c r="B2687" s="18" t="str">
        <f aca="false">IF(A2687="","",IFERROR(INDEX(Sales_Memo!$B$2:$B$1001,MATCH(A2687,Sales_Memo!$A$2:$A$1001,0)),""))</f>
        <v/>
      </c>
      <c r="C2687" s="7"/>
      <c r="D2687" s="16" t="str">
        <f aca="false">IF(C2687="","",IFERROR(INDEX(Products!$B$2:$B$501,MATCH(C2687,Products!$A$2:$A$501,0)),"CODE NOT FOUND"))</f>
        <v/>
      </c>
      <c r="E2687" s="7"/>
      <c r="F2687" s="13"/>
      <c r="G2687" s="13"/>
      <c r="H2687" s="17" t="str">
        <f aca="false">IF(OR(E2687="",F2687=""),"",E2687*F2687)</f>
        <v/>
      </c>
      <c r="I2687" s="17" t="str">
        <f aca="false">IF(OR(E2687="",G2687=""),"",E2687*G2687)</f>
        <v/>
      </c>
      <c r="J2687" s="17" t="str">
        <f aca="false">IF(H2687="","",H2687-I2687)</f>
        <v/>
      </c>
    </row>
    <row r="2688" customFormat="false" ht="15" hidden="false" customHeight="true" outlineLevel="0" collapsed="false">
      <c r="A2688" s="7"/>
      <c r="B2688" s="18" t="str">
        <f aca="false">IF(A2688="","",IFERROR(INDEX(Sales_Memo!$B$2:$B$1001,MATCH(A2688,Sales_Memo!$A$2:$A$1001,0)),""))</f>
        <v/>
      </c>
      <c r="C2688" s="7"/>
      <c r="D2688" s="16" t="str">
        <f aca="false">IF(C2688="","",IFERROR(INDEX(Products!$B$2:$B$501,MATCH(C2688,Products!$A$2:$A$501,0)),"CODE NOT FOUND"))</f>
        <v/>
      </c>
      <c r="E2688" s="7"/>
      <c r="F2688" s="13"/>
      <c r="G2688" s="13"/>
      <c r="H2688" s="17" t="str">
        <f aca="false">IF(OR(E2688="",F2688=""),"",E2688*F2688)</f>
        <v/>
      </c>
      <c r="I2688" s="17" t="str">
        <f aca="false">IF(OR(E2688="",G2688=""),"",E2688*G2688)</f>
        <v/>
      </c>
      <c r="J2688" s="17" t="str">
        <f aca="false">IF(H2688="","",H2688-I2688)</f>
        <v/>
      </c>
    </row>
    <row r="2689" customFormat="false" ht="15" hidden="false" customHeight="true" outlineLevel="0" collapsed="false">
      <c r="A2689" s="7"/>
      <c r="B2689" s="18" t="str">
        <f aca="false">IF(A2689="","",IFERROR(INDEX(Sales_Memo!$B$2:$B$1001,MATCH(A2689,Sales_Memo!$A$2:$A$1001,0)),""))</f>
        <v/>
      </c>
      <c r="C2689" s="7"/>
      <c r="D2689" s="16" t="str">
        <f aca="false">IF(C2689="","",IFERROR(INDEX(Products!$B$2:$B$501,MATCH(C2689,Products!$A$2:$A$501,0)),"CODE NOT FOUND"))</f>
        <v/>
      </c>
      <c r="E2689" s="7"/>
      <c r="F2689" s="13"/>
      <c r="G2689" s="13"/>
      <c r="H2689" s="17" t="str">
        <f aca="false">IF(OR(E2689="",F2689=""),"",E2689*F2689)</f>
        <v/>
      </c>
      <c r="I2689" s="17" t="str">
        <f aca="false">IF(OR(E2689="",G2689=""),"",E2689*G2689)</f>
        <v/>
      </c>
      <c r="J2689" s="17" t="str">
        <f aca="false">IF(H2689="","",H2689-I2689)</f>
        <v/>
      </c>
    </row>
    <row r="2690" customFormat="false" ht="15" hidden="false" customHeight="true" outlineLevel="0" collapsed="false">
      <c r="A2690" s="7"/>
      <c r="B2690" s="18" t="str">
        <f aca="false">IF(A2690="","",IFERROR(INDEX(Sales_Memo!$B$2:$B$1001,MATCH(A2690,Sales_Memo!$A$2:$A$1001,0)),""))</f>
        <v/>
      </c>
      <c r="C2690" s="7"/>
      <c r="D2690" s="16" t="str">
        <f aca="false">IF(C2690="","",IFERROR(INDEX(Products!$B$2:$B$501,MATCH(C2690,Products!$A$2:$A$501,0)),"CODE NOT FOUND"))</f>
        <v/>
      </c>
      <c r="E2690" s="7"/>
      <c r="F2690" s="13"/>
      <c r="G2690" s="13"/>
      <c r="H2690" s="17" t="str">
        <f aca="false">IF(OR(E2690="",F2690=""),"",E2690*F2690)</f>
        <v/>
      </c>
      <c r="I2690" s="17" t="str">
        <f aca="false">IF(OR(E2690="",G2690=""),"",E2690*G2690)</f>
        <v/>
      </c>
      <c r="J2690" s="17" t="str">
        <f aca="false">IF(H2690="","",H2690-I2690)</f>
        <v/>
      </c>
    </row>
    <row r="2691" customFormat="false" ht="15" hidden="false" customHeight="true" outlineLevel="0" collapsed="false">
      <c r="A2691" s="7"/>
      <c r="B2691" s="18" t="str">
        <f aca="false">IF(A2691="","",IFERROR(INDEX(Sales_Memo!$B$2:$B$1001,MATCH(A2691,Sales_Memo!$A$2:$A$1001,0)),""))</f>
        <v/>
      </c>
      <c r="C2691" s="7"/>
      <c r="D2691" s="16" t="str">
        <f aca="false">IF(C2691="","",IFERROR(INDEX(Products!$B$2:$B$501,MATCH(C2691,Products!$A$2:$A$501,0)),"CODE NOT FOUND"))</f>
        <v/>
      </c>
      <c r="E2691" s="7"/>
      <c r="F2691" s="13"/>
      <c r="G2691" s="13"/>
      <c r="H2691" s="17" t="str">
        <f aca="false">IF(OR(E2691="",F2691=""),"",E2691*F2691)</f>
        <v/>
      </c>
      <c r="I2691" s="17" t="str">
        <f aca="false">IF(OR(E2691="",G2691=""),"",E2691*G2691)</f>
        <v/>
      </c>
      <c r="J2691" s="17" t="str">
        <f aca="false">IF(H2691="","",H2691-I2691)</f>
        <v/>
      </c>
    </row>
    <row r="2692" customFormat="false" ht="15" hidden="false" customHeight="true" outlineLevel="0" collapsed="false">
      <c r="A2692" s="7"/>
      <c r="B2692" s="18" t="str">
        <f aca="false">IF(A2692="","",IFERROR(INDEX(Sales_Memo!$B$2:$B$1001,MATCH(A2692,Sales_Memo!$A$2:$A$1001,0)),""))</f>
        <v/>
      </c>
      <c r="C2692" s="7"/>
      <c r="D2692" s="16" t="str">
        <f aca="false">IF(C2692="","",IFERROR(INDEX(Products!$B$2:$B$501,MATCH(C2692,Products!$A$2:$A$501,0)),"CODE NOT FOUND"))</f>
        <v/>
      </c>
      <c r="E2692" s="7"/>
      <c r="F2692" s="13"/>
      <c r="G2692" s="13"/>
      <c r="H2692" s="17" t="str">
        <f aca="false">IF(OR(E2692="",F2692=""),"",E2692*F2692)</f>
        <v/>
      </c>
      <c r="I2692" s="17" t="str">
        <f aca="false">IF(OR(E2692="",G2692=""),"",E2692*G2692)</f>
        <v/>
      </c>
      <c r="J2692" s="17" t="str">
        <f aca="false">IF(H2692="","",H2692-I2692)</f>
        <v/>
      </c>
    </row>
    <row r="2693" customFormat="false" ht="15" hidden="false" customHeight="true" outlineLevel="0" collapsed="false">
      <c r="A2693" s="7"/>
      <c r="B2693" s="18" t="str">
        <f aca="false">IF(A2693="","",IFERROR(INDEX(Sales_Memo!$B$2:$B$1001,MATCH(A2693,Sales_Memo!$A$2:$A$1001,0)),""))</f>
        <v/>
      </c>
      <c r="C2693" s="7"/>
      <c r="D2693" s="16" t="str">
        <f aca="false">IF(C2693="","",IFERROR(INDEX(Products!$B$2:$B$501,MATCH(C2693,Products!$A$2:$A$501,0)),"CODE NOT FOUND"))</f>
        <v/>
      </c>
      <c r="E2693" s="7"/>
      <c r="F2693" s="13"/>
      <c r="G2693" s="13"/>
      <c r="H2693" s="17" t="str">
        <f aca="false">IF(OR(E2693="",F2693=""),"",E2693*F2693)</f>
        <v/>
      </c>
      <c r="I2693" s="17" t="str">
        <f aca="false">IF(OR(E2693="",G2693=""),"",E2693*G2693)</f>
        <v/>
      </c>
      <c r="J2693" s="17" t="str">
        <f aca="false">IF(H2693="","",H2693-I2693)</f>
        <v/>
      </c>
    </row>
    <row r="2694" customFormat="false" ht="15" hidden="false" customHeight="true" outlineLevel="0" collapsed="false">
      <c r="A2694" s="7"/>
      <c r="B2694" s="18" t="str">
        <f aca="false">IF(A2694="","",IFERROR(INDEX(Sales_Memo!$B$2:$B$1001,MATCH(A2694,Sales_Memo!$A$2:$A$1001,0)),""))</f>
        <v/>
      </c>
      <c r="C2694" s="7"/>
      <c r="D2694" s="16" t="str">
        <f aca="false">IF(C2694="","",IFERROR(INDEX(Products!$B$2:$B$501,MATCH(C2694,Products!$A$2:$A$501,0)),"CODE NOT FOUND"))</f>
        <v/>
      </c>
      <c r="E2694" s="7"/>
      <c r="F2694" s="13"/>
      <c r="G2694" s="13"/>
      <c r="H2694" s="17" t="str">
        <f aca="false">IF(OR(E2694="",F2694=""),"",E2694*F2694)</f>
        <v/>
      </c>
      <c r="I2694" s="17" t="str">
        <f aca="false">IF(OR(E2694="",G2694=""),"",E2694*G2694)</f>
        <v/>
      </c>
      <c r="J2694" s="17" t="str">
        <f aca="false">IF(H2694="","",H2694-I2694)</f>
        <v/>
      </c>
    </row>
    <row r="2695" customFormat="false" ht="15" hidden="false" customHeight="true" outlineLevel="0" collapsed="false">
      <c r="A2695" s="7"/>
      <c r="B2695" s="18" t="str">
        <f aca="false">IF(A2695="","",IFERROR(INDEX(Sales_Memo!$B$2:$B$1001,MATCH(A2695,Sales_Memo!$A$2:$A$1001,0)),""))</f>
        <v/>
      </c>
      <c r="C2695" s="7"/>
      <c r="D2695" s="16" t="str">
        <f aca="false">IF(C2695="","",IFERROR(INDEX(Products!$B$2:$B$501,MATCH(C2695,Products!$A$2:$A$501,0)),"CODE NOT FOUND"))</f>
        <v/>
      </c>
      <c r="E2695" s="7"/>
      <c r="F2695" s="13"/>
      <c r="G2695" s="13"/>
      <c r="H2695" s="17" t="str">
        <f aca="false">IF(OR(E2695="",F2695=""),"",E2695*F2695)</f>
        <v/>
      </c>
      <c r="I2695" s="17" t="str">
        <f aca="false">IF(OR(E2695="",G2695=""),"",E2695*G2695)</f>
        <v/>
      </c>
      <c r="J2695" s="17" t="str">
        <f aca="false">IF(H2695="","",H2695-I2695)</f>
        <v/>
      </c>
    </row>
    <row r="2696" customFormat="false" ht="15" hidden="false" customHeight="true" outlineLevel="0" collapsed="false">
      <c r="A2696" s="7"/>
      <c r="B2696" s="18" t="str">
        <f aca="false">IF(A2696="","",IFERROR(INDEX(Sales_Memo!$B$2:$B$1001,MATCH(A2696,Sales_Memo!$A$2:$A$1001,0)),""))</f>
        <v/>
      </c>
      <c r="C2696" s="7"/>
      <c r="D2696" s="16" t="str">
        <f aca="false">IF(C2696="","",IFERROR(INDEX(Products!$B$2:$B$501,MATCH(C2696,Products!$A$2:$A$501,0)),"CODE NOT FOUND"))</f>
        <v/>
      </c>
      <c r="E2696" s="7"/>
      <c r="F2696" s="13"/>
      <c r="G2696" s="13"/>
      <c r="H2696" s="17" t="str">
        <f aca="false">IF(OR(E2696="",F2696=""),"",E2696*F2696)</f>
        <v/>
      </c>
      <c r="I2696" s="17" t="str">
        <f aca="false">IF(OR(E2696="",G2696=""),"",E2696*G2696)</f>
        <v/>
      </c>
      <c r="J2696" s="17" t="str">
        <f aca="false">IF(H2696="","",H2696-I2696)</f>
        <v/>
      </c>
    </row>
    <row r="2697" customFormat="false" ht="15" hidden="false" customHeight="true" outlineLevel="0" collapsed="false">
      <c r="A2697" s="7"/>
      <c r="B2697" s="18" t="str">
        <f aca="false">IF(A2697="","",IFERROR(INDEX(Sales_Memo!$B$2:$B$1001,MATCH(A2697,Sales_Memo!$A$2:$A$1001,0)),""))</f>
        <v/>
      </c>
      <c r="C2697" s="7"/>
      <c r="D2697" s="16" t="str">
        <f aca="false">IF(C2697="","",IFERROR(INDEX(Products!$B$2:$B$501,MATCH(C2697,Products!$A$2:$A$501,0)),"CODE NOT FOUND"))</f>
        <v/>
      </c>
      <c r="E2697" s="7"/>
      <c r="F2697" s="13"/>
      <c r="G2697" s="13"/>
      <c r="H2697" s="17" t="str">
        <f aca="false">IF(OR(E2697="",F2697=""),"",E2697*F2697)</f>
        <v/>
      </c>
      <c r="I2697" s="17" t="str">
        <f aca="false">IF(OR(E2697="",G2697=""),"",E2697*G2697)</f>
        <v/>
      </c>
      <c r="J2697" s="17" t="str">
        <f aca="false">IF(H2697="","",H2697-I2697)</f>
        <v/>
      </c>
    </row>
    <row r="2698" customFormat="false" ht="15" hidden="false" customHeight="true" outlineLevel="0" collapsed="false">
      <c r="A2698" s="7"/>
      <c r="B2698" s="18" t="str">
        <f aca="false">IF(A2698="","",IFERROR(INDEX(Sales_Memo!$B$2:$B$1001,MATCH(A2698,Sales_Memo!$A$2:$A$1001,0)),""))</f>
        <v/>
      </c>
      <c r="C2698" s="7"/>
      <c r="D2698" s="16" t="str">
        <f aca="false">IF(C2698="","",IFERROR(INDEX(Products!$B$2:$B$501,MATCH(C2698,Products!$A$2:$A$501,0)),"CODE NOT FOUND"))</f>
        <v/>
      </c>
      <c r="E2698" s="7"/>
      <c r="F2698" s="13"/>
      <c r="G2698" s="13"/>
      <c r="H2698" s="17" t="str">
        <f aca="false">IF(OR(E2698="",F2698=""),"",E2698*F2698)</f>
        <v/>
      </c>
      <c r="I2698" s="17" t="str">
        <f aca="false">IF(OR(E2698="",G2698=""),"",E2698*G2698)</f>
        <v/>
      </c>
      <c r="J2698" s="17" t="str">
        <f aca="false">IF(H2698="","",H2698-I2698)</f>
        <v/>
      </c>
    </row>
    <row r="2699" customFormat="false" ht="15" hidden="false" customHeight="true" outlineLevel="0" collapsed="false">
      <c r="A2699" s="7"/>
      <c r="B2699" s="18" t="str">
        <f aca="false">IF(A2699="","",IFERROR(INDEX(Sales_Memo!$B$2:$B$1001,MATCH(A2699,Sales_Memo!$A$2:$A$1001,0)),""))</f>
        <v/>
      </c>
      <c r="C2699" s="7"/>
      <c r="D2699" s="16" t="str">
        <f aca="false">IF(C2699="","",IFERROR(INDEX(Products!$B$2:$B$501,MATCH(C2699,Products!$A$2:$A$501,0)),"CODE NOT FOUND"))</f>
        <v/>
      </c>
      <c r="E2699" s="7"/>
      <c r="F2699" s="13"/>
      <c r="G2699" s="13"/>
      <c r="H2699" s="17" t="str">
        <f aca="false">IF(OR(E2699="",F2699=""),"",E2699*F2699)</f>
        <v/>
      </c>
      <c r="I2699" s="17" t="str">
        <f aca="false">IF(OR(E2699="",G2699=""),"",E2699*G2699)</f>
        <v/>
      </c>
      <c r="J2699" s="17" t="str">
        <f aca="false">IF(H2699="","",H2699-I2699)</f>
        <v/>
      </c>
    </row>
    <row r="2700" customFormat="false" ht="15" hidden="false" customHeight="true" outlineLevel="0" collapsed="false">
      <c r="A2700" s="7"/>
      <c r="B2700" s="18" t="str">
        <f aca="false">IF(A2700="","",IFERROR(INDEX(Sales_Memo!$B$2:$B$1001,MATCH(A2700,Sales_Memo!$A$2:$A$1001,0)),""))</f>
        <v/>
      </c>
      <c r="C2700" s="7"/>
      <c r="D2700" s="16" t="str">
        <f aca="false">IF(C2700="","",IFERROR(INDEX(Products!$B$2:$B$501,MATCH(C2700,Products!$A$2:$A$501,0)),"CODE NOT FOUND"))</f>
        <v/>
      </c>
      <c r="E2700" s="7"/>
      <c r="F2700" s="13"/>
      <c r="G2700" s="13"/>
      <c r="H2700" s="17" t="str">
        <f aca="false">IF(OR(E2700="",F2700=""),"",E2700*F2700)</f>
        <v/>
      </c>
      <c r="I2700" s="17" t="str">
        <f aca="false">IF(OR(E2700="",G2700=""),"",E2700*G2700)</f>
        <v/>
      </c>
      <c r="J2700" s="17" t="str">
        <f aca="false">IF(H2700="","",H2700-I2700)</f>
        <v/>
      </c>
    </row>
    <row r="2701" customFormat="false" ht="15" hidden="false" customHeight="true" outlineLevel="0" collapsed="false">
      <c r="A2701" s="7"/>
      <c r="B2701" s="18" t="str">
        <f aca="false">IF(A2701="","",IFERROR(INDEX(Sales_Memo!$B$2:$B$1001,MATCH(A2701,Sales_Memo!$A$2:$A$1001,0)),""))</f>
        <v/>
      </c>
      <c r="C2701" s="7"/>
      <c r="D2701" s="16" t="str">
        <f aca="false">IF(C2701="","",IFERROR(INDEX(Products!$B$2:$B$501,MATCH(C2701,Products!$A$2:$A$501,0)),"CODE NOT FOUND"))</f>
        <v/>
      </c>
      <c r="E2701" s="7"/>
      <c r="F2701" s="13"/>
      <c r="G2701" s="13"/>
      <c r="H2701" s="17" t="str">
        <f aca="false">IF(OR(E2701="",F2701=""),"",E2701*F2701)</f>
        <v/>
      </c>
      <c r="I2701" s="17" t="str">
        <f aca="false">IF(OR(E2701="",G2701=""),"",E2701*G2701)</f>
        <v/>
      </c>
      <c r="J2701" s="17" t="str">
        <f aca="false">IF(H2701="","",H2701-I2701)</f>
        <v/>
      </c>
    </row>
    <row r="2702" customFormat="false" ht="15" hidden="false" customHeight="true" outlineLevel="0" collapsed="false">
      <c r="A2702" s="7"/>
      <c r="B2702" s="18" t="str">
        <f aca="false">IF(A2702="","",IFERROR(INDEX(Sales_Memo!$B$2:$B$1001,MATCH(A2702,Sales_Memo!$A$2:$A$1001,0)),""))</f>
        <v/>
      </c>
      <c r="C2702" s="7"/>
      <c r="D2702" s="16" t="str">
        <f aca="false">IF(C2702="","",IFERROR(INDEX(Products!$B$2:$B$501,MATCH(C2702,Products!$A$2:$A$501,0)),"CODE NOT FOUND"))</f>
        <v/>
      </c>
      <c r="E2702" s="7"/>
      <c r="F2702" s="13"/>
      <c r="G2702" s="13"/>
      <c r="H2702" s="17" t="str">
        <f aca="false">IF(OR(E2702="",F2702=""),"",E2702*F2702)</f>
        <v/>
      </c>
      <c r="I2702" s="17" t="str">
        <f aca="false">IF(OR(E2702="",G2702=""),"",E2702*G2702)</f>
        <v/>
      </c>
      <c r="J2702" s="17" t="str">
        <f aca="false">IF(H2702="","",H2702-I2702)</f>
        <v/>
      </c>
    </row>
    <row r="2703" customFormat="false" ht="15" hidden="false" customHeight="true" outlineLevel="0" collapsed="false">
      <c r="A2703" s="7"/>
      <c r="B2703" s="18" t="str">
        <f aca="false">IF(A2703="","",IFERROR(INDEX(Sales_Memo!$B$2:$B$1001,MATCH(A2703,Sales_Memo!$A$2:$A$1001,0)),""))</f>
        <v/>
      </c>
      <c r="C2703" s="7"/>
      <c r="D2703" s="16" t="str">
        <f aca="false">IF(C2703="","",IFERROR(INDEX(Products!$B$2:$B$501,MATCH(C2703,Products!$A$2:$A$501,0)),"CODE NOT FOUND"))</f>
        <v/>
      </c>
      <c r="E2703" s="7"/>
      <c r="F2703" s="13"/>
      <c r="G2703" s="13"/>
      <c r="H2703" s="17" t="str">
        <f aca="false">IF(OR(E2703="",F2703=""),"",E2703*F2703)</f>
        <v/>
      </c>
      <c r="I2703" s="17" t="str">
        <f aca="false">IF(OR(E2703="",G2703=""),"",E2703*G2703)</f>
        <v/>
      </c>
      <c r="J2703" s="17" t="str">
        <f aca="false">IF(H2703="","",H2703-I2703)</f>
        <v/>
      </c>
    </row>
    <row r="2704" customFormat="false" ht="15" hidden="false" customHeight="true" outlineLevel="0" collapsed="false">
      <c r="A2704" s="7"/>
      <c r="B2704" s="18" t="str">
        <f aca="false">IF(A2704="","",IFERROR(INDEX(Sales_Memo!$B$2:$B$1001,MATCH(A2704,Sales_Memo!$A$2:$A$1001,0)),""))</f>
        <v/>
      </c>
      <c r="C2704" s="7"/>
      <c r="D2704" s="16" t="str">
        <f aca="false">IF(C2704="","",IFERROR(INDEX(Products!$B$2:$B$501,MATCH(C2704,Products!$A$2:$A$501,0)),"CODE NOT FOUND"))</f>
        <v/>
      </c>
      <c r="E2704" s="7"/>
      <c r="F2704" s="13"/>
      <c r="G2704" s="13"/>
      <c r="H2704" s="17" t="str">
        <f aca="false">IF(OR(E2704="",F2704=""),"",E2704*F2704)</f>
        <v/>
      </c>
      <c r="I2704" s="17" t="str">
        <f aca="false">IF(OR(E2704="",G2704=""),"",E2704*G2704)</f>
        <v/>
      </c>
      <c r="J2704" s="17" t="str">
        <f aca="false">IF(H2704="","",H2704-I2704)</f>
        <v/>
      </c>
    </row>
    <row r="2705" customFormat="false" ht="15" hidden="false" customHeight="true" outlineLevel="0" collapsed="false">
      <c r="A2705" s="7"/>
      <c r="B2705" s="18" t="str">
        <f aca="false">IF(A2705="","",IFERROR(INDEX(Sales_Memo!$B$2:$B$1001,MATCH(A2705,Sales_Memo!$A$2:$A$1001,0)),""))</f>
        <v/>
      </c>
      <c r="C2705" s="7"/>
      <c r="D2705" s="16" t="str">
        <f aca="false">IF(C2705="","",IFERROR(INDEX(Products!$B$2:$B$501,MATCH(C2705,Products!$A$2:$A$501,0)),"CODE NOT FOUND"))</f>
        <v/>
      </c>
      <c r="E2705" s="7"/>
      <c r="F2705" s="13"/>
      <c r="G2705" s="13"/>
      <c r="H2705" s="17" t="str">
        <f aca="false">IF(OR(E2705="",F2705=""),"",E2705*F2705)</f>
        <v/>
      </c>
      <c r="I2705" s="17" t="str">
        <f aca="false">IF(OR(E2705="",G2705=""),"",E2705*G2705)</f>
        <v/>
      </c>
      <c r="J2705" s="17" t="str">
        <f aca="false">IF(H2705="","",H2705-I2705)</f>
        <v/>
      </c>
    </row>
    <row r="2706" customFormat="false" ht="15" hidden="false" customHeight="true" outlineLevel="0" collapsed="false">
      <c r="A2706" s="7"/>
      <c r="B2706" s="18" t="str">
        <f aca="false">IF(A2706="","",IFERROR(INDEX(Sales_Memo!$B$2:$B$1001,MATCH(A2706,Sales_Memo!$A$2:$A$1001,0)),""))</f>
        <v/>
      </c>
      <c r="C2706" s="7"/>
      <c r="D2706" s="16" t="str">
        <f aca="false">IF(C2706="","",IFERROR(INDEX(Products!$B$2:$B$501,MATCH(C2706,Products!$A$2:$A$501,0)),"CODE NOT FOUND"))</f>
        <v/>
      </c>
      <c r="E2706" s="7"/>
      <c r="F2706" s="13"/>
      <c r="G2706" s="13"/>
      <c r="H2706" s="17" t="str">
        <f aca="false">IF(OR(E2706="",F2706=""),"",E2706*F2706)</f>
        <v/>
      </c>
      <c r="I2706" s="17" t="str">
        <f aca="false">IF(OR(E2706="",G2706=""),"",E2706*G2706)</f>
        <v/>
      </c>
      <c r="J2706" s="17" t="str">
        <f aca="false">IF(H2706="","",H2706-I2706)</f>
        <v/>
      </c>
    </row>
    <row r="2707" customFormat="false" ht="15" hidden="false" customHeight="true" outlineLevel="0" collapsed="false">
      <c r="A2707" s="7"/>
      <c r="B2707" s="18" t="str">
        <f aca="false">IF(A2707="","",IFERROR(INDEX(Sales_Memo!$B$2:$B$1001,MATCH(A2707,Sales_Memo!$A$2:$A$1001,0)),""))</f>
        <v/>
      </c>
      <c r="C2707" s="7"/>
      <c r="D2707" s="16" t="str">
        <f aca="false">IF(C2707="","",IFERROR(INDEX(Products!$B$2:$B$501,MATCH(C2707,Products!$A$2:$A$501,0)),"CODE NOT FOUND"))</f>
        <v/>
      </c>
      <c r="E2707" s="7"/>
      <c r="F2707" s="13"/>
      <c r="G2707" s="13"/>
      <c r="H2707" s="17" t="str">
        <f aca="false">IF(OR(E2707="",F2707=""),"",E2707*F2707)</f>
        <v/>
      </c>
      <c r="I2707" s="17" t="str">
        <f aca="false">IF(OR(E2707="",G2707=""),"",E2707*G2707)</f>
        <v/>
      </c>
      <c r="J2707" s="17" t="str">
        <f aca="false">IF(H2707="","",H2707-I2707)</f>
        <v/>
      </c>
    </row>
    <row r="2708" customFormat="false" ht="15" hidden="false" customHeight="true" outlineLevel="0" collapsed="false">
      <c r="A2708" s="7"/>
      <c r="B2708" s="18" t="str">
        <f aca="false">IF(A2708="","",IFERROR(INDEX(Sales_Memo!$B$2:$B$1001,MATCH(A2708,Sales_Memo!$A$2:$A$1001,0)),""))</f>
        <v/>
      </c>
      <c r="C2708" s="7"/>
      <c r="D2708" s="16" t="str">
        <f aca="false">IF(C2708="","",IFERROR(INDEX(Products!$B$2:$B$501,MATCH(C2708,Products!$A$2:$A$501,0)),"CODE NOT FOUND"))</f>
        <v/>
      </c>
      <c r="E2708" s="7"/>
      <c r="F2708" s="13"/>
      <c r="G2708" s="13"/>
      <c r="H2708" s="17" t="str">
        <f aca="false">IF(OR(E2708="",F2708=""),"",E2708*F2708)</f>
        <v/>
      </c>
      <c r="I2708" s="17" t="str">
        <f aca="false">IF(OR(E2708="",G2708=""),"",E2708*G2708)</f>
        <v/>
      </c>
      <c r="J2708" s="17" t="str">
        <f aca="false">IF(H2708="","",H2708-I2708)</f>
        <v/>
      </c>
    </row>
    <row r="2709" customFormat="false" ht="15" hidden="false" customHeight="true" outlineLevel="0" collapsed="false">
      <c r="A2709" s="7"/>
      <c r="B2709" s="18" t="str">
        <f aca="false">IF(A2709="","",IFERROR(INDEX(Sales_Memo!$B$2:$B$1001,MATCH(A2709,Sales_Memo!$A$2:$A$1001,0)),""))</f>
        <v/>
      </c>
      <c r="C2709" s="7"/>
      <c r="D2709" s="16" t="str">
        <f aca="false">IF(C2709="","",IFERROR(INDEX(Products!$B$2:$B$501,MATCH(C2709,Products!$A$2:$A$501,0)),"CODE NOT FOUND"))</f>
        <v/>
      </c>
      <c r="E2709" s="7"/>
      <c r="F2709" s="13"/>
      <c r="G2709" s="13"/>
      <c r="H2709" s="17" t="str">
        <f aca="false">IF(OR(E2709="",F2709=""),"",E2709*F2709)</f>
        <v/>
      </c>
      <c r="I2709" s="17" t="str">
        <f aca="false">IF(OR(E2709="",G2709=""),"",E2709*G2709)</f>
        <v/>
      </c>
      <c r="J2709" s="17" t="str">
        <f aca="false">IF(H2709="","",H2709-I2709)</f>
        <v/>
      </c>
    </row>
    <row r="2710" customFormat="false" ht="15" hidden="false" customHeight="true" outlineLevel="0" collapsed="false">
      <c r="A2710" s="7"/>
      <c r="B2710" s="18" t="str">
        <f aca="false">IF(A2710="","",IFERROR(INDEX(Sales_Memo!$B$2:$B$1001,MATCH(A2710,Sales_Memo!$A$2:$A$1001,0)),""))</f>
        <v/>
      </c>
      <c r="C2710" s="7"/>
      <c r="D2710" s="16" t="str">
        <f aca="false">IF(C2710="","",IFERROR(INDEX(Products!$B$2:$B$501,MATCH(C2710,Products!$A$2:$A$501,0)),"CODE NOT FOUND"))</f>
        <v/>
      </c>
      <c r="E2710" s="7"/>
      <c r="F2710" s="13"/>
      <c r="G2710" s="13"/>
      <c r="H2710" s="17" t="str">
        <f aca="false">IF(OR(E2710="",F2710=""),"",E2710*F2710)</f>
        <v/>
      </c>
      <c r="I2710" s="17" t="str">
        <f aca="false">IF(OR(E2710="",G2710=""),"",E2710*G2710)</f>
        <v/>
      </c>
      <c r="J2710" s="17" t="str">
        <f aca="false">IF(H2710="","",H2710-I2710)</f>
        <v/>
      </c>
    </row>
    <row r="2711" customFormat="false" ht="15" hidden="false" customHeight="true" outlineLevel="0" collapsed="false">
      <c r="A2711" s="7"/>
      <c r="B2711" s="18" t="str">
        <f aca="false">IF(A2711="","",IFERROR(INDEX(Sales_Memo!$B$2:$B$1001,MATCH(A2711,Sales_Memo!$A$2:$A$1001,0)),""))</f>
        <v/>
      </c>
      <c r="C2711" s="7"/>
      <c r="D2711" s="16" t="str">
        <f aca="false">IF(C2711="","",IFERROR(INDEX(Products!$B$2:$B$501,MATCH(C2711,Products!$A$2:$A$501,0)),"CODE NOT FOUND"))</f>
        <v/>
      </c>
      <c r="E2711" s="7"/>
      <c r="F2711" s="13"/>
      <c r="G2711" s="13"/>
      <c r="H2711" s="17" t="str">
        <f aca="false">IF(OR(E2711="",F2711=""),"",E2711*F2711)</f>
        <v/>
      </c>
      <c r="I2711" s="17" t="str">
        <f aca="false">IF(OR(E2711="",G2711=""),"",E2711*G2711)</f>
        <v/>
      </c>
      <c r="J2711" s="17" t="str">
        <f aca="false">IF(H2711="","",H2711-I2711)</f>
        <v/>
      </c>
    </row>
    <row r="2712" customFormat="false" ht="15" hidden="false" customHeight="true" outlineLevel="0" collapsed="false">
      <c r="A2712" s="7"/>
      <c r="B2712" s="18" t="str">
        <f aca="false">IF(A2712="","",IFERROR(INDEX(Sales_Memo!$B$2:$B$1001,MATCH(A2712,Sales_Memo!$A$2:$A$1001,0)),""))</f>
        <v/>
      </c>
      <c r="C2712" s="7"/>
      <c r="D2712" s="16" t="str">
        <f aca="false">IF(C2712="","",IFERROR(INDEX(Products!$B$2:$B$501,MATCH(C2712,Products!$A$2:$A$501,0)),"CODE NOT FOUND"))</f>
        <v/>
      </c>
      <c r="E2712" s="7"/>
      <c r="F2712" s="13"/>
      <c r="G2712" s="13"/>
      <c r="H2712" s="17" t="str">
        <f aca="false">IF(OR(E2712="",F2712=""),"",E2712*F2712)</f>
        <v/>
      </c>
      <c r="I2712" s="17" t="str">
        <f aca="false">IF(OR(E2712="",G2712=""),"",E2712*G2712)</f>
        <v/>
      </c>
      <c r="J2712" s="17" t="str">
        <f aca="false">IF(H2712="","",H2712-I2712)</f>
        <v/>
      </c>
    </row>
    <row r="2713" customFormat="false" ht="15" hidden="false" customHeight="true" outlineLevel="0" collapsed="false">
      <c r="A2713" s="7"/>
      <c r="B2713" s="18" t="str">
        <f aca="false">IF(A2713="","",IFERROR(INDEX(Sales_Memo!$B$2:$B$1001,MATCH(A2713,Sales_Memo!$A$2:$A$1001,0)),""))</f>
        <v/>
      </c>
      <c r="C2713" s="7"/>
      <c r="D2713" s="16" t="str">
        <f aca="false">IF(C2713="","",IFERROR(INDEX(Products!$B$2:$B$501,MATCH(C2713,Products!$A$2:$A$501,0)),"CODE NOT FOUND"))</f>
        <v/>
      </c>
      <c r="E2713" s="7"/>
      <c r="F2713" s="13"/>
      <c r="G2713" s="13"/>
      <c r="H2713" s="17" t="str">
        <f aca="false">IF(OR(E2713="",F2713=""),"",E2713*F2713)</f>
        <v/>
      </c>
      <c r="I2713" s="17" t="str">
        <f aca="false">IF(OR(E2713="",G2713=""),"",E2713*G2713)</f>
        <v/>
      </c>
      <c r="J2713" s="17" t="str">
        <f aca="false">IF(H2713="","",H2713-I2713)</f>
        <v/>
      </c>
    </row>
    <row r="2714" customFormat="false" ht="15" hidden="false" customHeight="true" outlineLevel="0" collapsed="false">
      <c r="A2714" s="7"/>
      <c r="B2714" s="18" t="str">
        <f aca="false">IF(A2714="","",IFERROR(INDEX(Sales_Memo!$B$2:$B$1001,MATCH(A2714,Sales_Memo!$A$2:$A$1001,0)),""))</f>
        <v/>
      </c>
      <c r="C2714" s="7"/>
      <c r="D2714" s="16" t="str">
        <f aca="false">IF(C2714="","",IFERROR(INDEX(Products!$B$2:$B$501,MATCH(C2714,Products!$A$2:$A$501,0)),"CODE NOT FOUND"))</f>
        <v/>
      </c>
      <c r="E2714" s="7"/>
      <c r="F2714" s="13"/>
      <c r="G2714" s="13"/>
      <c r="H2714" s="17" t="str">
        <f aca="false">IF(OR(E2714="",F2714=""),"",E2714*F2714)</f>
        <v/>
      </c>
      <c r="I2714" s="17" t="str">
        <f aca="false">IF(OR(E2714="",G2714=""),"",E2714*G2714)</f>
        <v/>
      </c>
      <c r="J2714" s="17" t="str">
        <f aca="false">IF(H2714="","",H2714-I2714)</f>
        <v/>
      </c>
    </row>
    <row r="2715" customFormat="false" ht="15" hidden="false" customHeight="true" outlineLevel="0" collapsed="false">
      <c r="A2715" s="7"/>
      <c r="B2715" s="18" t="str">
        <f aca="false">IF(A2715="","",IFERROR(INDEX(Sales_Memo!$B$2:$B$1001,MATCH(A2715,Sales_Memo!$A$2:$A$1001,0)),""))</f>
        <v/>
      </c>
      <c r="C2715" s="7"/>
      <c r="D2715" s="16" t="str">
        <f aca="false">IF(C2715="","",IFERROR(INDEX(Products!$B$2:$B$501,MATCH(C2715,Products!$A$2:$A$501,0)),"CODE NOT FOUND"))</f>
        <v/>
      </c>
      <c r="E2715" s="7"/>
      <c r="F2715" s="13"/>
      <c r="G2715" s="13"/>
      <c r="H2715" s="17" t="str">
        <f aca="false">IF(OR(E2715="",F2715=""),"",E2715*F2715)</f>
        <v/>
      </c>
      <c r="I2715" s="17" t="str">
        <f aca="false">IF(OR(E2715="",G2715=""),"",E2715*G2715)</f>
        <v/>
      </c>
      <c r="J2715" s="17" t="str">
        <f aca="false">IF(H2715="","",H2715-I2715)</f>
        <v/>
      </c>
    </row>
    <row r="2716" customFormat="false" ht="15" hidden="false" customHeight="true" outlineLevel="0" collapsed="false">
      <c r="A2716" s="7"/>
      <c r="B2716" s="18" t="str">
        <f aca="false">IF(A2716="","",IFERROR(INDEX(Sales_Memo!$B$2:$B$1001,MATCH(A2716,Sales_Memo!$A$2:$A$1001,0)),""))</f>
        <v/>
      </c>
      <c r="C2716" s="7"/>
      <c r="D2716" s="16" t="str">
        <f aca="false">IF(C2716="","",IFERROR(INDEX(Products!$B$2:$B$501,MATCH(C2716,Products!$A$2:$A$501,0)),"CODE NOT FOUND"))</f>
        <v/>
      </c>
      <c r="E2716" s="7"/>
      <c r="F2716" s="13"/>
      <c r="G2716" s="13"/>
      <c r="H2716" s="17" t="str">
        <f aca="false">IF(OR(E2716="",F2716=""),"",E2716*F2716)</f>
        <v/>
      </c>
      <c r="I2716" s="17" t="str">
        <f aca="false">IF(OR(E2716="",G2716=""),"",E2716*G2716)</f>
        <v/>
      </c>
      <c r="J2716" s="17" t="str">
        <f aca="false">IF(H2716="","",H2716-I2716)</f>
        <v/>
      </c>
    </row>
    <row r="2717" customFormat="false" ht="15" hidden="false" customHeight="true" outlineLevel="0" collapsed="false">
      <c r="A2717" s="7"/>
      <c r="B2717" s="18" t="str">
        <f aca="false">IF(A2717="","",IFERROR(INDEX(Sales_Memo!$B$2:$B$1001,MATCH(A2717,Sales_Memo!$A$2:$A$1001,0)),""))</f>
        <v/>
      </c>
      <c r="C2717" s="7"/>
      <c r="D2717" s="16" t="str">
        <f aca="false">IF(C2717="","",IFERROR(INDEX(Products!$B$2:$B$501,MATCH(C2717,Products!$A$2:$A$501,0)),"CODE NOT FOUND"))</f>
        <v/>
      </c>
      <c r="E2717" s="7"/>
      <c r="F2717" s="13"/>
      <c r="G2717" s="13"/>
      <c r="H2717" s="17" t="str">
        <f aca="false">IF(OR(E2717="",F2717=""),"",E2717*F2717)</f>
        <v/>
      </c>
      <c r="I2717" s="17" t="str">
        <f aca="false">IF(OR(E2717="",G2717=""),"",E2717*G2717)</f>
        <v/>
      </c>
      <c r="J2717" s="17" t="str">
        <f aca="false">IF(H2717="","",H2717-I2717)</f>
        <v/>
      </c>
    </row>
    <row r="2718" customFormat="false" ht="15" hidden="false" customHeight="true" outlineLevel="0" collapsed="false">
      <c r="A2718" s="7"/>
      <c r="B2718" s="18" t="str">
        <f aca="false">IF(A2718="","",IFERROR(INDEX(Sales_Memo!$B$2:$B$1001,MATCH(A2718,Sales_Memo!$A$2:$A$1001,0)),""))</f>
        <v/>
      </c>
      <c r="C2718" s="7"/>
      <c r="D2718" s="16" t="str">
        <f aca="false">IF(C2718="","",IFERROR(INDEX(Products!$B$2:$B$501,MATCH(C2718,Products!$A$2:$A$501,0)),"CODE NOT FOUND"))</f>
        <v/>
      </c>
      <c r="E2718" s="7"/>
      <c r="F2718" s="13"/>
      <c r="G2718" s="13"/>
      <c r="H2718" s="17" t="str">
        <f aca="false">IF(OR(E2718="",F2718=""),"",E2718*F2718)</f>
        <v/>
      </c>
      <c r="I2718" s="17" t="str">
        <f aca="false">IF(OR(E2718="",G2718=""),"",E2718*G2718)</f>
        <v/>
      </c>
      <c r="J2718" s="17" t="str">
        <f aca="false">IF(H2718="","",H2718-I2718)</f>
        <v/>
      </c>
    </row>
    <row r="2719" customFormat="false" ht="15" hidden="false" customHeight="true" outlineLevel="0" collapsed="false">
      <c r="A2719" s="7"/>
      <c r="B2719" s="18" t="str">
        <f aca="false">IF(A2719="","",IFERROR(INDEX(Sales_Memo!$B$2:$B$1001,MATCH(A2719,Sales_Memo!$A$2:$A$1001,0)),""))</f>
        <v/>
      </c>
      <c r="C2719" s="7"/>
      <c r="D2719" s="16" t="str">
        <f aca="false">IF(C2719="","",IFERROR(INDEX(Products!$B$2:$B$501,MATCH(C2719,Products!$A$2:$A$501,0)),"CODE NOT FOUND"))</f>
        <v/>
      </c>
      <c r="E2719" s="7"/>
      <c r="F2719" s="13"/>
      <c r="G2719" s="13"/>
      <c r="H2719" s="17" t="str">
        <f aca="false">IF(OR(E2719="",F2719=""),"",E2719*F2719)</f>
        <v/>
      </c>
      <c r="I2719" s="17" t="str">
        <f aca="false">IF(OR(E2719="",G2719=""),"",E2719*G2719)</f>
        <v/>
      </c>
      <c r="J2719" s="17" t="str">
        <f aca="false">IF(H2719="","",H2719-I2719)</f>
        <v/>
      </c>
    </row>
    <row r="2720" customFormat="false" ht="15" hidden="false" customHeight="true" outlineLevel="0" collapsed="false">
      <c r="A2720" s="7"/>
      <c r="B2720" s="18" t="str">
        <f aca="false">IF(A2720="","",IFERROR(INDEX(Sales_Memo!$B$2:$B$1001,MATCH(A2720,Sales_Memo!$A$2:$A$1001,0)),""))</f>
        <v/>
      </c>
      <c r="C2720" s="7"/>
      <c r="D2720" s="16" t="str">
        <f aca="false">IF(C2720="","",IFERROR(INDEX(Products!$B$2:$B$501,MATCH(C2720,Products!$A$2:$A$501,0)),"CODE NOT FOUND"))</f>
        <v/>
      </c>
      <c r="E2720" s="7"/>
      <c r="F2720" s="13"/>
      <c r="G2720" s="13"/>
      <c r="H2720" s="17" t="str">
        <f aca="false">IF(OR(E2720="",F2720=""),"",E2720*F2720)</f>
        <v/>
      </c>
      <c r="I2720" s="17" t="str">
        <f aca="false">IF(OR(E2720="",G2720=""),"",E2720*G2720)</f>
        <v/>
      </c>
      <c r="J2720" s="17" t="str">
        <f aca="false">IF(H2720="","",H2720-I2720)</f>
        <v/>
      </c>
    </row>
    <row r="2721" customFormat="false" ht="15" hidden="false" customHeight="true" outlineLevel="0" collapsed="false">
      <c r="A2721" s="7"/>
      <c r="B2721" s="18" t="str">
        <f aca="false">IF(A2721="","",IFERROR(INDEX(Sales_Memo!$B$2:$B$1001,MATCH(A2721,Sales_Memo!$A$2:$A$1001,0)),""))</f>
        <v/>
      </c>
      <c r="C2721" s="7"/>
      <c r="D2721" s="16" t="str">
        <f aca="false">IF(C2721="","",IFERROR(INDEX(Products!$B$2:$B$501,MATCH(C2721,Products!$A$2:$A$501,0)),"CODE NOT FOUND"))</f>
        <v/>
      </c>
      <c r="E2721" s="7"/>
      <c r="F2721" s="13"/>
      <c r="G2721" s="13"/>
      <c r="H2721" s="17" t="str">
        <f aca="false">IF(OR(E2721="",F2721=""),"",E2721*F2721)</f>
        <v/>
      </c>
      <c r="I2721" s="17" t="str">
        <f aca="false">IF(OR(E2721="",G2721=""),"",E2721*G2721)</f>
        <v/>
      </c>
      <c r="J2721" s="17" t="str">
        <f aca="false">IF(H2721="","",H2721-I2721)</f>
        <v/>
      </c>
    </row>
    <row r="2722" customFormat="false" ht="15" hidden="false" customHeight="true" outlineLevel="0" collapsed="false">
      <c r="A2722" s="7"/>
      <c r="B2722" s="18" t="str">
        <f aca="false">IF(A2722="","",IFERROR(INDEX(Sales_Memo!$B$2:$B$1001,MATCH(A2722,Sales_Memo!$A$2:$A$1001,0)),""))</f>
        <v/>
      </c>
      <c r="C2722" s="7"/>
      <c r="D2722" s="16" t="str">
        <f aca="false">IF(C2722="","",IFERROR(INDEX(Products!$B$2:$B$501,MATCH(C2722,Products!$A$2:$A$501,0)),"CODE NOT FOUND"))</f>
        <v/>
      </c>
      <c r="E2722" s="7"/>
      <c r="F2722" s="13"/>
      <c r="G2722" s="13"/>
      <c r="H2722" s="17" t="str">
        <f aca="false">IF(OR(E2722="",F2722=""),"",E2722*F2722)</f>
        <v/>
      </c>
      <c r="I2722" s="17" t="str">
        <f aca="false">IF(OR(E2722="",G2722=""),"",E2722*G2722)</f>
        <v/>
      </c>
      <c r="J2722" s="17" t="str">
        <f aca="false">IF(H2722="","",H2722-I2722)</f>
        <v/>
      </c>
    </row>
    <row r="2723" customFormat="false" ht="15" hidden="false" customHeight="true" outlineLevel="0" collapsed="false">
      <c r="A2723" s="7"/>
      <c r="B2723" s="18" t="str">
        <f aca="false">IF(A2723="","",IFERROR(INDEX(Sales_Memo!$B$2:$B$1001,MATCH(A2723,Sales_Memo!$A$2:$A$1001,0)),""))</f>
        <v/>
      </c>
      <c r="C2723" s="7"/>
      <c r="D2723" s="16" t="str">
        <f aca="false">IF(C2723="","",IFERROR(INDEX(Products!$B$2:$B$501,MATCH(C2723,Products!$A$2:$A$501,0)),"CODE NOT FOUND"))</f>
        <v/>
      </c>
      <c r="E2723" s="7"/>
      <c r="F2723" s="13"/>
      <c r="G2723" s="13"/>
      <c r="H2723" s="17" t="str">
        <f aca="false">IF(OR(E2723="",F2723=""),"",E2723*F2723)</f>
        <v/>
      </c>
      <c r="I2723" s="17" t="str">
        <f aca="false">IF(OR(E2723="",G2723=""),"",E2723*G2723)</f>
        <v/>
      </c>
      <c r="J2723" s="17" t="str">
        <f aca="false">IF(H2723="","",H2723-I2723)</f>
        <v/>
      </c>
    </row>
    <row r="2724" customFormat="false" ht="15" hidden="false" customHeight="true" outlineLevel="0" collapsed="false">
      <c r="A2724" s="7"/>
      <c r="B2724" s="18" t="str">
        <f aca="false">IF(A2724="","",IFERROR(INDEX(Sales_Memo!$B$2:$B$1001,MATCH(A2724,Sales_Memo!$A$2:$A$1001,0)),""))</f>
        <v/>
      </c>
      <c r="C2724" s="7"/>
      <c r="D2724" s="16" t="str">
        <f aca="false">IF(C2724="","",IFERROR(INDEX(Products!$B$2:$B$501,MATCH(C2724,Products!$A$2:$A$501,0)),"CODE NOT FOUND"))</f>
        <v/>
      </c>
      <c r="E2724" s="7"/>
      <c r="F2724" s="13"/>
      <c r="G2724" s="13"/>
      <c r="H2724" s="17" t="str">
        <f aca="false">IF(OR(E2724="",F2724=""),"",E2724*F2724)</f>
        <v/>
      </c>
      <c r="I2724" s="17" t="str">
        <f aca="false">IF(OR(E2724="",G2724=""),"",E2724*G2724)</f>
        <v/>
      </c>
      <c r="J2724" s="17" t="str">
        <f aca="false">IF(H2724="","",H2724-I2724)</f>
        <v/>
      </c>
    </row>
    <row r="2725" customFormat="false" ht="15" hidden="false" customHeight="true" outlineLevel="0" collapsed="false">
      <c r="A2725" s="7"/>
      <c r="B2725" s="18" t="str">
        <f aca="false">IF(A2725="","",IFERROR(INDEX(Sales_Memo!$B$2:$B$1001,MATCH(A2725,Sales_Memo!$A$2:$A$1001,0)),""))</f>
        <v/>
      </c>
      <c r="C2725" s="7"/>
      <c r="D2725" s="16" t="str">
        <f aca="false">IF(C2725="","",IFERROR(INDEX(Products!$B$2:$B$501,MATCH(C2725,Products!$A$2:$A$501,0)),"CODE NOT FOUND"))</f>
        <v/>
      </c>
      <c r="E2725" s="7"/>
      <c r="F2725" s="13"/>
      <c r="G2725" s="13"/>
      <c r="H2725" s="17" t="str">
        <f aca="false">IF(OR(E2725="",F2725=""),"",E2725*F2725)</f>
        <v/>
      </c>
      <c r="I2725" s="17" t="str">
        <f aca="false">IF(OR(E2725="",G2725=""),"",E2725*G2725)</f>
        <v/>
      </c>
      <c r="J2725" s="17" t="str">
        <f aca="false">IF(H2725="","",H2725-I2725)</f>
        <v/>
      </c>
    </row>
    <row r="2726" customFormat="false" ht="15" hidden="false" customHeight="true" outlineLevel="0" collapsed="false">
      <c r="A2726" s="7"/>
      <c r="B2726" s="18" t="str">
        <f aca="false">IF(A2726="","",IFERROR(INDEX(Sales_Memo!$B$2:$B$1001,MATCH(A2726,Sales_Memo!$A$2:$A$1001,0)),""))</f>
        <v/>
      </c>
      <c r="C2726" s="7"/>
      <c r="D2726" s="16" t="str">
        <f aca="false">IF(C2726="","",IFERROR(INDEX(Products!$B$2:$B$501,MATCH(C2726,Products!$A$2:$A$501,0)),"CODE NOT FOUND"))</f>
        <v/>
      </c>
      <c r="E2726" s="7"/>
      <c r="F2726" s="13"/>
      <c r="G2726" s="13"/>
      <c r="H2726" s="17" t="str">
        <f aca="false">IF(OR(E2726="",F2726=""),"",E2726*F2726)</f>
        <v/>
      </c>
      <c r="I2726" s="17" t="str">
        <f aca="false">IF(OR(E2726="",G2726=""),"",E2726*G2726)</f>
        <v/>
      </c>
      <c r="J2726" s="17" t="str">
        <f aca="false">IF(H2726="","",H2726-I2726)</f>
        <v/>
      </c>
    </row>
    <row r="2727" customFormat="false" ht="15" hidden="false" customHeight="true" outlineLevel="0" collapsed="false">
      <c r="A2727" s="7"/>
      <c r="B2727" s="18" t="str">
        <f aca="false">IF(A2727="","",IFERROR(INDEX(Sales_Memo!$B$2:$B$1001,MATCH(A2727,Sales_Memo!$A$2:$A$1001,0)),""))</f>
        <v/>
      </c>
      <c r="C2727" s="7"/>
      <c r="D2727" s="16" t="str">
        <f aca="false">IF(C2727="","",IFERROR(INDEX(Products!$B$2:$B$501,MATCH(C2727,Products!$A$2:$A$501,0)),"CODE NOT FOUND"))</f>
        <v/>
      </c>
      <c r="E2727" s="7"/>
      <c r="F2727" s="13"/>
      <c r="G2727" s="13"/>
      <c r="H2727" s="17" t="str">
        <f aca="false">IF(OR(E2727="",F2727=""),"",E2727*F2727)</f>
        <v/>
      </c>
      <c r="I2727" s="17" t="str">
        <f aca="false">IF(OR(E2727="",G2727=""),"",E2727*G2727)</f>
        <v/>
      </c>
      <c r="J2727" s="17" t="str">
        <f aca="false">IF(H2727="","",H2727-I2727)</f>
        <v/>
      </c>
    </row>
    <row r="2728" customFormat="false" ht="15" hidden="false" customHeight="true" outlineLevel="0" collapsed="false">
      <c r="A2728" s="7"/>
      <c r="B2728" s="18" t="str">
        <f aca="false">IF(A2728="","",IFERROR(INDEX(Sales_Memo!$B$2:$B$1001,MATCH(A2728,Sales_Memo!$A$2:$A$1001,0)),""))</f>
        <v/>
      </c>
      <c r="C2728" s="7"/>
      <c r="D2728" s="16" t="str">
        <f aca="false">IF(C2728="","",IFERROR(INDEX(Products!$B$2:$B$501,MATCH(C2728,Products!$A$2:$A$501,0)),"CODE NOT FOUND"))</f>
        <v/>
      </c>
      <c r="E2728" s="7"/>
      <c r="F2728" s="13"/>
      <c r="G2728" s="13"/>
      <c r="H2728" s="17" t="str">
        <f aca="false">IF(OR(E2728="",F2728=""),"",E2728*F2728)</f>
        <v/>
      </c>
      <c r="I2728" s="17" t="str">
        <f aca="false">IF(OR(E2728="",G2728=""),"",E2728*G2728)</f>
        <v/>
      </c>
      <c r="J2728" s="17" t="str">
        <f aca="false">IF(H2728="","",H2728-I2728)</f>
        <v/>
      </c>
    </row>
    <row r="2729" customFormat="false" ht="15" hidden="false" customHeight="true" outlineLevel="0" collapsed="false">
      <c r="A2729" s="7"/>
      <c r="B2729" s="18" t="str">
        <f aca="false">IF(A2729="","",IFERROR(INDEX(Sales_Memo!$B$2:$B$1001,MATCH(A2729,Sales_Memo!$A$2:$A$1001,0)),""))</f>
        <v/>
      </c>
      <c r="C2729" s="7"/>
      <c r="D2729" s="16" t="str">
        <f aca="false">IF(C2729="","",IFERROR(INDEX(Products!$B$2:$B$501,MATCH(C2729,Products!$A$2:$A$501,0)),"CODE NOT FOUND"))</f>
        <v/>
      </c>
      <c r="E2729" s="7"/>
      <c r="F2729" s="13"/>
      <c r="G2729" s="13"/>
      <c r="H2729" s="17" t="str">
        <f aca="false">IF(OR(E2729="",F2729=""),"",E2729*F2729)</f>
        <v/>
      </c>
      <c r="I2729" s="17" t="str">
        <f aca="false">IF(OR(E2729="",G2729=""),"",E2729*G2729)</f>
        <v/>
      </c>
      <c r="J2729" s="17" t="str">
        <f aca="false">IF(H2729="","",H2729-I2729)</f>
        <v/>
      </c>
    </row>
    <row r="2730" customFormat="false" ht="15" hidden="false" customHeight="true" outlineLevel="0" collapsed="false">
      <c r="A2730" s="7"/>
      <c r="B2730" s="18" t="str">
        <f aca="false">IF(A2730="","",IFERROR(INDEX(Sales_Memo!$B$2:$B$1001,MATCH(A2730,Sales_Memo!$A$2:$A$1001,0)),""))</f>
        <v/>
      </c>
      <c r="C2730" s="7"/>
      <c r="D2730" s="16" t="str">
        <f aca="false">IF(C2730="","",IFERROR(INDEX(Products!$B$2:$B$501,MATCH(C2730,Products!$A$2:$A$501,0)),"CODE NOT FOUND"))</f>
        <v/>
      </c>
      <c r="E2730" s="7"/>
      <c r="F2730" s="13"/>
      <c r="G2730" s="13"/>
      <c r="H2730" s="17" t="str">
        <f aca="false">IF(OR(E2730="",F2730=""),"",E2730*F2730)</f>
        <v/>
      </c>
      <c r="I2730" s="17" t="str">
        <f aca="false">IF(OR(E2730="",G2730=""),"",E2730*G2730)</f>
        <v/>
      </c>
      <c r="J2730" s="17" t="str">
        <f aca="false">IF(H2730="","",H2730-I2730)</f>
        <v/>
      </c>
    </row>
    <row r="2731" customFormat="false" ht="15" hidden="false" customHeight="true" outlineLevel="0" collapsed="false">
      <c r="A2731" s="7"/>
      <c r="B2731" s="18" t="str">
        <f aca="false">IF(A2731="","",IFERROR(INDEX(Sales_Memo!$B$2:$B$1001,MATCH(A2731,Sales_Memo!$A$2:$A$1001,0)),""))</f>
        <v/>
      </c>
      <c r="C2731" s="7"/>
      <c r="D2731" s="16" t="str">
        <f aca="false">IF(C2731="","",IFERROR(INDEX(Products!$B$2:$B$501,MATCH(C2731,Products!$A$2:$A$501,0)),"CODE NOT FOUND"))</f>
        <v/>
      </c>
      <c r="E2731" s="7"/>
      <c r="F2731" s="13"/>
      <c r="G2731" s="13"/>
      <c r="H2731" s="17" t="str">
        <f aca="false">IF(OR(E2731="",F2731=""),"",E2731*F2731)</f>
        <v/>
      </c>
      <c r="I2731" s="17" t="str">
        <f aca="false">IF(OR(E2731="",G2731=""),"",E2731*G2731)</f>
        <v/>
      </c>
      <c r="J2731" s="17" t="str">
        <f aca="false">IF(H2731="","",H2731-I2731)</f>
        <v/>
      </c>
    </row>
    <row r="2732" customFormat="false" ht="15" hidden="false" customHeight="true" outlineLevel="0" collapsed="false">
      <c r="A2732" s="7"/>
      <c r="B2732" s="18" t="str">
        <f aca="false">IF(A2732="","",IFERROR(INDEX(Sales_Memo!$B$2:$B$1001,MATCH(A2732,Sales_Memo!$A$2:$A$1001,0)),""))</f>
        <v/>
      </c>
      <c r="C2732" s="7"/>
      <c r="D2732" s="16" t="str">
        <f aca="false">IF(C2732="","",IFERROR(INDEX(Products!$B$2:$B$501,MATCH(C2732,Products!$A$2:$A$501,0)),"CODE NOT FOUND"))</f>
        <v/>
      </c>
      <c r="E2732" s="7"/>
      <c r="F2732" s="13"/>
      <c r="G2732" s="13"/>
      <c r="H2732" s="17" t="str">
        <f aca="false">IF(OR(E2732="",F2732=""),"",E2732*F2732)</f>
        <v/>
      </c>
      <c r="I2732" s="17" t="str">
        <f aca="false">IF(OR(E2732="",G2732=""),"",E2732*G2732)</f>
        <v/>
      </c>
      <c r="J2732" s="17" t="str">
        <f aca="false">IF(H2732="","",H2732-I2732)</f>
        <v/>
      </c>
    </row>
    <row r="2733" customFormat="false" ht="15" hidden="false" customHeight="true" outlineLevel="0" collapsed="false">
      <c r="A2733" s="7"/>
      <c r="B2733" s="18" t="str">
        <f aca="false">IF(A2733="","",IFERROR(INDEX(Sales_Memo!$B$2:$B$1001,MATCH(A2733,Sales_Memo!$A$2:$A$1001,0)),""))</f>
        <v/>
      </c>
      <c r="C2733" s="7"/>
      <c r="D2733" s="16" t="str">
        <f aca="false">IF(C2733="","",IFERROR(INDEX(Products!$B$2:$B$501,MATCH(C2733,Products!$A$2:$A$501,0)),"CODE NOT FOUND"))</f>
        <v/>
      </c>
      <c r="E2733" s="7"/>
      <c r="F2733" s="13"/>
      <c r="G2733" s="13"/>
      <c r="H2733" s="17" t="str">
        <f aca="false">IF(OR(E2733="",F2733=""),"",E2733*F2733)</f>
        <v/>
      </c>
      <c r="I2733" s="17" t="str">
        <f aca="false">IF(OR(E2733="",G2733=""),"",E2733*G2733)</f>
        <v/>
      </c>
      <c r="J2733" s="17" t="str">
        <f aca="false">IF(H2733="","",H2733-I2733)</f>
        <v/>
      </c>
    </row>
    <row r="2734" customFormat="false" ht="15" hidden="false" customHeight="true" outlineLevel="0" collapsed="false">
      <c r="A2734" s="7"/>
      <c r="B2734" s="18" t="str">
        <f aca="false">IF(A2734="","",IFERROR(INDEX(Sales_Memo!$B$2:$B$1001,MATCH(A2734,Sales_Memo!$A$2:$A$1001,0)),""))</f>
        <v/>
      </c>
      <c r="C2734" s="7"/>
      <c r="D2734" s="16" t="str">
        <f aca="false">IF(C2734="","",IFERROR(INDEX(Products!$B$2:$B$501,MATCH(C2734,Products!$A$2:$A$501,0)),"CODE NOT FOUND"))</f>
        <v/>
      </c>
      <c r="E2734" s="7"/>
      <c r="F2734" s="13"/>
      <c r="G2734" s="13"/>
      <c r="H2734" s="17" t="str">
        <f aca="false">IF(OR(E2734="",F2734=""),"",E2734*F2734)</f>
        <v/>
      </c>
      <c r="I2734" s="17" t="str">
        <f aca="false">IF(OR(E2734="",G2734=""),"",E2734*G2734)</f>
        <v/>
      </c>
      <c r="J2734" s="17" t="str">
        <f aca="false">IF(H2734="","",H2734-I2734)</f>
        <v/>
      </c>
    </row>
    <row r="2735" customFormat="false" ht="15" hidden="false" customHeight="true" outlineLevel="0" collapsed="false">
      <c r="A2735" s="7"/>
      <c r="B2735" s="18" t="str">
        <f aca="false">IF(A2735="","",IFERROR(INDEX(Sales_Memo!$B$2:$B$1001,MATCH(A2735,Sales_Memo!$A$2:$A$1001,0)),""))</f>
        <v/>
      </c>
      <c r="C2735" s="7"/>
      <c r="D2735" s="16" t="str">
        <f aca="false">IF(C2735="","",IFERROR(INDEX(Products!$B$2:$B$501,MATCH(C2735,Products!$A$2:$A$501,0)),"CODE NOT FOUND"))</f>
        <v/>
      </c>
      <c r="E2735" s="7"/>
      <c r="F2735" s="13"/>
      <c r="G2735" s="13"/>
      <c r="H2735" s="17" t="str">
        <f aca="false">IF(OR(E2735="",F2735=""),"",E2735*F2735)</f>
        <v/>
      </c>
      <c r="I2735" s="17" t="str">
        <f aca="false">IF(OR(E2735="",G2735=""),"",E2735*G2735)</f>
        <v/>
      </c>
      <c r="J2735" s="17" t="str">
        <f aca="false">IF(H2735="","",H2735-I2735)</f>
        <v/>
      </c>
    </row>
    <row r="2736" customFormat="false" ht="15" hidden="false" customHeight="true" outlineLevel="0" collapsed="false">
      <c r="A2736" s="7"/>
      <c r="B2736" s="18" t="str">
        <f aca="false">IF(A2736="","",IFERROR(INDEX(Sales_Memo!$B$2:$B$1001,MATCH(A2736,Sales_Memo!$A$2:$A$1001,0)),""))</f>
        <v/>
      </c>
      <c r="C2736" s="7"/>
      <c r="D2736" s="16" t="str">
        <f aca="false">IF(C2736="","",IFERROR(INDEX(Products!$B$2:$B$501,MATCH(C2736,Products!$A$2:$A$501,0)),"CODE NOT FOUND"))</f>
        <v/>
      </c>
      <c r="E2736" s="7"/>
      <c r="F2736" s="13"/>
      <c r="G2736" s="13"/>
      <c r="H2736" s="17" t="str">
        <f aca="false">IF(OR(E2736="",F2736=""),"",E2736*F2736)</f>
        <v/>
      </c>
      <c r="I2736" s="17" t="str">
        <f aca="false">IF(OR(E2736="",G2736=""),"",E2736*G2736)</f>
        <v/>
      </c>
      <c r="J2736" s="17" t="str">
        <f aca="false">IF(H2736="","",H2736-I2736)</f>
        <v/>
      </c>
    </row>
    <row r="2737" customFormat="false" ht="15" hidden="false" customHeight="true" outlineLevel="0" collapsed="false">
      <c r="A2737" s="7"/>
      <c r="B2737" s="18" t="str">
        <f aca="false">IF(A2737="","",IFERROR(INDEX(Sales_Memo!$B$2:$B$1001,MATCH(A2737,Sales_Memo!$A$2:$A$1001,0)),""))</f>
        <v/>
      </c>
      <c r="C2737" s="7"/>
      <c r="D2737" s="16" t="str">
        <f aca="false">IF(C2737="","",IFERROR(INDEX(Products!$B$2:$B$501,MATCH(C2737,Products!$A$2:$A$501,0)),"CODE NOT FOUND"))</f>
        <v/>
      </c>
      <c r="E2737" s="7"/>
      <c r="F2737" s="13"/>
      <c r="G2737" s="13"/>
      <c r="H2737" s="17" t="str">
        <f aca="false">IF(OR(E2737="",F2737=""),"",E2737*F2737)</f>
        <v/>
      </c>
      <c r="I2737" s="17" t="str">
        <f aca="false">IF(OR(E2737="",G2737=""),"",E2737*G2737)</f>
        <v/>
      </c>
      <c r="J2737" s="17" t="str">
        <f aca="false">IF(H2737="","",H2737-I2737)</f>
        <v/>
      </c>
    </row>
    <row r="2738" customFormat="false" ht="15" hidden="false" customHeight="true" outlineLevel="0" collapsed="false">
      <c r="A2738" s="7"/>
      <c r="B2738" s="18" t="str">
        <f aca="false">IF(A2738="","",IFERROR(INDEX(Sales_Memo!$B$2:$B$1001,MATCH(A2738,Sales_Memo!$A$2:$A$1001,0)),""))</f>
        <v/>
      </c>
      <c r="C2738" s="7"/>
      <c r="D2738" s="16" t="str">
        <f aca="false">IF(C2738="","",IFERROR(INDEX(Products!$B$2:$B$501,MATCH(C2738,Products!$A$2:$A$501,0)),"CODE NOT FOUND"))</f>
        <v/>
      </c>
      <c r="E2738" s="7"/>
      <c r="F2738" s="13"/>
      <c r="G2738" s="13"/>
      <c r="H2738" s="17" t="str">
        <f aca="false">IF(OR(E2738="",F2738=""),"",E2738*F2738)</f>
        <v/>
      </c>
      <c r="I2738" s="17" t="str">
        <f aca="false">IF(OR(E2738="",G2738=""),"",E2738*G2738)</f>
        <v/>
      </c>
      <c r="J2738" s="17" t="str">
        <f aca="false">IF(H2738="","",H2738-I2738)</f>
        <v/>
      </c>
    </row>
    <row r="2739" customFormat="false" ht="15" hidden="false" customHeight="true" outlineLevel="0" collapsed="false">
      <c r="A2739" s="7"/>
      <c r="B2739" s="18" t="str">
        <f aca="false">IF(A2739="","",IFERROR(INDEX(Sales_Memo!$B$2:$B$1001,MATCH(A2739,Sales_Memo!$A$2:$A$1001,0)),""))</f>
        <v/>
      </c>
      <c r="C2739" s="7"/>
      <c r="D2739" s="16" t="str">
        <f aca="false">IF(C2739="","",IFERROR(INDEX(Products!$B$2:$B$501,MATCH(C2739,Products!$A$2:$A$501,0)),"CODE NOT FOUND"))</f>
        <v/>
      </c>
      <c r="E2739" s="7"/>
      <c r="F2739" s="13"/>
      <c r="G2739" s="13"/>
      <c r="H2739" s="17" t="str">
        <f aca="false">IF(OR(E2739="",F2739=""),"",E2739*F2739)</f>
        <v/>
      </c>
      <c r="I2739" s="17" t="str">
        <f aca="false">IF(OR(E2739="",G2739=""),"",E2739*G2739)</f>
        <v/>
      </c>
      <c r="J2739" s="17" t="str">
        <f aca="false">IF(H2739="","",H2739-I2739)</f>
        <v/>
      </c>
    </row>
    <row r="2740" customFormat="false" ht="15" hidden="false" customHeight="true" outlineLevel="0" collapsed="false">
      <c r="A2740" s="7"/>
      <c r="B2740" s="18" t="str">
        <f aca="false">IF(A2740="","",IFERROR(INDEX(Sales_Memo!$B$2:$B$1001,MATCH(A2740,Sales_Memo!$A$2:$A$1001,0)),""))</f>
        <v/>
      </c>
      <c r="C2740" s="7"/>
      <c r="D2740" s="16" t="str">
        <f aca="false">IF(C2740="","",IFERROR(INDEX(Products!$B$2:$B$501,MATCH(C2740,Products!$A$2:$A$501,0)),"CODE NOT FOUND"))</f>
        <v/>
      </c>
      <c r="E2740" s="7"/>
      <c r="F2740" s="13"/>
      <c r="G2740" s="13"/>
      <c r="H2740" s="17" t="str">
        <f aca="false">IF(OR(E2740="",F2740=""),"",E2740*F2740)</f>
        <v/>
      </c>
      <c r="I2740" s="17" t="str">
        <f aca="false">IF(OR(E2740="",G2740=""),"",E2740*G2740)</f>
        <v/>
      </c>
      <c r="J2740" s="17" t="str">
        <f aca="false">IF(H2740="","",H2740-I2740)</f>
        <v/>
      </c>
    </row>
    <row r="2741" customFormat="false" ht="15" hidden="false" customHeight="true" outlineLevel="0" collapsed="false">
      <c r="A2741" s="7"/>
      <c r="B2741" s="18" t="str">
        <f aca="false">IF(A2741="","",IFERROR(INDEX(Sales_Memo!$B$2:$B$1001,MATCH(A2741,Sales_Memo!$A$2:$A$1001,0)),""))</f>
        <v/>
      </c>
      <c r="C2741" s="7"/>
      <c r="D2741" s="16" t="str">
        <f aca="false">IF(C2741="","",IFERROR(INDEX(Products!$B$2:$B$501,MATCH(C2741,Products!$A$2:$A$501,0)),"CODE NOT FOUND"))</f>
        <v/>
      </c>
      <c r="E2741" s="7"/>
      <c r="F2741" s="13"/>
      <c r="G2741" s="13"/>
      <c r="H2741" s="17" t="str">
        <f aca="false">IF(OR(E2741="",F2741=""),"",E2741*F2741)</f>
        <v/>
      </c>
      <c r="I2741" s="17" t="str">
        <f aca="false">IF(OR(E2741="",G2741=""),"",E2741*G2741)</f>
        <v/>
      </c>
      <c r="J2741" s="17" t="str">
        <f aca="false">IF(H2741="","",H2741-I2741)</f>
        <v/>
      </c>
    </row>
    <row r="2742" customFormat="false" ht="15" hidden="false" customHeight="true" outlineLevel="0" collapsed="false">
      <c r="A2742" s="7"/>
      <c r="B2742" s="18" t="str">
        <f aca="false">IF(A2742="","",IFERROR(INDEX(Sales_Memo!$B$2:$B$1001,MATCH(A2742,Sales_Memo!$A$2:$A$1001,0)),""))</f>
        <v/>
      </c>
      <c r="C2742" s="7"/>
      <c r="D2742" s="16" t="str">
        <f aca="false">IF(C2742="","",IFERROR(INDEX(Products!$B$2:$B$501,MATCH(C2742,Products!$A$2:$A$501,0)),"CODE NOT FOUND"))</f>
        <v/>
      </c>
      <c r="E2742" s="7"/>
      <c r="F2742" s="13"/>
      <c r="G2742" s="13"/>
      <c r="H2742" s="17" t="str">
        <f aca="false">IF(OR(E2742="",F2742=""),"",E2742*F2742)</f>
        <v/>
      </c>
      <c r="I2742" s="17" t="str">
        <f aca="false">IF(OR(E2742="",G2742=""),"",E2742*G2742)</f>
        <v/>
      </c>
      <c r="J2742" s="17" t="str">
        <f aca="false">IF(H2742="","",H2742-I2742)</f>
        <v/>
      </c>
    </row>
    <row r="2743" customFormat="false" ht="15" hidden="false" customHeight="true" outlineLevel="0" collapsed="false">
      <c r="A2743" s="7"/>
      <c r="B2743" s="18" t="str">
        <f aca="false">IF(A2743="","",IFERROR(INDEX(Sales_Memo!$B$2:$B$1001,MATCH(A2743,Sales_Memo!$A$2:$A$1001,0)),""))</f>
        <v/>
      </c>
      <c r="C2743" s="7"/>
      <c r="D2743" s="16" t="str">
        <f aca="false">IF(C2743="","",IFERROR(INDEX(Products!$B$2:$B$501,MATCH(C2743,Products!$A$2:$A$501,0)),"CODE NOT FOUND"))</f>
        <v/>
      </c>
      <c r="E2743" s="7"/>
      <c r="F2743" s="13"/>
      <c r="G2743" s="13"/>
      <c r="H2743" s="17" t="str">
        <f aca="false">IF(OR(E2743="",F2743=""),"",E2743*F2743)</f>
        <v/>
      </c>
      <c r="I2743" s="17" t="str">
        <f aca="false">IF(OR(E2743="",G2743=""),"",E2743*G2743)</f>
        <v/>
      </c>
      <c r="J2743" s="17" t="str">
        <f aca="false">IF(H2743="","",H2743-I2743)</f>
        <v/>
      </c>
    </row>
    <row r="2744" customFormat="false" ht="15" hidden="false" customHeight="true" outlineLevel="0" collapsed="false">
      <c r="A2744" s="7"/>
      <c r="B2744" s="18" t="str">
        <f aca="false">IF(A2744="","",IFERROR(INDEX(Sales_Memo!$B$2:$B$1001,MATCH(A2744,Sales_Memo!$A$2:$A$1001,0)),""))</f>
        <v/>
      </c>
      <c r="C2744" s="7"/>
      <c r="D2744" s="16" t="str">
        <f aca="false">IF(C2744="","",IFERROR(INDEX(Products!$B$2:$B$501,MATCH(C2744,Products!$A$2:$A$501,0)),"CODE NOT FOUND"))</f>
        <v/>
      </c>
      <c r="E2744" s="7"/>
      <c r="F2744" s="13"/>
      <c r="G2744" s="13"/>
      <c r="H2744" s="17" t="str">
        <f aca="false">IF(OR(E2744="",F2744=""),"",E2744*F2744)</f>
        <v/>
      </c>
      <c r="I2744" s="17" t="str">
        <f aca="false">IF(OR(E2744="",G2744=""),"",E2744*G2744)</f>
        <v/>
      </c>
      <c r="J2744" s="17" t="str">
        <f aca="false">IF(H2744="","",H2744-I2744)</f>
        <v/>
      </c>
    </row>
    <row r="2745" customFormat="false" ht="15" hidden="false" customHeight="true" outlineLevel="0" collapsed="false">
      <c r="A2745" s="7"/>
      <c r="B2745" s="18" t="str">
        <f aca="false">IF(A2745="","",IFERROR(INDEX(Sales_Memo!$B$2:$B$1001,MATCH(A2745,Sales_Memo!$A$2:$A$1001,0)),""))</f>
        <v/>
      </c>
      <c r="C2745" s="7"/>
      <c r="D2745" s="16" t="str">
        <f aca="false">IF(C2745="","",IFERROR(INDEX(Products!$B$2:$B$501,MATCH(C2745,Products!$A$2:$A$501,0)),"CODE NOT FOUND"))</f>
        <v/>
      </c>
      <c r="E2745" s="7"/>
      <c r="F2745" s="13"/>
      <c r="G2745" s="13"/>
      <c r="H2745" s="17" t="str">
        <f aca="false">IF(OR(E2745="",F2745=""),"",E2745*F2745)</f>
        <v/>
      </c>
      <c r="I2745" s="17" t="str">
        <f aca="false">IF(OR(E2745="",G2745=""),"",E2745*G2745)</f>
        <v/>
      </c>
      <c r="J2745" s="17" t="str">
        <f aca="false">IF(H2745="","",H2745-I2745)</f>
        <v/>
      </c>
    </row>
    <row r="2746" customFormat="false" ht="15" hidden="false" customHeight="true" outlineLevel="0" collapsed="false">
      <c r="A2746" s="7"/>
      <c r="B2746" s="18" t="str">
        <f aca="false">IF(A2746="","",IFERROR(INDEX(Sales_Memo!$B$2:$B$1001,MATCH(A2746,Sales_Memo!$A$2:$A$1001,0)),""))</f>
        <v/>
      </c>
      <c r="C2746" s="7"/>
      <c r="D2746" s="16" t="str">
        <f aca="false">IF(C2746="","",IFERROR(INDEX(Products!$B$2:$B$501,MATCH(C2746,Products!$A$2:$A$501,0)),"CODE NOT FOUND"))</f>
        <v/>
      </c>
      <c r="E2746" s="7"/>
      <c r="F2746" s="13"/>
      <c r="G2746" s="13"/>
      <c r="H2746" s="17" t="str">
        <f aca="false">IF(OR(E2746="",F2746=""),"",E2746*F2746)</f>
        <v/>
      </c>
      <c r="I2746" s="17" t="str">
        <f aca="false">IF(OR(E2746="",G2746=""),"",E2746*G2746)</f>
        <v/>
      </c>
      <c r="J2746" s="17" t="str">
        <f aca="false">IF(H2746="","",H2746-I2746)</f>
        <v/>
      </c>
    </row>
    <row r="2747" customFormat="false" ht="15" hidden="false" customHeight="true" outlineLevel="0" collapsed="false">
      <c r="A2747" s="7"/>
      <c r="B2747" s="18" t="str">
        <f aca="false">IF(A2747="","",IFERROR(INDEX(Sales_Memo!$B$2:$B$1001,MATCH(A2747,Sales_Memo!$A$2:$A$1001,0)),""))</f>
        <v/>
      </c>
      <c r="C2747" s="7"/>
      <c r="D2747" s="16" t="str">
        <f aca="false">IF(C2747="","",IFERROR(INDEX(Products!$B$2:$B$501,MATCH(C2747,Products!$A$2:$A$501,0)),"CODE NOT FOUND"))</f>
        <v/>
      </c>
      <c r="E2747" s="7"/>
      <c r="F2747" s="13"/>
      <c r="G2747" s="13"/>
      <c r="H2747" s="17" t="str">
        <f aca="false">IF(OR(E2747="",F2747=""),"",E2747*F2747)</f>
        <v/>
      </c>
      <c r="I2747" s="17" t="str">
        <f aca="false">IF(OR(E2747="",G2747=""),"",E2747*G2747)</f>
        <v/>
      </c>
      <c r="J2747" s="17" t="str">
        <f aca="false">IF(H2747="","",H2747-I2747)</f>
        <v/>
      </c>
    </row>
    <row r="2748" customFormat="false" ht="15" hidden="false" customHeight="true" outlineLevel="0" collapsed="false">
      <c r="A2748" s="7"/>
      <c r="B2748" s="18" t="str">
        <f aca="false">IF(A2748="","",IFERROR(INDEX(Sales_Memo!$B$2:$B$1001,MATCH(A2748,Sales_Memo!$A$2:$A$1001,0)),""))</f>
        <v/>
      </c>
      <c r="C2748" s="7"/>
      <c r="D2748" s="16" t="str">
        <f aca="false">IF(C2748="","",IFERROR(INDEX(Products!$B$2:$B$501,MATCH(C2748,Products!$A$2:$A$501,0)),"CODE NOT FOUND"))</f>
        <v/>
      </c>
      <c r="E2748" s="7"/>
      <c r="F2748" s="13"/>
      <c r="G2748" s="13"/>
      <c r="H2748" s="17" t="str">
        <f aca="false">IF(OR(E2748="",F2748=""),"",E2748*F2748)</f>
        <v/>
      </c>
      <c r="I2748" s="17" t="str">
        <f aca="false">IF(OR(E2748="",G2748=""),"",E2748*G2748)</f>
        <v/>
      </c>
      <c r="J2748" s="17" t="str">
        <f aca="false">IF(H2748="","",H2748-I2748)</f>
        <v/>
      </c>
    </row>
    <row r="2749" customFormat="false" ht="15" hidden="false" customHeight="true" outlineLevel="0" collapsed="false">
      <c r="A2749" s="7"/>
      <c r="B2749" s="18" t="str">
        <f aca="false">IF(A2749="","",IFERROR(INDEX(Sales_Memo!$B$2:$B$1001,MATCH(A2749,Sales_Memo!$A$2:$A$1001,0)),""))</f>
        <v/>
      </c>
      <c r="C2749" s="7"/>
      <c r="D2749" s="16" t="str">
        <f aca="false">IF(C2749="","",IFERROR(INDEX(Products!$B$2:$B$501,MATCH(C2749,Products!$A$2:$A$501,0)),"CODE NOT FOUND"))</f>
        <v/>
      </c>
      <c r="E2749" s="7"/>
      <c r="F2749" s="13"/>
      <c r="G2749" s="13"/>
      <c r="H2749" s="17" t="str">
        <f aca="false">IF(OR(E2749="",F2749=""),"",E2749*F2749)</f>
        <v/>
      </c>
      <c r="I2749" s="17" t="str">
        <f aca="false">IF(OR(E2749="",G2749=""),"",E2749*G2749)</f>
        <v/>
      </c>
      <c r="J2749" s="17" t="str">
        <f aca="false">IF(H2749="","",H2749-I2749)</f>
        <v/>
      </c>
    </row>
    <row r="2750" customFormat="false" ht="15" hidden="false" customHeight="true" outlineLevel="0" collapsed="false">
      <c r="A2750" s="7"/>
      <c r="B2750" s="18" t="str">
        <f aca="false">IF(A2750="","",IFERROR(INDEX(Sales_Memo!$B$2:$B$1001,MATCH(A2750,Sales_Memo!$A$2:$A$1001,0)),""))</f>
        <v/>
      </c>
      <c r="C2750" s="7"/>
      <c r="D2750" s="16" t="str">
        <f aca="false">IF(C2750="","",IFERROR(INDEX(Products!$B$2:$B$501,MATCH(C2750,Products!$A$2:$A$501,0)),"CODE NOT FOUND"))</f>
        <v/>
      </c>
      <c r="E2750" s="7"/>
      <c r="F2750" s="13"/>
      <c r="G2750" s="13"/>
      <c r="H2750" s="17" t="str">
        <f aca="false">IF(OR(E2750="",F2750=""),"",E2750*F2750)</f>
        <v/>
      </c>
      <c r="I2750" s="17" t="str">
        <f aca="false">IF(OR(E2750="",G2750=""),"",E2750*G2750)</f>
        <v/>
      </c>
      <c r="J2750" s="17" t="str">
        <f aca="false">IF(H2750="","",H2750-I2750)</f>
        <v/>
      </c>
    </row>
    <row r="2751" customFormat="false" ht="15" hidden="false" customHeight="true" outlineLevel="0" collapsed="false">
      <c r="A2751" s="7"/>
      <c r="B2751" s="18" t="str">
        <f aca="false">IF(A2751="","",IFERROR(INDEX(Sales_Memo!$B$2:$B$1001,MATCH(A2751,Sales_Memo!$A$2:$A$1001,0)),""))</f>
        <v/>
      </c>
      <c r="C2751" s="7"/>
      <c r="D2751" s="16" t="str">
        <f aca="false">IF(C2751="","",IFERROR(INDEX(Products!$B$2:$B$501,MATCH(C2751,Products!$A$2:$A$501,0)),"CODE NOT FOUND"))</f>
        <v/>
      </c>
      <c r="E2751" s="7"/>
      <c r="F2751" s="13"/>
      <c r="G2751" s="13"/>
      <c r="H2751" s="17" t="str">
        <f aca="false">IF(OR(E2751="",F2751=""),"",E2751*F2751)</f>
        <v/>
      </c>
      <c r="I2751" s="17" t="str">
        <f aca="false">IF(OR(E2751="",G2751=""),"",E2751*G2751)</f>
        <v/>
      </c>
      <c r="J2751" s="17" t="str">
        <f aca="false">IF(H2751="","",H2751-I2751)</f>
        <v/>
      </c>
    </row>
    <row r="2752" customFormat="false" ht="15" hidden="false" customHeight="true" outlineLevel="0" collapsed="false">
      <c r="A2752" s="7"/>
      <c r="B2752" s="18" t="str">
        <f aca="false">IF(A2752="","",IFERROR(INDEX(Sales_Memo!$B$2:$B$1001,MATCH(A2752,Sales_Memo!$A$2:$A$1001,0)),""))</f>
        <v/>
      </c>
      <c r="C2752" s="7"/>
      <c r="D2752" s="16" t="str">
        <f aca="false">IF(C2752="","",IFERROR(INDEX(Products!$B$2:$B$501,MATCH(C2752,Products!$A$2:$A$501,0)),"CODE NOT FOUND"))</f>
        <v/>
      </c>
      <c r="E2752" s="7"/>
      <c r="F2752" s="13"/>
      <c r="G2752" s="13"/>
      <c r="H2752" s="17" t="str">
        <f aca="false">IF(OR(E2752="",F2752=""),"",E2752*F2752)</f>
        <v/>
      </c>
      <c r="I2752" s="17" t="str">
        <f aca="false">IF(OR(E2752="",G2752=""),"",E2752*G2752)</f>
        <v/>
      </c>
      <c r="J2752" s="17" t="str">
        <f aca="false">IF(H2752="","",H2752-I2752)</f>
        <v/>
      </c>
    </row>
    <row r="2753" customFormat="false" ht="15" hidden="false" customHeight="true" outlineLevel="0" collapsed="false">
      <c r="A2753" s="7"/>
      <c r="B2753" s="18" t="str">
        <f aca="false">IF(A2753="","",IFERROR(INDEX(Sales_Memo!$B$2:$B$1001,MATCH(A2753,Sales_Memo!$A$2:$A$1001,0)),""))</f>
        <v/>
      </c>
      <c r="C2753" s="7"/>
      <c r="D2753" s="16" t="str">
        <f aca="false">IF(C2753="","",IFERROR(INDEX(Products!$B$2:$B$501,MATCH(C2753,Products!$A$2:$A$501,0)),"CODE NOT FOUND"))</f>
        <v/>
      </c>
      <c r="E2753" s="7"/>
      <c r="F2753" s="13"/>
      <c r="G2753" s="13"/>
      <c r="H2753" s="17" t="str">
        <f aca="false">IF(OR(E2753="",F2753=""),"",E2753*F2753)</f>
        <v/>
      </c>
      <c r="I2753" s="17" t="str">
        <f aca="false">IF(OR(E2753="",G2753=""),"",E2753*G2753)</f>
        <v/>
      </c>
      <c r="J2753" s="17" t="str">
        <f aca="false">IF(H2753="","",H2753-I2753)</f>
        <v/>
      </c>
    </row>
    <row r="2754" customFormat="false" ht="15" hidden="false" customHeight="true" outlineLevel="0" collapsed="false">
      <c r="A2754" s="7"/>
      <c r="B2754" s="18" t="str">
        <f aca="false">IF(A2754="","",IFERROR(INDEX(Sales_Memo!$B$2:$B$1001,MATCH(A2754,Sales_Memo!$A$2:$A$1001,0)),""))</f>
        <v/>
      </c>
      <c r="C2754" s="7"/>
      <c r="D2754" s="16" t="str">
        <f aca="false">IF(C2754="","",IFERROR(INDEX(Products!$B$2:$B$501,MATCH(C2754,Products!$A$2:$A$501,0)),"CODE NOT FOUND"))</f>
        <v/>
      </c>
      <c r="E2754" s="7"/>
      <c r="F2754" s="13"/>
      <c r="G2754" s="13"/>
      <c r="H2754" s="17" t="str">
        <f aca="false">IF(OR(E2754="",F2754=""),"",E2754*F2754)</f>
        <v/>
      </c>
      <c r="I2754" s="17" t="str">
        <f aca="false">IF(OR(E2754="",G2754=""),"",E2754*G2754)</f>
        <v/>
      </c>
      <c r="J2754" s="17" t="str">
        <f aca="false">IF(H2754="","",H2754-I2754)</f>
        <v/>
      </c>
    </row>
    <row r="2755" customFormat="false" ht="15" hidden="false" customHeight="true" outlineLevel="0" collapsed="false">
      <c r="A2755" s="7"/>
      <c r="B2755" s="18" t="str">
        <f aca="false">IF(A2755="","",IFERROR(INDEX(Sales_Memo!$B$2:$B$1001,MATCH(A2755,Sales_Memo!$A$2:$A$1001,0)),""))</f>
        <v/>
      </c>
      <c r="C2755" s="7"/>
      <c r="D2755" s="16" t="str">
        <f aca="false">IF(C2755="","",IFERROR(INDEX(Products!$B$2:$B$501,MATCH(C2755,Products!$A$2:$A$501,0)),"CODE NOT FOUND"))</f>
        <v/>
      </c>
      <c r="E2755" s="7"/>
      <c r="F2755" s="13"/>
      <c r="G2755" s="13"/>
      <c r="H2755" s="17" t="str">
        <f aca="false">IF(OR(E2755="",F2755=""),"",E2755*F2755)</f>
        <v/>
      </c>
      <c r="I2755" s="17" t="str">
        <f aca="false">IF(OR(E2755="",G2755=""),"",E2755*G2755)</f>
        <v/>
      </c>
      <c r="J2755" s="17" t="str">
        <f aca="false">IF(H2755="","",H2755-I2755)</f>
        <v/>
      </c>
    </row>
    <row r="2756" customFormat="false" ht="15" hidden="false" customHeight="true" outlineLevel="0" collapsed="false">
      <c r="A2756" s="7"/>
      <c r="B2756" s="18" t="str">
        <f aca="false">IF(A2756="","",IFERROR(INDEX(Sales_Memo!$B$2:$B$1001,MATCH(A2756,Sales_Memo!$A$2:$A$1001,0)),""))</f>
        <v/>
      </c>
      <c r="C2756" s="7"/>
      <c r="D2756" s="16" t="str">
        <f aca="false">IF(C2756="","",IFERROR(INDEX(Products!$B$2:$B$501,MATCH(C2756,Products!$A$2:$A$501,0)),"CODE NOT FOUND"))</f>
        <v/>
      </c>
      <c r="E2756" s="7"/>
      <c r="F2756" s="13"/>
      <c r="G2756" s="13"/>
      <c r="H2756" s="17" t="str">
        <f aca="false">IF(OR(E2756="",F2756=""),"",E2756*F2756)</f>
        <v/>
      </c>
      <c r="I2756" s="17" t="str">
        <f aca="false">IF(OR(E2756="",G2756=""),"",E2756*G2756)</f>
        <v/>
      </c>
      <c r="J2756" s="17" t="str">
        <f aca="false">IF(H2756="","",H2756-I2756)</f>
        <v/>
      </c>
    </row>
    <row r="2757" customFormat="false" ht="15" hidden="false" customHeight="true" outlineLevel="0" collapsed="false">
      <c r="A2757" s="7"/>
      <c r="B2757" s="18" t="str">
        <f aca="false">IF(A2757="","",IFERROR(INDEX(Sales_Memo!$B$2:$B$1001,MATCH(A2757,Sales_Memo!$A$2:$A$1001,0)),""))</f>
        <v/>
      </c>
      <c r="C2757" s="7"/>
      <c r="D2757" s="16" t="str">
        <f aca="false">IF(C2757="","",IFERROR(INDEX(Products!$B$2:$B$501,MATCH(C2757,Products!$A$2:$A$501,0)),"CODE NOT FOUND"))</f>
        <v/>
      </c>
      <c r="E2757" s="7"/>
      <c r="F2757" s="13"/>
      <c r="G2757" s="13"/>
      <c r="H2757" s="17" t="str">
        <f aca="false">IF(OR(E2757="",F2757=""),"",E2757*F2757)</f>
        <v/>
      </c>
      <c r="I2757" s="17" t="str">
        <f aca="false">IF(OR(E2757="",G2757=""),"",E2757*G2757)</f>
        <v/>
      </c>
      <c r="J2757" s="17" t="str">
        <f aca="false">IF(H2757="","",H2757-I2757)</f>
        <v/>
      </c>
    </row>
    <row r="2758" customFormat="false" ht="15" hidden="false" customHeight="true" outlineLevel="0" collapsed="false">
      <c r="A2758" s="7"/>
      <c r="B2758" s="18" t="str">
        <f aca="false">IF(A2758="","",IFERROR(INDEX(Sales_Memo!$B$2:$B$1001,MATCH(A2758,Sales_Memo!$A$2:$A$1001,0)),""))</f>
        <v/>
      </c>
      <c r="C2758" s="7"/>
      <c r="D2758" s="16" t="str">
        <f aca="false">IF(C2758="","",IFERROR(INDEX(Products!$B$2:$B$501,MATCH(C2758,Products!$A$2:$A$501,0)),"CODE NOT FOUND"))</f>
        <v/>
      </c>
      <c r="E2758" s="7"/>
      <c r="F2758" s="13"/>
      <c r="G2758" s="13"/>
      <c r="H2758" s="17" t="str">
        <f aca="false">IF(OR(E2758="",F2758=""),"",E2758*F2758)</f>
        <v/>
      </c>
      <c r="I2758" s="17" t="str">
        <f aca="false">IF(OR(E2758="",G2758=""),"",E2758*G2758)</f>
        <v/>
      </c>
      <c r="J2758" s="17" t="str">
        <f aca="false">IF(H2758="","",H2758-I2758)</f>
        <v/>
      </c>
    </row>
    <row r="2759" customFormat="false" ht="15" hidden="false" customHeight="true" outlineLevel="0" collapsed="false">
      <c r="A2759" s="7"/>
      <c r="B2759" s="18" t="str">
        <f aca="false">IF(A2759="","",IFERROR(INDEX(Sales_Memo!$B$2:$B$1001,MATCH(A2759,Sales_Memo!$A$2:$A$1001,0)),""))</f>
        <v/>
      </c>
      <c r="C2759" s="7"/>
      <c r="D2759" s="16" t="str">
        <f aca="false">IF(C2759="","",IFERROR(INDEX(Products!$B$2:$B$501,MATCH(C2759,Products!$A$2:$A$501,0)),"CODE NOT FOUND"))</f>
        <v/>
      </c>
      <c r="E2759" s="7"/>
      <c r="F2759" s="13"/>
      <c r="G2759" s="13"/>
      <c r="H2759" s="17" t="str">
        <f aca="false">IF(OR(E2759="",F2759=""),"",E2759*F2759)</f>
        <v/>
      </c>
      <c r="I2759" s="17" t="str">
        <f aca="false">IF(OR(E2759="",G2759=""),"",E2759*G2759)</f>
        <v/>
      </c>
      <c r="J2759" s="17" t="str">
        <f aca="false">IF(H2759="","",H2759-I2759)</f>
        <v/>
      </c>
    </row>
    <row r="2760" customFormat="false" ht="15" hidden="false" customHeight="true" outlineLevel="0" collapsed="false">
      <c r="A2760" s="7"/>
      <c r="B2760" s="18" t="str">
        <f aca="false">IF(A2760="","",IFERROR(INDEX(Sales_Memo!$B$2:$B$1001,MATCH(A2760,Sales_Memo!$A$2:$A$1001,0)),""))</f>
        <v/>
      </c>
      <c r="C2760" s="7"/>
      <c r="D2760" s="16" t="str">
        <f aca="false">IF(C2760="","",IFERROR(INDEX(Products!$B$2:$B$501,MATCH(C2760,Products!$A$2:$A$501,0)),"CODE NOT FOUND"))</f>
        <v/>
      </c>
      <c r="E2760" s="7"/>
      <c r="F2760" s="13"/>
      <c r="G2760" s="13"/>
      <c r="H2760" s="17" t="str">
        <f aca="false">IF(OR(E2760="",F2760=""),"",E2760*F2760)</f>
        <v/>
      </c>
      <c r="I2760" s="17" t="str">
        <f aca="false">IF(OR(E2760="",G2760=""),"",E2760*G2760)</f>
        <v/>
      </c>
      <c r="J2760" s="17" t="str">
        <f aca="false">IF(H2760="","",H2760-I2760)</f>
        <v/>
      </c>
    </row>
    <row r="2761" customFormat="false" ht="15" hidden="false" customHeight="true" outlineLevel="0" collapsed="false">
      <c r="A2761" s="7"/>
      <c r="B2761" s="18" t="str">
        <f aca="false">IF(A2761="","",IFERROR(INDEX(Sales_Memo!$B$2:$B$1001,MATCH(A2761,Sales_Memo!$A$2:$A$1001,0)),""))</f>
        <v/>
      </c>
      <c r="C2761" s="7"/>
      <c r="D2761" s="16" t="str">
        <f aca="false">IF(C2761="","",IFERROR(INDEX(Products!$B$2:$B$501,MATCH(C2761,Products!$A$2:$A$501,0)),"CODE NOT FOUND"))</f>
        <v/>
      </c>
      <c r="E2761" s="7"/>
      <c r="F2761" s="13"/>
      <c r="G2761" s="13"/>
      <c r="H2761" s="17" t="str">
        <f aca="false">IF(OR(E2761="",F2761=""),"",E2761*F2761)</f>
        <v/>
      </c>
      <c r="I2761" s="17" t="str">
        <f aca="false">IF(OR(E2761="",G2761=""),"",E2761*G2761)</f>
        <v/>
      </c>
      <c r="J2761" s="17" t="str">
        <f aca="false">IF(H2761="","",H2761-I2761)</f>
        <v/>
      </c>
    </row>
    <row r="2762" customFormat="false" ht="15" hidden="false" customHeight="true" outlineLevel="0" collapsed="false">
      <c r="A2762" s="7"/>
      <c r="B2762" s="18" t="str">
        <f aca="false">IF(A2762="","",IFERROR(INDEX(Sales_Memo!$B$2:$B$1001,MATCH(A2762,Sales_Memo!$A$2:$A$1001,0)),""))</f>
        <v/>
      </c>
      <c r="C2762" s="7"/>
      <c r="D2762" s="16" t="str">
        <f aca="false">IF(C2762="","",IFERROR(INDEX(Products!$B$2:$B$501,MATCH(C2762,Products!$A$2:$A$501,0)),"CODE NOT FOUND"))</f>
        <v/>
      </c>
      <c r="E2762" s="7"/>
      <c r="F2762" s="13"/>
      <c r="G2762" s="13"/>
      <c r="H2762" s="17" t="str">
        <f aca="false">IF(OR(E2762="",F2762=""),"",E2762*F2762)</f>
        <v/>
      </c>
      <c r="I2762" s="17" t="str">
        <f aca="false">IF(OR(E2762="",G2762=""),"",E2762*G2762)</f>
        <v/>
      </c>
      <c r="J2762" s="17" t="str">
        <f aca="false">IF(H2762="","",H2762-I2762)</f>
        <v/>
      </c>
    </row>
    <row r="2763" customFormat="false" ht="15" hidden="false" customHeight="true" outlineLevel="0" collapsed="false">
      <c r="A2763" s="7"/>
      <c r="B2763" s="18" t="str">
        <f aca="false">IF(A2763="","",IFERROR(INDEX(Sales_Memo!$B$2:$B$1001,MATCH(A2763,Sales_Memo!$A$2:$A$1001,0)),""))</f>
        <v/>
      </c>
      <c r="C2763" s="7"/>
      <c r="D2763" s="16" t="str">
        <f aca="false">IF(C2763="","",IFERROR(INDEX(Products!$B$2:$B$501,MATCH(C2763,Products!$A$2:$A$501,0)),"CODE NOT FOUND"))</f>
        <v/>
      </c>
      <c r="E2763" s="7"/>
      <c r="F2763" s="13"/>
      <c r="G2763" s="13"/>
      <c r="H2763" s="17" t="str">
        <f aca="false">IF(OR(E2763="",F2763=""),"",E2763*F2763)</f>
        <v/>
      </c>
      <c r="I2763" s="17" t="str">
        <f aca="false">IF(OR(E2763="",G2763=""),"",E2763*G2763)</f>
        <v/>
      </c>
      <c r="J2763" s="17" t="str">
        <f aca="false">IF(H2763="","",H2763-I2763)</f>
        <v/>
      </c>
    </row>
    <row r="2764" customFormat="false" ht="15" hidden="false" customHeight="true" outlineLevel="0" collapsed="false">
      <c r="A2764" s="7"/>
      <c r="B2764" s="18" t="str">
        <f aca="false">IF(A2764="","",IFERROR(INDEX(Sales_Memo!$B$2:$B$1001,MATCH(A2764,Sales_Memo!$A$2:$A$1001,0)),""))</f>
        <v/>
      </c>
      <c r="C2764" s="7"/>
      <c r="D2764" s="16" t="str">
        <f aca="false">IF(C2764="","",IFERROR(INDEX(Products!$B$2:$B$501,MATCH(C2764,Products!$A$2:$A$501,0)),"CODE NOT FOUND"))</f>
        <v/>
      </c>
      <c r="E2764" s="7"/>
      <c r="F2764" s="13"/>
      <c r="G2764" s="13"/>
      <c r="H2764" s="17" t="str">
        <f aca="false">IF(OR(E2764="",F2764=""),"",E2764*F2764)</f>
        <v/>
      </c>
      <c r="I2764" s="17" t="str">
        <f aca="false">IF(OR(E2764="",G2764=""),"",E2764*G2764)</f>
        <v/>
      </c>
      <c r="J2764" s="17" t="str">
        <f aca="false">IF(H2764="","",H2764-I2764)</f>
        <v/>
      </c>
    </row>
    <row r="2765" customFormat="false" ht="15" hidden="false" customHeight="true" outlineLevel="0" collapsed="false">
      <c r="A2765" s="7"/>
      <c r="B2765" s="18" t="str">
        <f aca="false">IF(A2765="","",IFERROR(INDEX(Sales_Memo!$B$2:$B$1001,MATCH(A2765,Sales_Memo!$A$2:$A$1001,0)),""))</f>
        <v/>
      </c>
      <c r="C2765" s="7"/>
      <c r="D2765" s="16" t="str">
        <f aca="false">IF(C2765="","",IFERROR(INDEX(Products!$B$2:$B$501,MATCH(C2765,Products!$A$2:$A$501,0)),"CODE NOT FOUND"))</f>
        <v/>
      </c>
      <c r="E2765" s="7"/>
      <c r="F2765" s="13"/>
      <c r="G2765" s="13"/>
      <c r="H2765" s="17" t="str">
        <f aca="false">IF(OR(E2765="",F2765=""),"",E2765*F2765)</f>
        <v/>
      </c>
      <c r="I2765" s="17" t="str">
        <f aca="false">IF(OR(E2765="",G2765=""),"",E2765*G2765)</f>
        <v/>
      </c>
      <c r="J2765" s="17" t="str">
        <f aca="false">IF(H2765="","",H2765-I2765)</f>
        <v/>
      </c>
    </row>
    <row r="2766" customFormat="false" ht="15" hidden="false" customHeight="true" outlineLevel="0" collapsed="false">
      <c r="A2766" s="7"/>
      <c r="B2766" s="18" t="str">
        <f aca="false">IF(A2766="","",IFERROR(INDEX(Sales_Memo!$B$2:$B$1001,MATCH(A2766,Sales_Memo!$A$2:$A$1001,0)),""))</f>
        <v/>
      </c>
      <c r="C2766" s="7"/>
      <c r="D2766" s="16" t="str">
        <f aca="false">IF(C2766="","",IFERROR(INDEX(Products!$B$2:$B$501,MATCH(C2766,Products!$A$2:$A$501,0)),"CODE NOT FOUND"))</f>
        <v/>
      </c>
      <c r="E2766" s="7"/>
      <c r="F2766" s="13"/>
      <c r="G2766" s="13"/>
      <c r="H2766" s="17" t="str">
        <f aca="false">IF(OR(E2766="",F2766=""),"",E2766*F2766)</f>
        <v/>
      </c>
      <c r="I2766" s="17" t="str">
        <f aca="false">IF(OR(E2766="",G2766=""),"",E2766*G2766)</f>
        <v/>
      </c>
      <c r="J2766" s="17" t="str">
        <f aca="false">IF(H2766="","",H2766-I2766)</f>
        <v/>
      </c>
    </row>
    <row r="2767" customFormat="false" ht="15" hidden="false" customHeight="true" outlineLevel="0" collapsed="false">
      <c r="A2767" s="7"/>
      <c r="B2767" s="18" t="str">
        <f aca="false">IF(A2767="","",IFERROR(INDEX(Sales_Memo!$B$2:$B$1001,MATCH(A2767,Sales_Memo!$A$2:$A$1001,0)),""))</f>
        <v/>
      </c>
      <c r="C2767" s="7"/>
      <c r="D2767" s="16" t="str">
        <f aca="false">IF(C2767="","",IFERROR(INDEX(Products!$B$2:$B$501,MATCH(C2767,Products!$A$2:$A$501,0)),"CODE NOT FOUND"))</f>
        <v/>
      </c>
      <c r="E2767" s="7"/>
      <c r="F2767" s="13"/>
      <c r="G2767" s="13"/>
      <c r="H2767" s="17" t="str">
        <f aca="false">IF(OR(E2767="",F2767=""),"",E2767*F2767)</f>
        <v/>
      </c>
      <c r="I2767" s="17" t="str">
        <f aca="false">IF(OR(E2767="",G2767=""),"",E2767*G2767)</f>
        <v/>
      </c>
      <c r="J2767" s="17" t="str">
        <f aca="false">IF(H2767="","",H2767-I2767)</f>
        <v/>
      </c>
    </row>
    <row r="2768" customFormat="false" ht="15" hidden="false" customHeight="true" outlineLevel="0" collapsed="false">
      <c r="A2768" s="7"/>
      <c r="B2768" s="18" t="str">
        <f aca="false">IF(A2768="","",IFERROR(INDEX(Sales_Memo!$B$2:$B$1001,MATCH(A2768,Sales_Memo!$A$2:$A$1001,0)),""))</f>
        <v/>
      </c>
      <c r="C2768" s="7"/>
      <c r="D2768" s="16" t="str">
        <f aca="false">IF(C2768="","",IFERROR(INDEX(Products!$B$2:$B$501,MATCH(C2768,Products!$A$2:$A$501,0)),"CODE NOT FOUND"))</f>
        <v/>
      </c>
      <c r="E2768" s="7"/>
      <c r="F2768" s="13"/>
      <c r="G2768" s="13"/>
      <c r="H2768" s="17" t="str">
        <f aca="false">IF(OR(E2768="",F2768=""),"",E2768*F2768)</f>
        <v/>
      </c>
      <c r="I2768" s="17" t="str">
        <f aca="false">IF(OR(E2768="",G2768=""),"",E2768*G2768)</f>
        <v/>
      </c>
      <c r="J2768" s="17" t="str">
        <f aca="false">IF(H2768="","",H2768-I2768)</f>
        <v/>
      </c>
    </row>
    <row r="2769" customFormat="false" ht="15" hidden="false" customHeight="true" outlineLevel="0" collapsed="false">
      <c r="A2769" s="7"/>
      <c r="B2769" s="18" t="str">
        <f aca="false">IF(A2769="","",IFERROR(INDEX(Sales_Memo!$B$2:$B$1001,MATCH(A2769,Sales_Memo!$A$2:$A$1001,0)),""))</f>
        <v/>
      </c>
      <c r="C2769" s="7"/>
      <c r="D2769" s="16" t="str">
        <f aca="false">IF(C2769="","",IFERROR(INDEX(Products!$B$2:$B$501,MATCH(C2769,Products!$A$2:$A$501,0)),"CODE NOT FOUND"))</f>
        <v/>
      </c>
      <c r="E2769" s="7"/>
      <c r="F2769" s="13"/>
      <c r="G2769" s="13"/>
      <c r="H2769" s="17" t="str">
        <f aca="false">IF(OR(E2769="",F2769=""),"",E2769*F2769)</f>
        <v/>
      </c>
      <c r="I2769" s="17" t="str">
        <f aca="false">IF(OR(E2769="",G2769=""),"",E2769*G2769)</f>
        <v/>
      </c>
      <c r="J2769" s="17" t="str">
        <f aca="false">IF(H2769="","",H2769-I2769)</f>
        <v/>
      </c>
    </row>
    <row r="2770" customFormat="false" ht="15" hidden="false" customHeight="true" outlineLevel="0" collapsed="false">
      <c r="A2770" s="7"/>
      <c r="B2770" s="18" t="str">
        <f aca="false">IF(A2770="","",IFERROR(INDEX(Sales_Memo!$B$2:$B$1001,MATCH(A2770,Sales_Memo!$A$2:$A$1001,0)),""))</f>
        <v/>
      </c>
      <c r="C2770" s="7"/>
      <c r="D2770" s="16" t="str">
        <f aca="false">IF(C2770="","",IFERROR(INDEX(Products!$B$2:$B$501,MATCH(C2770,Products!$A$2:$A$501,0)),"CODE NOT FOUND"))</f>
        <v/>
      </c>
      <c r="E2770" s="7"/>
      <c r="F2770" s="13"/>
      <c r="G2770" s="13"/>
      <c r="H2770" s="17" t="str">
        <f aca="false">IF(OR(E2770="",F2770=""),"",E2770*F2770)</f>
        <v/>
      </c>
      <c r="I2770" s="17" t="str">
        <f aca="false">IF(OR(E2770="",G2770=""),"",E2770*G2770)</f>
        <v/>
      </c>
      <c r="J2770" s="17" t="str">
        <f aca="false">IF(H2770="","",H2770-I2770)</f>
        <v/>
      </c>
    </row>
    <row r="2771" customFormat="false" ht="15" hidden="false" customHeight="true" outlineLevel="0" collapsed="false">
      <c r="A2771" s="7"/>
      <c r="B2771" s="18" t="str">
        <f aca="false">IF(A2771="","",IFERROR(INDEX(Sales_Memo!$B$2:$B$1001,MATCH(A2771,Sales_Memo!$A$2:$A$1001,0)),""))</f>
        <v/>
      </c>
      <c r="C2771" s="7"/>
      <c r="D2771" s="16" t="str">
        <f aca="false">IF(C2771="","",IFERROR(INDEX(Products!$B$2:$B$501,MATCH(C2771,Products!$A$2:$A$501,0)),"CODE NOT FOUND"))</f>
        <v/>
      </c>
      <c r="E2771" s="7"/>
      <c r="F2771" s="13"/>
      <c r="G2771" s="13"/>
      <c r="H2771" s="17" t="str">
        <f aca="false">IF(OR(E2771="",F2771=""),"",E2771*F2771)</f>
        <v/>
      </c>
      <c r="I2771" s="17" t="str">
        <f aca="false">IF(OR(E2771="",G2771=""),"",E2771*G2771)</f>
        <v/>
      </c>
      <c r="J2771" s="17" t="str">
        <f aca="false">IF(H2771="","",H2771-I2771)</f>
        <v/>
      </c>
    </row>
    <row r="2772" customFormat="false" ht="15" hidden="false" customHeight="true" outlineLevel="0" collapsed="false">
      <c r="A2772" s="7"/>
      <c r="B2772" s="18" t="str">
        <f aca="false">IF(A2772="","",IFERROR(INDEX(Sales_Memo!$B$2:$B$1001,MATCH(A2772,Sales_Memo!$A$2:$A$1001,0)),""))</f>
        <v/>
      </c>
      <c r="C2772" s="7"/>
      <c r="D2772" s="16" t="str">
        <f aca="false">IF(C2772="","",IFERROR(INDEX(Products!$B$2:$B$501,MATCH(C2772,Products!$A$2:$A$501,0)),"CODE NOT FOUND"))</f>
        <v/>
      </c>
      <c r="E2772" s="7"/>
      <c r="F2772" s="13"/>
      <c r="G2772" s="13"/>
      <c r="H2772" s="17" t="str">
        <f aca="false">IF(OR(E2772="",F2772=""),"",E2772*F2772)</f>
        <v/>
      </c>
      <c r="I2772" s="17" t="str">
        <f aca="false">IF(OR(E2772="",G2772=""),"",E2772*G2772)</f>
        <v/>
      </c>
      <c r="J2772" s="17" t="str">
        <f aca="false">IF(H2772="","",H2772-I2772)</f>
        <v/>
      </c>
    </row>
    <row r="2773" customFormat="false" ht="15" hidden="false" customHeight="true" outlineLevel="0" collapsed="false">
      <c r="A2773" s="7"/>
      <c r="B2773" s="18" t="str">
        <f aca="false">IF(A2773="","",IFERROR(INDEX(Sales_Memo!$B$2:$B$1001,MATCH(A2773,Sales_Memo!$A$2:$A$1001,0)),""))</f>
        <v/>
      </c>
      <c r="C2773" s="7"/>
      <c r="D2773" s="16" t="str">
        <f aca="false">IF(C2773="","",IFERROR(INDEX(Products!$B$2:$B$501,MATCH(C2773,Products!$A$2:$A$501,0)),"CODE NOT FOUND"))</f>
        <v/>
      </c>
      <c r="E2773" s="7"/>
      <c r="F2773" s="13"/>
      <c r="G2773" s="13"/>
      <c r="H2773" s="17" t="str">
        <f aca="false">IF(OR(E2773="",F2773=""),"",E2773*F2773)</f>
        <v/>
      </c>
      <c r="I2773" s="17" t="str">
        <f aca="false">IF(OR(E2773="",G2773=""),"",E2773*G2773)</f>
        <v/>
      </c>
      <c r="J2773" s="17" t="str">
        <f aca="false">IF(H2773="","",H2773-I2773)</f>
        <v/>
      </c>
    </row>
    <row r="2774" customFormat="false" ht="15" hidden="false" customHeight="true" outlineLevel="0" collapsed="false">
      <c r="A2774" s="7"/>
      <c r="B2774" s="18" t="str">
        <f aca="false">IF(A2774="","",IFERROR(INDEX(Sales_Memo!$B$2:$B$1001,MATCH(A2774,Sales_Memo!$A$2:$A$1001,0)),""))</f>
        <v/>
      </c>
      <c r="C2774" s="7"/>
      <c r="D2774" s="16" t="str">
        <f aca="false">IF(C2774="","",IFERROR(INDEX(Products!$B$2:$B$501,MATCH(C2774,Products!$A$2:$A$501,0)),"CODE NOT FOUND"))</f>
        <v/>
      </c>
      <c r="E2774" s="7"/>
      <c r="F2774" s="13"/>
      <c r="G2774" s="13"/>
      <c r="H2774" s="17" t="str">
        <f aca="false">IF(OR(E2774="",F2774=""),"",E2774*F2774)</f>
        <v/>
      </c>
      <c r="I2774" s="17" t="str">
        <f aca="false">IF(OR(E2774="",G2774=""),"",E2774*G2774)</f>
        <v/>
      </c>
      <c r="J2774" s="17" t="str">
        <f aca="false">IF(H2774="","",H2774-I2774)</f>
        <v/>
      </c>
    </row>
    <row r="2775" customFormat="false" ht="15" hidden="false" customHeight="true" outlineLevel="0" collapsed="false">
      <c r="A2775" s="7"/>
      <c r="B2775" s="18" t="str">
        <f aca="false">IF(A2775="","",IFERROR(INDEX(Sales_Memo!$B$2:$B$1001,MATCH(A2775,Sales_Memo!$A$2:$A$1001,0)),""))</f>
        <v/>
      </c>
      <c r="C2775" s="7"/>
      <c r="D2775" s="16" t="str">
        <f aca="false">IF(C2775="","",IFERROR(INDEX(Products!$B$2:$B$501,MATCH(C2775,Products!$A$2:$A$501,0)),"CODE NOT FOUND"))</f>
        <v/>
      </c>
      <c r="E2775" s="7"/>
      <c r="F2775" s="13"/>
      <c r="G2775" s="13"/>
      <c r="H2775" s="17" t="str">
        <f aca="false">IF(OR(E2775="",F2775=""),"",E2775*F2775)</f>
        <v/>
      </c>
      <c r="I2775" s="17" t="str">
        <f aca="false">IF(OR(E2775="",G2775=""),"",E2775*G2775)</f>
        <v/>
      </c>
      <c r="J2775" s="17" t="str">
        <f aca="false">IF(H2775="","",H2775-I2775)</f>
        <v/>
      </c>
    </row>
    <row r="2776" customFormat="false" ht="15" hidden="false" customHeight="true" outlineLevel="0" collapsed="false">
      <c r="A2776" s="7"/>
      <c r="B2776" s="18" t="str">
        <f aca="false">IF(A2776="","",IFERROR(INDEX(Sales_Memo!$B$2:$B$1001,MATCH(A2776,Sales_Memo!$A$2:$A$1001,0)),""))</f>
        <v/>
      </c>
      <c r="C2776" s="7"/>
      <c r="D2776" s="16" t="str">
        <f aca="false">IF(C2776="","",IFERROR(INDEX(Products!$B$2:$B$501,MATCH(C2776,Products!$A$2:$A$501,0)),"CODE NOT FOUND"))</f>
        <v/>
      </c>
      <c r="E2776" s="7"/>
      <c r="F2776" s="13"/>
      <c r="G2776" s="13"/>
      <c r="H2776" s="17" t="str">
        <f aca="false">IF(OR(E2776="",F2776=""),"",E2776*F2776)</f>
        <v/>
      </c>
      <c r="I2776" s="17" t="str">
        <f aca="false">IF(OR(E2776="",G2776=""),"",E2776*G2776)</f>
        <v/>
      </c>
      <c r="J2776" s="17" t="str">
        <f aca="false">IF(H2776="","",H2776-I2776)</f>
        <v/>
      </c>
    </row>
    <row r="2777" customFormat="false" ht="15" hidden="false" customHeight="true" outlineLevel="0" collapsed="false">
      <c r="A2777" s="7"/>
      <c r="B2777" s="18" t="str">
        <f aca="false">IF(A2777="","",IFERROR(INDEX(Sales_Memo!$B$2:$B$1001,MATCH(A2777,Sales_Memo!$A$2:$A$1001,0)),""))</f>
        <v/>
      </c>
      <c r="C2777" s="7"/>
      <c r="D2777" s="16" t="str">
        <f aca="false">IF(C2777="","",IFERROR(INDEX(Products!$B$2:$B$501,MATCH(C2777,Products!$A$2:$A$501,0)),"CODE NOT FOUND"))</f>
        <v/>
      </c>
      <c r="E2777" s="7"/>
      <c r="F2777" s="13"/>
      <c r="G2777" s="13"/>
      <c r="H2777" s="17" t="str">
        <f aca="false">IF(OR(E2777="",F2777=""),"",E2777*F2777)</f>
        <v/>
      </c>
      <c r="I2777" s="17" t="str">
        <f aca="false">IF(OR(E2777="",G2777=""),"",E2777*G2777)</f>
        <v/>
      </c>
      <c r="J2777" s="17" t="str">
        <f aca="false">IF(H2777="","",H2777-I2777)</f>
        <v/>
      </c>
    </row>
    <row r="2778" customFormat="false" ht="15" hidden="false" customHeight="true" outlineLevel="0" collapsed="false">
      <c r="A2778" s="7"/>
      <c r="B2778" s="18" t="str">
        <f aca="false">IF(A2778="","",IFERROR(INDEX(Sales_Memo!$B$2:$B$1001,MATCH(A2778,Sales_Memo!$A$2:$A$1001,0)),""))</f>
        <v/>
      </c>
      <c r="C2778" s="7"/>
      <c r="D2778" s="16" t="str">
        <f aca="false">IF(C2778="","",IFERROR(INDEX(Products!$B$2:$B$501,MATCH(C2778,Products!$A$2:$A$501,0)),"CODE NOT FOUND"))</f>
        <v/>
      </c>
      <c r="E2778" s="7"/>
      <c r="F2778" s="13"/>
      <c r="G2778" s="13"/>
      <c r="H2778" s="17" t="str">
        <f aca="false">IF(OR(E2778="",F2778=""),"",E2778*F2778)</f>
        <v/>
      </c>
      <c r="I2778" s="17" t="str">
        <f aca="false">IF(OR(E2778="",G2778=""),"",E2778*G2778)</f>
        <v/>
      </c>
      <c r="J2778" s="17" t="str">
        <f aca="false">IF(H2778="","",H2778-I2778)</f>
        <v/>
      </c>
    </row>
    <row r="2779" customFormat="false" ht="15" hidden="false" customHeight="true" outlineLevel="0" collapsed="false">
      <c r="A2779" s="7"/>
      <c r="B2779" s="18" t="str">
        <f aca="false">IF(A2779="","",IFERROR(INDEX(Sales_Memo!$B$2:$B$1001,MATCH(A2779,Sales_Memo!$A$2:$A$1001,0)),""))</f>
        <v/>
      </c>
      <c r="C2779" s="7"/>
      <c r="D2779" s="16" t="str">
        <f aca="false">IF(C2779="","",IFERROR(INDEX(Products!$B$2:$B$501,MATCH(C2779,Products!$A$2:$A$501,0)),"CODE NOT FOUND"))</f>
        <v/>
      </c>
      <c r="E2779" s="7"/>
      <c r="F2779" s="13"/>
      <c r="G2779" s="13"/>
      <c r="H2779" s="17" t="str">
        <f aca="false">IF(OR(E2779="",F2779=""),"",E2779*F2779)</f>
        <v/>
      </c>
      <c r="I2779" s="17" t="str">
        <f aca="false">IF(OR(E2779="",G2779=""),"",E2779*G2779)</f>
        <v/>
      </c>
      <c r="J2779" s="17" t="str">
        <f aca="false">IF(H2779="","",H2779-I2779)</f>
        <v/>
      </c>
    </row>
    <row r="2780" customFormat="false" ht="15" hidden="false" customHeight="true" outlineLevel="0" collapsed="false">
      <c r="A2780" s="7"/>
      <c r="B2780" s="18" t="str">
        <f aca="false">IF(A2780="","",IFERROR(INDEX(Sales_Memo!$B$2:$B$1001,MATCH(A2780,Sales_Memo!$A$2:$A$1001,0)),""))</f>
        <v/>
      </c>
      <c r="C2780" s="7"/>
      <c r="D2780" s="16" t="str">
        <f aca="false">IF(C2780="","",IFERROR(INDEX(Products!$B$2:$B$501,MATCH(C2780,Products!$A$2:$A$501,0)),"CODE NOT FOUND"))</f>
        <v/>
      </c>
      <c r="E2780" s="7"/>
      <c r="F2780" s="13"/>
      <c r="G2780" s="13"/>
      <c r="H2780" s="17" t="str">
        <f aca="false">IF(OR(E2780="",F2780=""),"",E2780*F2780)</f>
        <v/>
      </c>
      <c r="I2780" s="17" t="str">
        <f aca="false">IF(OR(E2780="",G2780=""),"",E2780*G2780)</f>
        <v/>
      </c>
      <c r="J2780" s="17" t="str">
        <f aca="false">IF(H2780="","",H2780-I2780)</f>
        <v/>
      </c>
    </row>
    <row r="2781" customFormat="false" ht="15" hidden="false" customHeight="true" outlineLevel="0" collapsed="false">
      <c r="A2781" s="7"/>
      <c r="B2781" s="18" t="str">
        <f aca="false">IF(A2781="","",IFERROR(INDEX(Sales_Memo!$B$2:$B$1001,MATCH(A2781,Sales_Memo!$A$2:$A$1001,0)),""))</f>
        <v/>
      </c>
      <c r="C2781" s="7"/>
      <c r="D2781" s="16" t="str">
        <f aca="false">IF(C2781="","",IFERROR(INDEX(Products!$B$2:$B$501,MATCH(C2781,Products!$A$2:$A$501,0)),"CODE NOT FOUND"))</f>
        <v/>
      </c>
      <c r="E2781" s="7"/>
      <c r="F2781" s="13"/>
      <c r="G2781" s="13"/>
      <c r="H2781" s="17" t="str">
        <f aca="false">IF(OR(E2781="",F2781=""),"",E2781*F2781)</f>
        <v/>
      </c>
      <c r="I2781" s="17" t="str">
        <f aca="false">IF(OR(E2781="",G2781=""),"",E2781*G2781)</f>
        <v/>
      </c>
      <c r="J2781" s="17" t="str">
        <f aca="false">IF(H2781="","",H2781-I2781)</f>
        <v/>
      </c>
    </row>
    <row r="2782" customFormat="false" ht="15" hidden="false" customHeight="true" outlineLevel="0" collapsed="false">
      <c r="A2782" s="7"/>
      <c r="B2782" s="18" t="str">
        <f aca="false">IF(A2782="","",IFERROR(INDEX(Sales_Memo!$B$2:$B$1001,MATCH(A2782,Sales_Memo!$A$2:$A$1001,0)),""))</f>
        <v/>
      </c>
      <c r="C2782" s="7"/>
      <c r="D2782" s="16" t="str">
        <f aca="false">IF(C2782="","",IFERROR(INDEX(Products!$B$2:$B$501,MATCH(C2782,Products!$A$2:$A$501,0)),"CODE NOT FOUND"))</f>
        <v/>
      </c>
      <c r="E2782" s="7"/>
      <c r="F2782" s="13"/>
      <c r="G2782" s="13"/>
      <c r="H2782" s="17" t="str">
        <f aca="false">IF(OR(E2782="",F2782=""),"",E2782*F2782)</f>
        <v/>
      </c>
      <c r="I2782" s="17" t="str">
        <f aca="false">IF(OR(E2782="",G2782=""),"",E2782*G2782)</f>
        <v/>
      </c>
      <c r="J2782" s="17" t="str">
        <f aca="false">IF(H2782="","",H2782-I2782)</f>
        <v/>
      </c>
    </row>
    <row r="2783" customFormat="false" ht="15" hidden="false" customHeight="true" outlineLevel="0" collapsed="false">
      <c r="A2783" s="7"/>
      <c r="B2783" s="18" t="str">
        <f aca="false">IF(A2783="","",IFERROR(INDEX(Sales_Memo!$B$2:$B$1001,MATCH(A2783,Sales_Memo!$A$2:$A$1001,0)),""))</f>
        <v/>
      </c>
      <c r="C2783" s="7"/>
      <c r="D2783" s="16" t="str">
        <f aca="false">IF(C2783="","",IFERROR(INDEX(Products!$B$2:$B$501,MATCH(C2783,Products!$A$2:$A$501,0)),"CODE NOT FOUND"))</f>
        <v/>
      </c>
      <c r="E2783" s="7"/>
      <c r="F2783" s="13"/>
      <c r="G2783" s="13"/>
      <c r="H2783" s="17" t="str">
        <f aca="false">IF(OR(E2783="",F2783=""),"",E2783*F2783)</f>
        <v/>
      </c>
      <c r="I2783" s="17" t="str">
        <f aca="false">IF(OR(E2783="",G2783=""),"",E2783*G2783)</f>
        <v/>
      </c>
      <c r="J2783" s="17" t="str">
        <f aca="false">IF(H2783="","",H2783-I2783)</f>
        <v/>
      </c>
    </row>
    <row r="2784" customFormat="false" ht="15" hidden="false" customHeight="true" outlineLevel="0" collapsed="false">
      <c r="A2784" s="7"/>
      <c r="B2784" s="18" t="str">
        <f aca="false">IF(A2784="","",IFERROR(INDEX(Sales_Memo!$B$2:$B$1001,MATCH(A2784,Sales_Memo!$A$2:$A$1001,0)),""))</f>
        <v/>
      </c>
      <c r="C2784" s="7"/>
      <c r="D2784" s="16" t="str">
        <f aca="false">IF(C2784="","",IFERROR(INDEX(Products!$B$2:$B$501,MATCH(C2784,Products!$A$2:$A$501,0)),"CODE NOT FOUND"))</f>
        <v/>
      </c>
      <c r="E2784" s="7"/>
      <c r="F2784" s="13"/>
      <c r="G2784" s="13"/>
      <c r="H2784" s="17" t="str">
        <f aca="false">IF(OR(E2784="",F2784=""),"",E2784*F2784)</f>
        <v/>
      </c>
      <c r="I2784" s="17" t="str">
        <f aca="false">IF(OR(E2784="",G2784=""),"",E2784*G2784)</f>
        <v/>
      </c>
      <c r="J2784" s="17" t="str">
        <f aca="false">IF(H2784="","",H2784-I2784)</f>
        <v/>
      </c>
    </row>
    <row r="2785" customFormat="false" ht="15" hidden="false" customHeight="true" outlineLevel="0" collapsed="false">
      <c r="A2785" s="7"/>
      <c r="B2785" s="18" t="str">
        <f aca="false">IF(A2785="","",IFERROR(INDEX(Sales_Memo!$B$2:$B$1001,MATCH(A2785,Sales_Memo!$A$2:$A$1001,0)),""))</f>
        <v/>
      </c>
      <c r="C2785" s="7"/>
      <c r="D2785" s="16" t="str">
        <f aca="false">IF(C2785="","",IFERROR(INDEX(Products!$B$2:$B$501,MATCH(C2785,Products!$A$2:$A$501,0)),"CODE NOT FOUND"))</f>
        <v/>
      </c>
      <c r="E2785" s="7"/>
      <c r="F2785" s="13"/>
      <c r="G2785" s="13"/>
      <c r="H2785" s="17" t="str">
        <f aca="false">IF(OR(E2785="",F2785=""),"",E2785*F2785)</f>
        <v/>
      </c>
      <c r="I2785" s="17" t="str">
        <f aca="false">IF(OR(E2785="",G2785=""),"",E2785*G2785)</f>
        <v/>
      </c>
      <c r="J2785" s="17" t="str">
        <f aca="false">IF(H2785="","",H2785-I2785)</f>
        <v/>
      </c>
    </row>
    <row r="2786" customFormat="false" ht="15" hidden="false" customHeight="true" outlineLevel="0" collapsed="false">
      <c r="A2786" s="7"/>
      <c r="B2786" s="18" t="str">
        <f aca="false">IF(A2786="","",IFERROR(INDEX(Sales_Memo!$B$2:$B$1001,MATCH(A2786,Sales_Memo!$A$2:$A$1001,0)),""))</f>
        <v/>
      </c>
      <c r="C2786" s="7"/>
      <c r="D2786" s="16" t="str">
        <f aca="false">IF(C2786="","",IFERROR(INDEX(Products!$B$2:$B$501,MATCH(C2786,Products!$A$2:$A$501,0)),"CODE NOT FOUND"))</f>
        <v/>
      </c>
      <c r="E2786" s="7"/>
      <c r="F2786" s="13"/>
      <c r="G2786" s="13"/>
      <c r="H2786" s="17" t="str">
        <f aca="false">IF(OR(E2786="",F2786=""),"",E2786*F2786)</f>
        <v/>
      </c>
      <c r="I2786" s="17" t="str">
        <f aca="false">IF(OR(E2786="",G2786=""),"",E2786*G2786)</f>
        <v/>
      </c>
      <c r="J2786" s="17" t="str">
        <f aca="false">IF(H2786="","",H2786-I2786)</f>
        <v/>
      </c>
    </row>
    <row r="2787" customFormat="false" ht="15" hidden="false" customHeight="true" outlineLevel="0" collapsed="false">
      <c r="A2787" s="7"/>
      <c r="B2787" s="18" t="str">
        <f aca="false">IF(A2787="","",IFERROR(INDEX(Sales_Memo!$B$2:$B$1001,MATCH(A2787,Sales_Memo!$A$2:$A$1001,0)),""))</f>
        <v/>
      </c>
      <c r="C2787" s="7"/>
      <c r="D2787" s="16" t="str">
        <f aca="false">IF(C2787="","",IFERROR(INDEX(Products!$B$2:$B$501,MATCH(C2787,Products!$A$2:$A$501,0)),"CODE NOT FOUND"))</f>
        <v/>
      </c>
      <c r="E2787" s="7"/>
      <c r="F2787" s="13"/>
      <c r="G2787" s="13"/>
      <c r="H2787" s="17" t="str">
        <f aca="false">IF(OR(E2787="",F2787=""),"",E2787*F2787)</f>
        <v/>
      </c>
      <c r="I2787" s="17" t="str">
        <f aca="false">IF(OR(E2787="",G2787=""),"",E2787*G2787)</f>
        <v/>
      </c>
      <c r="J2787" s="17" t="str">
        <f aca="false">IF(H2787="","",H2787-I2787)</f>
        <v/>
      </c>
    </row>
    <row r="2788" customFormat="false" ht="15" hidden="false" customHeight="true" outlineLevel="0" collapsed="false">
      <c r="A2788" s="7"/>
      <c r="B2788" s="18" t="str">
        <f aca="false">IF(A2788="","",IFERROR(INDEX(Sales_Memo!$B$2:$B$1001,MATCH(A2788,Sales_Memo!$A$2:$A$1001,0)),""))</f>
        <v/>
      </c>
      <c r="C2788" s="7"/>
      <c r="D2788" s="16" t="str">
        <f aca="false">IF(C2788="","",IFERROR(INDEX(Products!$B$2:$B$501,MATCH(C2788,Products!$A$2:$A$501,0)),"CODE NOT FOUND"))</f>
        <v/>
      </c>
      <c r="E2788" s="7"/>
      <c r="F2788" s="13"/>
      <c r="G2788" s="13"/>
      <c r="H2788" s="17" t="str">
        <f aca="false">IF(OR(E2788="",F2788=""),"",E2788*F2788)</f>
        <v/>
      </c>
      <c r="I2788" s="17" t="str">
        <f aca="false">IF(OR(E2788="",G2788=""),"",E2788*G2788)</f>
        <v/>
      </c>
      <c r="J2788" s="17" t="str">
        <f aca="false">IF(H2788="","",H2788-I2788)</f>
        <v/>
      </c>
    </row>
    <row r="2789" customFormat="false" ht="15" hidden="false" customHeight="true" outlineLevel="0" collapsed="false">
      <c r="A2789" s="7"/>
      <c r="B2789" s="18" t="str">
        <f aca="false">IF(A2789="","",IFERROR(INDEX(Sales_Memo!$B$2:$B$1001,MATCH(A2789,Sales_Memo!$A$2:$A$1001,0)),""))</f>
        <v/>
      </c>
      <c r="C2789" s="7"/>
      <c r="D2789" s="16" t="str">
        <f aca="false">IF(C2789="","",IFERROR(INDEX(Products!$B$2:$B$501,MATCH(C2789,Products!$A$2:$A$501,0)),"CODE NOT FOUND"))</f>
        <v/>
      </c>
      <c r="E2789" s="7"/>
      <c r="F2789" s="13"/>
      <c r="G2789" s="13"/>
      <c r="H2789" s="17" t="str">
        <f aca="false">IF(OR(E2789="",F2789=""),"",E2789*F2789)</f>
        <v/>
      </c>
      <c r="I2789" s="17" t="str">
        <f aca="false">IF(OR(E2789="",G2789=""),"",E2789*G2789)</f>
        <v/>
      </c>
      <c r="J2789" s="17" t="str">
        <f aca="false">IF(H2789="","",H2789-I2789)</f>
        <v/>
      </c>
    </row>
    <row r="2790" customFormat="false" ht="15" hidden="false" customHeight="true" outlineLevel="0" collapsed="false">
      <c r="A2790" s="7"/>
      <c r="B2790" s="18" t="str">
        <f aca="false">IF(A2790="","",IFERROR(INDEX(Sales_Memo!$B$2:$B$1001,MATCH(A2790,Sales_Memo!$A$2:$A$1001,0)),""))</f>
        <v/>
      </c>
      <c r="C2790" s="7"/>
      <c r="D2790" s="16" t="str">
        <f aca="false">IF(C2790="","",IFERROR(INDEX(Products!$B$2:$B$501,MATCH(C2790,Products!$A$2:$A$501,0)),"CODE NOT FOUND"))</f>
        <v/>
      </c>
      <c r="E2790" s="7"/>
      <c r="F2790" s="13"/>
      <c r="G2790" s="13"/>
      <c r="H2790" s="17" t="str">
        <f aca="false">IF(OR(E2790="",F2790=""),"",E2790*F2790)</f>
        <v/>
      </c>
      <c r="I2790" s="17" t="str">
        <f aca="false">IF(OR(E2790="",G2790=""),"",E2790*G2790)</f>
        <v/>
      </c>
      <c r="J2790" s="17" t="str">
        <f aca="false">IF(H2790="","",H2790-I2790)</f>
        <v/>
      </c>
    </row>
    <row r="2791" customFormat="false" ht="15" hidden="false" customHeight="true" outlineLevel="0" collapsed="false">
      <c r="A2791" s="7"/>
      <c r="B2791" s="18" t="str">
        <f aca="false">IF(A2791="","",IFERROR(INDEX(Sales_Memo!$B$2:$B$1001,MATCH(A2791,Sales_Memo!$A$2:$A$1001,0)),""))</f>
        <v/>
      </c>
      <c r="C2791" s="7"/>
      <c r="D2791" s="16" t="str">
        <f aca="false">IF(C2791="","",IFERROR(INDEX(Products!$B$2:$B$501,MATCH(C2791,Products!$A$2:$A$501,0)),"CODE NOT FOUND"))</f>
        <v/>
      </c>
      <c r="E2791" s="7"/>
      <c r="F2791" s="13"/>
      <c r="G2791" s="13"/>
      <c r="H2791" s="17" t="str">
        <f aca="false">IF(OR(E2791="",F2791=""),"",E2791*F2791)</f>
        <v/>
      </c>
      <c r="I2791" s="17" t="str">
        <f aca="false">IF(OR(E2791="",G2791=""),"",E2791*G2791)</f>
        <v/>
      </c>
      <c r="J2791" s="17" t="str">
        <f aca="false">IF(H2791="","",H2791-I2791)</f>
        <v/>
      </c>
    </row>
    <row r="2792" customFormat="false" ht="15" hidden="false" customHeight="true" outlineLevel="0" collapsed="false">
      <c r="A2792" s="7"/>
      <c r="B2792" s="18" t="str">
        <f aca="false">IF(A2792="","",IFERROR(INDEX(Sales_Memo!$B$2:$B$1001,MATCH(A2792,Sales_Memo!$A$2:$A$1001,0)),""))</f>
        <v/>
      </c>
      <c r="C2792" s="7"/>
      <c r="D2792" s="16" t="str">
        <f aca="false">IF(C2792="","",IFERROR(INDEX(Products!$B$2:$B$501,MATCH(C2792,Products!$A$2:$A$501,0)),"CODE NOT FOUND"))</f>
        <v/>
      </c>
      <c r="E2792" s="7"/>
      <c r="F2792" s="13"/>
      <c r="G2792" s="13"/>
      <c r="H2792" s="17" t="str">
        <f aca="false">IF(OR(E2792="",F2792=""),"",E2792*F2792)</f>
        <v/>
      </c>
      <c r="I2792" s="17" t="str">
        <f aca="false">IF(OR(E2792="",G2792=""),"",E2792*G2792)</f>
        <v/>
      </c>
      <c r="J2792" s="17" t="str">
        <f aca="false">IF(H2792="","",H2792-I2792)</f>
        <v/>
      </c>
    </row>
    <row r="2793" customFormat="false" ht="15" hidden="false" customHeight="true" outlineLevel="0" collapsed="false">
      <c r="A2793" s="7"/>
      <c r="B2793" s="18" t="str">
        <f aca="false">IF(A2793="","",IFERROR(INDEX(Sales_Memo!$B$2:$B$1001,MATCH(A2793,Sales_Memo!$A$2:$A$1001,0)),""))</f>
        <v/>
      </c>
      <c r="C2793" s="7"/>
      <c r="D2793" s="16" t="str">
        <f aca="false">IF(C2793="","",IFERROR(INDEX(Products!$B$2:$B$501,MATCH(C2793,Products!$A$2:$A$501,0)),"CODE NOT FOUND"))</f>
        <v/>
      </c>
      <c r="E2793" s="7"/>
      <c r="F2793" s="13"/>
      <c r="G2793" s="13"/>
      <c r="H2793" s="17" t="str">
        <f aca="false">IF(OR(E2793="",F2793=""),"",E2793*F2793)</f>
        <v/>
      </c>
      <c r="I2793" s="17" t="str">
        <f aca="false">IF(OR(E2793="",G2793=""),"",E2793*G2793)</f>
        <v/>
      </c>
      <c r="J2793" s="17" t="str">
        <f aca="false">IF(H2793="","",H2793-I2793)</f>
        <v/>
      </c>
    </row>
    <row r="2794" customFormat="false" ht="15" hidden="false" customHeight="true" outlineLevel="0" collapsed="false">
      <c r="A2794" s="7"/>
      <c r="B2794" s="18" t="str">
        <f aca="false">IF(A2794="","",IFERROR(INDEX(Sales_Memo!$B$2:$B$1001,MATCH(A2794,Sales_Memo!$A$2:$A$1001,0)),""))</f>
        <v/>
      </c>
      <c r="C2794" s="7"/>
      <c r="D2794" s="16" t="str">
        <f aca="false">IF(C2794="","",IFERROR(INDEX(Products!$B$2:$B$501,MATCH(C2794,Products!$A$2:$A$501,0)),"CODE NOT FOUND"))</f>
        <v/>
      </c>
      <c r="E2794" s="7"/>
      <c r="F2794" s="13"/>
      <c r="G2794" s="13"/>
      <c r="H2794" s="17" t="str">
        <f aca="false">IF(OR(E2794="",F2794=""),"",E2794*F2794)</f>
        <v/>
      </c>
      <c r="I2794" s="17" t="str">
        <f aca="false">IF(OR(E2794="",G2794=""),"",E2794*G2794)</f>
        <v/>
      </c>
      <c r="J2794" s="17" t="str">
        <f aca="false">IF(H2794="","",H2794-I2794)</f>
        <v/>
      </c>
    </row>
    <row r="2795" customFormat="false" ht="15" hidden="false" customHeight="true" outlineLevel="0" collapsed="false">
      <c r="A2795" s="7"/>
      <c r="B2795" s="18" t="str">
        <f aca="false">IF(A2795="","",IFERROR(INDEX(Sales_Memo!$B$2:$B$1001,MATCH(A2795,Sales_Memo!$A$2:$A$1001,0)),""))</f>
        <v/>
      </c>
      <c r="C2795" s="7"/>
      <c r="D2795" s="16" t="str">
        <f aca="false">IF(C2795="","",IFERROR(INDEX(Products!$B$2:$B$501,MATCH(C2795,Products!$A$2:$A$501,0)),"CODE NOT FOUND"))</f>
        <v/>
      </c>
      <c r="E2795" s="7"/>
      <c r="F2795" s="13"/>
      <c r="G2795" s="13"/>
      <c r="H2795" s="17" t="str">
        <f aca="false">IF(OR(E2795="",F2795=""),"",E2795*F2795)</f>
        <v/>
      </c>
      <c r="I2795" s="17" t="str">
        <f aca="false">IF(OR(E2795="",G2795=""),"",E2795*G2795)</f>
        <v/>
      </c>
      <c r="J2795" s="17" t="str">
        <f aca="false">IF(H2795="","",H2795-I2795)</f>
        <v/>
      </c>
    </row>
    <row r="2796" customFormat="false" ht="15" hidden="false" customHeight="true" outlineLevel="0" collapsed="false">
      <c r="A2796" s="7"/>
      <c r="B2796" s="18" t="str">
        <f aca="false">IF(A2796="","",IFERROR(INDEX(Sales_Memo!$B$2:$B$1001,MATCH(A2796,Sales_Memo!$A$2:$A$1001,0)),""))</f>
        <v/>
      </c>
      <c r="C2796" s="7"/>
      <c r="D2796" s="16" t="str">
        <f aca="false">IF(C2796="","",IFERROR(INDEX(Products!$B$2:$B$501,MATCH(C2796,Products!$A$2:$A$501,0)),"CODE NOT FOUND"))</f>
        <v/>
      </c>
      <c r="E2796" s="7"/>
      <c r="F2796" s="13"/>
      <c r="G2796" s="13"/>
      <c r="H2796" s="17" t="str">
        <f aca="false">IF(OR(E2796="",F2796=""),"",E2796*F2796)</f>
        <v/>
      </c>
      <c r="I2796" s="17" t="str">
        <f aca="false">IF(OR(E2796="",G2796=""),"",E2796*G2796)</f>
        <v/>
      </c>
      <c r="J2796" s="17" t="str">
        <f aca="false">IF(H2796="","",H2796-I2796)</f>
        <v/>
      </c>
    </row>
    <row r="2797" customFormat="false" ht="15" hidden="false" customHeight="true" outlineLevel="0" collapsed="false">
      <c r="A2797" s="7"/>
      <c r="B2797" s="18" t="str">
        <f aca="false">IF(A2797="","",IFERROR(INDEX(Sales_Memo!$B$2:$B$1001,MATCH(A2797,Sales_Memo!$A$2:$A$1001,0)),""))</f>
        <v/>
      </c>
      <c r="C2797" s="7"/>
      <c r="D2797" s="16" t="str">
        <f aca="false">IF(C2797="","",IFERROR(INDEX(Products!$B$2:$B$501,MATCH(C2797,Products!$A$2:$A$501,0)),"CODE NOT FOUND"))</f>
        <v/>
      </c>
      <c r="E2797" s="7"/>
      <c r="F2797" s="13"/>
      <c r="G2797" s="13"/>
      <c r="H2797" s="17" t="str">
        <f aca="false">IF(OR(E2797="",F2797=""),"",E2797*F2797)</f>
        <v/>
      </c>
      <c r="I2797" s="17" t="str">
        <f aca="false">IF(OR(E2797="",G2797=""),"",E2797*G2797)</f>
        <v/>
      </c>
      <c r="J2797" s="17" t="str">
        <f aca="false">IF(H2797="","",H2797-I2797)</f>
        <v/>
      </c>
    </row>
    <row r="2798" customFormat="false" ht="15" hidden="false" customHeight="true" outlineLevel="0" collapsed="false">
      <c r="A2798" s="7"/>
      <c r="B2798" s="18" t="str">
        <f aca="false">IF(A2798="","",IFERROR(INDEX(Sales_Memo!$B$2:$B$1001,MATCH(A2798,Sales_Memo!$A$2:$A$1001,0)),""))</f>
        <v/>
      </c>
      <c r="C2798" s="7"/>
      <c r="D2798" s="16" t="str">
        <f aca="false">IF(C2798="","",IFERROR(INDEX(Products!$B$2:$B$501,MATCH(C2798,Products!$A$2:$A$501,0)),"CODE NOT FOUND"))</f>
        <v/>
      </c>
      <c r="E2798" s="7"/>
      <c r="F2798" s="13"/>
      <c r="G2798" s="13"/>
      <c r="H2798" s="17" t="str">
        <f aca="false">IF(OR(E2798="",F2798=""),"",E2798*F2798)</f>
        <v/>
      </c>
      <c r="I2798" s="17" t="str">
        <f aca="false">IF(OR(E2798="",G2798=""),"",E2798*G2798)</f>
        <v/>
      </c>
      <c r="J2798" s="17" t="str">
        <f aca="false">IF(H2798="","",H2798-I2798)</f>
        <v/>
      </c>
    </row>
    <row r="2799" customFormat="false" ht="15" hidden="false" customHeight="true" outlineLevel="0" collapsed="false">
      <c r="A2799" s="7"/>
      <c r="B2799" s="18" t="str">
        <f aca="false">IF(A2799="","",IFERROR(INDEX(Sales_Memo!$B$2:$B$1001,MATCH(A2799,Sales_Memo!$A$2:$A$1001,0)),""))</f>
        <v/>
      </c>
      <c r="C2799" s="7"/>
      <c r="D2799" s="16" t="str">
        <f aca="false">IF(C2799="","",IFERROR(INDEX(Products!$B$2:$B$501,MATCH(C2799,Products!$A$2:$A$501,0)),"CODE NOT FOUND"))</f>
        <v/>
      </c>
      <c r="E2799" s="7"/>
      <c r="F2799" s="13"/>
      <c r="G2799" s="13"/>
      <c r="H2799" s="17" t="str">
        <f aca="false">IF(OR(E2799="",F2799=""),"",E2799*F2799)</f>
        <v/>
      </c>
      <c r="I2799" s="17" t="str">
        <f aca="false">IF(OR(E2799="",G2799=""),"",E2799*G2799)</f>
        <v/>
      </c>
      <c r="J2799" s="17" t="str">
        <f aca="false">IF(H2799="","",H2799-I2799)</f>
        <v/>
      </c>
    </row>
    <row r="2800" customFormat="false" ht="15" hidden="false" customHeight="true" outlineLevel="0" collapsed="false">
      <c r="A2800" s="7"/>
      <c r="B2800" s="18" t="str">
        <f aca="false">IF(A2800="","",IFERROR(INDEX(Sales_Memo!$B$2:$B$1001,MATCH(A2800,Sales_Memo!$A$2:$A$1001,0)),""))</f>
        <v/>
      </c>
      <c r="C2800" s="7"/>
      <c r="D2800" s="16" t="str">
        <f aca="false">IF(C2800="","",IFERROR(INDEX(Products!$B$2:$B$501,MATCH(C2800,Products!$A$2:$A$501,0)),"CODE NOT FOUND"))</f>
        <v/>
      </c>
      <c r="E2800" s="7"/>
      <c r="F2800" s="13"/>
      <c r="G2800" s="13"/>
      <c r="H2800" s="17" t="str">
        <f aca="false">IF(OR(E2800="",F2800=""),"",E2800*F2800)</f>
        <v/>
      </c>
      <c r="I2800" s="17" t="str">
        <f aca="false">IF(OR(E2800="",G2800=""),"",E2800*G2800)</f>
        <v/>
      </c>
      <c r="J2800" s="17" t="str">
        <f aca="false">IF(H2800="","",H2800-I2800)</f>
        <v/>
      </c>
    </row>
    <row r="2801" customFormat="false" ht="15" hidden="false" customHeight="true" outlineLevel="0" collapsed="false">
      <c r="A2801" s="7"/>
      <c r="B2801" s="18" t="str">
        <f aca="false">IF(A2801="","",IFERROR(INDEX(Sales_Memo!$B$2:$B$1001,MATCH(A2801,Sales_Memo!$A$2:$A$1001,0)),""))</f>
        <v/>
      </c>
      <c r="C2801" s="7"/>
      <c r="D2801" s="16" t="str">
        <f aca="false">IF(C2801="","",IFERROR(INDEX(Products!$B$2:$B$501,MATCH(C2801,Products!$A$2:$A$501,0)),"CODE NOT FOUND"))</f>
        <v/>
      </c>
      <c r="E2801" s="7"/>
      <c r="F2801" s="13"/>
      <c r="G2801" s="13"/>
      <c r="H2801" s="17" t="str">
        <f aca="false">IF(OR(E2801="",F2801=""),"",E2801*F2801)</f>
        <v/>
      </c>
      <c r="I2801" s="17" t="str">
        <f aca="false">IF(OR(E2801="",G2801=""),"",E2801*G2801)</f>
        <v/>
      </c>
      <c r="J2801" s="17" t="str">
        <f aca="false">IF(H2801="","",H2801-I2801)</f>
        <v/>
      </c>
    </row>
    <row r="2802" customFormat="false" ht="15" hidden="false" customHeight="true" outlineLevel="0" collapsed="false">
      <c r="A2802" s="7"/>
      <c r="B2802" s="18" t="str">
        <f aca="false">IF(A2802="","",IFERROR(INDEX(Sales_Memo!$B$2:$B$1001,MATCH(A2802,Sales_Memo!$A$2:$A$1001,0)),""))</f>
        <v/>
      </c>
      <c r="C2802" s="7"/>
      <c r="D2802" s="16" t="str">
        <f aca="false">IF(C2802="","",IFERROR(INDEX(Products!$B$2:$B$501,MATCH(C2802,Products!$A$2:$A$501,0)),"CODE NOT FOUND"))</f>
        <v/>
      </c>
      <c r="E2802" s="7"/>
      <c r="F2802" s="13"/>
      <c r="G2802" s="13"/>
      <c r="H2802" s="17" t="str">
        <f aca="false">IF(OR(E2802="",F2802=""),"",E2802*F2802)</f>
        <v/>
      </c>
      <c r="I2802" s="17" t="str">
        <f aca="false">IF(OR(E2802="",G2802=""),"",E2802*G2802)</f>
        <v/>
      </c>
      <c r="J2802" s="17" t="str">
        <f aca="false">IF(H2802="","",H2802-I2802)</f>
        <v/>
      </c>
    </row>
    <row r="2803" customFormat="false" ht="15" hidden="false" customHeight="true" outlineLevel="0" collapsed="false">
      <c r="A2803" s="7"/>
      <c r="B2803" s="18" t="str">
        <f aca="false">IF(A2803="","",IFERROR(INDEX(Sales_Memo!$B$2:$B$1001,MATCH(A2803,Sales_Memo!$A$2:$A$1001,0)),""))</f>
        <v/>
      </c>
      <c r="C2803" s="7"/>
      <c r="D2803" s="16" t="str">
        <f aca="false">IF(C2803="","",IFERROR(INDEX(Products!$B$2:$B$501,MATCH(C2803,Products!$A$2:$A$501,0)),"CODE NOT FOUND"))</f>
        <v/>
      </c>
      <c r="E2803" s="7"/>
      <c r="F2803" s="13"/>
      <c r="G2803" s="13"/>
      <c r="H2803" s="17" t="str">
        <f aca="false">IF(OR(E2803="",F2803=""),"",E2803*F2803)</f>
        <v/>
      </c>
      <c r="I2803" s="17" t="str">
        <f aca="false">IF(OR(E2803="",G2803=""),"",E2803*G2803)</f>
        <v/>
      </c>
      <c r="J2803" s="17" t="str">
        <f aca="false">IF(H2803="","",H2803-I2803)</f>
        <v/>
      </c>
    </row>
    <row r="2804" customFormat="false" ht="15" hidden="false" customHeight="true" outlineLevel="0" collapsed="false">
      <c r="A2804" s="7"/>
      <c r="B2804" s="18" t="str">
        <f aca="false">IF(A2804="","",IFERROR(INDEX(Sales_Memo!$B$2:$B$1001,MATCH(A2804,Sales_Memo!$A$2:$A$1001,0)),""))</f>
        <v/>
      </c>
      <c r="C2804" s="7"/>
      <c r="D2804" s="16" t="str">
        <f aca="false">IF(C2804="","",IFERROR(INDEX(Products!$B$2:$B$501,MATCH(C2804,Products!$A$2:$A$501,0)),"CODE NOT FOUND"))</f>
        <v/>
      </c>
      <c r="E2804" s="7"/>
      <c r="F2804" s="13"/>
      <c r="G2804" s="13"/>
      <c r="H2804" s="17" t="str">
        <f aca="false">IF(OR(E2804="",F2804=""),"",E2804*F2804)</f>
        <v/>
      </c>
      <c r="I2804" s="17" t="str">
        <f aca="false">IF(OR(E2804="",G2804=""),"",E2804*G2804)</f>
        <v/>
      </c>
      <c r="J2804" s="17" t="str">
        <f aca="false">IF(H2804="","",H2804-I2804)</f>
        <v/>
      </c>
    </row>
    <row r="2805" customFormat="false" ht="15" hidden="false" customHeight="true" outlineLevel="0" collapsed="false">
      <c r="A2805" s="7"/>
      <c r="B2805" s="18" t="str">
        <f aca="false">IF(A2805="","",IFERROR(INDEX(Sales_Memo!$B$2:$B$1001,MATCH(A2805,Sales_Memo!$A$2:$A$1001,0)),""))</f>
        <v/>
      </c>
      <c r="C2805" s="7"/>
      <c r="D2805" s="16" t="str">
        <f aca="false">IF(C2805="","",IFERROR(INDEX(Products!$B$2:$B$501,MATCH(C2805,Products!$A$2:$A$501,0)),"CODE NOT FOUND"))</f>
        <v/>
      </c>
      <c r="E2805" s="7"/>
      <c r="F2805" s="13"/>
      <c r="G2805" s="13"/>
      <c r="H2805" s="17" t="str">
        <f aca="false">IF(OR(E2805="",F2805=""),"",E2805*F2805)</f>
        <v/>
      </c>
      <c r="I2805" s="17" t="str">
        <f aca="false">IF(OR(E2805="",G2805=""),"",E2805*G2805)</f>
        <v/>
      </c>
      <c r="J2805" s="17" t="str">
        <f aca="false">IF(H2805="","",H2805-I2805)</f>
        <v/>
      </c>
    </row>
    <row r="2806" customFormat="false" ht="15" hidden="false" customHeight="true" outlineLevel="0" collapsed="false">
      <c r="A2806" s="7"/>
      <c r="B2806" s="18" t="str">
        <f aca="false">IF(A2806="","",IFERROR(INDEX(Sales_Memo!$B$2:$B$1001,MATCH(A2806,Sales_Memo!$A$2:$A$1001,0)),""))</f>
        <v/>
      </c>
      <c r="C2806" s="7"/>
      <c r="D2806" s="16" t="str">
        <f aca="false">IF(C2806="","",IFERROR(INDEX(Products!$B$2:$B$501,MATCH(C2806,Products!$A$2:$A$501,0)),"CODE NOT FOUND"))</f>
        <v/>
      </c>
      <c r="E2806" s="7"/>
      <c r="F2806" s="13"/>
      <c r="G2806" s="13"/>
      <c r="H2806" s="17" t="str">
        <f aca="false">IF(OR(E2806="",F2806=""),"",E2806*F2806)</f>
        <v/>
      </c>
      <c r="I2806" s="17" t="str">
        <f aca="false">IF(OR(E2806="",G2806=""),"",E2806*G2806)</f>
        <v/>
      </c>
      <c r="J2806" s="17" t="str">
        <f aca="false">IF(H2806="","",H2806-I2806)</f>
        <v/>
      </c>
    </row>
    <row r="2807" customFormat="false" ht="15" hidden="false" customHeight="true" outlineLevel="0" collapsed="false">
      <c r="A2807" s="7"/>
      <c r="B2807" s="18" t="str">
        <f aca="false">IF(A2807="","",IFERROR(INDEX(Sales_Memo!$B$2:$B$1001,MATCH(A2807,Sales_Memo!$A$2:$A$1001,0)),""))</f>
        <v/>
      </c>
      <c r="C2807" s="7"/>
      <c r="D2807" s="16" t="str">
        <f aca="false">IF(C2807="","",IFERROR(INDEX(Products!$B$2:$B$501,MATCH(C2807,Products!$A$2:$A$501,0)),"CODE NOT FOUND"))</f>
        <v/>
      </c>
      <c r="E2807" s="7"/>
      <c r="F2807" s="13"/>
      <c r="G2807" s="13"/>
      <c r="H2807" s="17" t="str">
        <f aca="false">IF(OR(E2807="",F2807=""),"",E2807*F2807)</f>
        <v/>
      </c>
      <c r="I2807" s="17" t="str">
        <f aca="false">IF(OR(E2807="",G2807=""),"",E2807*G2807)</f>
        <v/>
      </c>
      <c r="J2807" s="17" t="str">
        <f aca="false">IF(H2807="","",H2807-I2807)</f>
        <v/>
      </c>
    </row>
    <row r="2808" customFormat="false" ht="15" hidden="false" customHeight="true" outlineLevel="0" collapsed="false">
      <c r="A2808" s="7"/>
      <c r="B2808" s="18" t="str">
        <f aca="false">IF(A2808="","",IFERROR(INDEX(Sales_Memo!$B$2:$B$1001,MATCH(A2808,Sales_Memo!$A$2:$A$1001,0)),""))</f>
        <v/>
      </c>
      <c r="C2808" s="7"/>
      <c r="D2808" s="16" t="str">
        <f aca="false">IF(C2808="","",IFERROR(INDEX(Products!$B$2:$B$501,MATCH(C2808,Products!$A$2:$A$501,0)),"CODE NOT FOUND"))</f>
        <v/>
      </c>
      <c r="E2808" s="7"/>
      <c r="F2808" s="13"/>
      <c r="G2808" s="13"/>
      <c r="H2808" s="17" t="str">
        <f aca="false">IF(OR(E2808="",F2808=""),"",E2808*F2808)</f>
        <v/>
      </c>
      <c r="I2808" s="17" t="str">
        <f aca="false">IF(OR(E2808="",G2808=""),"",E2808*G2808)</f>
        <v/>
      </c>
      <c r="J2808" s="17" t="str">
        <f aca="false">IF(H2808="","",H2808-I2808)</f>
        <v/>
      </c>
    </row>
    <row r="2809" customFormat="false" ht="15" hidden="false" customHeight="true" outlineLevel="0" collapsed="false">
      <c r="A2809" s="7"/>
      <c r="B2809" s="18" t="str">
        <f aca="false">IF(A2809="","",IFERROR(INDEX(Sales_Memo!$B$2:$B$1001,MATCH(A2809,Sales_Memo!$A$2:$A$1001,0)),""))</f>
        <v/>
      </c>
      <c r="C2809" s="7"/>
      <c r="D2809" s="16" t="str">
        <f aca="false">IF(C2809="","",IFERROR(INDEX(Products!$B$2:$B$501,MATCH(C2809,Products!$A$2:$A$501,0)),"CODE NOT FOUND"))</f>
        <v/>
      </c>
      <c r="E2809" s="7"/>
      <c r="F2809" s="13"/>
      <c r="G2809" s="13"/>
      <c r="H2809" s="17" t="str">
        <f aca="false">IF(OR(E2809="",F2809=""),"",E2809*F2809)</f>
        <v/>
      </c>
      <c r="I2809" s="17" t="str">
        <f aca="false">IF(OR(E2809="",G2809=""),"",E2809*G2809)</f>
        <v/>
      </c>
      <c r="J2809" s="17" t="str">
        <f aca="false">IF(H2809="","",H2809-I2809)</f>
        <v/>
      </c>
    </row>
    <row r="2810" customFormat="false" ht="15" hidden="false" customHeight="true" outlineLevel="0" collapsed="false">
      <c r="A2810" s="7"/>
      <c r="B2810" s="18" t="str">
        <f aca="false">IF(A2810="","",IFERROR(INDEX(Sales_Memo!$B$2:$B$1001,MATCH(A2810,Sales_Memo!$A$2:$A$1001,0)),""))</f>
        <v/>
      </c>
      <c r="C2810" s="7"/>
      <c r="D2810" s="16" t="str">
        <f aca="false">IF(C2810="","",IFERROR(INDEX(Products!$B$2:$B$501,MATCH(C2810,Products!$A$2:$A$501,0)),"CODE NOT FOUND"))</f>
        <v/>
      </c>
      <c r="E2810" s="7"/>
      <c r="F2810" s="13"/>
      <c r="G2810" s="13"/>
      <c r="H2810" s="17" t="str">
        <f aca="false">IF(OR(E2810="",F2810=""),"",E2810*F2810)</f>
        <v/>
      </c>
      <c r="I2810" s="17" t="str">
        <f aca="false">IF(OR(E2810="",G2810=""),"",E2810*G2810)</f>
        <v/>
      </c>
      <c r="J2810" s="17" t="str">
        <f aca="false">IF(H2810="","",H2810-I2810)</f>
        <v/>
      </c>
    </row>
    <row r="2811" customFormat="false" ht="15" hidden="false" customHeight="true" outlineLevel="0" collapsed="false">
      <c r="A2811" s="7"/>
      <c r="B2811" s="18" t="str">
        <f aca="false">IF(A2811="","",IFERROR(INDEX(Sales_Memo!$B$2:$B$1001,MATCH(A2811,Sales_Memo!$A$2:$A$1001,0)),""))</f>
        <v/>
      </c>
      <c r="C2811" s="7"/>
      <c r="D2811" s="16" t="str">
        <f aca="false">IF(C2811="","",IFERROR(INDEX(Products!$B$2:$B$501,MATCH(C2811,Products!$A$2:$A$501,0)),"CODE NOT FOUND"))</f>
        <v/>
      </c>
      <c r="E2811" s="7"/>
      <c r="F2811" s="13"/>
      <c r="G2811" s="13"/>
      <c r="H2811" s="17" t="str">
        <f aca="false">IF(OR(E2811="",F2811=""),"",E2811*F2811)</f>
        <v/>
      </c>
      <c r="I2811" s="17" t="str">
        <f aca="false">IF(OR(E2811="",G2811=""),"",E2811*G2811)</f>
        <v/>
      </c>
      <c r="J2811" s="17" t="str">
        <f aca="false">IF(H2811="","",H2811-I2811)</f>
        <v/>
      </c>
    </row>
    <row r="2812" customFormat="false" ht="15" hidden="false" customHeight="true" outlineLevel="0" collapsed="false">
      <c r="A2812" s="7"/>
      <c r="B2812" s="18" t="str">
        <f aca="false">IF(A2812="","",IFERROR(INDEX(Sales_Memo!$B$2:$B$1001,MATCH(A2812,Sales_Memo!$A$2:$A$1001,0)),""))</f>
        <v/>
      </c>
      <c r="C2812" s="7"/>
      <c r="D2812" s="16" t="str">
        <f aca="false">IF(C2812="","",IFERROR(INDEX(Products!$B$2:$B$501,MATCH(C2812,Products!$A$2:$A$501,0)),"CODE NOT FOUND"))</f>
        <v/>
      </c>
      <c r="E2812" s="7"/>
      <c r="F2812" s="13"/>
      <c r="G2812" s="13"/>
      <c r="H2812" s="17" t="str">
        <f aca="false">IF(OR(E2812="",F2812=""),"",E2812*F2812)</f>
        <v/>
      </c>
      <c r="I2812" s="17" t="str">
        <f aca="false">IF(OR(E2812="",G2812=""),"",E2812*G2812)</f>
        <v/>
      </c>
      <c r="J2812" s="17" t="str">
        <f aca="false">IF(H2812="","",H2812-I2812)</f>
        <v/>
      </c>
    </row>
    <row r="2813" customFormat="false" ht="15" hidden="false" customHeight="true" outlineLevel="0" collapsed="false">
      <c r="A2813" s="7"/>
      <c r="B2813" s="18" t="str">
        <f aca="false">IF(A2813="","",IFERROR(INDEX(Sales_Memo!$B$2:$B$1001,MATCH(A2813,Sales_Memo!$A$2:$A$1001,0)),""))</f>
        <v/>
      </c>
      <c r="C2813" s="7"/>
      <c r="D2813" s="16" t="str">
        <f aca="false">IF(C2813="","",IFERROR(INDEX(Products!$B$2:$B$501,MATCH(C2813,Products!$A$2:$A$501,0)),"CODE NOT FOUND"))</f>
        <v/>
      </c>
      <c r="E2813" s="7"/>
      <c r="F2813" s="13"/>
      <c r="G2813" s="13"/>
      <c r="H2813" s="17" t="str">
        <f aca="false">IF(OR(E2813="",F2813=""),"",E2813*F2813)</f>
        <v/>
      </c>
      <c r="I2813" s="17" t="str">
        <f aca="false">IF(OR(E2813="",G2813=""),"",E2813*G2813)</f>
        <v/>
      </c>
      <c r="J2813" s="17" t="str">
        <f aca="false">IF(H2813="","",H2813-I2813)</f>
        <v/>
      </c>
    </row>
    <row r="2814" customFormat="false" ht="15" hidden="false" customHeight="true" outlineLevel="0" collapsed="false">
      <c r="A2814" s="7"/>
      <c r="B2814" s="18" t="str">
        <f aca="false">IF(A2814="","",IFERROR(INDEX(Sales_Memo!$B$2:$B$1001,MATCH(A2814,Sales_Memo!$A$2:$A$1001,0)),""))</f>
        <v/>
      </c>
      <c r="C2814" s="7"/>
      <c r="D2814" s="16" t="str">
        <f aca="false">IF(C2814="","",IFERROR(INDEX(Products!$B$2:$B$501,MATCH(C2814,Products!$A$2:$A$501,0)),"CODE NOT FOUND"))</f>
        <v/>
      </c>
      <c r="E2814" s="7"/>
      <c r="F2814" s="13"/>
      <c r="G2814" s="13"/>
      <c r="H2814" s="17" t="str">
        <f aca="false">IF(OR(E2814="",F2814=""),"",E2814*F2814)</f>
        <v/>
      </c>
      <c r="I2814" s="17" t="str">
        <f aca="false">IF(OR(E2814="",G2814=""),"",E2814*G2814)</f>
        <v/>
      </c>
      <c r="J2814" s="17" t="str">
        <f aca="false">IF(H2814="","",H2814-I2814)</f>
        <v/>
      </c>
    </row>
    <row r="2815" customFormat="false" ht="15" hidden="false" customHeight="true" outlineLevel="0" collapsed="false">
      <c r="A2815" s="7"/>
      <c r="B2815" s="18" t="str">
        <f aca="false">IF(A2815="","",IFERROR(INDEX(Sales_Memo!$B$2:$B$1001,MATCH(A2815,Sales_Memo!$A$2:$A$1001,0)),""))</f>
        <v/>
      </c>
      <c r="C2815" s="7"/>
      <c r="D2815" s="16" t="str">
        <f aca="false">IF(C2815="","",IFERROR(INDEX(Products!$B$2:$B$501,MATCH(C2815,Products!$A$2:$A$501,0)),"CODE NOT FOUND"))</f>
        <v/>
      </c>
      <c r="E2815" s="7"/>
      <c r="F2815" s="13"/>
      <c r="G2815" s="13"/>
      <c r="H2815" s="17" t="str">
        <f aca="false">IF(OR(E2815="",F2815=""),"",E2815*F2815)</f>
        <v/>
      </c>
      <c r="I2815" s="17" t="str">
        <f aca="false">IF(OR(E2815="",G2815=""),"",E2815*G2815)</f>
        <v/>
      </c>
      <c r="J2815" s="17" t="str">
        <f aca="false">IF(H2815="","",H2815-I2815)</f>
        <v/>
      </c>
    </row>
    <row r="2816" customFormat="false" ht="15" hidden="false" customHeight="true" outlineLevel="0" collapsed="false">
      <c r="A2816" s="7"/>
      <c r="B2816" s="18" t="str">
        <f aca="false">IF(A2816="","",IFERROR(INDEX(Sales_Memo!$B$2:$B$1001,MATCH(A2816,Sales_Memo!$A$2:$A$1001,0)),""))</f>
        <v/>
      </c>
      <c r="C2816" s="7"/>
      <c r="D2816" s="16" t="str">
        <f aca="false">IF(C2816="","",IFERROR(INDEX(Products!$B$2:$B$501,MATCH(C2816,Products!$A$2:$A$501,0)),"CODE NOT FOUND"))</f>
        <v/>
      </c>
      <c r="E2816" s="7"/>
      <c r="F2816" s="13"/>
      <c r="G2816" s="13"/>
      <c r="H2816" s="17" t="str">
        <f aca="false">IF(OR(E2816="",F2816=""),"",E2816*F2816)</f>
        <v/>
      </c>
      <c r="I2816" s="17" t="str">
        <f aca="false">IF(OR(E2816="",G2816=""),"",E2816*G2816)</f>
        <v/>
      </c>
      <c r="J2816" s="17" t="str">
        <f aca="false">IF(H2816="","",H2816-I2816)</f>
        <v/>
      </c>
    </row>
    <row r="2817" customFormat="false" ht="15" hidden="false" customHeight="true" outlineLevel="0" collapsed="false">
      <c r="A2817" s="7"/>
      <c r="B2817" s="18" t="str">
        <f aca="false">IF(A2817="","",IFERROR(INDEX(Sales_Memo!$B$2:$B$1001,MATCH(A2817,Sales_Memo!$A$2:$A$1001,0)),""))</f>
        <v/>
      </c>
      <c r="C2817" s="7"/>
      <c r="D2817" s="16" t="str">
        <f aca="false">IF(C2817="","",IFERROR(INDEX(Products!$B$2:$B$501,MATCH(C2817,Products!$A$2:$A$501,0)),"CODE NOT FOUND"))</f>
        <v/>
      </c>
      <c r="E2817" s="7"/>
      <c r="F2817" s="13"/>
      <c r="G2817" s="13"/>
      <c r="H2817" s="17" t="str">
        <f aca="false">IF(OR(E2817="",F2817=""),"",E2817*F2817)</f>
        <v/>
      </c>
      <c r="I2817" s="17" t="str">
        <f aca="false">IF(OR(E2817="",G2817=""),"",E2817*G2817)</f>
        <v/>
      </c>
      <c r="J2817" s="17" t="str">
        <f aca="false">IF(H2817="","",H2817-I2817)</f>
        <v/>
      </c>
    </row>
    <row r="2818" customFormat="false" ht="15" hidden="false" customHeight="true" outlineLevel="0" collapsed="false">
      <c r="A2818" s="7"/>
      <c r="B2818" s="18" t="str">
        <f aca="false">IF(A2818="","",IFERROR(INDEX(Sales_Memo!$B$2:$B$1001,MATCH(A2818,Sales_Memo!$A$2:$A$1001,0)),""))</f>
        <v/>
      </c>
      <c r="C2818" s="7"/>
      <c r="D2818" s="16" t="str">
        <f aca="false">IF(C2818="","",IFERROR(INDEX(Products!$B$2:$B$501,MATCH(C2818,Products!$A$2:$A$501,0)),"CODE NOT FOUND"))</f>
        <v/>
      </c>
      <c r="E2818" s="7"/>
      <c r="F2818" s="13"/>
      <c r="G2818" s="13"/>
      <c r="H2818" s="17" t="str">
        <f aca="false">IF(OR(E2818="",F2818=""),"",E2818*F2818)</f>
        <v/>
      </c>
      <c r="I2818" s="17" t="str">
        <f aca="false">IF(OR(E2818="",G2818=""),"",E2818*G2818)</f>
        <v/>
      </c>
      <c r="J2818" s="17" t="str">
        <f aca="false">IF(H2818="","",H2818-I2818)</f>
        <v/>
      </c>
    </row>
    <row r="2819" customFormat="false" ht="15" hidden="false" customHeight="true" outlineLevel="0" collapsed="false">
      <c r="A2819" s="7"/>
      <c r="B2819" s="18" t="str">
        <f aca="false">IF(A2819="","",IFERROR(INDEX(Sales_Memo!$B$2:$B$1001,MATCH(A2819,Sales_Memo!$A$2:$A$1001,0)),""))</f>
        <v/>
      </c>
      <c r="C2819" s="7"/>
      <c r="D2819" s="16" t="str">
        <f aca="false">IF(C2819="","",IFERROR(INDEX(Products!$B$2:$B$501,MATCH(C2819,Products!$A$2:$A$501,0)),"CODE NOT FOUND"))</f>
        <v/>
      </c>
      <c r="E2819" s="7"/>
      <c r="F2819" s="13"/>
      <c r="G2819" s="13"/>
      <c r="H2819" s="17" t="str">
        <f aca="false">IF(OR(E2819="",F2819=""),"",E2819*F2819)</f>
        <v/>
      </c>
      <c r="I2819" s="17" t="str">
        <f aca="false">IF(OR(E2819="",G2819=""),"",E2819*G2819)</f>
        <v/>
      </c>
      <c r="J2819" s="17" t="str">
        <f aca="false">IF(H2819="","",H2819-I2819)</f>
        <v/>
      </c>
    </row>
    <row r="2820" customFormat="false" ht="15" hidden="false" customHeight="true" outlineLevel="0" collapsed="false">
      <c r="A2820" s="7"/>
      <c r="B2820" s="18" t="str">
        <f aca="false">IF(A2820="","",IFERROR(INDEX(Sales_Memo!$B$2:$B$1001,MATCH(A2820,Sales_Memo!$A$2:$A$1001,0)),""))</f>
        <v/>
      </c>
      <c r="C2820" s="7"/>
      <c r="D2820" s="16" t="str">
        <f aca="false">IF(C2820="","",IFERROR(INDEX(Products!$B$2:$B$501,MATCH(C2820,Products!$A$2:$A$501,0)),"CODE NOT FOUND"))</f>
        <v/>
      </c>
      <c r="E2820" s="7"/>
      <c r="F2820" s="13"/>
      <c r="G2820" s="13"/>
      <c r="H2820" s="17" t="str">
        <f aca="false">IF(OR(E2820="",F2820=""),"",E2820*F2820)</f>
        <v/>
      </c>
      <c r="I2820" s="17" t="str">
        <f aca="false">IF(OR(E2820="",G2820=""),"",E2820*G2820)</f>
        <v/>
      </c>
      <c r="J2820" s="17" t="str">
        <f aca="false">IF(H2820="","",H2820-I2820)</f>
        <v/>
      </c>
    </row>
    <row r="2821" customFormat="false" ht="15" hidden="false" customHeight="true" outlineLevel="0" collapsed="false">
      <c r="A2821" s="7"/>
      <c r="B2821" s="18" t="str">
        <f aca="false">IF(A2821="","",IFERROR(INDEX(Sales_Memo!$B$2:$B$1001,MATCH(A2821,Sales_Memo!$A$2:$A$1001,0)),""))</f>
        <v/>
      </c>
      <c r="C2821" s="7"/>
      <c r="D2821" s="16" t="str">
        <f aca="false">IF(C2821="","",IFERROR(INDEX(Products!$B$2:$B$501,MATCH(C2821,Products!$A$2:$A$501,0)),"CODE NOT FOUND"))</f>
        <v/>
      </c>
      <c r="E2821" s="7"/>
      <c r="F2821" s="13"/>
      <c r="G2821" s="13"/>
      <c r="H2821" s="17" t="str">
        <f aca="false">IF(OR(E2821="",F2821=""),"",E2821*F2821)</f>
        <v/>
      </c>
      <c r="I2821" s="17" t="str">
        <f aca="false">IF(OR(E2821="",G2821=""),"",E2821*G2821)</f>
        <v/>
      </c>
      <c r="J2821" s="17" t="str">
        <f aca="false">IF(H2821="","",H2821-I2821)</f>
        <v/>
      </c>
    </row>
    <row r="2822" customFormat="false" ht="15" hidden="false" customHeight="true" outlineLevel="0" collapsed="false">
      <c r="A2822" s="7"/>
      <c r="B2822" s="18" t="str">
        <f aca="false">IF(A2822="","",IFERROR(INDEX(Sales_Memo!$B$2:$B$1001,MATCH(A2822,Sales_Memo!$A$2:$A$1001,0)),""))</f>
        <v/>
      </c>
      <c r="C2822" s="7"/>
      <c r="D2822" s="16" t="str">
        <f aca="false">IF(C2822="","",IFERROR(INDEX(Products!$B$2:$B$501,MATCH(C2822,Products!$A$2:$A$501,0)),"CODE NOT FOUND"))</f>
        <v/>
      </c>
      <c r="E2822" s="7"/>
      <c r="F2822" s="13"/>
      <c r="G2822" s="13"/>
      <c r="H2822" s="17" t="str">
        <f aca="false">IF(OR(E2822="",F2822=""),"",E2822*F2822)</f>
        <v/>
      </c>
      <c r="I2822" s="17" t="str">
        <f aca="false">IF(OR(E2822="",G2822=""),"",E2822*G2822)</f>
        <v/>
      </c>
      <c r="J2822" s="17" t="str">
        <f aca="false">IF(H2822="","",H2822-I2822)</f>
        <v/>
      </c>
    </row>
    <row r="2823" customFormat="false" ht="15" hidden="false" customHeight="true" outlineLevel="0" collapsed="false">
      <c r="A2823" s="7"/>
      <c r="B2823" s="18" t="str">
        <f aca="false">IF(A2823="","",IFERROR(INDEX(Sales_Memo!$B$2:$B$1001,MATCH(A2823,Sales_Memo!$A$2:$A$1001,0)),""))</f>
        <v/>
      </c>
      <c r="C2823" s="7"/>
      <c r="D2823" s="16" t="str">
        <f aca="false">IF(C2823="","",IFERROR(INDEX(Products!$B$2:$B$501,MATCH(C2823,Products!$A$2:$A$501,0)),"CODE NOT FOUND"))</f>
        <v/>
      </c>
      <c r="E2823" s="7"/>
      <c r="F2823" s="13"/>
      <c r="G2823" s="13"/>
      <c r="H2823" s="17" t="str">
        <f aca="false">IF(OR(E2823="",F2823=""),"",E2823*F2823)</f>
        <v/>
      </c>
      <c r="I2823" s="17" t="str">
        <f aca="false">IF(OR(E2823="",G2823=""),"",E2823*G2823)</f>
        <v/>
      </c>
      <c r="J2823" s="17" t="str">
        <f aca="false">IF(H2823="","",H2823-I2823)</f>
        <v/>
      </c>
    </row>
    <row r="2824" customFormat="false" ht="15" hidden="false" customHeight="true" outlineLevel="0" collapsed="false">
      <c r="A2824" s="7"/>
      <c r="B2824" s="18" t="str">
        <f aca="false">IF(A2824="","",IFERROR(INDEX(Sales_Memo!$B$2:$B$1001,MATCH(A2824,Sales_Memo!$A$2:$A$1001,0)),""))</f>
        <v/>
      </c>
      <c r="C2824" s="7"/>
      <c r="D2824" s="16" t="str">
        <f aca="false">IF(C2824="","",IFERROR(INDEX(Products!$B$2:$B$501,MATCH(C2824,Products!$A$2:$A$501,0)),"CODE NOT FOUND"))</f>
        <v/>
      </c>
      <c r="E2824" s="7"/>
      <c r="F2824" s="13"/>
      <c r="G2824" s="13"/>
      <c r="H2824" s="17" t="str">
        <f aca="false">IF(OR(E2824="",F2824=""),"",E2824*F2824)</f>
        <v/>
      </c>
      <c r="I2824" s="17" t="str">
        <f aca="false">IF(OR(E2824="",G2824=""),"",E2824*G2824)</f>
        <v/>
      </c>
      <c r="J2824" s="17" t="str">
        <f aca="false">IF(H2824="","",H2824-I2824)</f>
        <v/>
      </c>
    </row>
    <row r="2825" customFormat="false" ht="15" hidden="false" customHeight="true" outlineLevel="0" collapsed="false">
      <c r="A2825" s="7"/>
      <c r="B2825" s="18" t="str">
        <f aca="false">IF(A2825="","",IFERROR(INDEX(Sales_Memo!$B$2:$B$1001,MATCH(A2825,Sales_Memo!$A$2:$A$1001,0)),""))</f>
        <v/>
      </c>
      <c r="C2825" s="7"/>
      <c r="D2825" s="16" t="str">
        <f aca="false">IF(C2825="","",IFERROR(INDEX(Products!$B$2:$B$501,MATCH(C2825,Products!$A$2:$A$501,0)),"CODE NOT FOUND"))</f>
        <v/>
      </c>
      <c r="E2825" s="7"/>
      <c r="F2825" s="13"/>
      <c r="G2825" s="13"/>
      <c r="H2825" s="17" t="str">
        <f aca="false">IF(OR(E2825="",F2825=""),"",E2825*F2825)</f>
        <v/>
      </c>
      <c r="I2825" s="17" t="str">
        <f aca="false">IF(OR(E2825="",G2825=""),"",E2825*G2825)</f>
        <v/>
      </c>
      <c r="J2825" s="17" t="str">
        <f aca="false">IF(H2825="","",H2825-I2825)</f>
        <v/>
      </c>
    </row>
    <row r="2826" customFormat="false" ht="15" hidden="false" customHeight="true" outlineLevel="0" collapsed="false">
      <c r="A2826" s="7"/>
      <c r="B2826" s="18" t="str">
        <f aca="false">IF(A2826="","",IFERROR(INDEX(Sales_Memo!$B$2:$B$1001,MATCH(A2826,Sales_Memo!$A$2:$A$1001,0)),""))</f>
        <v/>
      </c>
      <c r="C2826" s="7"/>
      <c r="D2826" s="16" t="str">
        <f aca="false">IF(C2826="","",IFERROR(INDEX(Products!$B$2:$B$501,MATCH(C2826,Products!$A$2:$A$501,0)),"CODE NOT FOUND"))</f>
        <v/>
      </c>
      <c r="E2826" s="7"/>
      <c r="F2826" s="13"/>
      <c r="G2826" s="13"/>
      <c r="H2826" s="17" t="str">
        <f aca="false">IF(OR(E2826="",F2826=""),"",E2826*F2826)</f>
        <v/>
      </c>
      <c r="I2826" s="17" t="str">
        <f aca="false">IF(OR(E2826="",G2826=""),"",E2826*G2826)</f>
        <v/>
      </c>
      <c r="J2826" s="17" t="str">
        <f aca="false">IF(H2826="","",H2826-I2826)</f>
        <v/>
      </c>
    </row>
    <row r="2827" customFormat="false" ht="15" hidden="false" customHeight="true" outlineLevel="0" collapsed="false">
      <c r="A2827" s="7"/>
      <c r="B2827" s="18" t="str">
        <f aca="false">IF(A2827="","",IFERROR(INDEX(Sales_Memo!$B$2:$B$1001,MATCH(A2827,Sales_Memo!$A$2:$A$1001,0)),""))</f>
        <v/>
      </c>
      <c r="C2827" s="7"/>
      <c r="D2827" s="16" t="str">
        <f aca="false">IF(C2827="","",IFERROR(INDEX(Products!$B$2:$B$501,MATCH(C2827,Products!$A$2:$A$501,0)),"CODE NOT FOUND"))</f>
        <v/>
      </c>
      <c r="E2827" s="7"/>
      <c r="F2827" s="13"/>
      <c r="G2827" s="13"/>
      <c r="H2827" s="17" t="str">
        <f aca="false">IF(OR(E2827="",F2827=""),"",E2827*F2827)</f>
        <v/>
      </c>
      <c r="I2827" s="17" t="str">
        <f aca="false">IF(OR(E2827="",G2827=""),"",E2827*G2827)</f>
        <v/>
      </c>
      <c r="J2827" s="17" t="str">
        <f aca="false">IF(H2827="","",H2827-I2827)</f>
        <v/>
      </c>
    </row>
    <row r="2828" customFormat="false" ht="15" hidden="false" customHeight="true" outlineLevel="0" collapsed="false">
      <c r="A2828" s="7"/>
      <c r="B2828" s="18" t="str">
        <f aca="false">IF(A2828="","",IFERROR(INDEX(Sales_Memo!$B$2:$B$1001,MATCH(A2828,Sales_Memo!$A$2:$A$1001,0)),""))</f>
        <v/>
      </c>
      <c r="C2828" s="7"/>
      <c r="D2828" s="16" t="str">
        <f aca="false">IF(C2828="","",IFERROR(INDEX(Products!$B$2:$B$501,MATCH(C2828,Products!$A$2:$A$501,0)),"CODE NOT FOUND"))</f>
        <v/>
      </c>
      <c r="E2828" s="7"/>
      <c r="F2828" s="13"/>
      <c r="G2828" s="13"/>
      <c r="H2828" s="17" t="str">
        <f aca="false">IF(OR(E2828="",F2828=""),"",E2828*F2828)</f>
        <v/>
      </c>
      <c r="I2828" s="17" t="str">
        <f aca="false">IF(OR(E2828="",G2828=""),"",E2828*G2828)</f>
        <v/>
      </c>
      <c r="J2828" s="17" t="str">
        <f aca="false">IF(H2828="","",H2828-I2828)</f>
        <v/>
      </c>
    </row>
    <row r="2829" customFormat="false" ht="15" hidden="false" customHeight="true" outlineLevel="0" collapsed="false">
      <c r="A2829" s="7"/>
      <c r="B2829" s="18" t="str">
        <f aca="false">IF(A2829="","",IFERROR(INDEX(Sales_Memo!$B$2:$B$1001,MATCH(A2829,Sales_Memo!$A$2:$A$1001,0)),""))</f>
        <v/>
      </c>
      <c r="C2829" s="7"/>
      <c r="D2829" s="16" t="str">
        <f aca="false">IF(C2829="","",IFERROR(INDEX(Products!$B$2:$B$501,MATCH(C2829,Products!$A$2:$A$501,0)),"CODE NOT FOUND"))</f>
        <v/>
      </c>
      <c r="E2829" s="7"/>
      <c r="F2829" s="13"/>
      <c r="G2829" s="13"/>
      <c r="H2829" s="17" t="str">
        <f aca="false">IF(OR(E2829="",F2829=""),"",E2829*F2829)</f>
        <v/>
      </c>
      <c r="I2829" s="17" t="str">
        <f aca="false">IF(OR(E2829="",G2829=""),"",E2829*G2829)</f>
        <v/>
      </c>
      <c r="J2829" s="17" t="str">
        <f aca="false">IF(H2829="","",H2829-I2829)</f>
        <v/>
      </c>
    </row>
    <row r="2830" customFormat="false" ht="15" hidden="false" customHeight="true" outlineLevel="0" collapsed="false">
      <c r="A2830" s="7"/>
      <c r="B2830" s="18" t="str">
        <f aca="false">IF(A2830="","",IFERROR(INDEX(Sales_Memo!$B$2:$B$1001,MATCH(A2830,Sales_Memo!$A$2:$A$1001,0)),""))</f>
        <v/>
      </c>
      <c r="C2830" s="7"/>
      <c r="D2830" s="16" t="str">
        <f aca="false">IF(C2830="","",IFERROR(INDEX(Products!$B$2:$B$501,MATCH(C2830,Products!$A$2:$A$501,0)),"CODE NOT FOUND"))</f>
        <v/>
      </c>
      <c r="E2830" s="7"/>
      <c r="F2830" s="13"/>
      <c r="G2830" s="13"/>
      <c r="H2830" s="17" t="str">
        <f aca="false">IF(OR(E2830="",F2830=""),"",E2830*F2830)</f>
        <v/>
      </c>
      <c r="I2830" s="17" t="str">
        <f aca="false">IF(OR(E2830="",G2830=""),"",E2830*G2830)</f>
        <v/>
      </c>
      <c r="J2830" s="17" t="str">
        <f aca="false">IF(H2830="","",H2830-I2830)</f>
        <v/>
      </c>
    </row>
    <row r="2831" customFormat="false" ht="15" hidden="false" customHeight="true" outlineLevel="0" collapsed="false">
      <c r="A2831" s="7"/>
      <c r="B2831" s="18" t="str">
        <f aca="false">IF(A2831="","",IFERROR(INDEX(Sales_Memo!$B$2:$B$1001,MATCH(A2831,Sales_Memo!$A$2:$A$1001,0)),""))</f>
        <v/>
      </c>
      <c r="C2831" s="7"/>
      <c r="D2831" s="16" t="str">
        <f aca="false">IF(C2831="","",IFERROR(INDEX(Products!$B$2:$B$501,MATCH(C2831,Products!$A$2:$A$501,0)),"CODE NOT FOUND"))</f>
        <v/>
      </c>
      <c r="E2831" s="7"/>
      <c r="F2831" s="13"/>
      <c r="G2831" s="13"/>
      <c r="H2831" s="17" t="str">
        <f aca="false">IF(OR(E2831="",F2831=""),"",E2831*F2831)</f>
        <v/>
      </c>
      <c r="I2831" s="17" t="str">
        <f aca="false">IF(OR(E2831="",G2831=""),"",E2831*G2831)</f>
        <v/>
      </c>
      <c r="J2831" s="17" t="str">
        <f aca="false">IF(H2831="","",H2831-I2831)</f>
        <v/>
      </c>
    </row>
    <row r="2832" customFormat="false" ht="15" hidden="false" customHeight="true" outlineLevel="0" collapsed="false">
      <c r="A2832" s="7"/>
      <c r="B2832" s="18" t="str">
        <f aca="false">IF(A2832="","",IFERROR(INDEX(Sales_Memo!$B$2:$B$1001,MATCH(A2832,Sales_Memo!$A$2:$A$1001,0)),""))</f>
        <v/>
      </c>
      <c r="C2832" s="7"/>
      <c r="D2832" s="16" t="str">
        <f aca="false">IF(C2832="","",IFERROR(INDEX(Products!$B$2:$B$501,MATCH(C2832,Products!$A$2:$A$501,0)),"CODE NOT FOUND"))</f>
        <v/>
      </c>
      <c r="E2832" s="7"/>
      <c r="F2832" s="13"/>
      <c r="G2832" s="13"/>
      <c r="H2832" s="17" t="str">
        <f aca="false">IF(OR(E2832="",F2832=""),"",E2832*F2832)</f>
        <v/>
      </c>
      <c r="I2832" s="17" t="str">
        <f aca="false">IF(OR(E2832="",G2832=""),"",E2832*G2832)</f>
        <v/>
      </c>
      <c r="J2832" s="17" t="str">
        <f aca="false">IF(H2832="","",H2832-I2832)</f>
        <v/>
      </c>
    </row>
    <row r="2833" customFormat="false" ht="15" hidden="false" customHeight="true" outlineLevel="0" collapsed="false">
      <c r="A2833" s="7"/>
      <c r="B2833" s="18" t="str">
        <f aca="false">IF(A2833="","",IFERROR(INDEX(Sales_Memo!$B$2:$B$1001,MATCH(A2833,Sales_Memo!$A$2:$A$1001,0)),""))</f>
        <v/>
      </c>
      <c r="C2833" s="7"/>
      <c r="D2833" s="16" t="str">
        <f aca="false">IF(C2833="","",IFERROR(INDEX(Products!$B$2:$B$501,MATCH(C2833,Products!$A$2:$A$501,0)),"CODE NOT FOUND"))</f>
        <v/>
      </c>
      <c r="E2833" s="7"/>
      <c r="F2833" s="13"/>
      <c r="G2833" s="13"/>
      <c r="H2833" s="17" t="str">
        <f aca="false">IF(OR(E2833="",F2833=""),"",E2833*F2833)</f>
        <v/>
      </c>
      <c r="I2833" s="17" t="str">
        <f aca="false">IF(OR(E2833="",G2833=""),"",E2833*G2833)</f>
        <v/>
      </c>
      <c r="J2833" s="17" t="str">
        <f aca="false">IF(H2833="","",H2833-I2833)</f>
        <v/>
      </c>
    </row>
    <row r="2834" customFormat="false" ht="15" hidden="false" customHeight="true" outlineLevel="0" collapsed="false">
      <c r="A2834" s="7"/>
      <c r="B2834" s="18" t="str">
        <f aca="false">IF(A2834="","",IFERROR(INDEX(Sales_Memo!$B$2:$B$1001,MATCH(A2834,Sales_Memo!$A$2:$A$1001,0)),""))</f>
        <v/>
      </c>
      <c r="C2834" s="7"/>
      <c r="D2834" s="16" t="str">
        <f aca="false">IF(C2834="","",IFERROR(INDEX(Products!$B$2:$B$501,MATCH(C2834,Products!$A$2:$A$501,0)),"CODE NOT FOUND"))</f>
        <v/>
      </c>
      <c r="E2834" s="7"/>
      <c r="F2834" s="13"/>
      <c r="G2834" s="13"/>
      <c r="H2834" s="17" t="str">
        <f aca="false">IF(OR(E2834="",F2834=""),"",E2834*F2834)</f>
        <v/>
      </c>
      <c r="I2834" s="17" t="str">
        <f aca="false">IF(OR(E2834="",G2834=""),"",E2834*G2834)</f>
        <v/>
      </c>
      <c r="J2834" s="17" t="str">
        <f aca="false">IF(H2834="","",H2834-I2834)</f>
        <v/>
      </c>
    </row>
    <row r="2835" customFormat="false" ht="15" hidden="false" customHeight="true" outlineLevel="0" collapsed="false">
      <c r="A2835" s="7"/>
      <c r="B2835" s="18" t="str">
        <f aca="false">IF(A2835="","",IFERROR(INDEX(Sales_Memo!$B$2:$B$1001,MATCH(A2835,Sales_Memo!$A$2:$A$1001,0)),""))</f>
        <v/>
      </c>
      <c r="C2835" s="7"/>
      <c r="D2835" s="16" t="str">
        <f aca="false">IF(C2835="","",IFERROR(INDEX(Products!$B$2:$B$501,MATCH(C2835,Products!$A$2:$A$501,0)),"CODE NOT FOUND"))</f>
        <v/>
      </c>
      <c r="E2835" s="7"/>
      <c r="F2835" s="13"/>
      <c r="G2835" s="13"/>
      <c r="H2835" s="17" t="str">
        <f aca="false">IF(OR(E2835="",F2835=""),"",E2835*F2835)</f>
        <v/>
      </c>
      <c r="I2835" s="17" t="str">
        <f aca="false">IF(OR(E2835="",G2835=""),"",E2835*G2835)</f>
        <v/>
      </c>
      <c r="J2835" s="17" t="str">
        <f aca="false">IF(H2835="","",H2835-I2835)</f>
        <v/>
      </c>
    </row>
    <row r="2836" customFormat="false" ht="15" hidden="false" customHeight="true" outlineLevel="0" collapsed="false">
      <c r="A2836" s="7"/>
      <c r="B2836" s="18" t="str">
        <f aca="false">IF(A2836="","",IFERROR(INDEX(Sales_Memo!$B$2:$B$1001,MATCH(A2836,Sales_Memo!$A$2:$A$1001,0)),""))</f>
        <v/>
      </c>
      <c r="C2836" s="7"/>
      <c r="D2836" s="16" t="str">
        <f aca="false">IF(C2836="","",IFERROR(INDEX(Products!$B$2:$B$501,MATCH(C2836,Products!$A$2:$A$501,0)),"CODE NOT FOUND"))</f>
        <v/>
      </c>
      <c r="E2836" s="7"/>
      <c r="F2836" s="13"/>
      <c r="G2836" s="13"/>
      <c r="H2836" s="17" t="str">
        <f aca="false">IF(OR(E2836="",F2836=""),"",E2836*F2836)</f>
        <v/>
      </c>
      <c r="I2836" s="17" t="str">
        <f aca="false">IF(OR(E2836="",G2836=""),"",E2836*G2836)</f>
        <v/>
      </c>
      <c r="J2836" s="17" t="str">
        <f aca="false">IF(H2836="","",H2836-I2836)</f>
        <v/>
      </c>
    </row>
    <row r="2837" customFormat="false" ht="15" hidden="false" customHeight="true" outlineLevel="0" collapsed="false">
      <c r="A2837" s="7"/>
      <c r="B2837" s="18" t="str">
        <f aca="false">IF(A2837="","",IFERROR(INDEX(Sales_Memo!$B$2:$B$1001,MATCH(A2837,Sales_Memo!$A$2:$A$1001,0)),""))</f>
        <v/>
      </c>
      <c r="C2837" s="7"/>
      <c r="D2837" s="16" t="str">
        <f aca="false">IF(C2837="","",IFERROR(INDEX(Products!$B$2:$B$501,MATCH(C2837,Products!$A$2:$A$501,0)),"CODE NOT FOUND"))</f>
        <v/>
      </c>
      <c r="E2837" s="7"/>
      <c r="F2837" s="13"/>
      <c r="G2837" s="13"/>
      <c r="H2837" s="17" t="str">
        <f aca="false">IF(OR(E2837="",F2837=""),"",E2837*F2837)</f>
        <v/>
      </c>
      <c r="I2837" s="17" t="str">
        <f aca="false">IF(OR(E2837="",G2837=""),"",E2837*G2837)</f>
        <v/>
      </c>
      <c r="J2837" s="17" t="str">
        <f aca="false">IF(H2837="","",H2837-I2837)</f>
        <v/>
      </c>
    </row>
    <row r="2838" customFormat="false" ht="15" hidden="false" customHeight="true" outlineLevel="0" collapsed="false">
      <c r="A2838" s="7"/>
      <c r="B2838" s="18" t="str">
        <f aca="false">IF(A2838="","",IFERROR(INDEX(Sales_Memo!$B$2:$B$1001,MATCH(A2838,Sales_Memo!$A$2:$A$1001,0)),""))</f>
        <v/>
      </c>
      <c r="C2838" s="7"/>
      <c r="D2838" s="16" t="str">
        <f aca="false">IF(C2838="","",IFERROR(INDEX(Products!$B$2:$B$501,MATCH(C2838,Products!$A$2:$A$501,0)),"CODE NOT FOUND"))</f>
        <v/>
      </c>
      <c r="E2838" s="7"/>
      <c r="F2838" s="13"/>
      <c r="G2838" s="13"/>
      <c r="H2838" s="17" t="str">
        <f aca="false">IF(OR(E2838="",F2838=""),"",E2838*F2838)</f>
        <v/>
      </c>
      <c r="I2838" s="17" t="str">
        <f aca="false">IF(OR(E2838="",G2838=""),"",E2838*G2838)</f>
        <v/>
      </c>
      <c r="J2838" s="17" t="str">
        <f aca="false">IF(H2838="","",H2838-I2838)</f>
        <v/>
      </c>
    </row>
    <row r="2839" customFormat="false" ht="15" hidden="false" customHeight="true" outlineLevel="0" collapsed="false">
      <c r="A2839" s="7"/>
      <c r="B2839" s="18" t="str">
        <f aca="false">IF(A2839="","",IFERROR(INDEX(Sales_Memo!$B$2:$B$1001,MATCH(A2839,Sales_Memo!$A$2:$A$1001,0)),""))</f>
        <v/>
      </c>
      <c r="C2839" s="7"/>
      <c r="D2839" s="16" t="str">
        <f aca="false">IF(C2839="","",IFERROR(INDEX(Products!$B$2:$B$501,MATCH(C2839,Products!$A$2:$A$501,0)),"CODE NOT FOUND"))</f>
        <v/>
      </c>
      <c r="E2839" s="7"/>
      <c r="F2839" s="13"/>
      <c r="G2839" s="13"/>
      <c r="H2839" s="17" t="str">
        <f aca="false">IF(OR(E2839="",F2839=""),"",E2839*F2839)</f>
        <v/>
      </c>
      <c r="I2839" s="17" t="str">
        <f aca="false">IF(OR(E2839="",G2839=""),"",E2839*G2839)</f>
        <v/>
      </c>
      <c r="J2839" s="17" t="str">
        <f aca="false">IF(H2839="","",H2839-I2839)</f>
        <v/>
      </c>
    </row>
    <row r="2840" customFormat="false" ht="15" hidden="false" customHeight="true" outlineLevel="0" collapsed="false">
      <c r="A2840" s="7"/>
      <c r="B2840" s="18" t="str">
        <f aca="false">IF(A2840="","",IFERROR(INDEX(Sales_Memo!$B$2:$B$1001,MATCH(A2840,Sales_Memo!$A$2:$A$1001,0)),""))</f>
        <v/>
      </c>
      <c r="C2840" s="7"/>
      <c r="D2840" s="16" t="str">
        <f aca="false">IF(C2840="","",IFERROR(INDEX(Products!$B$2:$B$501,MATCH(C2840,Products!$A$2:$A$501,0)),"CODE NOT FOUND"))</f>
        <v/>
      </c>
      <c r="E2840" s="7"/>
      <c r="F2840" s="13"/>
      <c r="G2840" s="13"/>
      <c r="H2840" s="17" t="str">
        <f aca="false">IF(OR(E2840="",F2840=""),"",E2840*F2840)</f>
        <v/>
      </c>
      <c r="I2840" s="17" t="str">
        <f aca="false">IF(OR(E2840="",G2840=""),"",E2840*G2840)</f>
        <v/>
      </c>
      <c r="J2840" s="17" t="str">
        <f aca="false">IF(H2840="","",H2840-I2840)</f>
        <v/>
      </c>
    </row>
    <row r="2841" customFormat="false" ht="15" hidden="false" customHeight="true" outlineLevel="0" collapsed="false">
      <c r="A2841" s="7"/>
      <c r="B2841" s="18" t="str">
        <f aca="false">IF(A2841="","",IFERROR(INDEX(Sales_Memo!$B$2:$B$1001,MATCH(A2841,Sales_Memo!$A$2:$A$1001,0)),""))</f>
        <v/>
      </c>
      <c r="C2841" s="7"/>
      <c r="D2841" s="16" t="str">
        <f aca="false">IF(C2841="","",IFERROR(INDEX(Products!$B$2:$B$501,MATCH(C2841,Products!$A$2:$A$501,0)),"CODE NOT FOUND"))</f>
        <v/>
      </c>
      <c r="E2841" s="7"/>
      <c r="F2841" s="13"/>
      <c r="G2841" s="13"/>
      <c r="H2841" s="17" t="str">
        <f aca="false">IF(OR(E2841="",F2841=""),"",E2841*F2841)</f>
        <v/>
      </c>
      <c r="I2841" s="17" t="str">
        <f aca="false">IF(OR(E2841="",G2841=""),"",E2841*G2841)</f>
        <v/>
      </c>
      <c r="J2841" s="17" t="str">
        <f aca="false">IF(H2841="","",H2841-I2841)</f>
        <v/>
      </c>
    </row>
    <row r="2842" customFormat="false" ht="15" hidden="false" customHeight="true" outlineLevel="0" collapsed="false">
      <c r="A2842" s="7"/>
      <c r="B2842" s="18" t="str">
        <f aca="false">IF(A2842="","",IFERROR(INDEX(Sales_Memo!$B$2:$B$1001,MATCH(A2842,Sales_Memo!$A$2:$A$1001,0)),""))</f>
        <v/>
      </c>
      <c r="C2842" s="7"/>
      <c r="D2842" s="16" t="str">
        <f aca="false">IF(C2842="","",IFERROR(INDEX(Products!$B$2:$B$501,MATCH(C2842,Products!$A$2:$A$501,0)),"CODE NOT FOUND"))</f>
        <v/>
      </c>
      <c r="E2842" s="7"/>
      <c r="F2842" s="13"/>
      <c r="G2842" s="13"/>
      <c r="H2842" s="17" t="str">
        <f aca="false">IF(OR(E2842="",F2842=""),"",E2842*F2842)</f>
        <v/>
      </c>
      <c r="I2842" s="17" t="str">
        <f aca="false">IF(OR(E2842="",G2842=""),"",E2842*G2842)</f>
        <v/>
      </c>
      <c r="J2842" s="17" t="str">
        <f aca="false">IF(H2842="","",H2842-I2842)</f>
        <v/>
      </c>
    </row>
    <row r="2843" customFormat="false" ht="15" hidden="false" customHeight="true" outlineLevel="0" collapsed="false">
      <c r="A2843" s="7"/>
      <c r="B2843" s="18" t="str">
        <f aca="false">IF(A2843="","",IFERROR(INDEX(Sales_Memo!$B$2:$B$1001,MATCH(A2843,Sales_Memo!$A$2:$A$1001,0)),""))</f>
        <v/>
      </c>
      <c r="C2843" s="7"/>
      <c r="D2843" s="16" t="str">
        <f aca="false">IF(C2843="","",IFERROR(INDEX(Products!$B$2:$B$501,MATCH(C2843,Products!$A$2:$A$501,0)),"CODE NOT FOUND"))</f>
        <v/>
      </c>
      <c r="E2843" s="7"/>
      <c r="F2843" s="13"/>
      <c r="G2843" s="13"/>
      <c r="H2843" s="17" t="str">
        <f aca="false">IF(OR(E2843="",F2843=""),"",E2843*F2843)</f>
        <v/>
      </c>
      <c r="I2843" s="17" t="str">
        <f aca="false">IF(OR(E2843="",G2843=""),"",E2843*G2843)</f>
        <v/>
      </c>
      <c r="J2843" s="17" t="str">
        <f aca="false">IF(H2843="","",H2843-I2843)</f>
        <v/>
      </c>
    </row>
    <row r="2844" customFormat="false" ht="15" hidden="false" customHeight="true" outlineLevel="0" collapsed="false">
      <c r="A2844" s="7"/>
      <c r="B2844" s="18" t="str">
        <f aca="false">IF(A2844="","",IFERROR(INDEX(Sales_Memo!$B$2:$B$1001,MATCH(A2844,Sales_Memo!$A$2:$A$1001,0)),""))</f>
        <v/>
      </c>
      <c r="C2844" s="7"/>
      <c r="D2844" s="16" t="str">
        <f aca="false">IF(C2844="","",IFERROR(INDEX(Products!$B$2:$B$501,MATCH(C2844,Products!$A$2:$A$501,0)),"CODE NOT FOUND"))</f>
        <v/>
      </c>
      <c r="E2844" s="7"/>
      <c r="F2844" s="13"/>
      <c r="G2844" s="13"/>
      <c r="H2844" s="17" t="str">
        <f aca="false">IF(OR(E2844="",F2844=""),"",E2844*F2844)</f>
        <v/>
      </c>
      <c r="I2844" s="17" t="str">
        <f aca="false">IF(OR(E2844="",G2844=""),"",E2844*G2844)</f>
        <v/>
      </c>
      <c r="J2844" s="17" t="str">
        <f aca="false">IF(H2844="","",H2844-I2844)</f>
        <v/>
      </c>
    </row>
    <row r="2845" customFormat="false" ht="15" hidden="false" customHeight="true" outlineLevel="0" collapsed="false">
      <c r="A2845" s="7"/>
      <c r="B2845" s="18" t="str">
        <f aca="false">IF(A2845="","",IFERROR(INDEX(Sales_Memo!$B$2:$B$1001,MATCH(A2845,Sales_Memo!$A$2:$A$1001,0)),""))</f>
        <v/>
      </c>
      <c r="C2845" s="7"/>
      <c r="D2845" s="16" t="str">
        <f aca="false">IF(C2845="","",IFERROR(INDEX(Products!$B$2:$B$501,MATCH(C2845,Products!$A$2:$A$501,0)),"CODE NOT FOUND"))</f>
        <v/>
      </c>
      <c r="E2845" s="7"/>
      <c r="F2845" s="13"/>
      <c r="G2845" s="13"/>
      <c r="H2845" s="17" t="str">
        <f aca="false">IF(OR(E2845="",F2845=""),"",E2845*F2845)</f>
        <v/>
      </c>
      <c r="I2845" s="17" t="str">
        <f aca="false">IF(OR(E2845="",G2845=""),"",E2845*G2845)</f>
        <v/>
      </c>
      <c r="J2845" s="17" t="str">
        <f aca="false">IF(H2845="","",H2845-I2845)</f>
        <v/>
      </c>
    </row>
    <row r="2846" customFormat="false" ht="15" hidden="false" customHeight="true" outlineLevel="0" collapsed="false">
      <c r="A2846" s="7"/>
      <c r="B2846" s="18" t="str">
        <f aca="false">IF(A2846="","",IFERROR(INDEX(Sales_Memo!$B$2:$B$1001,MATCH(A2846,Sales_Memo!$A$2:$A$1001,0)),""))</f>
        <v/>
      </c>
      <c r="C2846" s="7"/>
      <c r="D2846" s="16" t="str">
        <f aca="false">IF(C2846="","",IFERROR(INDEX(Products!$B$2:$B$501,MATCH(C2846,Products!$A$2:$A$501,0)),"CODE NOT FOUND"))</f>
        <v/>
      </c>
      <c r="E2846" s="7"/>
      <c r="F2846" s="13"/>
      <c r="G2846" s="13"/>
      <c r="H2846" s="17" t="str">
        <f aca="false">IF(OR(E2846="",F2846=""),"",E2846*F2846)</f>
        <v/>
      </c>
      <c r="I2846" s="17" t="str">
        <f aca="false">IF(OR(E2846="",G2846=""),"",E2846*G2846)</f>
        <v/>
      </c>
      <c r="J2846" s="17" t="str">
        <f aca="false">IF(H2846="","",H2846-I2846)</f>
        <v/>
      </c>
    </row>
    <row r="2847" customFormat="false" ht="15" hidden="false" customHeight="true" outlineLevel="0" collapsed="false">
      <c r="A2847" s="7"/>
      <c r="B2847" s="18" t="str">
        <f aca="false">IF(A2847="","",IFERROR(INDEX(Sales_Memo!$B$2:$B$1001,MATCH(A2847,Sales_Memo!$A$2:$A$1001,0)),""))</f>
        <v/>
      </c>
      <c r="C2847" s="7"/>
      <c r="D2847" s="16" t="str">
        <f aca="false">IF(C2847="","",IFERROR(INDEX(Products!$B$2:$B$501,MATCH(C2847,Products!$A$2:$A$501,0)),"CODE NOT FOUND"))</f>
        <v/>
      </c>
      <c r="E2847" s="7"/>
      <c r="F2847" s="13"/>
      <c r="G2847" s="13"/>
      <c r="H2847" s="17" t="str">
        <f aca="false">IF(OR(E2847="",F2847=""),"",E2847*F2847)</f>
        <v/>
      </c>
      <c r="I2847" s="17" t="str">
        <f aca="false">IF(OR(E2847="",G2847=""),"",E2847*G2847)</f>
        <v/>
      </c>
      <c r="J2847" s="17" t="str">
        <f aca="false">IF(H2847="","",H2847-I2847)</f>
        <v/>
      </c>
    </row>
    <row r="2848" customFormat="false" ht="15" hidden="false" customHeight="true" outlineLevel="0" collapsed="false">
      <c r="A2848" s="7"/>
      <c r="B2848" s="18" t="str">
        <f aca="false">IF(A2848="","",IFERROR(INDEX(Sales_Memo!$B$2:$B$1001,MATCH(A2848,Sales_Memo!$A$2:$A$1001,0)),""))</f>
        <v/>
      </c>
      <c r="C2848" s="7"/>
      <c r="D2848" s="16" t="str">
        <f aca="false">IF(C2848="","",IFERROR(INDEX(Products!$B$2:$B$501,MATCH(C2848,Products!$A$2:$A$501,0)),"CODE NOT FOUND"))</f>
        <v/>
      </c>
      <c r="E2848" s="7"/>
      <c r="F2848" s="13"/>
      <c r="G2848" s="13"/>
      <c r="H2848" s="17" t="str">
        <f aca="false">IF(OR(E2848="",F2848=""),"",E2848*F2848)</f>
        <v/>
      </c>
      <c r="I2848" s="17" t="str">
        <f aca="false">IF(OR(E2848="",G2848=""),"",E2848*G2848)</f>
        <v/>
      </c>
      <c r="J2848" s="17" t="str">
        <f aca="false">IF(H2848="","",H2848-I2848)</f>
        <v/>
      </c>
    </row>
    <row r="2849" customFormat="false" ht="15" hidden="false" customHeight="true" outlineLevel="0" collapsed="false">
      <c r="A2849" s="7"/>
      <c r="B2849" s="18" t="str">
        <f aca="false">IF(A2849="","",IFERROR(INDEX(Sales_Memo!$B$2:$B$1001,MATCH(A2849,Sales_Memo!$A$2:$A$1001,0)),""))</f>
        <v/>
      </c>
      <c r="C2849" s="7"/>
      <c r="D2849" s="16" t="str">
        <f aca="false">IF(C2849="","",IFERROR(INDEX(Products!$B$2:$B$501,MATCH(C2849,Products!$A$2:$A$501,0)),"CODE NOT FOUND"))</f>
        <v/>
      </c>
      <c r="E2849" s="7"/>
      <c r="F2849" s="13"/>
      <c r="G2849" s="13"/>
      <c r="H2849" s="17" t="str">
        <f aca="false">IF(OR(E2849="",F2849=""),"",E2849*F2849)</f>
        <v/>
      </c>
      <c r="I2849" s="17" t="str">
        <f aca="false">IF(OR(E2849="",G2849=""),"",E2849*G2849)</f>
        <v/>
      </c>
      <c r="J2849" s="17" t="str">
        <f aca="false">IF(H2849="","",H2849-I2849)</f>
        <v/>
      </c>
    </row>
    <row r="2850" customFormat="false" ht="15" hidden="false" customHeight="true" outlineLevel="0" collapsed="false">
      <c r="A2850" s="7"/>
      <c r="B2850" s="18" t="str">
        <f aca="false">IF(A2850="","",IFERROR(INDEX(Sales_Memo!$B$2:$B$1001,MATCH(A2850,Sales_Memo!$A$2:$A$1001,0)),""))</f>
        <v/>
      </c>
      <c r="C2850" s="7"/>
      <c r="D2850" s="16" t="str">
        <f aca="false">IF(C2850="","",IFERROR(INDEX(Products!$B$2:$B$501,MATCH(C2850,Products!$A$2:$A$501,0)),"CODE NOT FOUND"))</f>
        <v/>
      </c>
      <c r="E2850" s="7"/>
      <c r="F2850" s="13"/>
      <c r="G2850" s="13"/>
      <c r="H2850" s="17" t="str">
        <f aca="false">IF(OR(E2850="",F2850=""),"",E2850*F2850)</f>
        <v/>
      </c>
      <c r="I2850" s="17" t="str">
        <f aca="false">IF(OR(E2850="",G2850=""),"",E2850*G2850)</f>
        <v/>
      </c>
      <c r="J2850" s="17" t="str">
        <f aca="false">IF(H2850="","",H2850-I2850)</f>
        <v/>
      </c>
    </row>
    <row r="2851" customFormat="false" ht="15" hidden="false" customHeight="true" outlineLevel="0" collapsed="false">
      <c r="A2851" s="7"/>
      <c r="B2851" s="18" t="str">
        <f aca="false">IF(A2851="","",IFERROR(INDEX(Sales_Memo!$B$2:$B$1001,MATCH(A2851,Sales_Memo!$A$2:$A$1001,0)),""))</f>
        <v/>
      </c>
      <c r="C2851" s="7"/>
      <c r="D2851" s="16" t="str">
        <f aca="false">IF(C2851="","",IFERROR(INDEX(Products!$B$2:$B$501,MATCH(C2851,Products!$A$2:$A$501,0)),"CODE NOT FOUND"))</f>
        <v/>
      </c>
      <c r="E2851" s="7"/>
      <c r="F2851" s="13"/>
      <c r="G2851" s="13"/>
      <c r="H2851" s="17" t="str">
        <f aca="false">IF(OR(E2851="",F2851=""),"",E2851*F2851)</f>
        <v/>
      </c>
      <c r="I2851" s="17" t="str">
        <f aca="false">IF(OR(E2851="",G2851=""),"",E2851*G2851)</f>
        <v/>
      </c>
      <c r="J2851" s="17" t="str">
        <f aca="false">IF(H2851="","",H2851-I2851)</f>
        <v/>
      </c>
    </row>
    <row r="2852" customFormat="false" ht="15" hidden="false" customHeight="true" outlineLevel="0" collapsed="false">
      <c r="A2852" s="7"/>
      <c r="B2852" s="18" t="str">
        <f aca="false">IF(A2852="","",IFERROR(INDEX(Sales_Memo!$B$2:$B$1001,MATCH(A2852,Sales_Memo!$A$2:$A$1001,0)),""))</f>
        <v/>
      </c>
      <c r="C2852" s="7"/>
      <c r="D2852" s="16" t="str">
        <f aca="false">IF(C2852="","",IFERROR(INDEX(Products!$B$2:$B$501,MATCH(C2852,Products!$A$2:$A$501,0)),"CODE NOT FOUND"))</f>
        <v/>
      </c>
      <c r="E2852" s="7"/>
      <c r="F2852" s="13"/>
      <c r="G2852" s="13"/>
      <c r="H2852" s="17" t="str">
        <f aca="false">IF(OR(E2852="",F2852=""),"",E2852*F2852)</f>
        <v/>
      </c>
      <c r="I2852" s="17" t="str">
        <f aca="false">IF(OR(E2852="",G2852=""),"",E2852*G2852)</f>
        <v/>
      </c>
      <c r="J2852" s="17" t="str">
        <f aca="false">IF(H2852="","",H2852-I2852)</f>
        <v/>
      </c>
    </row>
    <row r="2853" customFormat="false" ht="15" hidden="false" customHeight="true" outlineLevel="0" collapsed="false">
      <c r="A2853" s="7"/>
      <c r="B2853" s="18" t="str">
        <f aca="false">IF(A2853="","",IFERROR(INDEX(Sales_Memo!$B$2:$B$1001,MATCH(A2853,Sales_Memo!$A$2:$A$1001,0)),""))</f>
        <v/>
      </c>
      <c r="C2853" s="7"/>
      <c r="D2853" s="16" t="str">
        <f aca="false">IF(C2853="","",IFERROR(INDEX(Products!$B$2:$B$501,MATCH(C2853,Products!$A$2:$A$501,0)),"CODE NOT FOUND"))</f>
        <v/>
      </c>
      <c r="E2853" s="7"/>
      <c r="F2853" s="13"/>
      <c r="G2853" s="13"/>
      <c r="H2853" s="17" t="str">
        <f aca="false">IF(OR(E2853="",F2853=""),"",E2853*F2853)</f>
        <v/>
      </c>
      <c r="I2853" s="17" t="str">
        <f aca="false">IF(OR(E2853="",G2853=""),"",E2853*G2853)</f>
        <v/>
      </c>
      <c r="J2853" s="17" t="str">
        <f aca="false">IF(H2853="","",H2853-I2853)</f>
        <v/>
      </c>
    </row>
    <row r="2854" customFormat="false" ht="15" hidden="false" customHeight="true" outlineLevel="0" collapsed="false">
      <c r="A2854" s="7"/>
      <c r="B2854" s="18" t="str">
        <f aca="false">IF(A2854="","",IFERROR(INDEX(Sales_Memo!$B$2:$B$1001,MATCH(A2854,Sales_Memo!$A$2:$A$1001,0)),""))</f>
        <v/>
      </c>
      <c r="C2854" s="7"/>
      <c r="D2854" s="16" t="str">
        <f aca="false">IF(C2854="","",IFERROR(INDEX(Products!$B$2:$B$501,MATCH(C2854,Products!$A$2:$A$501,0)),"CODE NOT FOUND"))</f>
        <v/>
      </c>
      <c r="E2854" s="7"/>
      <c r="F2854" s="13"/>
      <c r="G2854" s="13"/>
      <c r="H2854" s="17" t="str">
        <f aca="false">IF(OR(E2854="",F2854=""),"",E2854*F2854)</f>
        <v/>
      </c>
      <c r="I2854" s="17" t="str">
        <f aca="false">IF(OR(E2854="",G2854=""),"",E2854*G2854)</f>
        <v/>
      </c>
      <c r="J2854" s="17" t="str">
        <f aca="false">IF(H2854="","",H2854-I2854)</f>
        <v/>
      </c>
    </row>
    <row r="2855" customFormat="false" ht="15" hidden="false" customHeight="true" outlineLevel="0" collapsed="false">
      <c r="A2855" s="7"/>
      <c r="B2855" s="18" t="str">
        <f aca="false">IF(A2855="","",IFERROR(INDEX(Sales_Memo!$B$2:$B$1001,MATCH(A2855,Sales_Memo!$A$2:$A$1001,0)),""))</f>
        <v/>
      </c>
      <c r="C2855" s="7"/>
      <c r="D2855" s="16" t="str">
        <f aca="false">IF(C2855="","",IFERROR(INDEX(Products!$B$2:$B$501,MATCH(C2855,Products!$A$2:$A$501,0)),"CODE NOT FOUND"))</f>
        <v/>
      </c>
      <c r="E2855" s="7"/>
      <c r="F2855" s="13"/>
      <c r="G2855" s="13"/>
      <c r="H2855" s="17" t="str">
        <f aca="false">IF(OR(E2855="",F2855=""),"",E2855*F2855)</f>
        <v/>
      </c>
      <c r="I2855" s="17" t="str">
        <f aca="false">IF(OR(E2855="",G2855=""),"",E2855*G2855)</f>
        <v/>
      </c>
      <c r="J2855" s="17" t="str">
        <f aca="false">IF(H2855="","",H2855-I2855)</f>
        <v/>
      </c>
    </row>
    <row r="2856" customFormat="false" ht="15" hidden="false" customHeight="true" outlineLevel="0" collapsed="false">
      <c r="A2856" s="7"/>
      <c r="B2856" s="18" t="str">
        <f aca="false">IF(A2856="","",IFERROR(INDEX(Sales_Memo!$B$2:$B$1001,MATCH(A2856,Sales_Memo!$A$2:$A$1001,0)),""))</f>
        <v/>
      </c>
      <c r="C2856" s="7"/>
      <c r="D2856" s="16" t="str">
        <f aca="false">IF(C2856="","",IFERROR(INDEX(Products!$B$2:$B$501,MATCH(C2856,Products!$A$2:$A$501,0)),"CODE NOT FOUND"))</f>
        <v/>
      </c>
      <c r="E2856" s="7"/>
      <c r="F2856" s="13"/>
      <c r="G2856" s="13"/>
      <c r="H2856" s="17" t="str">
        <f aca="false">IF(OR(E2856="",F2856=""),"",E2856*F2856)</f>
        <v/>
      </c>
      <c r="I2856" s="17" t="str">
        <f aca="false">IF(OR(E2856="",G2856=""),"",E2856*G2856)</f>
        <v/>
      </c>
      <c r="J2856" s="17" t="str">
        <f aca="false">IF(H2856="","",H2856-I2856)</f>
        <v/>
      </c>
    </row>
    <row r="2857" customFormat="false" ht="15" hidden="false" customHeight="true" outlineLevel="0" collapsed="false">
      <c r="A2857" s="7"/>
      <c r="B2857" s="18" t="str">
        <f aca="false">IF(A2857="","",IFERROR(INDEX(Sales_Memo!$B$2:$B$1001,MATCH(A2857,Sales_Memo!$A$2:$A$1001,0)),""))</f>
        <v/>
      </c>
      <c r="C2857" s="7"/>
      <c r="D2857" s="16" t="str">
        <f aca="false">IF(C2857="","",IFERROR(INDEX(Products!$B$2:$B$501,MATCH(C2857,Products!$A$2:$A$501,0)),"CODE NOT FOUND"))</f>
        <v/>
      </c>
      <c r="E2857" s="7"/>
      <c r="F2857" s="13"/>
      <c r="G2857" s="13"/>
      <c r="H2857" s="17" t="str">
        <f aca="false">IF(OR(E2857="",F2857=""),"",E2857*F2857)</f>
        <v/>
      </c>
      <c r="I2857" s="17" t="str">
        <f aca="false">IF(OR(E2857="",G2857=""),"",E2857*G2857)</f>
        <v/>
      </c>
      <c r="J2857" s="17" t="str">
        <f aca="false">IF(H2857="","",H2857-I2857)</f>
        <v/>
      </c>
    </row>
    <row r="2858" customFormat="false" ht="15" hidden="false" customHeight="true" outlineLevel="0" collapsed="false">
      <c r="A2858" s="7"/>
      <c r="B2858" s="18" t="str">
        <f aca="false">IF(A2858="","",IFERROR(INDEX(Sales_Memo!$B$2:$B$1001,MATCH(A2858,Sales_Memo!$A$2:$A$1001,0)),""))</f>
        <v/>
      </c>
      <c r="C2858" s="7"/>
      <c r="D2858" s="16" t="str">
        <f aca="false">IF(C2858="","",IFERROR(INDEX(Products!$B$2:$B$501,MATCH(C2858,Products!$A$2:$A$501,0)),"CODE NOT FOUND"))</f>
        <v/>
      </c>
      <c r="E2858" s="7"/>
      <c r="F2858" s="13"/>
      <c r="G2858" s="13"/>
      <c r="H2858" s="17" t="str">
        <f aca="false">IF(OR(E2858="",F2858=""),"",E2858*F2858)</f>
        <v/>
      </c>
      <c r="I2858" s="17" t="str">
        <f aca="false">IF(OR(E2858="",G2858=""),"",E2858*G2858)</f>
        <v/>
      </c>
      <c r="J2858" s="17" t="str">
        <f aca="false">IF(H2858="","",H2858-I2858)</f>
        <v/>
      </c>
    </row>
    <row r="2859" customFormat="false" ht="15" hidden="false" customHeight="true" outlineLevel="0" collapsed="false">
      <c r="A2859" s="7"/>
      <c r="B2859" s="18" t="str">
        <f aca="false">IF(A2859="","",IFERROR(INDEX(Sales_Memo!$B$2:$B$1001,MATCH(A2859,Sales_Memo!$A$2:$A$1001,0)),""))</f>
        <v/>
      </c>
      <c r="C2859" s="7"/>
      <c r="D2859" s="16" t="str">
        <f aca="false">IF(C2859="","",IFERROR(INDEX(Products!$B$2:$B$501,MATCH(C2859,Products!$A$2:$A$501,0)),"CODE NOT FOUND"))</f>
        <v/>
      </c>
      <c r="E2859" s="7"/>
      <c r="F2859" s="13"/>
      <c r="G2859" s="13"/>
      <c r="H2859" s="17" t="str">
        <f aca="false">IF(OR(E2859="",F2859=""),"",E2859*F2859)</f>
        <v/>
      </c>
      <c r="I2859" s="17" t="str">
        <f aca="false">IF(OR(E2859="",G2859=""),"",E2859*G2859)</f>
        <v/>
      </c>
      <c r="J2859" s="17" t="str">
        <f aca="false">IF(H2859="","",H2859-I2859)</f>
        <v/>
      </c>
    </row>
    <row r="2860" customFormat="false" ht="15" hidden="false" customHeight="true" outlineLevel="0" collapsed="false">
      <c r="A2860" s="7"/>
      <c r="B2860" s="18" t="str">
        <f aca="false">IF(A2860="","",IFERROR(INDEX(Sales_Memo!$B$2:$B$1001,MATCH(A2860,Sales_Memo!$A$2:$A$1001,0)),""))</f>
        <v/>
      </c>
      <c r="C2860" s="7"/>
      <c r="D2860" s="16" t="str">
        <f aca="false">IF(C2860="","",IFERROR(INDEX(Products!$B$2:$B$501,MATCH(C2860,Products!$A$2:$A$501,0)),"CODE NOT FOUND"))</f>
        <v/>
      </c>
      <c r="E2860" s="7"/>
      <c r="F2860" s="13"/>
      <c r="G2860" s="13"/>
      <c r="H2860" s="17" t="str">
        <f aca="false">IF(OR(E2860="",F2860=""),"",E2860*F2860)</f>
        <v/>
      </c>
      <c r="I2860" s="17" t="str">
        <f aca="false">IF(OR(E2860="",G2860=""),"",E2860*G2860)</f>
        <v/>
      </c>
      <c r="J2860" s="17" t="str">
        <f aca="false">IF(H2860="","",H2860-I2860)</f>
        <v/>
      </c>
    </row>
    <row r="2861" customFormat="false" ht="15" hidden="false" customHeight="true" outlineLevel="0" collapsed="false">
      <c r="A2861" s="7"/>
      <c r="B2861" s="18" t="str">
        <f aca="false">IF(A2861="","",IFERROR(INDEX(Sales_Memo!$B$2:$B$1001,MATCH(A2861,Sales_Memo!$A$2:$A$1001,0)),""))</f>
        <v/>
      </c>
      <c r="C2861" s="7"/>
      <c r="D2861" s="16" t="str">
        <f aca="false">IF(C2861="","",IFERROR(INDEX(Products!$B$2:$B$501,MATCH(C2861,Products!$A$2:$A$501,0)),"CODE NOT FOUND"))</f>
        <v/>
      </c>
      <c r="E2861" s="7"/>
      <c r="F2861" s="13"/>
      <c r="G2861" s="13"/>
      <c r="H2861" s="17" t="str">
        <f aca="false">IF(OR(E2861="",F2861=""),"",E2861*F2861)</f>
        <v/>
      </c>
      <c r="I2861" s="17" t="str">
        <f aca="false">IF(OR(E2861="",G2861=""),"",E2861*G2861)</f>
        <v/>
      </c>
      <c r="J2861" s="17" t="str">
        <f aca="false">IF(H2861="","",H2861-I2861)</f>
        <v/>
      </c>
    </row>
    <row r="2862" customFormat="false" ht="15" hidden="false" customHeight="true" outlineLevel="0" collapsed="false">
      <c r="A2862" s="7"/>
      <c r="B2862" s="18" t="str">
        <f aca="false">IF(A2862="","",IFERROR(INDEX(Sales_Memo!$B$2:$B$1001,MATCH(A2862,Sales_Memo!$A$2:$A$1001,0)),""))</f>
        <v/>
      </c>
      <c r="C2862" s="7"/>
      <c r="D2862" s="16" t="str">
        <f aca="false">IF(C2862="","",IFERROR(INDEX(Products!$B$2:$B$501,MATCH(C2862,Products!$A$2:$A$501,0)),"CODE NOT FOUND"))</f>
        <v/>
      </c>
      <c r="E2862" s="7"/>
      <c r="F2862" s="13"/>
      <c r="G2862" s="13"/>
      <c r="H2862" s="17" t="str">
        <f aca="false">IF(OR(E2862="",F2862=""),"",E2862*F2862)</f>
        <v/>
      </c>
      <c r="I2862" s="17" t="str">
        <f aca="false">IF(OR(E2862="",G2862=""),"",E2862*G2862)</f>
        <v/>
      </c>
      <c r="J2862" s="17" t="str">
        <f aca="false">IF(H2862="","",H2862-I2862)</f>
        <v/>
      </c>
    </row>
    <row r="2863" customFormat="false" ht="15" hidden="false" customHeight="true" outlineLevel="0" collapsed="false">
      <c r="A2863" s="7"/>
      <c r="B2863" s="18" t="str">
        <f aca="false">IF(A2863="","",IFERROR(INDEX(Sales_Memo!$B$2:$B$1001,MATCH(A2863,Sales_Memo!$A$2:$A$1001,0)),""))</f>
        <v/>
      </c>
      <c r="C2863" s="7"/>
      <c r="D2863" s="16" t="str">
        <f aca="false">IF(C2863="","",IFERROR(INDEX(Products!$B$2:$B$501,MATCH(C2863,Products!$A$2:$A$501,0)),"CODE NOT FOUND"))</f>
        <v/>
      </c>
      <c r="E2863" s="7"/>
      <c r="F2863" s="13"/>
      <c r="G2863" s="13"/>
      <c r="H2863" s="17" t="str">
        <f aca="false">IF(OR(E2863="",F2863=""),"",E2863*F2863)</f>
        <v/>
      </c>
      <c r="I2863" s="17" t="str">
        <f aca="false">IF(OR(E2863="",G2863=""),"",E2863*G2863)</f>
        <v/>
      </c>
      <c r="J2863" s="17" t="str">
        <f aca="false">IF(H2863="","",H2863-I2863)</f>
        <v/>
      </c>
    </row>
    <row r="2864" customFormat="false" ht="15" hidden="false" customHeight="true" outlineLevel="0" collapsed="false">
      <c r="A2864" s="7"/>
      <c r="B2864" s="18" t="str">
        <f aca="false">IF(A2864="","",IFERROR(INDEX(Sales_Memo!$B$2:$B$1001,MATCH(A2864,Sales_Memo!$A$2:$A$1001,0)),""))</f>
        <v/>
      </c>
      <c r="C2864" s="7"/>
      <c r="D2864" s="16" t="str">
        <f aca="false">IF(C2864="","",IFERROR(INDEX(Products!$B$2:$B$501,MATCH(C2864,Products!$A$2:$A$501,0)),"CODE NOT FOUND"))</f>
        <v/>
      </c>
      <c r="E2864" s="7"/>
      <c r="F2864" s="13"/>
      <c r="G2864" s="13"/>
      <c r="H2864" s="17" t="str">
        <f aca="false">IF(OR(E2864="",F2864=""),"",E2864*F2864)</f>
        <v/>
      </c>
      <c r="I2864" s="17" t="str">
        <f aca="false">IF(OR(E2864="",G2864=""),"",E2864*G2864)</f>
        <v/>
      </c>
      <c r="J2864" s="17" t="str">
        <f aca="false">IF(H2864="","",H2864-I2864)</f>
        <v/>
      </c>
    </row>
    <row r="2865" customFormat="false" ht="15" hidden="false" customHeight="true" outlineLevel="0" collapsed="false">
      <c r="A2865" s="7"/>
      <c r="B2865" s="18" t="str">
        <f aca="false">IF(A2865="","",IFERROR(INDEX(Sales_Memo!$B$2:$B$1001,MATCH(A2865,Sales_Memo!$A$2:$A$1001,0)),""))</f>
        <v/>
      </c>
      <c r="C2865" s="7"/>
      <c r="D2865" s="16" t="str">
        <f aca="false">IF(C2865="","",IFERROR(INDEX(Products!$B$2:$B$501,MATCH(C2865,Products!$A$2:$A$501,0)),"CODE NOT FOUND"))</f>
        <v/>
      </c>
      <c r="E2865" s="7"/>
      <c r="F2865" s="13"/>
      <c r="G2865" s="13"/>
      <c r="H2865" s="17" t="str">
        <f aca="false">IF(OR(E2865="",F2865=""),"",E2865*F2865)</f>
        <v/>
      </c>
      <c r="I2865" s="17" t="str">
        <f aca="false">IF(OR(E2865="",G2865=""),"",E2865*G2865)</f>
        <v/>
      </c>
      <c r="J2865" s="17" t="str">
        <f aca="false">IF(H2865="","",H2865-I2865)</f>
        <v/>
      </c>
    </row>
    <row r="2866" customFormat="false" ht="15" hidden="false" customHeight="true" outlineLevel="0" collapsed="false">
      <c r="A2866" s="7"/>
      <c r="B2866" s="18" t="str">
        <f aca="false">IF(A2866="","",IFERROR(INDEX(Sales_Memo!$B$2:$B$1001,MATCH(A2866,Sales_Memo!$A$2:$A$1001,0)),""))</f>
        <v/>
      </c>
      <c r="C2866" s="7"/>
      <c r="D2866" s="16" t="str">
        <f aca="false">IF(C2866="","",IFERROR(INDEX(Products!$B$2:$B$501,MATCH(C2866,Products!$A$2:$A$501,0)),"CODE NOT FOUND"))</f>
        <v/>
      </c>
      <c r="E2866" s="7"/>
      <c r="F2866" s="13"/>
      <c r="G2866" s="13"/>
      <c r="H2866" s="17" t="str">
        <f aca="false">IF(OR(E2866="",F2866=""),"",E2866*F2866)</f>
        <v/>
      </c>
      <c r="I2866" s="17" t="str">
        <f aca="false">IF(OR(E2866="",G2866=""),"",E2866*G2866)</f>
        <v/>
      </c>
      <c r="J2866" s="17" t="str">
        <f aca="false">IF(H2866="","",H2866-I2866)</f>
        <v/>
      </c>
    </row>
    <row r="2867" customFormat="false" ht="15" hidden="false" customHeight="true" outlineLevel="0" collapsed="false">
      <c r="A2867" s="7"/>
      <c r="B2867" s="18" t="str">
        <f aca="false">IF(A2867="","",IFERROR(INDEX(Sales_Memo!$B$2:$B$1001,MATCH(A2867,Sales_Memo!$A$2:$A$1001,0)),""))</f>
        <v/>
      </c>
      <c r="C2867" s="7"/>
      <c r="D2867" s="16" t="str">
        <f aca="false">IF(C2867="","",IFERROR(INDEX(Products!$B$2:$B$501,MATCH(C2867,Products!$A$2:$A$501,0)),"CODE NOT FOUND"))</f>
        <v/>
      </c>
      <c r="E2867" s="7"/>
      <c r="F2867" s="13"/>
      <c r="G2867" s="13"/>
      <c r="H2867" s="17" t="str">
        <f aca="false">IF(OR(E2867="",F2867=""),"",E2867*F2867)</f>
        <v/>
      </c>
      <c r="I2867" s="17" t="str">
        <f aca="false">IF(OR(E2867="",G2867=""),"",E2867*G2867)</f>
        <v/>
      </c>
      <c r="J2867" s="17" t="str">
        <f aca="false">IF(H2867="","",H2867-I2867)</f>
        <v/>
      </c>
    </row>
    <row r="2868" customFormat="false" ht="15" hidden="false" customHeight="true" outlineLevel="0" collapsed="false">
      <c r="A2868" s="7"/>
      <c r="B2868" s="18" t="str">
        <f aca="false">IF(A2868="","",IFERROR(INDEX(Sales_Memo!$B$2:$B$1001,MATCH(A2868,Sales_Memo!$A$2:$A$1001,0)),""))</f>
        <v/>
      </c>
      <c r="C2868" s="7"/>
      <c r="D2868" s="16" t="str">
        <f aca="false">IF(C2868="","",IFERROR(INDEX(Products!$B$2:$B$501,MATCH(C2868,Products!$A$2:$A$501,0)),"CODE NOT FOUND"))</f>
        <v/>
      </c>
      <c r="E2868" s="7"/>
      <c r="F2868" s="13"/>
      <c r="G2868" s="13"/>
      <c r="H2868" s="17" t="str">
        <f aca="false">IF(OR(E2868="",F2868=""),"",E2868*F2868)</f>
        <v/>
      </c>
      <c r="I2868" s="17" t="str">
        <f aca="false">IF(OR(E2868="",G2868=""),"",E2868*G2868)</f>
        <v/>
      </c>
      <c r="J2868" s="17" t="str">
        <f aca="false">IF(H2868="","",H2868-I2868)</f>
        <v/>
      </c>
    </row>
    <row r="2869" customFormat="false" ht="15" hidden="false" customHeight="true" outlineLevel="0" collapsed="false">
      <c r="A2869" s="7"/>
      <c r="B2869" s="18" t="str">
        <f aca="false">IF(A2869="","",IFERROR(INDEX(Sales_Memo!$B$2:$B$1001,MATCH(A2869,Sales_Memo!$A$2:$A$1001,0)),""))</f>
        <v/>
      </c>
      <c r="C2869" s="7"/>
      <c r="D2869" s="16" t="str">
        <f aca="false">IF(C2869="","",IFERROR(INDEX(Products!$B$2:$B$501,MATCH(C2869,Products!$A$2:$A$501,0)),"CODE NOT FOUND"))</f>
        <v/>
      </c>
      <c r="E2869" s="7"/>
      <c r="F2869" s="13"/>
      <c r="G2869" s="13"/>
      <c r="H2869" s="17" t="str">
        <f aca="false">IF(OR(E2869="",F2869=""),"",E2869*F2869)</f>
        <v/>
      </c>
      <c r="I2869" s="17" t="str">
        <f aca="false">IF(OR(E2869="",G2869=""),"",E2869*G2869)</f>
        <v/>
      </c>
      <c r="J2869" s="17" t="str">
        <f aca="false">IF(H2869="","",H2869-I2869)</f>
        <v/>
      </c>
    </row>
    <row r="2870" customFormat="false" ht="15" hidden="false" customHeight="true" outlineLevel="0" collapsed="false">
      <c r="A2870" s="7"/>
      <c r="B2870" s="18" t="str">
        <f aca="false">IF(A2870="","",IFERROR(INDEX(Sales_Memo!$B$2:$B$1001,MATCH(A2870,Sales_Memo!$A$2:$A$1001,0)),""))</f>
        <v/>
      </c>
      <c r="C2870" s="7"/>
      <c r="D2870" s="16" t="str">
        <f aca="false">IF(C2870="","",IFERROR(INDEX(Products!$B$2:$B$501,MATCH(C2870,Products!$A$2:$A$501,0)),"CODE NOT FOUND"))</f>
        <v/>
      </c>
      <c r="E2870" s="7"/>
      <c r="F2870" s="13"/>
      <c r="G2870" s="13"/>
      <c r="H2870" s="17" t="str">
        <f aca="false">IF(OR(E2870="",F2870=""),"",E2870*F2870)</f>
        <v/>
      </c>
      <c r="I2870" s="17" t="str">
        <f aca="false">IF(OR(E2870="",G2870=""),"",E2870*G2870)</f>
        <v/>
      </c>
      <c r="J2870" s="17" t="str">
        <f aca="false">IF(H2870="","",H2870-I2870)</f>
        <v/>
      </c>
    </row>
    <row r="2871" customFormat="false" ht="15" hidden="false" customHeight="true" outlineLevel="0" collapsed="false">
      <c r="A2871" s="7"/>
      <c r="B2871" s="18" t="str">
        <f aca="false">IF(A2871="","",IFERROR(INDEX(Sales_Memo!$B$2:$B$1001,MATCH(A2871,Sales_Memo!$A$2:$A$1001,0)),""))</f>
        <v/>
      </c>
      <c r="C2871" s="7"/>
      <c r="D2871" s="16" t="str">
        <f aca="false">IF(C2871="","",IFERROR(INDEX(Products!$B$2:$B$501,MATCH(C2871,Products!$A$2:$A$501,0)),"CODE NOT FOUND"))</f>
        <v/>
      </c>
      <c r="E2871" s="7"/>
      <c r="F2871" s="13"/>
      <c r="G2871" s="13"/>
      <c r="H2871" s="17" t="str">
        <f aca="false">IF(OR(E2871="",F2871=""),"",E2871*F2871)</f>
        <v/>
      </c>
      <c r="I2871" s="17" t="str">
        <f aca="false">IF(OR(E2871="",G2871=""),"",E2871*G2871)</f>
        <v/>
      </c>
      <c r="J2871" s="17" t="str">
        <f aca="false">IF(H2871="","",H2871-I2871)</f>
        <v/>
      </c>
    </row>
    <row r="2872" customFormat="false" ht="15" hidden="false" customHeight="true" outlineLevel="0" collapsed="false">
      <c r="A2872" s="7"/>
      <c r="B2872" s="18" t="str">
        <f aca="false">IF(A2872="","",IFERROR(INDEX(Sales_Memo!$B$2:$B$1001,MATCH(A2872,Sales_Memo!$A$2:$A$1001,0)),""))</f>
        <v/>
      </c>
      <c r="C2872" s="7"/>
      <c r="D2872" s="16" t="str">
        <f aca="false">IF(C2872="","",IFERROR(INDEX(Products!$B$2:$B$501,MATCH(C2872,Products!$A$2:$A$501,0)),"CODE NOT FOUND"))</f>
        <v/>
      </c>
      <c r="E2872" s="7"/>
      <c r="F2872" s="13"/>
      <c r="G2872" s="13"/>
      <c r="H2872" s="17" t="str">
        <f aca="false">IF(OR(E2872="",F2872=""),"",E2872*F2872)</f>
        <v/>
      </c>
      <c r="I2872" s="17" t="str">
        <f aca="false">IF(OR(E2872="",G2872=""),"",E2872*G2872)</f>
        <v/>
      </c>
      <c r="J2872" s="17" t="str">
        <f aca="false">IF(H2872="","",H2872-I2872)</f>
        <v/>
      </c>
    </row>
    <row r="2873" customFormat="false" ht="15" hidden="false" customHeight="true" outlineLevel="0" collapsed="false">
      <c r="A2873" s="7"/>
      <c r="B2873" s="18" t="str">
        <f aca="false">IF(A2873="","",IFERROR(INDEX(Sales_Memo!$B$2:$B$1001,MATCH(A2873,Sales_Memo!$A$2:$A$1001,0)),""))</f>
        <v/>
      </c>
      <c r="C2873" s="7"/>
      <c r="D2873" s="16" t="str">
        <f aca="false">IF(C2873="","",IFERROR(INDEX(Products!$B$2:$B$501,MATCH(C2873,Products!$A$2:$A$501,0)),"CODE NOT FOUND"))</f>
        <v/>
      </c>
      <c r="E2873" s="7"/>
      <c r="F2873" s="13"/>
      <c r="G2873" s="13"/>
      <c r="H2873" s="17" t="str">
        <f aca="false">IF(OR(E2873="",F2873=""),"",E2873*F2873)</f>
        <v/>
      </c>
      <c r="I2873" s="17" t="str">
        <f aca="false">IF(OR(E2873="",G2873=""),"",E2873*G2873)</f>
        <v/>
      </c>
      <c r="J2873" s="17" t="str">
        <f aca="false">IF(H2873="","",H2873-I2873)</f>
        <v/>
      </c>
    </row>
    <row r="2874" customFormat="false" ht="15" hidden="false" customHeight="true" outlineLevel="0" collapsed="false">
      <c r="A2874" s="7"/>
      <c r="B2874" s="18" t="str">
        <f aca="false">IF(A2874="","",IFERROR(INDEX(Sales_Memo!$B$2:$B$1001,MATCH(A2874,Sales_Memo!$A$2:$A$1001,0)),""))</f>
        <v/>
      </c>
      <c r="C2874" s="7"/>
      <c r="D2874" s="16" t="str">
        <f aca="false">IF(C2874="","",IFERROR(INDEX(Products!$B$2:$B$501,MATCH(C2874,Products!$A$2:$A$501,0)),"CODE NOT FOUND"))</f>
        <v/>
      </c>
      <c r="E2874" s="7"/>
      <c r="F2874" s="13"/>
      <c r="G2874" s="13"/>
      <c r="H2874" s="17" t="str">
        <f aca="false">IF(OR(E2874="",F2874=""),"",E2874*F2874)</f>
        <v/>
      </c>
      <c r="I2874" s="17" t="str">
        <f aca="false">IF(OR(E2874="",G2874=""),"",E2874*G2874)</f>
        <v/>
      </c>
      <c r="J2874" s="17" t="str">
        <f aca="false">IF(H2874="","",H2874-I2874)</f>
        <v/>
      </c>
    </row>
    <row r="2875" customFormat="false" ht="15" hidden="false" customHeight="true" outlineLevel="0" collapsed="false">
      <c r="A2875" s="7"/>
      <c r="B2875" s="18" t="str">
        <f aca="false">IF(A2875="","",IFERROR(INDEX(Sales_Memo!$B$2:$B$1001,MATCH(A2875,Sales_Memo!$A$2:$A$1001,0)),""))</f>
        <v/>
      </c>
      <c r="C2875" s="7"/>
      <c r="D2875" s="16" t="str">
        <f aca="false">IF(C2875="","",IFERROR(INDEX(Products!$B$2:$B$501,MATCH(C2875,Products!$A$2:$A$501,0)),"CODE NOT FOUND"))</f>
        <v/>
      </c>
      <c r="E2875" s="7"/>
      <c r="F2875" s="13"/>
      <c r="G2875" s="13"/>
      <c r="H2875" s="17" t="str">
        <f aca="false">IF(OR(E2875="",F2875=""),"",E2875*F2875)</f>
        <v/>
      </c>
      <c r="I2875" s="17" t="str">
        <f aca="false">IF(OR(E2875="",G2875=""),"",E2875*G2875)</f>
        <v/>
      </c>
      <c r="J2875" s="17" t="str">
        <f aca="false">IF(H2875="","",H2875-I2875)</f>
        <v/>
      </c>
    </row>
    <row r="2876" customFormat="false" ht="15" hidden="false" customHeight="true" outlineLevel="0" collapsed="false">
      <c r="A2876" s="7"/>
      <c r="B2876" s="18" t="str">
        <f aca="false">IF(A2876="","",IFERROR(INDEX(Sales_Memo!$B$2:$B$1001,MATCH(A2876,Sales_Memo!$A$2:$A$1001,0)),""))</f>
        <v/>
      </c>
      <c r="C2876" s="7"/>
      <c r="D2876" s="16" t="str">
        <f aca="false">IF(C2876="","",IFERROR(INDEX(Products!$B$2:$B$501,MATCH(C2876,Products!$A$2:$A$501,0)),"CODE NOT FOUND"))</f>
        <v/>
      </c>
      <c r="E2876" s="7"/>
      <c r="F2876" s="13"/>
      <c r="G2876" s="13"/>
      <c r="H2876" s="17" t="str">
        <f aca="false">IF(OR(E2876="",F2876=""),"",E2876*F2876)</f>
        <v/>
      </c>
      <c r="I2876" s="17" t="str">
        <f aca="false">IF(OR(E2876="",G2876=""),"",E2876*G2876)</f>
        <v/>
      </c>
      <c r="J2876" s="17" t="str">
        <f aca="false">IF(H2876="","",H2876-I2876)</f>
        <v/>
      </c>
    </row>
    <row r="2877" customFormat="false" ht="15" hidden="false" customHeight="true" outlineLevel="0" collapsed="false">
      <c r="A2877" s="7"/>
      <c r="B2877" s="18" t="str">
        <f aca="false">IF(A2877="","",IFERROR(INDEX(Sales_Memo!$B$2:$B$1001,MATCH(A2877,Sales_Memo!$A$2:$A$1001,0)),""))</f>
        <v/>
      </c>
      <c r="C2877" s="7"/>
      <c r="D2877" s="16" t="str">
        <f aca="false">IF(C2877="","",IFERROR(INDEX(Products!$B$2:$B$501,MATCH(C2877,Products!$A$2:$A$501,0)),"CODE NOT FOUND"))</f>
        <v/>
      </c>
      <c r="E2877" s="7"/>
      <c r="F2877" s="13"/>
      <c r="G2877" s="13"/>
      <c r="H2877" s="17" t="str">
        <f aca="false">IF(OR(E2877="",F2877=""),"",E2877*F2877)</f>
        <v/>
      </c>
      <c r="I2877" s="17" t="str">
        <f aca="false">IF(OR(E2877="",G2877=""),"",E2877*G2877)</f>
        <v/>
      </c>
      <c r="J2877" s="17" t="str">
        <f aca="false">IF(H2877="","",H2877-I2877)</f>
        <v/>
      </c>
    </row>
    <row r="2878" customFormat="false" ht="15" hidden="false" customHeight="true" outlineLevel="0" collapsed="false">
      <c r="A2878" s="7"/>
      <c r="B2878" s="18" t="str">
        <f aca="false">IF(A2878="","",IFERROR(INDEX(Sales_Memo!$B$2:$B$1001,MATCH(A2878,Sales_Memo!$A$2:$A$1001,0)),""))</f>
        <v/>
      </c>
      <c r="C2878" s="7"/>
      <c r="D2878" s="16" t="str">
        <f aca="false">IF(C2878="","",IFERROR(INDEX(Products!$B$2:$B$501,MATCH(C2878,Products!$A$2:$A$501,0)),"CODE NOT FOUND"))</f>
        <v/>
      </c>
      <c r="E2878" s="7"/>
      <c r="F2878" s="13"/>
      <c r="G2878" s="13"/>
      <c r="H2878" s="17" t="str">
        <f aca="false">IF(OR(E2878="",F2878=""),"",E2878*F2878)</f>
        <v/>
      </c>
      <c r="I2878" s="17" t="str">
        <f aca="false">IF(OR(E2878="",G2878=""),"",E2878*G2878)</f>
        <v/>
      </c>
      <c r="J2878" s="17" t="str">
        <f aca="false">IF(H2878="","",H2878-I2878)</f>
        <v/>
      </c>
    </row>
    <row r="2879" customFormat="false" ht="15" hidden="false" customHeight="true" outlineLevel="0" collapsed="false">
      <c r="A2879" s="7"/>
      <c r="B2879" s="18" t="str">
        <f aca="false">IF(A2879="","",IFERROR(INDEX(Sales_Memo!$B$2:$B$1001,MATCH(A2879,Sales_Memo!$A$2:$A$1001,0)),""))</f>
        <v/>
      </c>
      <c r="C2879" s="7"/>
      <c r="D2879" s="16" t="str">
        <f aca="false">IF(C2879="","",IFERROR(INDEX(Products!$B$2:$B$501,MATCH(C2879,Products!$A$2:$A$501,0)),"CODE NOT FOUND"))</f>
        <v/>
      </c>
      <c r="E2879" s="7"/>
      <c r="F2879" s="13"/>
      <c r="G2879" s="13"/>
      <c r="H2879" s="17" t="str">
        <f aca="false">IF(OR(E2879="",F2879=""),"",E2879*F2879)</f>
        <v/>
      </c>
      <c r="I2879" s="17" t="str">
        <f aca="false">IF(OR(E2879="",G2879=""),"",E2879*G2879)</f>
        <v/>
      </c>
      <c r="J2879" s="17" t="str">
        <f aca="false">IF(H2879="","",H2879-I2879)</f>
        <v/>
      </c>
    </row>
    <row r="2880" customFormat="false" ht="15" hidden="false" customHeight="true" outlineLevel="0" collapsed="false">
      <c r="A2880" s="7"/>
      <c r="B2880" s="18" t="str">
        <f aca="false">IF(A2880="","",IFERROR(INDEX(Sales_Memo!$B$2:$B$1001,MATCH(A2880,Sales_Memo!$A$2:$A$1001,0)),""))</f>
        <v/>
      </c>
      <c r="C2880" s="7"/>
      <c r="D2880" s="16" t="str">
        <f aca="false">IF(C2880="","",IFERROR(INDEX(Products!$B$2:$B$501,MATCH(C2880,Products!$A$2:$A$501,0)),"CODE NOT FOUND"))</f>
        <v/>
      </c>
      <c r="E2880" s="7"/>
      <c r="F2880" s="13"/>
      <c r="G2880" s="13"/>
      <c r="H2880" s="17" t="str">
        <f aca="false">IF(OR(E2880="",F2880=""),"",E2880*F2880)</f>
        <v/>
      </c>
      <c r="I2880" s="17" t="str">
        <f aca="false">IF(OR(E2880="",G2880=""),"",E2880*G2880)</f>
        <v/>
      </c>
      <c r="J2880" s="17" t="str">
        <f aca="false">IF(H2880="","",H2880-I2880)</f>
        <v/>
      </c>
    </row>
    <row r="2881" customFormat="false" ht="15" hidden="false" customHeight="true" outlineLevel="0" collapsed="false">
      <c r="A2881" s="7"/>
      <c r="B2881" s="18" t="str">
        <f aca="false">IF(A2881="","",IFERROR(INDEX(Sales_Memo!$B$2:$B$1001,MATCH(A2881,Sales_Memo!$A$2:$A$1001,0)),""))</f>
        <v/>
      </c>
      <c r="C2881" s="7"/>
      <c r="D2881" s="16" t="str">
        <f aca="false">IF(C2881="","",IFERROR(INDEX(Products!$B$2:$B$501,MATCH(C2881,Products!$A$2:$A$501,0)),"CODE NOT FOUND"))</f>
        <v/>
      </c>
      <c r="E2881" s="7"/>
      <c r="F2881" s="13"/>
      <c r="G2881" s="13"/>
      <c r="H2881" s="17" t="str">
        <f aca="false">IF(OR(E2881="",F2881=""),"",E2881*F2881)</f>
        <v/>
      </c>
      <c r="I2881" s="17" t="str">
        <f aca="false">IF(OR(E2881="",G2881=""),"",E2881*G2881)</f>
        <v/>
      </c>
      <c r="J2881" s="17" t="str">
        <f aca="false">IF(H2881="","",H2881-I2881)</f>
        <v/>
      </c>
    </row>
    <row r="2882" customFormat="false" ht="15" hidden="false" customHeight="true" outlineLevel="0" collapsed="false">
      <c r="A2882" s="7"/>
      <c r="B2882" s="18" t="str">
        <f aca="false">IF(A2882="","",IFERROR(INDEX(Sales_Memo!$B$2:$B$1001,MATCH(A2882,Sales_Memo!$A$2:$A$1001,0)),""))</f>
        <v/>
      </c>
      <c r="C2882" s="7"/>
      <c r="D2882" s="16" t="str">
        <f aca="false">IF(C2882="","",IFERROR(INDEX(Products!$B$2:$B$501,MATCH(C2882,Products!$A$2:$A$501,0)),"CODE NOT FOUND"))</f>
        <v/>
      </c>
      <c r="E2882" s="7"/>
      <c r="F2882" s="13"/>
      <c r="G2882" s="13"/>
      <c r="H2882" s="17" t="str">
        <f aca="false">IF(OR(E2882="",F2882=""),"",E2882*F2882)</f>
        <v/>
      </c>
      <c r="I2882" s="17" t="str">
        <f aca="false">IF(OR(E2882="",G2882=""),"",E2882*G2882)</f>
        <v/>
      </c>
      <c r="J2882" s="17" t="str">
        <f aca="false">IF(H2882="","",H2882-I2882)</f>
        <v/>
      </c>
    </row>
    <row r="2883" customFormat="false" ht="15" hidden="false" customHeight="true" outlineLevel="0" collapsed="false">
      <c r="A2883" s="7"/>
      <c r="B2883" s="18" t="str">
        <f aca="false">IF(A2883="","",IFERROR(INDEX(Sales_Memo!$B$2:$B$1001,MATCH(A2883,Sales_Memo!$A$2:$A$1001,0)),""))</f>
        <v/>
      </c>
      <c r="C2883" s="7"/>
      <c r="D2883" s="16" t="str">
        <f aca="false">IF(C2883="","",IFERROR(INDEX(Products!$B$2:$B$501,MATCH(C2883,Products!$A$2:$A$501,0)),"CODE NOT FOUND"))</f>
        <v/>
      </c>
      <c r="E2883" s="7"/>
      <c r="F2883" s="13"/>
      <c r="G2883" s="13"/>
      <c r="H2883" s="17" t="str">
        <f aca="false">IF(OR(E2883="",F2883=""),"",E2883*F2883)</f>
        <v/>
      </c>
      <c r="I2883" s="17" t="str">
        <f aca="false">IF(OR(E2883="",G2883=""),"",E2883*G2883)</f>
        <v/>
      </c>
      <c r="J2883" s="17" t="str">
        <f aca="false">IF(H2883="","",H2883-I2883)</f>
        <v/>
      </c>
    </row>
    <row r="2884" customFormat="false" ht="15" hidden="false" customHeight="true" outlineLevel="0" collapsed="false">
      <c r="A2884" s="7"/>
      <c r="B2884" s="18" t="str">
        <f aca="false">IF(A2884="","",IFERROR(INDEX(Sales_Memo!$B$2:$B$1001,MATCH(A2884,Sales_Memo!$A$2:$A$1001,0)),""))</f>
        <v/>
      </c>
      <c r="C2884" s="7"/>
      <c r="D2884" s="16" t="str">
        <f aca="false">IF(C2884="","",IFERROR(INDEX(Products!$B$2:$B$501,MATCH(C2884,Products!$A$2:$A$501,0)),"CODE NOT FOUND"))</f>
        <v/>
      </c>
      <c r="E2884" s="7"/>
      <c r="F2884" s="13"/>
      <c r="G2884" s="13"/>
      <c r="H2884" s="17" t="str">
        <f aca="false">IF(OR(E2884="",F2884=""),"",E2884*F2884)</f>
        <v/>
      </c>
      <c r="I2884" s="17" t="str">
        <f aca="false">IF(OR(E2884="",G2884=""),"",E2884*G2884)</f>
        <v/>
      </c>
      <c r="J2884" s="17" t="str">
        <f aca="false">IF(H2884="","",H2884-I2884)</f>
        <v/>
      </c>
    </row>
    <row r="2885" customFormat="false" ht="15" hidden="false" customHeight="true" outlineLevel="0" collapsed="false">
      <c r="A2885" s="7"/>
      <c r="B2885" s="18" t="str">
        <f aca="false">IF(A2885="","",IFERROR(INDEX(Sales_Memo!$B$2:$B$1001,MATCH(A2885,Sales_Memo!$A$2:$A$1001,0)),""))</f>
        <v/>
      </c>
      <c r="C2885" s="7"/>
      <c r="D2885" s="16" t="str">
        <f aca="false">IF(C2885="","",IFERROR(INDEX(Products!$B$2:$B$501,MATCH(C2885,Products!$A$2:$A$501,0)),"CODE NOT FOUND"))</f>
        <v/>
      </c>
      <c r="E2885" s="7"/>
      <c r="F2885" s="13"/>
      <c r="G2885" s="13"/>
      <c r="H2885" s="17" t="str">
        <f aca="false">IF(OR(E2885="",F2885=""),"",E2885*F2885)</f>
        <v/>
      </c>
      <c r="I2885" s="17" t="str">
        <f aca="false">IF(OR(E2885="",G2885=""),"",E2885*G2885)</f>
        <v/>
      </c>
      <c r="J2885" s="17" t="str">
        <f aca="false">IF(H2885="","",H2885-I2885)</f>
        <v/>
      </c>
    </row>
    <row r="2886" customFormat="false" ht="15" hidden="false" customHeight="true" outlineLevel="0" collapsed="false">
      <c r="A2886" s="7"/>
      <c r="B2886" s="18" t="str">
        <f aca="false">IF(A2886="","",IFERROR(INDEX(Sales_Memo!$B$2:$B$1001,MATCH(A2886,Sales_Memo!$A$2:$A$1001,0)),""))</f>
        <v/>
      </c>
      <c r="C2886" s="7"/>
      <c r="D2886" s="16" t="str">
        <f aca="false">IF(C2886="","",IFERROR(INDEX(Products!$B$2:$B$501,MATCH(C2886,Products!$A$2:$A$501,0)),"CODE NOT FOUND"))</f>
        <v/>
      </c>
      <c r="E2886" s="7"/>
      <c r="F2886" s="13"/>
      <c r="G2886" s="13"/>
      <c r="H2886" s="17" t="str">
        <f aca="false">IF(OR(E2886="",F2886=""),"",E2886*F2886)</f>
        <v/>
      </c>
      <c r="I2886" s="17" t="str">
        <f aca="false">IF(OR(E2886="",G2886=""),"",E2886*G2886)</f>
        <v/>
      </c>
      <c r="J2886" s="17" t="str">
        <f aca="false">IF(H2886="","",H2886-I2886)</f>
        <v/>
      </c>
    </row>
    <row r="2887" customFormat="false" ht="15" hidden="false" customHeight="true" outlineLevel="0" collapsed="false">
      <c r="A2887" s="7"/>
      <c r="B2887" s="18" t="str">
        <f aca="false">IF(A2887="","",IFERROR(INDEX(Sales_Memo!$B$2:$B$1001,MATCH(A2887,Sales_Memo!$A$2:$A$1001,0)),""))</f>
        <v/>
      </c>
      <c r="C2887" s="7"/>
      <c r="D2887" s="16" t="str">
        <f aca="false">IF(C2887="","",IFERROR(INDEX(Products!$B$2:$B$501,MATCH(C2887,Products!$A$2:$A$501,0)),"CODE NOT FOUND"))</f>
        <v/>
      </c>
      <c r="E2887" s="7"/>
      <c r="F2887" s="13"/>
      <c r="G2887" s="13"/>
      <c r="H2887" s="17" t="str">
        <f aca="false">IF(OR(E2887="",F2887=""),"",E2887*F2887)</f>
        <v/>
      </c>
      <c r="I2887" s="17" t="str">
        <f aca="false">IF(OR(E2887="",G2887=""),"",E2887*G2887)</f>
        <v/>
      </c>
      <c r="J2887" s="17" t="str">
        <f aca="false">IF(H2887="","",H2887-I2887)</f>
        <v/>
      </c>
    </row>
    <row r="2888" customFormat="false" ht="15" hidden="false" customHeight="true" outlineLevel="0" collapsed="false">
      <c r="A2888" s="7"/>
      <c r="B2888" s="18" t="str">
        <f aca="false">IF(A2888="","",IFERROR(INDEX(Sales_Memo!$B$2:$B$1001,MATCH(A2888,Sales_Memo!$A$2:$A$1001,0)),""))</f>
        <v/>
      </c>
      <c r="C2888" s="7"/>
      <c r="D2888" s="16" t="str">
        <f aca="false">IF(C2888="","",IFERROR(INDEX(Products!$B$2:$B$501,MATCH(C2888,Products!$A$2:$A$501,0)),"CODE NOT FOUND"))</f>
        <v/>
      </c>
      <c r="E2888" s="7"/>
      <c r="F2888" s="13"/>
      <c r="G2888" s="13"/>
      <c r="H2888" s="17" t="str">
        <f aca="false">IF(OR(E2888="",F2888=""),"",E2888*F2888)</f>
        <v/>
      </c>
      <c r="I2888" s="17" t="str">
        <f aca="false">IF(OR(E2888="",G2888=""),"",E2888*G2888)</f>
        <v/>
      </c>
      <c r="J2888" s="17" t="str">
        <f aca="false">IF(H2888="","",H2888-I2888)</f>
        <v/>
      </c>
    </row>
    <row r="2889" customFormat="false" ht="15" hidden="false" customHeight="true" outlineLevel="0" collapsed="false">
      <c r="A2889" s="7"/>
      <c r="B2889" s="18" t="str">
        <f aca="false">IF(A2889="","",IFERROR(INDEX(Sales_Memo!$B$2:$B$1001,MATCH(A2889,Sales_Memo!$A$2:$A$1001,0)),""))</f>
        <v/>
      </c>
      <c r="C2889" s="7"/>
      <c r="D2889" s="16" t="str">
        <f aca="false">IF(C2889="","",IFERROR(INDEX(Products!$B$2:$B$501,MATCH(C2889,Products!$A$2:$A$501,0)),"CODE NOT FOUND"))</f>
        <v/>
      </c>
      <c r="E2889" s="7"/>
      <c r="F2889" s="13"/>
      <c r="G2889" s="13"/>
      <c r="H2889" s="17" t="str">
        <f aca="false">IF(OR(E2889="",F2889=""),"",E2889*F2889)</f>
        <v/>
      </c>
      <c r="I2889" s="17" t="str">
        <f aca="false">IF(OR(E2889="",G2889=""),"",E2889*G2889)</f>
        <v/>
      </c>
      <c r="J2889" s="17" t="str">
        <f aca="false">IF(H2889="","",H2889-I2889)</f>
        <v/>
      </c>
    </row>
    <row r="2890" customFormat="false" ht="15" hidden="false" customHeight="true" outlineLevel="0" collapsed="false">
      <c r="A2890" s="7"/>
      <c r="B2890" s="18" t="str">
        <f aca="false">IF(A2890="","",IFERROR(INDEX(Sales_Memo!$B$2:$B$1001,MATCH(A2890,Sales_Memo!$A$2:$A$1001,0)),""))</f>
        <v/>
      </c>
      <c r="C2890" s="7"/>
      <c r="D2890" s="16" t="str">
        <f aca="false">IF(C2890="","",IFERROR(INDEX(Products!$B$2:$B$501,MATCH(C2890,Products!$A$2:$A$501,0)),"CODE NOT FOUND"))</f>
        <v/>
      </c>
      <c r="E2890" s="7"/>
      <c r="F2890" s="13"/>
      <c r="G2890" s="13"/>
      <c r="H2890" s="17" t="str">
        <f aca="false">IF(OR(E2890="",F2890=""),"",E2890*F2890)</f>
        <v/>
      </c>
      <c r="I2890" s="17" t="str">
        <f aca="false">IF(OR(E2890="",G2890=""),"",E2890*G2890)</f>
        <v/>
      </c>
      <c r="J2890" s="17" t="str">
        <f aca="false">IF(H2890="","",H2890-I2890)</f>
        <v/>
      </c>
    </row>
    <row r="2891" customFormat="false" ht="15" hidden="false" customHeight="true" outlineLevel="0" collapsed="false">
      <c r="A2891" s="7"/>
      <c r="B2891" s="18" t="str">
        <f aca="false">IF(A2891="","",IFERROR(INDEX(Sales_Memo!$B$2:$B$1001,MATCH(A2891,Sales_Memo!$A$2:$A$1001,0)),""))</f>
        <v/>
      </c>
      <c r="C2891" s="7"/>
      <c r="D2891" s="16" t="str">
        <f aca="false">IF(C2891="","",IFERROR(INDEX(Products!$B$2:$B$501,MATCH(C2891,Products!$A$2:$A$501,0)),"CODE NOT FOUND"))</f>
        <v/>
      </c>
      <c r="E2891" s="7"/>
      <c r="F2891" s="13"/>
      <c r="G2891" s="13"/>
      <c r="H2891" s="17" t="str">
        <f aca="false">IF(OR(E2891="",F2891=""),"",E2891*F2891)</f>
        <v/>
      </c>
      <c r="I2891" s="17" t="str">
        <f aca="false">IF(OR(E2891="",G2891=""),"",E2891*G2891)</f>
        <v/>
      </c>
      <c r="J2891" s="17" t="str">
        <f aca="false">IF(H2891="","",H2891-I2891)</f>
        <v/>
      </c>
    </row>
    <row r="2892" customFormat="false" ht="15" hidden="false" customHeight="true" outlineLevel="0" collapsed="false">
      <c r="A2892" s="7"/>
      <c r="B2892" s="18" t="str">
        <f aca="false">IF(A2892="","",IFERROR(INDEX(Sales_Memo!$B$2:$B$1001,MATCH(A2892,Sales_Memo!$A$2:$A$1001,0)),""))</f>
        <v/>
      </c>
      <c r="C2892" s="7"/>
      <c r="D2892" s="16" t="str">
        <f aca="false">IF(C2892="","",IFERROR(INDEX(Products!$B$2:$B$501,MATCH(C2892,Products!$A$2:$A$501,0)),"CODE NOT FOUND"))</f>
        <v/>
      </c>
      <c r="E2892" s="7"/>
      <c r="F2892" s="13"/>
      <c r="G2892" s="13"/>
      <c r="H2892" s="17" t="str">
        <f aca="false">IF(OR(E2892="",F2892=""),"",E2892*F2892)</f>
        <v/>
      </c>
      <c r="I2892" s="17" t="str">
        <f aca="false">IF(OR(E2892="",G2892=""),"",E2892*G2892)</f>
        <v/>
      </c>
      <c r="J2892" s="17" t="str">
        <f aca="false">IF(H2892="","",H2892-I2892)</f>
        <v/>
      </c>
    </row>
    <row r="2893" customFormat="false" ht="15" hidden="false" customHeight="true" outlineLevel="0" collapsed="false">
      <c r="A2893" s="7"/>
      <c r="B2893" s="18" t="str">
        <f aca="false">IF(A2893="","",IFERROR(INDEX(Sales_Memo!$B$2:$B$1001,MATCH(A2893,Sales_Memo!$A$2:$A$1001,0)),""))</f>
        <v/>
      </c>
      <c r="C2893" s="7"/>
      <c r="D2893" s="16" t="str">
        <f aca="false">IF(C2893="","",IFERROR(INDEX(Products!$B$2:$B$501,MATCH(C2893,Products!$A$2:$A$501,0)),"CODE NOT FOUND"))</f>
        <v/>
      </c>
      <c r="E2893" s="7"/>
      <c r="F2893" s="13"/>
      <c r="G2893" s="13"/>
      <c r="H2893" s="17" t="str">
        <f aca="false">IF(OR(E2893="",F2893=""),"",E2893*F2893)</f>
        <v/>
      </c>
      <c r="I2893" s="17" t="str">
        <f aca="false">IF(OR(E2893="",G2893=""),"",E2893*G2893)</f>
        <v/>
      </c>
      <c r="J2893" s="17" t="str">
        <f aca="false">IF(H2893="","",H2893-I2893)</f>
        <v/>
      </c>
    </row>
    <row r="2894" customFormat="false" ht="15" hidden="false" customHeight="true" outlineLevel="0" collapsed="false">
      <c r="A2894" s="7"/>
      <c r="B2894" s="18" t="str">
        <f aca="false">IF(A2894="","",IFERROR(INDEX(Sales_Memo!$B$2:$B$1001,MATCH(A2894,Sales_Memo!$A$2:$A$1001,0)),""))</f>
        <v/>
      </c>
      <c r="C2894" s="7"/>
      <c r="D2894" s="16" t="str">
        <f aca="false">IF(C2894="","",IFERROR(INDEX(Products!$B$2:$B$501,MATCH(C2894,Products!$A$2:$A$501,0)),"CODE NOT FOUND"))</f>
        <v/>
      </c>
      <c r="E2894" s="7"/>
      <c r="F2894" s="13"/>
      <c r="G2894" s="13"/>
      <c r="H2894" s="17" t="str">
        <f aca="false">IF(OR(E2894="",F2894=""),"",E2894*F2894)</f>
        <v/>
      </c>
      <c r="I2894" s="17" t="str">
        <f aca="false">IF(OR(E2894="",G2894=""),"",E2894*G2894)</f>
        <v/>
      </c>
      <c r="J2894" s="17" t="str">
        <f aca="false">IF(H2894="","",H2894-I2894)</f>
        <v/>
      </c>
    </row>
    <row r="2895" customFormat="false" ht="15" hidden="false" customHeight="true" outlineLevel="0" collapsed="false">
      <c r="A2895" s="7"/>
      <c r="B2895" s="18" t="str">
        <f aca="false">IF(A2895="","",IFERROR(INDEX(Sales_Memo!$B$2:$B$1001,MATCH(A2895,Sales_Memo!$A$2:$A$1001,0)),""))</f>
        <v/>
      </c>
      <c r="C2895" s="7"/>
      <c r="D2895" s="16" t="str">
        <f aca="false">IF(C2895="","",IFERROR(INDEX(Products!$B$2:$B$501,MATCH(C2895,Products!$A$2:$A$501,0)),"CODE NOT FOUND"))</f>
        <v/>
      </c>
      <c r="E2895" s="7"/>
      <c r="F2895" s="13"/>
      <c r="G2895" s="13"/>
      <c r="H2895" s="17" t="str">
        <f aca="false">IF(OR(E2895="",F2895=""),"",E2895*F2895)</f>
        <v/>
      </c>
      <c r="I2895" s="17" t="str">
        <f aca="false">IF(OR(E2895="",G2895=""),"",E2895*G2895)</f>
        <v/>
      </c>
      <c r="J2895" s="17" t="str">
        <f aca="false">IF(H2895="","",H2895-I2895)</f>
        <v/>
      </c>
    </row>
    <row r="2896" customFormat="false" ht="15" hidden="false" customHeight="true" outlineLevel="0" collapsed="false">
      <c r="A2896" s="7"/>
      <c r="B2896" s="18" t="str">
        <f aca="false">IF(A2896="","",IFERROR(INDEX(Sales_Memo!$B$2:$B$1001,MATCH(A2896,Sales_Memo!$A$2:$A$1001,0)),""))</f>
        <v/>
      </c>
      <c r="C2896" s="7"/>
      <c r="D2896" s="16" t="str">
        <f aca="false">IF(C2896="","",IFERROR(INDEX(Products!$B$2:$B$501,MATCH(C2896,Products!$A$2:$A$501,0)),"CODE NOT FOUND"))</f>
        <v/>
      </c>
      <c r="E2896" s="7"/>
      <c r="F2896" s="13"/>
      <c r="G2896" s="13"/>
      <c r="H2896" s="17" t="str">
        <f aca="false">IF(OR(E2896="",F2896=""),"",E2896*F2896)</f>
        <v/>
      </c>
      <c r="I2896" s="17" t="str">
        <f aca="false">IF(OR(E2896="",G2896=""),"",E2896*G2896)</f>
        <v/>
      </c>
      <c r="J2896" s="17" t="str">
        <f aca="false">IF(H2896="","",H2896-I2896)</f>
        <v/>
      </c>
    </row>
    <row r="2897" customFormat="false" ht="15" hidden="false" customHeight="true" outlineLevel="0" collapsed="false">
      <c r="A2897" s="7"/>
      <c r="B2897" s="18" t="str">
        <f aca="false">IF(A2897="","",IFERROR(INDEX(Sales_Memo!$B$2:$B$1001,MATCH(A2897,Sales_Memo!$A$2:$A$1001,0)),""))</f>
        <v/>
      </c>
      <c r="C2897" s="7"/>
      <c r="D2897" s="16" t="str">
        <f aca="false">IF(C2897="","",IFERROR(INDEX(Products!$B$2:$B$501,MATCH(C2897,Products!$A$2:$A$501,0)),"CODE NOT FOUND"))</f>
        <v/>
      </c>
      <c r="E2897" s="7"/>
      <c r="F2897" s="13"/>
      <c r="G2897" s="13"/>
      <c r="H2897" s="17" t="str">
        <f aca="false">IF(OR(E2897="",F2897=""),"",E2897*F2897)</f>
        <v/>
      </c>
      <c r="I2897" s="17" t="str">
        <f aca="false">IF(OR(E2897="",G2897=""),"",E2897*G2897)</f>
        <v/>
      </c>
      <c r="J2897" s="17" t="str">
        <f aca="false">IF(H2897="","",H2897-I2897)</f>
        <v/>
      </c>
    </row>
    <row r="2898" customFormat="false" ht="15" hidden="false" customHeight="true" outlineLevel="0" collapsed="false">
      <c r="A2898" s="7"/>
      <c r="B2898" s="18" t="str">
        <f aca="false">IF(A2898="","",IFERROR(INDEX(Sales_Memo!$B$2:$B$1001,MATCH(A2898,Sales_Memo!$A$2:$A$1001,0)),""))</f>
        <v/>
      </c>
      <c r="C2898" s="7"/>
      <c r="D2898" s="16" t="str">
        <f aca="false">IF(C2898="","",IFERROR(INDEX(Products!$B$2:$B$501,MATCH(C2898,Products!$A$2:$A$501,0)),"CODE NOT FOUND"))</f>
        <v/>
      </c>
      <c r="E2898" s="7"/>
      <c r="F2898" s="13"/>
      <c r="G2898" s="13"/>
      <c r="H2898" s="17" t="str">
        <f aca="false">IF(OR(E2898="",F2898=""),"",E2898*F2898)</f>
        <v/>
      </c>
      <c r="I2898" s="17" t="str">
        <f aca="false">IF(OR(E2898="",G2898=""),"",E2898*G2898)</f>
        <v/>
      </c>
      <c r="J2898" s="17" t="str">
        <f aca="false">IF(H2898="","",H2898-I2898)</f>
        <v/>
      </c>
    </row>
    <row r="2899" customFormat="false" ht="15" hidden="false" customHeight="true" outlineLevel="0" collapsed="false">
      <c r="A2899" s="7"/>
      <c r="B2899" s="18" t="str">
        <f aca="false">IF(A2899="","",IFERROR(INDEX(Sales_Memo!$B$2:$B$1001,MATCH(A2899,Sales_Memo!$A$2:$A$1001,0)),""))</f>
        <v/>
      </c>
      <c r="C2899" s="7"/>
      <c r="D2899" s="16" t="str">
        <f aca="false">IF(C2899="","",IFERROR(INDEX(Products!$B$2:$B$501,MATCH(C2899,Products!$A$2:$A$501,0)),"CODE NOT FOUND"))</f>
        <v/>
      </c>
      <c r="E2899" s="7"/>
      <c r="F2899" s="13"/>
      <c r="G2899" s="13"/>
      <c r="H2899" s="17" t="str">
        <f aca="false">IF(OR(E2899="",F2899=""),"",E2899*F2899)</f>
        <v/>
      </c>
      <c r="I2899" s="17" t="str">
        <f aca="false">IF(OR(E2899="",G2899=""),"",E2899*G2899)</f>
        <v/>
      </c>
      <c r="J2899" s="17" t="str">
        <f aca="false">IF(H2899="","",H2899-I2899)</f>
        <v/>
      </c>
    </row>
    <row r="2900" customFormat="false" ht="15" hidden="false" customHeight="true" outlineLevel="0" collapsed="false">
      <c r="A2900" s="7"/>
      <c r="B2900" s="18" t="str">
        <f aca="false">IF(A2900="","",IFERROR(INDEX(Sales_Memo!$B$2:$B$1001,MATCH(A2900,Sales_Memo!$A$2:$A$1001,0)),""))</f>
        <v/>
      </c>
      <c r="C2900" s="7"/>
      <c r="D2900" s="16" t="str">
        <f aca="false">IF(C2900="","",IFERROR(INDEX(Products!$B$2:$B$501,MATCH(C2900,Products!$A$2:$A$501,0)),"CODE NOT FOUND"))</f>
        <v/>
      </c>
      <c r="E2900" s="7"/>
      <c r="F2900" s="13"/>
      <c r="G2900" s="13"/>
      <c r="H2900" s="17" t="str">
        <f aca="false">IF(OR(E2900="",F2900=""),"",E2900*F2900)</f>
        <v/>
      </c>
      <c r="I2900" s="17" t="str">
        <f aca="false">IF(OR(E2900="",G2900=""),"",E2900*G2900)</f>
        <v/>
      </c>
      <c r="J2900" s="17" t="str">
        <f aca="false">IF(H2900="","",H2900-I2900)</f>
        <v/>
      </c>
    </row>
    <row r="2901" customFormat="false" ht="15" hidden="false" customHeight="true" outlineLevel="0" collapsed="false">
      <c r="A2901" s="7"/>
      <c r="B2901" s="18" t="str">
        <f aca="false">IF(A2901="","",IFERROR(INDEX(Sales_Memo!$B$2:$B$1001,MATCH(A2901,Sales_Memo!$A$2:$A$1001,0)),""))</f>
        <v/>
      </c>
      <c r="C2901" s="7"/>
      <c r="D2901" s="16" t="str">
        <f aca="false">IF(C2901="","",IFERROR(INDEX(Products!$B$2:$B$501,MATCH(C2901,Products!$A$2:$A$501,0)),"CODE NOT FOUND"))</f>
        <v/>
      </c>
      <c r="E2901" s="7"/>
      <c r="F2901" s="13"/>
      <c r="G2901" s="13"/>
      <c r="H2901" s="17" t="str">
        <f aca="false">IF(OR(E2901="",F2901=""),"",E2901*F2901)</f>
        <v/>
      </c>
      <c r="I2901" s="17" t="str">
        <f aca="false">IF(OR(E2901="",G2901=""),"",E2901*G2901)</f>
        <v/>
      </c>
      <c r="J2901" s="17" t="str">
        <f aca="false">IF(H2901="","",H2901-I2901)</f>
        <v/>
      </c>
    </row>
    <row r="2902" customFormat="false" ht="15" hidden="false" customHeight="true" outlineLevel="0" collapsed="false">
      <c r="A2902" s="7"/>
      <c r="B2902" s="18" t="str">
        <f aca="false">IF(A2902="","",IFERROR(INDEX(Sales_Memo!$B$2:$B$1001,MATCH(A2902,Sales_Memo!$A$2:$A$1001,0)),""))</f>
        <v/>
      </c>
      <c r="C2902" s="7"/>
      <c r="D2902" s="16" t="str">
        <f aca="false">IF(C2902="","",IFERROR(INDEX(Products!$B$2:$B$501,MATCH(C2902,Products!$A$2:$A$501,0)),"CODE NOT FOUND"))</f>
        <v/>
      </c>
      <c r="E2902" s="7"/>
      <c r="F2902" s="13"/>
      <c r="G2902" s="13"/>
      <c r="H2902" s="17" t="str">
        <f aca="false">IF(OR(E2902="",F2902=""),"",E2902*F2902)</f>
        <v/>
      </c>
      <c r="I2902" s="17" t="str">
        <f aca="false">IF(OR(E2902="",G2902=""),"",E2902*G2902)</f>
        <v/>
      </c>
      <c r="J2902" s="17" t="str">
        <f aca="false">IF(H2902="","",H2902-I2902)</f>
        <v/>
      </c>
    </row>
    <row r="2903" customFormat="false" ht="15" hidden="false" customHeight="true" outlineLevel="0" collapsed="false">
      <c r="A2903" s="7"/>
      <c r="B2903" s="18" t="str">
        <f aca="false">IF(A2903="","",IFERROR(INDEX(Sales_Memo!$B$2:$B$1001,MATCH(A2903,Sales_Memo!$A$2:$A$1001,0)),""))</f>
        <v/>
      </c>
      <c r="C2903" s="7"/>
      <c r="D2903" s="16" t="str">
        <f aca="false">IF(C2903="","",IFERROR(INDEX(Products!$B$2:$B$501,MATCH(C2903,Products!$A$2:$A$501,0)),"CODE NOT FOUND"))</f>
        <v/>
      </c>
      <c r="E2903" s="7"/>
      <c r="F2903" s="13"/>
      <c r="G2903" s="13"/>
      <c r="H2903" s="17" t="str">
        <f aca="false">IF(OR(E2903="",F2903=""),"",E2903*F2903)</f>
        <v/>
      </c>
      <c r="I2903" s="17" t="str">
        <f aca="false">IF(OR(E2903="",G2903=""),"",E2903*G2903)</f>
        <v/>
      </c>
      <c r="J2903" s="17" t="str">
        <f aca="false">IF(H2903="","",H2903-I2903)</f>
        <v/>
      </c>
    </row>
    <row r="2904" customFormat="false" ht="15" hidden="false" customHeight="true" outlineLevel="0" collapsed="false">
      <c r="A2904" s="7"/>
      <c r="B2904" s="18" t="str">
        <f aca="false">IF(A2904="","",IFERROR(INDEX(Sales_Memo!$B$2:$B$1001,MATCH(A2904,Sales_Memo!$A$2:$A$1001,0)),""))</f>
        <v/>
      </c>
      <c r="C2904" s="7"/>
      <c r="D2904" s="16" t="str">
        <f aca="false">IF(C2904="","",IFERROR(INDEX(Products!$B$2:$B$501,MATCH(C2904,Products!$A$2:$A$501,0)),"CODE NOT FOUND"))</f>
        <v/>
      </c>
      <c r="E2904" s="7"/>
      <c r="F2904" s="13"/>
      <c r="G2904" s="13"/>
      <c r="H2904" s="17" t="str">
        <f aca="false">IF(OR(E2904="",F2904=""),"",E2904*F2904)</f>
        <v/>
      </c>
      <c r="I2904" s="17" t="str">
        <f aca="false">IF(OR(E2904="",G2904=""),"",E2904*G2904)</f>
        <v/>
      </c>
      <c r="J2904" s="17" t="str">
        <f aca="false">IF(H2904="","",H2904-I2904)</f>
        <v/>
      </c>
    </row>
    <row r="2905" customFormat="false" ht="15" hidden="false" customHeight="true" outlineLevel="0" collapsed="false">
      <c r="A2905" s="7"/>
      <c r="B2905" s="18" t="str">
        <f aca="false">IF(A2905="","",IFERROR(INDEX(Sales_Memo!$B$2:$B$1001,MATCH(A2905,Sales_Memo!$A$2:$A$1001,0)),""))</f>
        <v/>
      </c>
      <c r="C2905" s="7"/>
      <c r="D2905" s="16" t="str">
        <f aca="false">IF(C2905="","",IFERROR(INDEX(Products!$B$2:$B$501,MATCH(C2905,Products!$A$2:$A$501,0)),"CODE NOT FOUND"))</f>
        <v/>
      </c>
      <c r="E2905" s="7"/>
      <c r="F2905" s="13"/>
      <c r="G2905" s="13"/>
      <c r="H2905" s="17" t="str">
        <f aca="false">IF(OR(E2905="",F2905=""),"",E2905*F2905)</f>
        <v/>
      </c>
      <c r="I2905" s="17" t="str">
        <f aca="false">IF(OR(E2905="",G2905=""),"",E2905*G2905)</f>
        <v/>
      </c>
      <c r="J2905" s="17" t="str">
        <f aca="false">IF(H2905="","",H2905-I2905)</f>
        <v/>
      </c>
    </row>
    <row r="2906" customFormat="false" ht="15" hidden="false" customHeight="true" outlineLevel="0" collapsed="false">
      <c r="A2906" s="7"/>
      <c r="B2906" s="18" t="str">
        <f aca="false">IF(A2906="","",IFERROR(INDEX(Sales_Memo!$B$2:$B$1001,MATCH(A2906,Sales_Memo!$A$2:$A$1001,0)),""))</f>
        <v/>
      </c>
      <c r="C2906" s="7"/>
      <c r="D2906" s="16" t="str">
        <f aca="false">IF(C2906="","",IFERROR(INDEX(Products!$B$2:$B$501,MATCH(C2906,Products!$A$2:$A$501,0)),"CODE NOT FOUND"))</f>
        <v/>
      </c>
      <c r="E2906" s="7"/>
      <c r="F2906" s="13"/>
      <c r="G2906" s="13"/>
      <c r="H2906" s="17" t="str">
        <f aca="false">IF(OR(E2906="",F2906=""),"",E2906*F2906)</f>
        <v/>
      </c>
      <c r="I2906" s="17" t="str">
        <f aca="false">IF(OR(E2906="",G2906=""),"",E2906*G2906)</f>
        <v/>
      </c>
      <c r="J2906" s="17" t="str">
        <f aca="false">IF(H2906="","",H2906-I2906)</f>
        <v/>
      </c>
    </row>
    <row r="2907" customFormat="false" ht="15" hidden="false" customHeight="true" outlineLevel="0" collapsed="false">
      <c r="A2907" s="7"/>
      <c r="B2907" s="18" t="str">
        <f aca="false">IF(A2907="","",IFERROR(INDEX(Sales_Memo!$B$2:$B$1001,MATCH(A2907,Sales_Memo!$A$2:$A$1001,0)),""))</f>
        <v/>
      </c>
      <c r="C2907" s="7"/>
      <c r="D2907" s="16" t="str">
        <f aca="false">IF(C2907="","",IFERROR(INDEX(Products!$B$2:$B$501,MATCH(C2907,Products!$A$2:$A$501,0)),"CODE NOT FOUND"))</f>
        <v/>
      </c>
      <c r="E2907" s="7"/>
      <c r="F2907" s="13"/>
      <c r="G2907" s="13"/>
      <c r="H2907" s="17" t="str">
        <f aca="false">IF(OR(E2907="",F2907=""),"",E2907*F2907)</f>
        <v/>
      </c>
      <c r="I2907" s="17" t="str">
        <f aca="false">IF(OR(E2907="",G2907=""),"",E2907*G2907)</f>
        <v/>
      </c>
      <c r="J2907" s="17" t="str">
        <f aca="false">IF(H2907="","",H2907-I2907)</f>
        <v/>
      </c>
    </row>
    <row r="2908" customFormat="false" ht="15" hidden="false" customHeight="true" outlineLevel="0" collapsed="false">
      <c r="A2908" s="7"/>
      <c r="B2908" s="18" t="str">
        <f aca="false">IF(A2908="","",IFERROR(INDEX(Sales_Memo!$B$2:$B$1001,MATCH(A2908,Sales_Memo!$A$2:$A$1001,0)),""))</f>
        <v/>
      </c>
      <c r="C2908" s="7"/>
      <c r="D2908" s="16" t="str">
        <f aca="false">IF(C2908="","",IFERROR(INDEX(Products!$B$2:$B$501,MATCH(C2908,Products!$A$2:$A$501,0)),"CODE NOT FOUND"))</f>
        <v/>
      </c>
      <c r="E2908" s="7"/>
      <c r="F2908" s="13"/>
      <c r="G2908" s="13"/>
      <c r="H2908" s="17" t="str">
        <f aca="false">IF(OR(E2908="",F2908=""),"",E2908*F2908)</f>
        <v/>
      </c>
      <c r="I2908" s="17" t="str">
        <f aca="false">IF(OR(E2908="",G2908=""),"",E2908*G2908)</f>
        <v/>
      </c>
      <c r="J2908" s="17" t="str">
        <f aca="false">IF(H2908="","",H2908-I2908)</f>
        <v/>
      </c>
    </row>
    <row r="2909" customFormat="false" ht="15" hidden="false" customHeight="true" outlineLevel="0" collapsed="false">
      <c r="A2909" s="7"/>
      <c r="B2909" s="18" t="str">
        <f aca="false">IF(A2909="","",IFERROR(INDEX(Sales_Memo!$B$2:$B$1001,MATCH(A2909,Sales_Memo!$A$2:$A$1001,0)),""))</f>
        <v/>
      </c>
      <c r="C2909" s="7"/>
      <c r="D2909" s="16" t="str">
        <f aca="false">IF(C2909="","",IFERROR(INDEX(Products!$B$2:$B$501,MATCH(C2909,Products!$A$2:$A$501,0)),"CODE NOT FOUND"))</f>
        <v/>
      </c>
      <c r="E2909" s="7"/>
      <c r="F2909" s="13"/>
      <c r="G2909" s="13"/>
      <c r="H2909" s="17" t="str">
        <f aca="false">IF(OR(E2909="",F2909=""),"",E2909*F2909)</f>
        <v/>
      </c>
      <c r="I2909" s="17" t="str">
        <f aca="false">IF(OR(E2909="",G2909=""),"",E2909*G2909)</f>
        <v/>
      </c>
      <c r="J2909" s="17" t="str">
        <f aca="false">IF(H2909="","",H2909-I2909)</f>
        <v/>
      </c>
    </row>
    <row r="2910" customFormat="false" ht="15" hidden="false" customHeight="true" outlineLevel="0" collapsed="false">
      <c r="A2910" s="7"/>
      <c r="B2910" s="18" t="str">
        <f aca="false">IF(A2910="","",IFERROR(INDEX(Sales_Memo!$B$2:$B$1001,MATCH(A2910,Sales_Memo!$A$2:$A$1001,0)),""))</f>
        <v/>
      </c>
      <c r="C2910" s="7"/>
      <c r="D2910" s="16" t="str">
        <f aca="false">IF(C2910="","",IFERROR(INDEX(Products!$B$2:$B$501,MATCH(C2910,Products!$A$2:$A$501,0)),"CODE NOT FOUND"))</f>
        <v/>
      </c>
      <c r="E2910" s="7"/>
      <c r="F2910" s="13"/>
      <c r="G2910" s="13"/>
      <c r="H2910" s="17" t="str">
        <f aca="false">IF(OR(E2910="",F2910=""),"",E2910*F2910)</f>
        <v/>
      </c>
      <c r="I2910" s="17" t="str">
        <f aca="false">IF(OR(E2910="",G2910=""),"",E2910*G2910)</f>
        <v/>
      </c>
      <c r="J2910" s="17" t="str">
        <f aca="false">IF(H2910="","",H2910-I2910)</f>
        <v/>
      </c>
    </row>
    <row r="2911" customFormat="false" ht="15" hidden="false" customHeight="true" outlineLevel="0" collapsed="false">
      <c r="A2911" s="7"/>
      <c r="B2911" s="18" t="str">
        <f aca="false">IF(A2911="","",IFERROR(INDEX(Sales_Memo!$B$2:$B$1001,MATCH(A2911,Sales_Memo!$A$2:$A$1001,0)),""))</f>
        <v/>
      </c>
      <c r="C2911" s="7"/>
      <c r="D2911" s="16" t="str">
        <f aca="false">IF(C2911="","",IFERROR(INDEX(Products!$B$2:$B$501,MATCH(C2911,Products!$A$2:$A$501,0)),"CODE NOT FOUND"))</f>
        <v/>
      </c>
      <c r="E2911" s="7"/>
      <c r="F2911" s="13"/>
      <c r="G2911" s="13"/>
      <c r="H2911" s="17" t="str">
        <f aca="false">IF(OR(E2911="",F2911=""),"",E2911*F2911)</f>
        <v/>
      </c>
      <c r="I2911" s="17" t="str">
        <f aca="false">IF(OR(E2911="",G2911=""),"",E2911*G2911)</f>
        <v/>
      </c>
      <c r="J2911" s="17" t="str">
        <f aca="false">IF(H2911="","",H2911-I2911)</f>
        <v/>
      </c>
    </row>
    <row r="2912" customFormat="false" ht="15" hidden="false" customHeight="true" outlineLevel="0" collapsed="false">
      <c r="A2912" s="7"/>
      <c r="B2912" s="18" t="str">
        <f aca="false">IF(A2912="","",IFERROR(INDEX(Sales_Memo!$B$2:$B$1001,MATCH(A2912,Sales_Memo!$A$2:$A$1001,0)),""))</f>
        <v/>
      </c>
      <c r="C2912" s="7"/>
      <c r="D2912" s="16" t="str">
        <f aca="false">IF(C2912="","",IFERROR(INDEX(Products!$B$2:$B$501,MATCH(C2912,Products!$A$2:$A$501,0)),"CODE NOT FOUND"))</f>
        <v/>
      </c>
      <c r="E2912" s="7"/>
      <c r="F2912" s="13"/>
      <c r="G2912" s="13"/>
      <c r="H2912" s="17" t="str">
        <f aca="false">IF(OR(E2912="",F2912=""),"",E2912*F2912)</f>
        <v/>
      </c>
      <c r="I2912" s="17" t="str">
        <f aca="false">IF(OR(E2912="",G2912=""),"",E2912*G2912)</f>
        <v/>
      </c>
      <c r="J2912" s="17" t="str">
        <f aca="false">IF(H2912="","",H2912-I2912)</f>
        <v/>
      </c>
    </row>
    <row r="2913" customFormat="false" ht="15" hidden="false" customHeight="true" outlineLevel="0" collapsed="false">
      <c r="A2913" s="7"/>
      <c r="B2913" s="18" t="str">
        <f aca="false">IF(A2913="","",IFERROR(INDEX(Sales_Memo!$B$2:$B$1001,MATCH(A2913,Sales_Memo!$A$2:$A$1001,0)),""))</f>
        <v/>
      </c>
      <c r="C2913" s="7"/>
      <c r="D2913" s="16" t="str">
        <f aca="false">IF(C2913="","",IFERROR(INDEX(Products!$B$2:$B$501,MATCH(C2913,Products!$A$2:$A$501,0)),"CODE NOT FOUND"))</f>
        <v/>
      </c>
      <c r="E2913" s="7"/>
      <c r="F2913" s="13"/>
      <c r="G2913" s="13"/>
      <c r="H2913" s="17" t="str">
        <f aca="false">IF(OR(E2913="",F2913=""),"",E2913*F2913)</f>
        <v/>
      </c>
      <c r="I2913" s="17" t="str">
        <f aca="false">IF(OR(E2913="",G2913=""),"",E2913*G2913)</f>
        <v/>
      </c>
      <c r="J2913" s="17" t="str">
        <f aca="false">IF(H2913="","",H2913-I2913)</f>
        <v/>
      </c>
    </row>
    <row r="2914" customFormat="false" ht="15" hidden="false" customHeight="true" outlineLevel="0" collapsed="false">
      <c r="A2914" s="7"/>
      <c r="B2914" s="18" t="str">
        <f aca="false">IF(A2914="","",IFERROR(INDEX(Sales_Memo!$B$2:$B$1001,MATCH(A2914,Sales_Memo!$A$2:$A$1001,0)),""))</f>
        <v/>
      </c>
      <c r="C2914" s="7"/>
      <c r="D2914" s="16" t="str">
        <f aca="false">IF(C2914="","",IFERROR(INDEX(Products!$B$2:$B$501,MATCH(C2914,Products!$A$2:$A$501,0)),"CODE NOT FOUND"))</f>
        <v/>
      </c>
      <c r="E2914" s="7"/>
      <c r="F2914" s="13"/>
      <c r="G2914" s="13"/>
      <c r="H2914" s="17" t="str">
        <f aca="false">IF(OR(E2914="",F2914=""),"",E2914*F2914)</f>
        <v/>
      </c>
      <c r="I2914" s="17" t="str">
        <f aca="false">IF(OR(E2914="",G2914=""),"",E2914*G2914)</f>
        <v/>
      </c>
      <c r="J2914" s="17" t="str">
        <f aca="false">IF(H2914="","",H2914-I2914)</f>
        <v/>
      </c>
    </row>
    <row r="2915" customFormat="false" ht="15" hidden="false" customHeight="true" outlineLevel="0" collapsed="false">
      <c r="A2915" s="7"/>
      <c r="B2915" s="18" t="str">
        <f aca="false">IF(A2915="","",IFERROR(INDEX(Sales_Memo!$B$2:$B$1001,MATCH(A2915,Sales_Memo!$A$2:$A$1001,0)),""))</f>
        <v/>
      </c>
      <c r="C2915" s="7"/>
      <c r="D2915" s="16" t="str">
        <f aca="false">IF(C2915="","",IFERROR(INDEX(Products!$B$2:$B$501,MATCH(C2915,Products!$A$2:$A$501,0)),"CODE NOT FOUND"))</f>
        <v/>
      </c>
      <c r="E2915" s="7"/>
      <c r="F2915" s="13"/>
      <c r="G2915" s="13"/>
      <c r="H2915" s="17" t="str">
        <f aca="false">IF(OR(E2915="",F2915=""),"",E2915*F2915)</f>
        <v/>
      </c>
      <c r="I2915" s="17" t="str">
        <f aca="false">IF(OR(E2915="",G2915=""),"",E2915*G2915)</f>
        <v/>
      </c>
      <c r="J2915" s="17" t="str">
        <f aca="false">IF(H2915="","",H2915-I2915)</f>
        <v/>
      </c>
    </row>
    <row r="2916" customFormat="false" ht="15" hidden="false" customHeight="true" outlineLevel="0" collapsed="false">
      <c r="A2916" s="7"/>
      <c r="B2916" s="18" t="str">
        <f aca="false">IF(A2916="","",IFERROR(INDEX(Sales_Memo!$B$2:$B$1001,MATCH(A2916,Sales_Memo!$A$2:$A$1001,0)),""))</f>
        <v/>
      </c>
      <c r="C2916" s="7"/>
      <c r="D2916" s="16" t="str">
        <f aca="false">IF(C2916="","",IFERROR(INDEX(Products!$B$2:$B$501,MATCH(C2916,Products!$A$2:$A$501,0)),"CODE NOT FOUND"))</f>
        <v/>
      </c>
      <c r="E2916" s="7"/>
      <c r="F2916" s="13"/>
      <c r="G2916" s="13"/>
      <c r="H2916" s="17" t="str">
        <f aca="false">IF(OR(E2916="",F2916=""),"",E2916*F2916)</f>
        <v/>
      </c>
      <c r="I2916" s="17" t="str">
        <f aca="false">IF(OR(E2916="",G2916=""),"",E2916*G2916)</f>
        <v/>
      </c>
      <c r="J2916" s="17" t="str">
        <f aca="false">IF(H2916="","",H2916-I2916)</f>
        <v/>
      </c>
    </row>
    <row r="2917" customFormat="false" ht="15" hidden="false" customHeight="true" outlineLevel="0" collapsed="false">
      <c r="A2917" s="7"/>
      <c r="B2917" s="18" t="str">
        <f aca="false">IF(A2917="","",IFERROR(INDEX(Sales_Memo!$B$2:$B$1001,MATCH(A2917,Sales_Memo!$A$2:$A$1001,0)),""))</f>
        <v/>
      </c>
      <c r="C2917" s="7"/>
      <c r="D2917" s="16" t="str">
        <f aca="false">IF(C2917="","",IFERROR(INDEX(Products!$B$2:$B$501,MATCH(C2917,Products!$A$2:$A$501,0)),"CODE NOT FOUND"))</f>
        <v/>
      </c>
      <c r="E2917" s="7"/>
      <c r="F2917" s="13"/>
      <c r="G2917" s="13"/>
      <c r="H2917" s="17" t="str">
        <f aca="false">IF(OR(E2917="",F2917=""),"",E2917*F2917)</f>
        <v/>
      </c>
      <c r="I2917" s="17" t="str">
        <f aca="false">IF(OR(E2917="",G2917=""),"",E2917*G2917)</f>
        <v/>
      </c>
      <c r="J2917" s="17" t="str">
        <f aca="false">IF(H2917="","",H2917-I2917)</f>
        <v/>
      </c>
    </row>
    <row r="2918" customFormat="false" ht="15" hidden="false" customHeight="true" outlineLevel="0" collapsed="false">
      <c r="A2918" s="7"/>
      <c r="B2918" s="18" t="str">
        <f aca="false">IF(A2918="","",IFERROR(INDEX(Sales_Memo!$B$2:$B$1001,MATCH(A2918,Sales_Memo!$A$2:$A$1001,0)),""))</f>
        <v/>
      </c>
      <c r="C2918" s="7"/>
      <c r="D2918" s="16" t="str">
        <f aca="false">IF(C2918="","",IFERROR(INDEX(Products!$B$2:$B$501,MATCH(C2918,Products!$A$2:$A$501,0)),"CODE NOT FOUND"))</f>
        <v/>
      </c>
      <c r="E2918" s="7"/>
      <c r="F2918" s="13"/>
      <c r="G2918" s="13"/>
      <c r="H2918" s="17" t="str">
        <f aca="false">IF(OR(E2918="",F2918=""),"",E2918*F2918)</f>
        <v/>
      </c>
      <c r="I2918" s="17" t="str">
        <f aca="false">IF(OR(E2918="",G2918=""),"",E2918*G2918)</f>
        <v/>
      </c>
      <c r="J2918" s="17" t="str">
        <f aca="false">IF(H2918="","",H2918-I2918)</f>
        <v/>
      </c>
    </row>
    <row r="2919" customFormat="false" ht="15" hidden="false" customHeight="true" outlineLevel="0" collapsed="false">
      <c r="A2919" s="7"/>
      <c r="B2919" s="18" t="str">
        <f aca="false">IF(A2919="","",IFERROR(INDEX(Sales_Memo!$B$2:$B$1001,MATCH(A2919,Sales_Memo!$A$2:$A$1001,0)),""))</f>
        <v/>
      </c>
      <c r="C2919" s="7"/>
      <c r="D2919" s="16" t="str">
        <f aca="false">IF(C2919="","",IFERROR(INDEX(Products!$B$2:$B$501,MATCH(C2919,Products!$A$2:$A$501,0)),"CODE NOT FOUND"))</f>
        <v/>
      </c>
      <c r="E2919" s="7"/>
      <c r="F2919" s="13"/>
      <c r="G2919" s="13"/>
      <c r="H2919" s="17" t="str">
        <f aca="false">IF(OR(E2919="",F2919=""),"",E2919*F2919)</f>
        <v/>
      </c>
      <c r="I2919" s="17" t="str">
        <f aca="false">IF(OR(E2919="",G2919=""),"",E2919*G2919)</f>
        <v/>
      </c>
      <c r="J2919" s="17" t="str">
        <f aca="false">IF(H2919="","",H2919-I2919)</f>
        <v/>
      </c>
    </row>
    <row r="2920" customFormat="false" ht="15" hidden="false" customHeight="true" outlineLevel="0" collapsed="false">
      <c r="A2920" s="7"/>
      <c r="B2920" s="18" t="str">
        <f aca="false">IF(A2920="","",IFERROR(INDEX(Sales_Memo!$B$2:$B$1001,MATCH(A2920,Sales_Memo!$A$2:$A$1001,0)),""))</f>
        <v/>
      </c>
      <c r="C2920" s="7"/>
      <c r="D2920" s="16" t="str">
        <f aca="false">IF(C2920="","",IFERROR(INDEX(Products!$B$2:$B$501,MATCH(C2920,Products!$A$2:$A$501,0)),"CODE NOT FOUND"))</f>
        <v/>
      </c>
      <c r="E2920" s="7"/>
      <c r="F2920" s="13"/>
      <c r="G2920" s="13"/>
      <c r="H2920" s="17" t="str">
        <f aca="false">IF(OR(E2920="",F2920=""),"",E2920*F2920)</f>
        <v/>
      </c>
      <c r="I2920" s="17" t="str">
        <f aca="false">IF(OR(E2920="",G2920=""),"",E2920*G2920)</f>
        <v/>
      </c>
      <c r="J2920" s="17" t="str">
        <f aca="false">IF(H2920="","",H2920-I2920)</f>
        <v/>
      </c>
    </row>
    <row r="2921" customFormat="false" ht="15" hidden="false" customHeight="true" outlineLevel="0" collapsed="false">
      <c r="A2921" s="7"/>
      <c r="B2921" s="18" t="str">
        <f aca="false">IF(A2921="","",IFERROR(INDEX(Sales_Memo!$B$2:$B$1001,MATCH(A2921,Sales_Memo!$A$2:$A$1001,0)),""))</f>
        <v/>
      </c>
      <c r="C2921" s="7"/>
      <c r="D2921" s="16" t="str">
        <f aca="false">IF(C2921="","",IFERROR(INDEX(Products!$B$2:$B$501,MATCH(C2921,Products!$A$2:$A$501,0)),"CODE NOT FOUND"))</f>
        <v/>
      </c>
      <c r="E2921" s="7"/>
      <c r="F2921" s="13"/>
      <c r="G2921" s="13"/>
      <c r="H2921" s="17" t="str">
        <f aca="false">IF(OR(E2921="",F2921=""),"",E2921*F2921)</f>
        <v/>
      </c>
      <c r="I2921" s="17" t="str">
        <f aca="false">IF(OR(E2921="",G2921=""),"",E2921*G2921)</f>
        <v/>
      </c>
      <c r="J2921" s="17" t="str">
        <f aca="false">IF(H2921="","",H2921-I2921)</f>
        <v/>
      </c>
    </row>
    <row r="2922" customFormat="false" ht="15" hidden="false" customHeight="true" outlineLevel="0" collapsed="false">
      <c r="A2922" s="7"/>
      <c r="B2922" s="18" t="str">
        <f aca="false">IF(A2922="","",IFERROR(INDEX(Sales_Memo!$B$2:$B$1001,MATCH(A2922,Sales_Memo!$A$2:$A$1001,0)),""))</f>
        <v/>
      </c>
      <c r="C2922" s="7"/>
      <c r="D2922" s="16" t="str">
        <f aca="false">IF(C2922="","",IFERROR(INDEX(Products!$B$2:$B$501,MATCH(C2922,Products!$A$2:$A$501,0)),"CODE NOT FOUND"))</f>
        <v/>
      </c>
      <c r="E2922" s="7"/>
      <c r="F2922" s="13"/>
      <c r="G2922" s="13"/>
      <c r="H2922" s="17" t="str">
        <f aca="false">IF(OR(E2922="",F2922=""),"",E2922*F2922)</f>
        <v/>
      </c>
      <c r="I2922" s="17" t="str">
        <f aca="false">IF(OR(E2922="",G2922=""),"",E2922*G2922)</f>
        <v/>
      </c>
      <c r="J2922" s="17" t="str">
        <f aca="false">IF(H2922="","",H2922-I2922)</f>
        <v/>
      </c>
    </row>
    <row r="2923" customFormat="false" ht="15" hidden="false" customHeight="true" outlineLevel="0" collapsed="false">
      <c r="A2923" s="7"/>
      <c r="B2923" s="18" t="str">
        <f aca="false">IF(A2923="","",IFERROR(INDEX(Sales_Memo!$B$2:$B$1001,MATCH(A2923,Sales_Memo!$A$2:$A$1001,0)),""))</f>
        <v/>
      </c>
      <c r="C2923" s="7"/>
      <c r="D2923" s="16" t="str">
        <f aca="false">IF(C2923="","",IFERROR(INDEX(Products!$B$2:$B$501,MATCH(C2923,Products!$A$2:$A$501,0)),"CODE NOT FOUND"))</f>
        <v/>
      </c>
      <c r="E2923" s="7"/>
      <c r="F2923" s="13"/>
      <c r="G2923" s="13"/>
      <c r="H2923" s="17" t="str">
        <f aca="false">IF(OR(E2923="",F2923=""),"",E2923*F2923)</f>
        <v/>
      </c>
      <c r="I2923" s="17" t="str">
        <f aca="false">IF(OR(E2923="",G2923=""),"",E2923*G2923)</f>
        <v/>
      </c>
      <c r="J2923" s="17" t="str">
        <f aca="false">IF(H2923="","",H2923-I2923)</f>
        <v/>
      </c>
    </row>
    <row r="2924" customFormat="false" ht="15" hidden="false" customHeight="true" outlineLevel="0" collapsed="false">
      <c r="A2924" s="7"/>
      <c r="B2924" s="18" t="str">
        <f aca="false">IF(A2924="","",IFERROR(INDEX(Sales_Memo!$B$2:$B$1001,MATCH(A2924,Sales_Memo!$A$2:$A$1001,0)),""))</f>
        <v/>
      </c>
      <c r="C2924" s="7"/>
      <c r="D2924" s="16" t="str">
        <f aca="false">IF(C2924="","",IFERROR(INDEX(Products!$B$2:$B$501,MATCH(C2924,Products!$A$2:$A$501,0)),"CODE NOT FOUND"))</f>
        <v/>
      </c>
      <c r="E2924" s="7"/>
      <c r="F2924" s="13"/>
      <c r="G2924" s="13"/>
      <c r="H2924" s="17" t="str">
        <f aca="false">IF(OR(E2924="",F2924=""),"",E2924*F2924)</f>
        <v/>
      </c>
      <c r="I2924" s="17" t="str">
        <f aca="false">IF(OR(E2924="",G2924=""),"",E2924*G2924)</f>
        <v/>
      </c>
      <c r="J2924" s="17" t="str">
        <f aca="false">IF(H2924="","",H2924-I2924)</f>
        <v/>
      </c>
    </row>
    <row r="2925" customFormat="false" ht="15" hidden="false" customHeight="true" outlineLevel="0" collapsed="false">
      <c r="A2925" s="7"/>
      <c r="B2925" s="18" t="str">
        <f aca="false">IF(A2925="","",IFERROR(INDEX(Sales_Memo!$B$2:$B$1001,MATCH(A2925,Sales_Memo!$A$2:$A$1001,0)),""))</f>
        <v/>
      </c>
      <c r="C2925" s="7"/>
      <c r="D2925" s="16" t="str">
        <f aca="false">IF(C2925="","",IFERROR(INDEX(Products!$B$2:$B$501,MATCH(C2925,Products!$A$2:$A$501,0)),"CODE NOT FOUND"))</f>
        <v/>
      </c>
      <c r="E2925" s="7"/>
      <c r="F2925" s="13"/>
      <c r="G2925" s="13"/>
      <c r="H2925" s="17" t="str">
        <f aca="false">IF(OR(E2925="",F2925=""),"",E2925*F2925)</f>
        <v/>
      </c>
      <c r="I2925" s="17" t="str">
        <f aca="false">IF(OR(E2925="",G2925=""),"",E2925*G2925)</f>
        <v/>
      </c>
      <c r="J2925" s="17" t="str">
        <f aca="false">IF(H2925="","",H2925-I2925)</f>
        <v/>
      </c>
    </row>
    <row r="2926" customFormat="false" ht="15" hidden="false" customHeight="true" outlineLevel="0" collapsed="false">
      <c r="A2926" s="7"/>
      <c r="B2926" s="18" t="str">
        <f aca="false">IF(A2926="","",IFERROR(INDEX(Sales_Memo!$B$2:$B$1001,MATCH(A2926,Sales_Memo!$A$2:$A$1001,0)),""))</f>
        <v/>
      </c>
      <c r="C2926" s="7"/>
      <c r="D2926" s="16" t="str">
        <f aca="false">IF(C2926="","",IFERROR(INDEX(Products!$B$2:$B$501,MATCH(C2926,Products!$A$2:$A$501,0)),"CODE NOT FOUND"))</f>
        <v/>
      </c>
      <c r="E2926" s="7"/>
      <c r="F2926" s="13"/>
      <c r="G2926" s="13"/>
      <c r="H2926" s="17" t="str">
        <f aca="false">IF(OR(E2926="",F2926=""),"",E2926*F2926)</f>
        <v/>
      </c>
      <c r="I2926" s="17" t="str">
        <f aca="false">IF(OR(E2926="",G2926=""),"",E2926*G2926)</f>
        <v/>
      </c>
      <c r="J2926" s="17" t="str">
        <f aca="false">IF(H2926="","",H2926-I2926)</f>
        <v/>
      </c>
    </row>
    <row r="2927" customFormat="false" ht="15" hidden="false" customHeight="true" outlineLevel="0" collapsed="false">
      <c r="A2927" s="7"/>
      <c r="B2927" s="18" t="str">
        <f aca="false">IF(A2927="","",IFERROR(INDEX(Sales_Memo!$B$2:$B$1001,MATCH(A2927,Sales_Memo!$A$2:$A$1001,0)),""))</f>
        <v/>
      </c>
      <c r="C2927" s="7"/>
      <c r="D2927" s="16" t="str">
        <f aca="false">IF(C2927="","",IFERROR(INDEX(Products!$B$2:$B$501,MATCH(C2927,Products!$A$2:$A$501,0)),"CODE NOT FOUND"))</f>
        <v/>
      </c>
      <c r="E2927" s="7"/>
      <c r="F2927" s="13"/>
      <c r="G2927" s="13"/>
      <c r="H2927" s="17" t="str">
        <f aca="false">IF(OR(E2927="",F2927=""),"",E2927*F2927)</f>
        <v/>
      </c>
      <c r="I2927" s="17" t="str">
        <f aca="false">IF(OR(E2927="",G2927=""),"",E2927*G2927)</f>
        <v/>
      </c>
      <c r="J2927" s="17" t="str">
        <f aca="false">IF(H2927="","",H2927-I2927)</f>
        <v/>
      </c>
    </row>
    <row r="2928" customFormat="false" ht="15" hidden="false" customHeight="true" outlineLevel="0" collapsed="false">
      <c r="A2928" s="7"/>
      <c r="B2928" s="18" t="str">
        <f aca="false">IF(A2928="","",IFERROR(INDEX(Sales_Memo!$B$2:$B$1001,MATCH(A2928,Sales_Memo!$A$2:$A$1001,0)),""))</f>
        <v/>
      </c>
      <c r="C2928" s="7"/>
      <c r="D2928" s="16" t="str">
        <f aca="false">IF(C2928="","",IFERROR(INDEX(Products!$B$2:$B$501,MATCH(C2928,Products!$A$2:$A$501,0)),"CODE NOT FOUND"))</f>
        <v/>
      </c>
      <c r="E2928" s="7"/>
      <c r="F2928" s="13"/>
      <c r="G2928" s="13"/>
      <c r="H2928" s="17" t="str">
        <f aca="false">IF(OR(E2928="",F2928=""),"",E2928*F2928)</f>
        <v/>
      </c>
      <c r="I2928" s="17" t="str">
        <f aca="false">IF(OR(E2928="",G2928=""),"",E2928*G2928)</f>
        <v/>
      </c>
      <c r="J2928" s="17" t="str">
        <f aca="false">IF(H2928="","",H2928-I2928)</f>
        <v/>
      </c>
    </row>
    <row r="2929" customFormat="false" ht="15" hidden="false" customHeight="true" outlineLevel="0" collapsed="false">
      <c r="A2929" s="7"/>
      <c r="B2929" s="18" t="str">
        <f aca="false">IF(A2929="","",IFERROR(INDEX(Sales_Memo!$B$2:$B$1001,MATCH(A2929,Sales_Memo!$A$2:$A$1001,0)),""))</f>
        <v/>
      </c>
      <c r="C2929" s="7"/>
      <c r="D2929" s="16" t="str">
        <f aca="false">IF(C2929="","",IFERROR(INDEX(Products!$B$2:$B$501,MATCH(C2929,Products!$A$2:$A$501,0)),"CODE NOT FOUND"))</f>
        <v/>
      </c>
      <c r="E2929" s="7"/>
      <c r="F2929" s="13"/>
      <c r="G2929" s="13"/>
      <c r="H2929" s="17" t="str">
        <f aca="false">IF(OR(E2929="",F2929=""),"",E2929*F2929)</f>
        <v/>
      </c>
      <c r="I2929" s="17" t="str">
        <f aca="false">IF(OR(E2929="",G2929=""),"",E2929*G2929)</f>
        <v/>
      </c>
      <c r="J2929" s="17" t="str">
        <f aca="false">IF(H2929="","",H2929-I2929)</f>
        <v/>
      </c>
    </row>
    <row r="2930" customFormat="false" ht="15" hidden="false" customHeight="true" outlineLevel="0" collapsed="false">
      <c r="A2930" s="7"/>
      <c r="B2930" s="18" t="str">
        <f aca="false">IF(A2930="","",IFERROR(INDEX(Sales_Memo!$B$2:$B$1001,MATCH(A2930,Sales_Memo!$A$2:$A$1001,0)),""))</f>
        <v/>
      </c>
      <c r="C2930" s="7"/>
      <c r="D2930" s="16" t="str">
        <f aca="false">IF(C2930="","",IFERROR(INDEX(Products!$B$2:$B$501,MATCH(C2930,Products!$A$2:$A$501,0)),"CODE NOT FOUND"))</f>
        <v/>
      </c>
      <c r="E2930" s="7"/>
      <c r="F2930" s="13"/>
      <c r="G2930" s="13"/>
      <c r="H2930" s="17" t="str">
        <f aca="false">IF(OR(E2930="",F2930=""),"",E2930*F2930)</f>
        <v/>
      </c>
      <c r="I2930" s="17" t="str">
        <f aca="false">IF(OR(E2930="",G2930=""),"",E2930*G2930)</f>
        <v/>
      </c>
      <c r="J2930" s="17" t="str">
        <f aca="false">IF(H2930="","",H2930-I2930)</f>
        <v/>
      </c>
    </row>
    <row r="2931" customFormat="false" ht="15" hidden="false" customHeight="true" outlineLevel="0" collapsed="false">
      <c r="A2931" s="7"/>
      <c r="B2931" s="18" t="str">
        <f aca="false">IF(A2931="","",IFERROR(INDEX(Sales_Memo!$B$2:$B$1001,MATCH(A2931,Sales_Memo!$A$2:$A$1001,0)),""))</f>
        <v/>
      </c>
      <c r="C2931" s="7"/>
      <c r="D2931" s="16" t="str">
        <f aca="false">IF(C2931="","",IFERROR(INDEX(Products!$B$2:$B$501,MATCH(C2931,Products!$A$2:$A$501,0)),"CODE NOT FOUND"))</f>
        <v/>
      </c>
      <c r="E2931" s="7"/>
      <c r="F2931" s="13"/>
      <c r="G2931" s="13"/>
      <c r="H2931" s="17" t="str">
        <f aca="false">IF(OR(E2931="",F2931=""),"",E2931*F2931)</f>
        <v/>
      </c>
      <c r="I2931" s="17" t="str">
        <f aca="false">IF(OR(E2931="",G2931=""),"",E2931*G2931)</f>
        <v/>
      </c>
      <c r="J2931" s="17" t="str">
        <f aca="false">IF(H2931="","",H2931-I2931)</f>
        <v/>
      </c>
    </row>
    <row r="2932" customFormat="false" ht="15" hidden="false" customHeight="true" outlineLevel="0" collapsed="false">
      <c r="A2932" s="7"/>
      <c r="B2932" s="18" t="str">
        <f aca="false">IF(A2932="","",IFERROR(INDEX(Sales_Memo!$B$2:$B$1001,MATCH(A2932,Sales_Memo!$A$2:$A$1001,0)),""))</f>
        <v/>
      </c>
      <c r="C2932" s="7"/>
      <c r="D2932" s="16" t="str">
        <f aca="false">IF(C2932="","",IFERROR(INDEX(Products!$B$2:$B$501,MATCH(C2932,Products!$A$2:$A$501,0)),"CODE NOT FOUND"))</f>
        <v/>
      </c>
      <c r="E2932" s="7"/>
      <c r="F2932" s="13"/>
      <c r="G2932" s="13"/>
      <c r="H2932" s="17" t="str">
        <f aca="false">IF(OR(E2932="",F2932=""),"",E2932*F2932)</f>
        <v/>
      </c>
      <c r="I2932" s="17" t="str">
        <f aca="false">IF(OR(E2932="",G2932=""),"",E2932*G2932)</f>
        <v/>
      </c>
      <c r="J2932" s="17" t="str">
        <f aca="false">IF(H2932="","",H2932-I2932)</f>
        <v/>
      </c>
    </row>
    <row r="2933" customFormat="false" ht="15" hidden="false" customHeight="true" outlineLevel="0" collapsed="false">
      <c r="A2933" s="7"/>
      <c r="B2933" s="18" t="str">
        <f aca="false">IF(A2933="","",IFERROR(INDEX(Sales_Memo!$B$2:$B$1001,MATCH(A2933,Sales_Memo!$A$2:$A$1001,0)),""))</f>
        <v/>
      </c>
      <c r="C2933" s="7"/>
      <c r="D2933" s="16" t="str">
        <f aca="false">IF(C2933="","",IFERROR(INDEX(Products!$B$2:$B$501,MATCH(C2933,Products!$A$2:$A$501,0)),"CODE NOT FOUND"))</f>
        <v/>
      </c>
      <c r="E2933" s="7"/>
      <c r="F2933" s="13"/>
      <c r="G2933" s="13"/>
      <c r="H2933" s="17" t="str">
        <f aca="false">IF(OR(E2933="",F2933=""),"",E2933*F2933)</f>
        <v/>
      </c>
      <c r="I2933" s="17" t="str">
        <f aca="false">IF(OR(E2933="",G2933=""),"",E2933*G2933)</f>
        <v/>
      </c>
      <c r="J2933" s="17" t="str">
        <f aca="false">IF(H2933="","",H2933-I2933)</f>
        <v/>
      </c>
    </row>
    <row r="2934" customFormat="false" ht="15" hidden="false" customHeight="true" outlineLevel="0" collapsed="false">
      <c r="A2934" s="7"/>
      <c r="B2934" s="18" t="str">
        <f aca="false">IF(A2934="","",IFERROR(INDEX(Sales_Memo!$B$2:$B$1001,MATCH(A2934,Sales_Memo!$A$2:$A$1001,0)),""))</f>
        <v/>
      </c>
      <c r="C2934" s="7"/>
      <c r="D2934" s="16" t="str">
        <f aca="false">IF(C2934="","",IFERROR(INDEX(Products!$B$2:$B$501,MATCH(C2934,Products!$A$2:$A$501,0)),"CODE NOT FOUND"))</f>
        <v/>
      </c>
      <c r="E2934" s="7"/>
      <c r="F2934" s="13"/>
      <c r="G2934" s="13"/>
      <c r="H2934" s="17" t="str">
        <f aca="false">IF(OR(E2934="",F2934=""),"",E2934*F2934)</f>
        <v/>
      </c>
      <c r="I2934" s="17" t="str">
        <f aca="false">IF(OR(E2934="",G2934=""),"",E2934*G2934)</f>
        <v/>
      </c>
      <c r="J2934" s="17" t="str">
        <f aca="false">IF(H2934="","",H2934-I2934)</f>
        <v/>
      </c>
    </row>
    <row r="2935" customFormat="false" ht="15" hidden="false" customHeight="true" outlineLevel="0" collapsed="false">
      <c r="A2935" s="7"/>
      <c r="B2935" s="18" t="str">
        <f aca="false">IF(A2935="","",IFERROR(INDEX(Sales_Memo!$B$2:$B$1001,MATCH(A2935,Sales_Memo!$A$2:$A$1001,0)),""))</f>
        <v/>
      </c>
      <c r="C2935" s="7"/>
      <c r="D2935" s="16" t="str">
        <f aca="false">IF(C2935="","",IFERROR(INDEX(Products!$B$2:$B$501,MATCH(C2935,Products!$A$2:$A$501,0)),"CODE NOT FOUND"))</f>
        <v/>
      </c>
      <c r="E2935" s="7"/>
      <c r="F2935" s="13"/>
      <c r="G2935" s="13"/>
      <c r="H2935" s="17" t="str">
        <f aca="false">IF(OR(E2935="",F2935=""),"",E2935*F2935)</f>
        <v/>
      </c>
      <c r="I2935" s="17" t="str">
        <f aca="false">IF(OR(E2935="",G2935=""),"",E2935*G2935)</f>
        <v/>
      </c>
      <c r="J2935" s="17" t="str">
        <f aca="false">IF(H2935="","",H2935-I2935)</f>
        <v/>
      </c>
    </row>
    <row r="2936" customFormat="false" ht="15" hidden="false" customHeight="true" outlineLevel="0" collapsed="false">
      <c r="A2936" s="7"/>
      <c r="B2936" s="18" t="str">
        <f aca="false">IF(A2936="","",IFERROR(INDEX(Sales_Memo!$B$2:$B$1001,MATCH(A2936,Sales_Memo!$A$2:$A$1001,0)),""))</f>
        <v/>
      </c>
      <c r="C2936" s="7"/>
      <c r="D2936" s="16" t="str">
        <f aca="false">IF(C2936="","",IFERROR(INDEX(Products!$B$2:$B$501,MATCH(C2936,Products!$A$2:$A$501,0)),"CODE NOT FOUND"))</f>
        <v/>
      </c>
      <c r="E2936" s="7"/>
      <c r="F2936" s="13"/>
      <c r="G2936" s="13"/>
      <c r="H2936" s="17" t="str">
        <f aca="false">IF(OR(E2936="",F2936=""),"",E2936*F2936)</f>
        <v/>
      </c>
      <c r="I2936" s="17" t="str">
        <f aca="false">IF(OR(E2936="",G2936=""),"",E2936*G2936)</f>
        <v/>
      </c>
      <c r="J2936" s="17" t="str">
        <f aca="false">IF(H2936="","",H2936-I2936)</f>
        <v/>
      </c>
    </row>
    <row r="2937" customFormat="false" ht="15" hidden="false" customHeight="true" outlineLevel="0" collapsed="false">
      <c r="A2937" s="7"/>
      <c r="B2937" s="18" t="str">
        <f aca="false">IF(A2937="","",IFERROR(INDEX(Sales_Memo!$B$2:$B$1001,MATCH(A2937,Sales_Memo!$A$2:$A$1001,0)),""))</f>
        <v/>
      </c>
      <c r="C2937" s="7"/>
      <c r="D2937" s="16" t="str">
        <f aca="false">IF(C2937="","",IFERROR(INDEX(Products!$B$2:$B$501,MATCH(C2937,Products!$A$2:$A$501,0)),"CODE NOT FOUND"))</f>
        <v/>
      </c>
      <c r="E2937" s="7"/>
      <c r="F2937" s="13"/>
      <c r="G2937" s="13"/>
      <c r="H2937" s="17" t="str">
        <f aca="false">IF(OR(E2937="",F2937=""),"",E2937*F2937)</f>
        <v/>
      </c>
      <c r="I2937" s="17" t="str">
        <f aca="false">IF(OR(E2937="",G2937=""),"",E2937*G2937)</f>
        <v/>
      </c>
      <c r="J2937" s="17" t="str">
        <f aca="false">IF(H2937="","",H2937-I2937)</f>
        <v/>
      </c>
    </row>
    <row r="2938" customFormat="false" ht="15" hidden="false" customHeight="true" outlineLevel="0" collapsed="false">
      <c r="A2938" s="7"/>
      <c r="B2938" s="18" t="str">
        <f aca="false">IF(A2938="","",IFERROR(INDEX(Sales_Memo!$B$2:$B$1001,MATCH(A2938,Sales_Memo!$A$2:$A$1001,0)),""))</f>
        <v/>
      </c>
      <c r="C2938" s="7"/>
      <c r="D2938" s="16" t="str">
        <f aca="false">IF(C2938="","",IFERROR(INDEX(Products!$B$2:$B$501,MATCH(C2938,Products!$A$2:$A$501,0)),"CODE NOT FOUND"))</f>
        <v/>
      </c>
      <c r="E2938" s="7"/>
      <c r="F2938" s="13"/>
      <c r="G2938" s="13"/>
      <c r="H2938" s="17" t="str">
        <f aca="false">IF(OR(E2938="",F2938=""),"",E2938*F2938)</f>
        <v/>
      </c>
      <c r="I2938" s="17" t="str">
        <f aca="false">IF(OR(E2938="",G2938=""),"",E2938*G2938)</f>
        <v/>
      </c>
      <c r="J2938" s="17" t="str">
        <f aca="false">IF(H2938="","",H2938-I2938)</f>
        <v/>
      </c>
    </row>
    <row r="2939" customFormat="false" ht="15" hidden="false" customHeight="true" outlineLevel="0" collapsed="false">
      <c r="A2939" s="7"/>
      <c r="B2939" s="18" t="str">
        <f aca="false">IF(A2939="","",IFERROR(INDEX(Sales_Memo!$B$2:$B$1001,MATCH(A2939,Sales_Memo!$A$2:$A$1001,0)),""))</f>
        <v/>
      </c>
      <c r="C2939" s="7"/>
      <c r="D2939" s="16" t="str">
        <f aca="false">IF(C2939="","",IFERROR(INDEX(Products!$B$2:$B$501,MATCH(C2939,Products!$A$2:$A$501,0)),"CODE NOT FOUND"))</f>
        <v/>
      </c>
      <c r="E2939" s="7"/>
      <c r="F2939" s="13"/>
      <c r="G2939" s="13"/>
      <c r="H2939" s="17" t="str">
        <f aca="false">IF(OR(E2939="",F2939=""),"",E2939*F2939)</f>
        <v/>
      </c>
      <c r="I2939" s="17" t="str">
        <f aca="false">IF(OR(E2939="",G2939=""),"",E2939*G2939)</f>
        <v/>
      </c>
      <c r="J2939" s="17" t="str">
        <f aca="false">IF(H2939="","",H2939-I2939)</f>
        <v/>
      </c>
    </row>
    <row r="2940" customFormat="false" ht="15" hidden="false" customHeight="true" outlineLevel="0" collapsed="false">
      <c r="A2940" s="7"/>
      <c r="B2940" s="18" t="str">
        <f aca="false">IF(A2940="","",IFERROR(INDEX(Sales_Memo!$B$2:$B$1001,MATCH(A2940,Sales_Memo!$A$2:$A$1001,0)),""))</f>
        <v/>
      </c>
      <c r="C2940" s="7"/>
      <c r="D2940" s="16" t="str">
        <f aca="false">IF(C2940="","",IFERROR(INDEX(Products!$B$2:$B$501,MATCH(C2940,Products!$A$2:$A$501,0)),"CODE NOT FOUND"))</f>
        <v/>
      </c>
      <c r="E2940" s="7"/>
      <c r="F2940" s="13"/>
      <c r="G2940" s="13"/>
      <c r="H2940" s="17" t="str">
        <f aca="false">IF(OR(E2940="",F2940=""),"",E2940*F2940)</f>
        <v/>
      </c>
      <c r="I2940" s="17" t="str">
        <f aca="false">IF(OR(E2940="",G2940=""),"",E2940*G2940)</f>
        <v/>
      </c>
      <c r="J2940" s="17" t="str">
        <f aca="false">IF(H2940="","",H2940-I2940)</f>
        <v/>
      </c>
    </row>
    <row r="2941" customFormat="false" ht="15" hidden="false" customHeight="true" outlineLevel="0" collapsed="false">
      <c r="A2941" s="7"/>
      <c r="B2941" s="18" t="str">
        <f aca="false">IF(A2941="","",IFERROR(INDEX(Sales_Memo!$B$2:$B$1001,MATCH(A2941,Sales_Memo!$A$2:$A$1001,0)),""))</f>
        <v/>
      </c>
      <c r="C2941" s="7"/>
      <c r="D2941" s="16" t="str">
        <f aca="false">IF(C2941="","",IFERROR(INDEX(Products!$B$2:$B$501,MATCH(C2941,Products!$A$2:$A$501,0)),"CODE NOT FOUND"))</f>
        <v/>
      </c>
      <c r="E2941" s="7"/>
      <c r="F2941" s="13"/>
      <c r="G2941" s="13"/>
      <c r="H2941" s="17" t="str">
        <f aca="false">IF(OR(E2941="",F2941=""),"",E2941*F2941)</f>
        <v/>
      </c>
      <c r="I2941" s="17" t="str">
        <f aca="false">IF(OR(E2941="",G2941=""),"",E2941*G2941)</f>
        <v/>
      </c>
      <c r="J2941" s="17" t="str">
        <f aca="false">IF(H2941="","",H2941-I2941)</f>
        <v/>
      </c>
    </row>
    <row r="2942" customFormat="false" ht="15" hidden="false" customHeight="true" outlineLevel="0" collapsed="false">
      <c r="A2942" s="7"/>
      <c r="B2942" s="18" t="str">
        <f aca="false">IF(A2942="","",IFERROR(INDEX(Sales_Memo!$B$2:$B$1001,MATCH(A2942,Sales_Memo!$A$2:$A$1001,0)),""))</f>
        <v/>
      </c>
      <c r="C2942" s="7"/>
      <c r="D2942" s="16" t="str">
        <f aca="false">IF(C2942="","",IFERROR(INDEX(Products!$B$2:$B$501,MATCH(C2942,Products!$A$2:$A$501,0)),"CODE NOT FOUND"))</f>
        <v/>
      </c>
      <c r="E2942" s="7"/>
      <c r="F2942" s="13"/>
      <c r="G2942" s="13"/>
      <c r="H2942" s="17" t="str">
        <f aca="false">IF(OR(E2942="",F2942=""),"",E2942*F2942)</f>
        <v/>
      </c>
      <c r="I2942" s="17" t="str">
        <f aca="false">IF(OR(E2942="",G2942=""),"",E2942*G2942)</f>
        <v/>
      </c>
      <c r="J2942" s="17" t="str">
        <f aca="false">IF(H2942="","",H2942-I2942)</f>
        <v/>
      </c>
    </row>
    <row r="2943" customFormat="false" ht="15" hidden="false" customHeight="true" outlineLevel="0" collapsed="false">
      <c r="A2943" s="7"/>
      <c r="B2943" s="18" t="str">
        <f aca="false">IF(A2943="","",IFERROR(INDEX(Sales_Memo!$B$2:$B$1001,MATCH(A2943,Sales_Memo!$A$2:$A$1001,0)),""))</f>
        <v/>
      </c>
      <c r="C2943" s="7"/>
      <c r="D2943" s="16" t="str">
        <f aca="false">IF(C2943="","",IFERROR(INDEX(Products!$B$2:$B$501,MATCH(C2943,Products!$A$2:$A$501,0)),"CODE NOT FOUND"))</f>
        <v/>
      </c>
      <c r="E2943" s="7"/>
      <c r="F2943" s="13"/>
      <c r="G2943" s="13"/>
      <c r="H2943" s="17" t="str">
        <f aca="false">IF(OR(E2943="",F2943=""),"",E2943*F2943)</f>
        <v/>
      </c>
      <c r="I2943" s="17" t="str">
        <f aca="false">IF(OR(E2943="",G2943=""),"",E2943*G2943)</f>
        <v/>
      </c>
      <c r="J2943" s="17" t="str">
        <f aca="false">IF(H2943="","",H2943-I2943)</f>
        <v/>
      </c>
    </row>
    <row r="2944" customFormat="false" ht="15" hidden="false" customHeight="true" outlineLevel="0" collapsed="false">
      <c r="A2944" s="7"/>
      <c r="B2944" s="18" t="str">
        <f aca="false">IF(A2944="","",IFERROR(INDEX(Sales_Memo!$B$2:$B$1001,MATCH(A2944,Sales_Memo!$A$2:$A$1001,0)),""))</f>
        <v/>
      </c>
      <c r="C2944" s="7"/>
      <c r="D2944" s="16" t="str">
        <f aca="false">IF(C2944="","",IFERROR(INDEX(Products!$B$2:$B$501,MATCH(C2944,Products!$A$2:$A$501,0)),"CODE NOT FOUND"))</f>
        <v/>
      </c>
      <c r="E2944" s="7"/>
      <c r="F2944" s="13"/>
      <c r="G2944" s="13"/>
      <c r="H2944" s="17" t="str">
        <f aca="false">IF(OR(E2944="",F2944=""),"",E2944*F2944)</f>
        <v/>
      </c>
      <c r="I2944" s="17" t="str">
        <f aca="false">IF(OR(E2944="",G2944=""),"",E2944*G2944)</f>
        <v/>
      </c>
      <c r="J2944" s="17" t="str">
        <f aca="false">IF(H2944="","",H2944-I2944)</f>
        <v/>
      </c>
    </row>
    <row r="2945" customFormat="false" ht="15" hidden="false" customHeight="true" outlineLevel="0" collapsed="false">
      <c r="A2945" s="7"/>
      <c r="B2945" s="18" t="str">
        <f aca="false">IF(A2945="","",IFERROR(INDEX(Sales_Memo!$B$2:$B$1001,MATCH(A2945,Sales_Memo!$A$2:$A$1001,0)),""))</f>
        <v/>
      </c>
      <c r="C2945" s="7"/>
      <c r="D2945" s="16" t="str">
        <f aca="false">IF(C2945="","",IFERROR(INDEX(Products!$B$2:$B$501,MATCH(C2945,Products!$A$2:$A$501,0)),"CODE NOT FOUND"))</f>
        <v/>
      </c>
      <c r="E2945" s="7"/>
      <c r="F2945" s="13"/>
      <c r="G2945" s="13"/>
      <c r="H2945" s="17" t="str">
        <f aca="false">IF(OR(E2945="",F2945=""),"",E2945*F2945)</f>
        <v/>
      </c>
      <c r="I2945" s="17" t="str">
        <f aca="false">IF(OR(E2945="",G2945=""),"",E2945*G2945)</f>
        <v/>
      </c>
      <c r="J2945" s="17" t="str">
        <f aca="false">IF(H2945="","",H2945-I2945)</f>
        <v/>
      </c>
    </row>
    <row r="2946" customFormat="false" ht="15" hidden="false" customHeight="true" outlineLevel="0" collapsed="false">
      <c r="A2946" s="7"/>
      <c r="B2946" s="18" t="str">
        <f aca="false">IF(A2946="","",IFERROR(INDEX(Sales_Memo!$B$2:$B$1001,MATCH(A2946,Sales_Memo!$A$2:$A$1001,0)),""))</f>
        <v/>
      </c>
      <c r="C2946" s="7"/>
      <c r="D2946" s="16" t="str">
        <f aca="false">IF(C2946="","",IFERROR(INDEX(Products!$B$2:$B$501,MATCH(C2946,Products!$A$2:$A$501,0)),"CODE NOT FOUND"))</f>
        <v/>
      </c>
      <c r="E2946" s="7"/>
      <c r="F2946" s="13"/>
      <c r="G2946" s="13"/>
      <c r="H2946" s="17" t="str">
        <f aca="false">IF(OR(E2946="",F2946=""),"",E2946*F2946)</f>
        <v/>
      </c>
      <c r="I2946" s="17" t="str">
        <f aca="false">IF(OR(E2946="",G2946=""),"",E2946*G2946)</f>
        <v/>
      </c>
      <c r="J2946" s="17" t="str">
        <f aca="false">IF(H2946="","",H2946-I2946)</f>
        <v/>
      </c>
    </row>
    <row r="2947" customFormat="false" ht="15" hidden="false" customHeight="true" outlineLevel="0" collapsed="false">
      <c r="A2947" s="7"/>
      <c r="B2947" s="18" t="str">
        <f aca="false">IF(A2947="","",IFERROR(INDEX(Sales_Memo!$B$2:$B$1001,MATCH(A2947,Sales_Memo!$A$2:$A$1001,0)),""))</f>
        <v/>
      </c>
      <c r="C2947" s="7"/>
      <c r="D2947" s="16" t="str">
        <f aca="false">IF(C2947="","",IFERROR(INDEX(Products!$B$2:$B$501,MATCH(C2947,Products!$A$2:$A$501,0)),"CODE NOT FOUND"))</f>
        <v/>
      </c>
      <c r="E2947" s="7"/>
      <c r="F2947" s="13"/>
      <c r="G2947" s="13"/>
      <c r="H2947" s="17" t="str">
        <f aca="false">IF(OR(E2947="",F2947=""),"",E2947*F2947)</f>
        <v/>
      </c>
      <c r="I2947" s="17" t="str">
        <f aca="false">IF(OR(E2947="",G2947=""),"",E2947*G2947)</f>
        <v/>
      </c>
      <c r="J2947" s="17" t="str">
        <f aca="false">IF(H2947="","",H2947-I2947)</f>
        <v/>
      </c>
    </row>
    <row r="2948" customFormat="false" ht="15" hidden="false" customHeight="true" outlineLevel="0" collapsed="false">
      <c r="A2948" s="7"/>
      <c r="B2948" s="18" t="str">
        <f aca="false">IF(A2948="","",IFERROR(INDEX(Sales_Memo!$B$2:$B$1001,MATCH(A2948,Sales_Memo!$A$2:$A$1001,0)),""))</f>
        <v/>
      </c>
      <c r="C2948" s="7"/>
      <c r="D2948" s="16" t="str">
        <f aca="false">IF(C2948="","",IFERROR(INDEX(Products!$B$2:$B$501,MATCH(C2948,Products!$A$2:$A$501,0)),"CODE NOT FOUND"))</f>
        <v/>
      </c>
      <c r="E2948" s="7"/>
      <c r="F2948" s="13"/>
      <c r="G2948" s="13"/>
      <c r="H2948" s="17" t="str">
        <f aca="false">IF(OR(E2948="",F2948=""),"",E2948*F2948)</f>
        <v/>
      </c>
      <c r="I2948" s="17" t="str">
        <f aca="false">IF(OR(E2948="",G2948=""),"",E2948*G2948)</f>
        <v/>
      </c>
      <c r="J2948" s="17" t="str">
        <f aca="false">IF(H2948="","",H2948-I2948)</f>
        <v/>
      </c>
    </row>
    <row r="2949" customFormat="false" ht="15" hidden="false" customHeight="true" outlineLevel="0" collapsed="false">
      <c r="A2949" s="7"/>
      <c r="B2949" s="18" t="str">
        <f aca="false">IF(A2949="","",IFERROR(INDEX(Sales_Memo!$B$2:$B$1001,MATCH(A2949,Sales_Memo!$A$2:$A$1001,0)),""))</f>
        <v/>
      </c>
      <c r="C2949" s="7"/>
      <c r="D2949" s="16" t="str">
        <f aca="false">IF(C2949="","",IFERROR(INDEX(Products!$B$2:$B$501,MATCH(C2949,Products!$A$2:$A$501,0)),"CODE NOT FOUND"))</f>
        <v/>
      </c>
      <c r="E2949" s="7"/>
      <c r="F2949" s="13"/>
      <c r="G2949" s="13"/>
      <c r="H2949" s="17" t="str">
        <f aca="false">IF(OR(E2949="",F2949=""),"",E2949*F2949)</f>
        <v/>
      </c>
      <c r="I2949" s="17" t="str">
        <f aca="false">IF(OR(E2949="",G2949=""),"",E2949*G2949)</f>
        <v/>
      </c>
      <c r="J2949" s="17" t="str">
        <f aca="false">IF(H2949="","",H2949-I2949)</f>
        <v/>
      </c>
    </row>
    <row r="2950" customFormat="false" ht="15" hidden="false" customHeight="true" outlineLevel="0" collapsed="false">
      <c r="A2950" s="7"/>
      <c r="B2950" s="18" t="str">
        <f aca="false">IF(A2950="","",IFERROR(INDEX(Sales_Memo!$B$2:$B$1001,MATCH(A2950,Sales_Memo!$A$2:$A$1001,0)),""))</f>
        <v/>
      </c>
      <c r="C2950" s="7"/>
      <c r="D2950" s="16" t="str">
        <f aca="false">IF(C2950="","",IFERROR(INDEX(Products!$B$2:$B$501,MATCH(C2950,Products!$A$2:$A$501,0)),"CODE NOT FOUND"))</f>
        <v/>
      </c>
      <c r="E2950" s="7"/>
      <c r="F2950" s="13"/>
      <c r="G2950" s="13"/>
      <c r="H2950" s="17" t="str">
        <f aca="false">IF(OR(E2950="",F2950=""),"",E2950*F2950)</f>
        <v/>
      </c>
      <c r="I2950" s="17" t="str">
        <f aca="false">IF(OR(E2950="",G2950=""),"",E2950*G2950)</f>
        <v/>
      </c>
      <c r="J2950" s="17" t="str">
        <f aca="false">IF(H2950="","",H2950-I2950)</f>
        <v/>
      </c>
    </row>
    <row r="2951" customFormat="false" ht="15" hidden="false" customHeight="true" outlineLevel="0" collapsed="false">
      <c r="A2951" s="7"/>
      <c r="B2951" s="18" t="str">
        <f aca="false">IF(A2951="","",IFERROR(INDEX(Sales_Memo!$B$2:$B$1001,MATCH(A2951,Sales_Memo!$A$2:$A$1001,0)),""))</f>
        <v/>
      </c>
      <c r="C2951" s="7"/>
      <c r="D2951" s="16" t="str">
        <f aca="false">IF(C2951="","",IFERROR(INDEX(Products!$B$2:$B$501,MATCH(C2951,Products!$A$2:$A$501,0)),"CODE NOT FOUND"))</f>
        <v/>
      </c>
      <c r="E2951" s="7"/>
      <c r="F2951" s="13"/>
      <c r="G2951" s="13"/>
      <c r="H2951" s="17" t="str">
        <f aca="false">IF(OR(E2951="",F2951=""),"",E2951*F2951)</f>
        <v/>
      </c>
      <c r="I2951" s="17" t="str">
        <f aca="false">IF(OR(E2951="",G2951=""),"",E2951*G2951)</f>
        <v/>
      </c>
      <c r="J2951" s="17" t="str">
        <f aca="false">IF(H2951="","",H2951-I2951)</f>
        <v/>
      </c>
    </row>
    <row r="2952" customFormat="false" ht="15" hidden="false" customHeight="true" outlineLevel="0" collapsed="false">
      <c r="A2952" s="7"/>
      <c r="B2952" s="18" t="str">
        <f aca="false">IF(A2952="","",IFERROR(INDEX(Sales_Memo!$B$2:$B$1001,MATCH(A2952,Sales_Memo!$A$2:$A$1001,0)),""))</f>
        <v/>
      </c>
      <c r="C2952" s="7"/>
      <c r="D2952" s="16" t="str">
        <f aca="false">IF(C2952="","",IFERROR(INDEX(Products!$B$2:$B$501,MATCH(C2952,Products!$A$2:$A$501,0)),"CODE NOT FOUND"))</f>
        <v/>
      </c>
      <c r="E2952" s="7"/>
      <c r="F2952" s="13"/>
      <c r="G2952" s="13"/>
      <c r="H2952" s="17" t="str">
        <f aca="false">IF(OR(E2952="",F2952=""),"",E2952*F2952)</f>
        <v/>
      </c>
      <c r="I2952" s="17" t="str">
        <f aca="false">IF(OR(E2952="",G2952=""),"",E2952*G2952)</f>
        <v/>
      </c>
      <c r="J2952" s="17" t="str">
        <f aca="false">IF(H2952="","",H2952-I2952)</f>
        <v/>
      </c>
    </row>
    <row r="2953" customFormat="false" ht="15" hidden="false" customHeight="true" outlineLevel="0" collapsed="false">
      <c r="A2953" s="7"/>
      <c r="B2953" s="18" t="str">
        <f aca="false">IF(A2953="","",IFERROR(INDEX(Sales_Memo!$B$2:$B$1001,MATCH(A2953,Sales_Memo!$A$2:$A$1001,0)),""))</f>
        <v/>
      </c>
      <c r="C2953" s="7"/>
      <c r="D2953" s="16" t="str">
        <f aca="false">IF(C2953="","",IFERROR(INDEX(Products!$B$2:$B$501,MATCH(C2953,Products!$A$2:$A$501,0)),"CODE NOT FOUND"))</f>
        <v/>
      </c>
      <c r="E2953" s="7"/>
      <c r="F2953" s="13"/>
      <c r="G2953" s="13"/>
      <c r="H2953" s="17" t="str">
        <f aca="false">IF(OR(E2953="",F2953=""),"",E2953*F2953)</f>
        <v/>
      </c>
      <c r="I2953" s="17" t="str">
        <f aca="false">IF(OR(E2953="",G2953=""),"",E2953*G2953)</f>
        <v/>
      </c>
      <c r="J2953" s="17" t="str">
        <f aca="false">IF(H2953="","",H2953-I2953)</f>
        <v/>
      </c>
    </row>
    <row r="2954" customFormat="false" ht="15" hidden="false" customHeight="true" outlineLevel="0" collapsed="false">
      <c r="A2954" s="7"/>
      <c r="B2954" s="18" t="str">
        <f aca="false">IF(A2954="","",IFERROR(INDEX(Sales_Memo!$B$2:$B$1001,MATCH(A2954,Sales_Memo!$A$2:$A$1001,0)),""))</f>
        <v/>
      </c>
      <c r="C2954" s="7"/>
      <c r="D2954" s="16" t="str">
        <f aca="false">IF(C2954="","",IFERROR(INDEX(Products!$B$2:$B$501,MATCH(C2954,Products!$A$2:$A$501,0)),"CODE NOT FOUND"))</f>
        <v/>
      </c>
      <c r="E2954" s="7"/>
      <c r="F2954" s="13"/>
      <c r="G2954" s="13"/>
      <c r="H2954" s="17" t="str">
        <f aca="false">IF(OR(E2954="",F2954=""),"",E2954*F2954)</f>
        <v/>
      </c>
      <c r="I2954" s="17" t="str">
        <f aca="false">IF(OR(E2954="",G2954=""),"",E2954*G2954)</f>
        <v/>
      </c>
      <c r="J2954" s="17" t="str">
        <f aca="false">IF(H2954="","",H2954-I2954)</f>
        <v/>
      </c>
    </row>
    <row r="2955" customFormat="false" ht="15" hidden="false" customHeight="true" outlineLevel="0" collapsed="false">
      <c r="A2955" s="7"/>
      <c r="B2955" s="18" t="str">
        <f aca="false">IF(A2955="","",IFERROR(INDEX(Sales_Memo!$B$2:$B$1001,MATCH(A2955,Sales_Memo!$A$2:$A$1001,0)),""))</f>
        <v/>
      </c>
      <c r="C2955" s="7"/>
      <c r="D2955" s="16" t="str">
        <f aca="false">IF(C2955="","",IFERROR(INDEX(Products!$B$2:$B$501,MATCH(C2955,Products!$A$2:$A$501,0)),"CODE NOT FOUND"))</f>
        <v/>
      </c>
      <c r="E2955" s="7"/>
      <c r="F2955" s="13"/>
      <c r="G2955" s="13"/>
      <c r="H2955" s="17" t="str">
        <f aca="false">IF(OR(E2955="",F2955=""),"",E2955*F2955)</f>
        <v/>
      </c>
      <c r="I2955" s="17" t="str">
        <f aca="false">IF(OR(E2955="",G2955=""),"",E2955*G2955)</f>
        <v/>
      </c>
      <c r="J2955" s="17" t="str">
        <f aca="false">IF(H2955="","",H2955-I2955)</f>
        <v/>
      </c>
    </row>
    <row r="2956" customFormat="false" ht="15" hidden="false" customHeight="true" outlineLevel="0" collapsed="false">
      <c r="A2956" s="7"/>
      <c r="B2956" s="18" t="str">
        <f aca="false">IF(A2956="","",IFERROR(INDEX(Sales_Memo!$B$2:$B$1001,MATCH(A2956,Sales_Memo!$A$2:$A$1001,0)),""))</f>
        <v/>
      </c>
      <c r="C2956" s="7"/>
      <c r="D2956" s="16" t="str">
        <f aca="false">IF(C2956="","",IFERROR(INDEX(Products!$B$2:$B$501,MATCH(C2956,Products!$A$2:$A$501,0)),"CODE NOT FOUND"))</f>
        <v/>
      </c>
      <c r="E2956" s="7"/>
      <c r="F2956" s="13"/>
      <c r="G2956" s="13"/>
      <c r="H2956" s="17" t="str">
        <f aca="false">IF(OR(E2956="",F2956=""),"",E2956*F2956)</f>
        <v/>
      </c>
      <c r="I2956" s="17" t="str">
        <f aca="false">IF(OR(E2956="",G2956=""),"",E2956*G2956)</f>
        <v/>
      </c>
      <c r="J2956" s="17" t="str">
        <f aca="false">IF(H2956="","",H2956-I2956)</f>
        <v/>
      </c>
    </row>
    <row r="2957" customFormat="false" ht="15" hidden="false" customHeight="true" outlineLevel="0" collapsed="false">
      <c r="A2957" s="7"/>
      <c r="B2957" s="18" t="str">
        <f aca="false">IF(A2957="","",IFERROR(INDEX(Sales_Memo!$B$2:$B$1001,MATCH(A2957,Sales_Memo!$A$2:$A$1001,0)),""))</f>
        <v/>
      </c>
      <c r="C2957" s="7"/>
      <c r="D2957" s="16" t="str">
        <f aca="false">IF(C2957="","",IFERROR(INDEX(Products!$B$2:$B$501,MATCH(C2957,Products!$A$2:$A$501,0)),"CODE NOT FOUND"))</f>
        <v/>
      </c>
      <c r="E2957" s="7"/>
      <c r="F2957" s="13"/>
      <c r="G2957" s="13"/>
      <c r="H2957" s="17" t="str">
        <f aca="false">IF(OR(E2957="",F2957=""),"",E2957*F2957)</f>
        <v/>
      </c>
      <c r="I2957" s="17" t="str">
        <f aca="false">IF(OR(E2957="",G2957=""),"",E2957*G2957)</f>
        <v/>
      </c>
      <c r="J2957" s="17" t="str">
        <f aca="false">IF(H2957="","",H2957-I2957)</f>
        <v/>
      </c>
    </row>
    <row r="2958" customFormat="false" ht="15" hidden="false" customHeight="true" outlineLevel="0" collapsed="false">
      <c r="A2958" s="7"/>
      <c r="B2958" s="18" t="str">
        <f aca="false">IF(A2958="","",IFERROR(INDEX(Sales_Memo!$B$2:$B$1001,MATCH(A2958,Sales_Memo!$A$2:$A$1001,0)),""))</f>
        <v/>
      </c>
      <c r="C2958" s="7"/>
      <c r="D2958" s="16" t="str">
        <f aca="false">IF(C2958="","",IFERROR(INDEX(Products!$B$2:$B$501,MATCH(C2958,Products!$A$2:$A$501,0)),"CODE NOT FOUND"))</f>
        <v/>
      </c>
      <c r="E2958" s="7"/>
      <c r="F2958" s="13"/>
      <c r="G2958" s="13"/>
      <c r="H2958" s="17" t="str">
        <f aca="false">IF(OR(E2958="",F2958=""),"",E2958*F2958)</f>
        <v/>
      </c>
      <c r="I2958" s="17" t="str">
        <f aca="false">IF(OR(E2958="",G2958=""),"",E2958*G2958)</f>
        <v/>
      </c>
      <c r="J2958" s="17" t="str">
        <f aca="false">IF(H2958="","",H2958-I2958)</f>
        <v/>
      </c>
    </row>
    <row r="2959" customFormat="false" ht="15" hidden="false" customHeight="true" outlineLevel="0" collapsed="false">
      <c r="A2959" s="7"/>
      <c r="B2959" s="18" t="str">
        <f aca="false">IF(A2959="","",IFERROR(INDEX(Sales_Memo!$B$2:$B$1001,MATCH(A2959,Sales_Memo!$A$2:$A$1001,0)),""))</f>
        <v/>
      </c>
      <c r="C2959" s="7"/>
      <c r="D2959" s="16" t="str">
        <f aca="false">IF(C2959="","",IFERROR(INDEX(Products!$B$2:$B$501,MATCH(C2959,Products!$A$2:$A$501,0)),"CODE NOT FOUND"))</f>
        <v/>
      </c>
      <c r="E2959" s="7"/>
      <c r="F2959" s="13"/>
      <c r="G2959" s="13"/>
      <c r="H2959" s="17" t="str">
        <f aca="false">IF(OR(E2959="",F2959=""),"",E2959*F2959)</f>
        <v/>
      </c>
      <c r="I2959" s="17" t="str">
        <f aca="false">IF(OR(E2959="",G2959=""),"",E2959*G2959)</f>
        <v/>
      </c>
      <c r="J2959" s="17" t="str">
        <f aca="false">IF(H2959="","",H2959-I2959)</f>
        <v/>
      </c>
    </row>
    <row r="2960" customFormat="false" ht="15" hidden="false" customHeight="true" outlineLevel="0" collapsed="false">
      <c r="A2960" s="7"/>
      <c r="B2960" s="18" t="str">
        <f aca="false">IF(A2960="","",IFERROR(INDEX(Sales_Memo!$B$2:$B$1001,MATCH(A2960,Sales_Memo!$A$2:$A$1001,0)),""))</f>
        <v/>
      </c>
      <c r="C2960" s="7"/>
      <c r="D2960" s="16" t="str">
        <f aca="false">IF(C2960="","",IFERROR(INDEX(Products!$B$2:$B$501,MATCH(C2960,Products!$A$2:$A$501,0)),"CODE NOT FOUND"))</f>
        <v/>
      </c>
      <c r="E2960" s="7"/>
      <c r="F2960" s="13"/>
      <c r="G2960" s="13"/>
      <c r="H2960" s="17" t="str">
        <f aca="false">IF(OR(E2960="",F2960=""),"",E2960*F2960)</f>
        <v/>
      </c>
      <c r="I2960" s="17" t="str">
        <f aca="false">IF(OR(E2960="",G2960=""),"",E2960*G2960)</f>
        <v/>
      </c>
      <c r="J2960" s="17" t="str">
        <f aca="false">IF(H2960="","",H2960-I2960)</f>
        <v/>
      </c>
    </row>
    <row r="2961" customFormat="false" ht="15" hidden="false" customHeight="true" outlineLevel="0" collapsed="false">
      <c r="A2961" s="7"/>
      <c r="B2961" s="18" t="str">
        <f aca="false">IF(A2961="","",IFERROR(INDEX(Sales_Memo!$B$2:$B$1001,MATCH(A2961,Sales_Memo!$A$2:$A$1001,0)),""))</f>
        <v/>
      </c>
      <c r="C2961" s="7"/>
      <c r="D2961" s="16" t="str">
        <f aca="false">IF(C2961="","",IFERROR(INDEX(Products!$B$2:$B$501,MATCH(C2961,Products!$A$2:$A$501,0)),"CODE NOT FOUND"))</f>
        <v/>
      </c>
      <c r="E2961" s="7"/>
      <c r="F2961" s="13"/>
      <c r="G2961" s="13"/>
      <c r="H2961" s="17" t="str">
        <f aca="false">IF(OR(E2961="",F2961=""),"",E2961*F2961)</f>
        <v/>
      </c>
      <c r="I2961" s="17" t="str">
        <f aca="false">IF(OR(E2961="",G2961=""),"",E2961*G2961)</f>
        <v/>
      </c>
      <c r="J2961" s="17" t="str">
        <f aca="false">IF(H2961="","",H2961-I2961)</f>
        <v/>
      </c>
    </row>
    <row r="2962" customFormat="false" ht="15" hidden="false" customHeight="true" outlineLevel="0" collapsed="false">
      <c r="A2962" s="7"/>
      <c r="B2962" s="18" t="str">
        <f aca="false">IF(A2962="","",IFERROR(INDEX(Sales_Memo!$B$2:$B$1001,MATCH(A2962,Sales_Memo!$A$2:$A$1001,0)),""))</f>
        <v/>
      </c>
      <c r="C2962" s="7"/>
      <c r="D2962" s="16" t="str">
        <f aca="false">IF(C2962="","",IFERROR(INDEX(Products!$B$2:$B$501,MATCH(C2962,Products!$A$2:$A$501,0)),"CODE NOT FOUND"))</f>
        <v/>
      </c>
      <c r="E2962" s="7"/>
      <c r="F2962" s="13"/>
      <c r="G2962" s="13"/>
      <c r="H2962" s="17" t="str">
        <f aca="false">IF(OR(E2962="",F2962=""),"",E2962*F2962)</f>
        <v/>
      </c>
      <c r="I2962" s="17" t="str">
        <f aca="false">IF(OR(E2962="",G2962=""),"",E2962*G2962)</f>
        <v/>
      </c>
      <c r="J2962" s="17" t="str">
        <f aca="false">IF(H2962="","",H2962-I2962)</f>
        <v/>
      </c>
    </row>
    <row r="2963" customFormat="false" ht="15" hidden="false" customHeight="true" outlineLevel="0" collapsed="false">
      <c r="A2963" s="7"/>
      <c r="B2963" s="18" t="str">
        <f aca="false">IF(A2963="","",IFERROR(INDEX(Sales_Memo!$B$2:$B$1001,MATCH(A2963,Sales_Memo!$A$2:$A$1001,0)),""))</f>
        <v/>
      </c>
      <c r="C2963" s="7"/>
      <c r="D2963" s="16" t="str">
        <f aca="false">IF(C2963="","",IFERROR(INDEX(Products!$B$2:$B$501,MATCH(C2963,Products!$A$2:$A$501,0)),"CODE NOT FOUND"))</f>
        <v/>
      </c>
      <c r="E2963" s="7"/>
      <c r="F2963" s="13"/>
      <c r="G2963" s="13"/>
      <c r="H2963" s="17" t="str">
        <f aca="false">IF(OR(E2963="",F2963=""),"",E2963*F2963)</f>
        <v/>
      </c>
      <c r="I2963" s="17" t="str">
        <f aca="false">IF(OR(E2963="",G2963=""),"",E2963*G2963)</f>
        <v/>
      </c>
      <c r="J2963" s="17" t="str">
        <f aca="false">IF(H2963="","",H2963-I2963)</f>
        <v/>
      </c>
    </row>
    <row r="2964" customFormat="false" ht="15" hidden="false" customHeight="true" outlineLevel="0" collapsed="false">
      <c r="A2964" s="7"/>
      <c r="B2964" s="18" t="str">
        <f aca="false">IF(A2964="","",IFERROR(INDEX(Sales_Memo!$B$2:$B$1001,MATCH(A2964,Sales_Memo!$A$2:$A$1001,0)),""))</f>
        <v/>
      </c>
      <c r="C2964" s="7"/>
      <c r="D2964" s="16" t="str">
        <f aca="false">IF(C2964="","",IFERROR(INDEX(Products!$B$2:$B$501,MATCH(C2964,Products!$A$2:$A$501,0)),"CODE NOT FOUND"))</f>
        <v/>
      </c>
      <c r="E2964" s="7"/>
      <c r="F2964" s="13"/>
      <c r="G2964" s="13"/>
      <c r="H2964" s="17" t="str">
        <f aca="false">IF(OR(E2964="",F2964=""),"",E2964*F2964)</f>
        <v/>
      </c>
      <c r="I2964" s="17" t="str">
        <f aca="false">IF(OR(E2964="",G2964=""),"",E2964*G2964)</f>
        <v/>
      </c>
      <c r="J2964" s="17" t="str">
        <f aca="false">IF(H2964="","",H2964-I2964)</f>
        <v/>
      </c>
    </row>
    <row r="2965" customFormat="false" ht="15" hidden="false" customHeight="true" outlineLevel="0" collapsed="false">
      <c r="A2965" s="7"/>
      <c r="B2965" s="18" t="str">
        <f aca="false">IF(A2965="","",IFERROR(INDEX(Sales_Memo!$B$2:$B$1001,MATCH(A2965,Sales_Memo!$A$2:$A$1001,0)),""))</f>
        <v/>
      </c>
      <c r="C2965" s="7"/>
      <c r="D2965" s="16" t="str">
        <f aca="false">IF(C2965="","",IFERROR(INDEX(Products!$B$2:$B$501,MATCH(C2965,Products!$A$2:$A$501,0)),"CODE NOT FOUND"))</f>
        <v/>
      </c>
      <c r="E2965" s="7"/>
      <c r="F2965" s="13"/>
      <c r="G2965" s="13"/>
      <c r="H2965" s="17" t="str">
        <f aca="false">IF(OR(E2965="",F2965=""),"",E2965*F2965)</f>
        <v/>
      </c>
      <c r="I2965" s="17" t="str">
        <f aca="false">IF(OR(E2965="",G2965=""),"",E2965*G2965)</f>
        <v/>
      </c>
      <c r="J2965" s="17" t="str">
        <f aca="false">IF(H2965="","",H2965-I2965)</f>
        <v/>
      </c>
    </row>
    <row r="2966" customFormat="false" ht="15" hidden="false" customHeight="true" outlineLevel="0" collapsed="false">
      <c r="A2966" s="7"/>
      <c r="B2966" s="18" t="str">
        <f aca="false">IF(A2966="","",IFERROR(INDEX(Sales_Memo!$B$2:$B$1001,MATCH(A2966,Sales_Memo!$A$2:$A$1001,0)),""))</f>
        <v/>
      </c>
      <c r="C2966" s="7"/>
      <c r="D2966" s="16" t="str">
        <f aca="false">IF(C2966="","",IFERROR(INDEX(Products!$B$2:$B$501,MATCH(C2966,Products!$A$2:$A$501,0)),"CODE NOT FOUND"))</f>
        <v/>
      </c>
      <c r="E2966" s="7"/>
      <c r="F2966" s="13"/>
      <c r="G2966" s="13"/>
      <c r="H2966" s="17" t="str">
        <f aca="false">IF(OR(E2966="",F2966=""),"",E2966*F2966)</f>
        <v/>
      </c>
      <c r="I2966" s="17" t="str">
        <f aca="false">IF(OR(E2966="",G2966=""),"",E2966*G2966)</f>
        <v/>
      </c>
      <c r="J2966" s="17" t="str">
        <f aca="false">IF(H2966="","",H2966-I2966)</f>
        <v/>
      </c>
    </row>
    <row r="2967" customFormat="false" ht="15" hidden="false" customHeight="true" outlineLevel="0" collapsed="false">
      <c r="A2967" s="7"/>
      <c r="B2967" s="18" t="str">
        <f aca="false">IF(A2967="","",IFERROR(INDEX(Sales_Memo!$B$2:$B$1001,MATCH(A2967,Sales_Memo!$A$2:$A$1001,0)),""))</f>
        <v/>
      </c>
      <c r="C2967" s="7"/>
      <c r="D2967" s="16" t="str">
        <f aca="false">IF(C2967="","",IFERROR(INDEX(Products!$B$2:$B$501,MATCH(C2967,Products!$A$2:$A$501,0)),"CODE NOT FOUND"))</f>
        <v/>
      </c>
      <c r="E2967" s="7"/>
      <c r="F2967" s="13"/>
      <c r="G2967" s="13"/>
      <c r="H2967" s="17" t="str">
        <f aca="false">IF(OR(E2967="",F2967=""),"",E2967*F2967)</f>
        <v/>
      </c>
      <c r="I2967" s="17" t="str">
        <f aca="false">IF(OR(E2967="",G2967=""),"",E2967*G2967)</f>
        <v/>
      </c>
      <c r="J2967" s="17" t="str">
        <f aca="false">IF(H2967="","",H2967-I2967)</f>
        <v/>
      </c>
    </row>
    <row r="2968" customFormat="false" ht="15" hidden="false" customHeight="true" outlineLevel="0" collapsed="false">
      <c r="A2968" s="7"/>
      <c r="B2968" s="18" t="str">
        <f aca="false">IF(A2968="","",IFERROR(INDEX(Sales_Memo!$B$2:$B$1001,MATCH(A2968,Sales_Memo!$A$2:$A$1001,0)),""))</f>
        <v/>
      </c>
      <c r="C2968" s="7"/>
      <c r="D2968" s="16" t="str">
        <f aca="false">IF(C2968="","",IFERROR(INDEX(Products!$B$2:$B$501,MATCH(C2968,Products!$A$2:$A$501,0)),"CODE NOT FOUND"))</f>
        <v/>
      </c>
      <c r="E2968" s="7"/>
      <c r="F2968" s="13"/>
      <c r="G2968" s="13"/>
      <c r="H2968" s="17" t="str">
        <f aca="false">IF(OR(E2968="",F2968=""),"",E2968*F2968)</f>
        <v/>
      </c>
      <c r="I2968" s="17" t="str">
        <f aca="false">IF(OR(E2968="",G2968=""),"",E2968*G2968)</f>
        <v/>
      </c>
      <c r="J2968" s="17" t="str">
        <f aca="false">IF(H2968="","",H2968-I2968)</f>
        <v/>
      </c>
    </row>
    <row r="2969" customFormat="false" ht="15" hidden="false" customHeight="true" outlineLevel="0" collapsed="false">
      <c r="A2969" s="7"/>
      <c r="B2969" s="18" t="str">
        <f aca="false">IF(A2969="","",IFERROR(INDEX(Sales_Memo!$B$2:$B$1001,MATCH(A2969,Sales_Memo!$A$2:$A$1001,0)),""))</f>
        <v/>
      </c>
      <c r="C2969" s="7"/>
      <c r="D2969" s="16" t="str">
        <f aca="false">IF(C2969="","",IFERROR(INDEX(Products!$B$2:$B$501,MATCH(C2969,Products!$A$2:$A$501,0)),"CODE NOT FOUND"))</f>
        <v/>
      </c>
      <c r="E2969" s="7"/>
      <c r="F2969" s="13"/>
      <c r="G2969" s="13"/>
      <c r="H2969" s="17" t="str">
        <f aca="false">IF(OR(E2969="",F2969=""),"",E2969*F2969)</f>
        <v/>
      </c>
      <c r="I2969" s="17" t="str">
        <f aca="false">IF(OR(E2969="",G2969=""),"",E2969*G2969)</f>
        <v/>
      </c>
      <c r="J2969" s="17" t="str">
        <f aca="false">IF(H2969="","",H2969-I2969)</f>
        <v/>
      </c>
    </row>
    <row r="2970" customFormat="false" ht="15" hidden="false" customHeight="true" outlineLevel="0" collapsed="false">
      <c r="A2970" s="7"/>
      <c r="B2970" s="18" t="str">
        <f aca="false">IF(A2970="","",IFERROR(INDEX(Sales_Memo!$B$2:$B$1001,MATCH(A2970,Sales_Memo!$A$2:$A$1001,0)),""))</f>
        <v/>
      </c>
      <c r="C2970" s="7"/>
      <c r="D2970" s="16" t="str">
        <f aca="false">IF(C2970="","",IFERROR(INDEX(Products!$B$2:$B$501,MATCH(C2970,Products!$A$2:$A$501,0)),"CODE NOT FOUND"))</f>
        <v/>
      </c>
      <c r="E2970" s="7"/>
      <c r="F2970" s="13"/>
      <c r="G2970" s="13"/>
      <c r="H2970" s="17" t="str">
        <f aca="false">IF(OR(E2970="",F2970=""),"",E2970*F2970)</f>
        <v/>
      </c>
      <c r="I2970" s="17" t="str">
        <f aca="false">IF(OR(E2970="",G2970=""),"",E2970*G2970)</f>
        <v/>
      </c>
      <c r="J2970" s="17" t="str">
        <f aca="false">IF(H2970="","",H2970-I2970)</f>
        <v/>
      </c>
    </row>
    <row r="2971" customFormat="false" ht="15" hidden="false" customHeight="true" outlineLevel="0" collapsed="false">
      <c r="A2971" s="7"/>
      <c r="B2971" s="18" t="str">
        <f aca="false">IF(A2971="","",IFERROR(INDEX(Sales_Memo!$B$2:$B$1001,MATCH(A2971,Sales_Memo!$A$2:$A$1001,0)),""))</f>
        <v/>
      </c>
      <c r="C2971" s="7"/>
      <c r="D2971" s="16" t="str">
        <f aca="false">IF(C2971="","",IFERROR(INDEX(Products!$B$2:$B$501,MATCH(C2971,Products!$A$2:$A$501,0)),"CODE NOT FOUND"))</f>
        <v/>
      </c>
      <c r="E2971" s="7"/>
      <c r="F2971" s="13"/>
      <c r="G2971" s="13"/>
      <c r="H2971" s="17" t="str">
        <f aca="false">IF(OR(E2971="",F2971=""),"",E2971*F2971)</f>
        <v/>
      </c>
      <c r="I2971" s="17" t="str">
        <f aca="false">IF(OR(E2971="",G2971=""),"",E2971*G2971)</f>
        <v/>
      </c>
      <c r="J2971" s="17" t="str">
        <f aca="false">IF(H2971="","",H2971-I2971)</f>
        <v/>
      </c>
    </row>
    <row r="2972" customFormat="false" ht="15" hidden="false" customHeight="true" outlineLevel="0" collapsed="false">
      <c r="A2972" s="7"/>
      <c r="B2972" s="18" t="str">
        <f aca="false">IF(A2972="","",IFERROR(INDEX(Sales_Memo!$B$2:$B$1001,MATCH(A2972,Sales_Memo!$A$2:$A$1001,0)),""))</f>
        <v/>
      </c>
      <c r="C2972" s="7"/>
      <c r="D2972" s="16" t="str">
        <f aca="false">IF(C2972="","",IFERROR(INDEX(Products!$B$2:$B$501,MATCH(C2972,Products!$A$2:$A$501,0)),"CODE NOT FOUND"))</f>
        <v/>
      </c>
      <c r="E2972" s="7"/>
      <c r="F2972" s="13"/>
      <c r="G2972" s="13"/>
      <c r="H2972" s="17" t="str">
        <f aca="false">IF(OR(E2972="",F2972=""),"",E2972*F2972)</f>
        <v/>
      </c>
      <c r="I2972" s="17" t="str">
        <f aca="false">IF(OR(E2972="",G2972=""),"",E2972*G2972)</f>
        <v/>
      </c>
      <c r="J2972" s="17" t="str">
        <f aca="false">IF(H2972="","",H2972-I2972)</f>
        <v/>
      </c>
    </row>
    <row r="2973" customFormat="false" ht="15" hidden="false" customHeight="true" outlineLevel="0" collapsed="false">
      <c r="A2973" s="7"/>
      <c r="B2973" s="18" t="str">
        <f aca="false">IF(A2973="","",IFERROR(INDEX(Sales_Memo!$B$2:$B$1001,MATCH(A2973,Sales_Memo!$A$2:$A$1001,0)),""))</f>
        <v/>
      </c>
      <c r="C2973" s="7"/>
      <c r="D2973" s="16" t="str">
        <f aca="false">IF(C2973="","",IFERROR(INDEX(Products!$B$2:$B$501,MATCH(C2973,Products!$A$2:$A$501,0)),"CODE NOT FOUND"))</f>
        <v/>
      </c>
      <c r="E2973" s="7"/>
      <c r="F2973" s="13"/>
      <c r="G2973" s="13"/>
      <c r="H2973" s="17" t="str">
        <f aca="false">IF(OR(E2973="",F2973=""),"",E2973*F2973)</f>
        <v/>
      </c>
      <c r="I2973" s="17" t="str">
        <f aca="false">IF(OR(E2973="",G2973=""),"",E2973*G2973)</f>
        <v/>
      </c>
      <c r="J2973" s="17" t="str">
        <f aca="false">IF(H2973="","",H2973-I2973)</f>
        <v/>
      </c>
    </row>
    <row r="2974" customFormat="false" ht="15" hidden="false" customHeight="true" outlineLevel="0" collapsed="false">
      <c r="A2974" s="7"/>
      <c r="B2974" s="18" t="str">
        <f aca="false">IF(A2974="","",IFERROR(INDEX(Sales_Memo!$B$2:$B$1001,MATCH(A2974,Sales_Memo!$A$2:$A$1001,0)),""))</f>
        <v/>
      </c>
      <c r="C2974" s="7"/>
      <c r="D2974" s="16" t="str">
        <f aca="false">IF(C2974="","",IFERROR(INDEX(Products!$B$2:$B$501,MATCH(C2974,Products!$A$2:$A$501,0)),"CODE NOT FOUND"))</f>
        <v/>
      </c>
      <c r="E2974" s="7"/>
      <c r="F2974" s="13"/>
      <c r="G2974" s="13"/>
      <c r="H2974" s="17" t="str">
        <f aca="false">IF(OR(E2974="",F2974=""),"",E2974*F2974)</f>
        <v/>
      </c>
      <c r="I2974" s="17" t="str">
        <f aca="false">IF(OR(E2974="",G2974=""),"",E2974*G2974)</f>
        <v/>
      </c>
      <c r="J2974" s="17" t="str">
        <f aca="false">IF(H2974="","",H2974-I2974)</f>
        <v/>
      </c>
    </row>
    <row r="2975" customFormat="false" ht="15" hidden="false" customHeight="true" outlineLevel="0" collapsed="false">
      <c r="A2975" s="7"/>
      <c r="B2975" s="18" t="str">
        <f aca="false">IF(A2975="","",IFERROR(INDEX(Sales_Memo!$B$2:$B$1001,MATCH(A2975,Sales_Memo!$A$2:$A$1001,0)),""))</f>
        <v/>
      </c>
      <c r="C2975" s="7"/>
      <c r="D2975" s="16" t="str">
        <f aca="false">IF(C2975="","",IFERROR(INDEX(Products!$B$2:$B$501,MATCH(C2975,Products!$A$2:$A$501,0)),"CODE NOT FOUND"))</f>
        <v/>
      </c>
      <c r="E2975" s="7"/>
      <c r="F2975" s="13"/>
      <c r="G2975" s="13"/>
      <c r="H2975" s="17" t="str">
        <f aca="false">IF(OR(E2975="",F2975=""),"",E2975*F2975)</f>
        <v/>
      </c>
      <c r="I2975" s="17" t="str">
        <f aca="false">IF(OR(E2975="",G2975=""),"",E2975*G2975)</f>
        <v/>
      </c>
      <c r="J2975" s="17" t="str">
        <f aca="false">IF(H2975="","",H2975-I2975)</f>
        <v/>
      </c>
    </row>
    <row r="2976" customFormat="false" ht="15" hidden="false" customHeight="true" outlineLevel="0" collapsed="false">
      <c r="A2976" s="7"/>
      <c r="B2976" s="18" t="str">
        <f aca="false">IF(A2976="","",IFERROR(INDEX(Sales_Memo!$B$2:$B$1001,MATCH(A2976,Sales_Memo!$A$2:$A$1001,0)),""))</f>
        <v/>
      </c>
      <c r="C2976" s="7"/>
      <c r="D2976" s="16" t="str">
        <f aca="false">IF(C2976="","",IFERROR(INDEX(Products!$B$2:$B$501,MATCH(C2976,Products!$A$2:$A$501,0)),"CODE NOT FOUND"))</f>
        <v/>
      </c>
      <c r="E2976" s="7"/>
      <c r="F2976" s="13"/>
      <c r="G2976" s="13"/>
      <c r="H2976" s="17" t="str">
        <f aca="false">IF(OR(E2976="",F2976=""),"",E2976*F2976)</f>
        <v/>
      </c>
      <c r="I2976" s="17" t="str">
        <f aca="false">IF(OR(E2976="",G2976=""),"",E2976*G2976)</f>
        <v/>
      </c>
      <c r="J2976" s="17" t="str">
        <f aca="false">IF(H2976="","",H2976-I2976)</f>
        <v/>
      </c>
    </row>
    <row r="2977" customFormat="false" ht="15" hidden="false" customHeight="true" outlineLevel="0" collapsed="false">
      <c r="A2977" s="7"/>
      <c r="B2977" s="18" t="str">
        <f aca="false">IF(A2977="","",IFERROR(INDEX(Sales_Memo!$B$2:$B$1001,MATCH(A2977,Sales_Memo!$A$2:$A$1001,0)),""))</f>
        <v/>
      </c>
      <c r="C2977" s="7"/>
      <c r="D2977" s="16" t="str">
        <f aca="false">IF(C2977="","",IFERROR(INDEX(Products!$B$2:$B$501,MATCH(C2977,Products!$A$2:$A$501,0)),"CODE NOT FOUND"))</f>
        <v/>
      </c>
      <c r="E2977" s="7"/>
      <c r="F2977" s="13"/>
      <c r="G2977" s="13"/>
      <c r="H2977" s="17" t="str">
        <f aca="false">IF(OR(E2977="",F2977=""),"",E2977*F2977)</f>
        <v/>
      </c>
      <c r="I2977" s="17" t="str">
        <f aca="false">IF(OR(E2977="",G2977=""),"",E2977*G2977)</f>
        <v/>
      </c>
      <c r="J2977" s="17" t="str">
        <f aca="false">IF(H2977="","",H2977-I2977)</f>
        <v/>
      </c>
    </row>
    <row r="2978" customFormat="false" ht="15" hidden="false" customHeight="true" outlineLevel="0" collapsed="false">
      <c r="A2978" s="7"/>
      <c r="B2978" s="18" t="str">
        <f aca="false">IF(A2978="","",IFERROR(INDEX(Sales_Memo!$B$2:$B$1001,MATCH(A2978,Sales_Memo!$A$2:$A$1001,0)),""))</f>
        <v/>
      </c>
      <c r="C2978" s="7"/>
      <c r="D2978" s="16" t="str">
        <f aca="false">IF(C2978="","",IFERROR(INDEX(Products!$B$2:$B$501,MATCH(C2978,Products!$A$2:$A$501,0)),"CODE NOT FOUND"))</f>
        <v/>
      </c>
      <c r="E2978" s="7"/>
      <c r="F2978" s="13"/>
      <c r="G2978" s="13"/>
      <c r="H2978" s="17" t="str">
        <f aca="false">IF(OR(E2978="",F2978=""),"",E2978*F2978)</f>
        <v/>
      </c>
      <c r="I2978" s="17" t="str">
        <f aca="false">IF(OR(E2978="",G2978=""),"",E2978*G2978)</f>
        <v/>
      </c>
      <c r="J2978" s="17" t="str">
        <f aca="false">IF(H2978="","",H2978-I2978)</f>
        <v/>
      </c>
    </row>
    <row r="2979" customFormat="false" ht="15" hidden="false" customHeight="true" outlineLevel="0" collapsed="false">
      <c r="A2979" s="7"/>
      <c r="B2979" s="18" t="str">
        <f aca="false">IF(A2979="","",IFERROR(INDEX(Sales_Memo!$B$2:$B$1001,MATCH(A2979,Sales_Memo!$A$2:$A$1001,0)),""))</f>
        <v/>
      </c>
      <c r="C2979" s="7"/>
      <c r="D2979" s="16" t="str">
        <f aca="false">IF(C2979="","",IFERROR(INDEX(Products!$B$2:$B$501,MATCH(C2979,Products!$A$2:$A$501,0)),"CODE NOT FOUND"))</f>
        <v/>
      </c>
      <c r="E2979" s="7"/>
      <c r="F2979" s="13"/>
      <c r="G2979" s="13"/>
      <c r="H2979" s="17" t="str">
        <f aca="false">IF(OR(E2979="",F2979=""),"",E2979*F2979)</f>
        <v/>
      </c>
      <c r="I2979" s="17" t="str">
        <f aca="false">IF(OR(E2979="",G2979=""),"",E2979*G2979)</f>
        <v/>
      </c>
      <c r="J2979" s="17" t="str">
        <f aca="false">IF(H2979="","",H2979-I2979)</f>
        <v/>
      </c>
    </row>
    <row r="2980" customFormat="false" ht="15" hidden="false" customHeight="true" outlineLevel="0" collapsed="false">
      <c r="A2980" s="7"/>
      <c r="B2980" s="18" t="str">
        <f aca="false">IF(A2980="","",IFERROR(INDEX(Sales_Memo!$B$2:$B$1001,MATCH(A2980,Sales_Memo!$A$2:$A$1001,0)),""))</f>
        <v/>
      </c>
      <c r="C2980" s="7"/>
      <c r="D2980" s="16" t="str">
        <f aca="false">IF(C2980="","",IFERROR(INDEX(Products!$B$2:$B$501,MATCH(C2980,Products!$A$2:$A$501,0)),"CODE NOT FOUND"))</f>
        <v/>
      </c>
      <c r="E2980" s="7"/>
      <c r="F2980" s="13"/>
      <c r="G2980" s="13"/>
      <c r="H2980" s="17" t="str">
        <f aca="false">IF(OR(E2980="",F2980=""),"",E2980*F2980)</f>
        <v/>
      </c>
      <c r="I2980" s="17" t="str">
        <f aca="false">IF(OR(E2980="",G2980=""),"",E2980*G2980)</f>
        <v/>
      </c>
      <c r="J2980" s="17" t="str">
        <f aca="false">IF(H2980="","",H2980-I2980)</f>
        <v/>
      </c>
    </row>
    <row r="2981" customFormat="false" ht="15" hidden="false" customHeight="true" outlineLevel="0" collapsed="false">
      <c r="A2981" s="7"/>
      <c r="B2981" s="18" t="str">
        <f aca="false">IF(A2981="","",IFERROR(INDEX(Sales_Memo!$B$2:$B$1001,MATCH(A2981,Sales_Memo!$A$2:$A$1001,0)),""))</f>
        <v/>
      </c>
      <c r="C2981" s="7"/>
      <c r="D2981" s="16" t="str">
        <f aca="false">IF(C2981="","",IFERROR(INDEX(Products!$B$2:$B$501,MATCH(C2981,Products!$A$2:$A$501,0)),"CODE NOT FOUND"))</f>
        <v/>
      </c>
      <c r="E2981" s="7"/>
      <c r="F2981" s="13"/>
      <c r="G2981" s="13"/>
      <c r="H2981" s="17" t="str">
        <f aca="false">IF(OR(E2981="",F2981=""),"",E2981*F2981)</f>
        <v/>
      </c>
      <c r="I2981" s="17" t="str">
        <f aca="false">IF(OR(E2981="",G2981=""),"",E2981*G2981)</f>
        <v/>
      </c>
      <c r="J2981" s="17" t="str">
        <f aca="false">IF(H2981="","",H2981-I2981)</f>
        <v/>
      </c>
    </row>
    <row r="2982" customFormat="false" ht="15" hidden="false" customHeight="true" outlineLevel="0" collapsed="false">
      <c r="A2982" s="7"/>
      <c r="B2982" s="18" t="str">
        <f aca="false">IF(A2982="","",IFERROR(INDEX(Sales_Memo!$B$2:$B$1001,MATCH(A2982,Sales_Memo!$A$2:$A$1001,0)),""))</f>
        <v/>
      </c>
      <c r="C2982" s="7"/>
      <c r="D2982" s="16" t="str">
        <f aca="false">IF(C2982="","",IFERROR(INDEX(Products!$B$2:$B$501,MATCH(C2982,Products!$A$2:$A$501,0)),"CODE NOT FOUND"))</f>
        <v/>
      </c>
      <c r="E2982" s="7"/>
      <c r="F2982" s="13"/>
      <c r="G2982" s="13"/>
      <c r="H2982" s="17" t="str">
        <f aca="false">IF(OR(E2982="",F2982=""),"",E2982*F2982)</f>
        <v/>
      </c>
      <c r="I2982" s="17" t="str">
        <f aca="false">IF(OR(E2982="",G2982=""),"",E2982*G2982)</f>
        <v/>
      </c>
      <c r="J2982" s="17" t="str">
        <f aca="false">IF(H2982="","",H2982-I2982)</f>
        <v/>
      </c>
    </row>
    <row r="2983" customFormat="false" ht="15" hidden="false" customHeight="true" outlineLevel="0" collapsed="false">
      <c r="A2983" s="7"/>
      <c r="B2983" s="18" t="str">
        <f aca="false">IF(A2983="","",IFERROR(INDEX(Sales_Memo!$B$2:$B$1001,MATCH(A2983,Sales_Memo!$A$2:$A$1001,0)),""))</f>
        <v/>
      </c>
      <c r="C2983" s="7"/>
      <c r="D2983" s="16" t="str">
        <f aca="false">IF(C2983="","",IFERROR(INDEX(Products!$B$2:$B$501,MATCH(C2983,Products!$A$2:$A$501,0)),"CODE NOT FOUND"))</f>
        <v/>
      </c>
      <c r="E2983" s="7"/>
      <c r="F2983" s="13"/>
      <c r="G2983" s="13"/>
      <c r="H2983" s="17" t="str">
        <f aca="false">IF(OR(E2983="",F2983=""),"",E2983*F2983)</f>
        <v/>
      </c>
      <c r="I2983" s="17" t="str">
        <f aca="false">IF(OR(E2983="",G2983=""),"",E2983*G2983)</f>
        <v/>
      </c>
      <c r="J2983" s="17" t="str">
        <f aca="false">IF(H2983="","",H2983-I2983)</f>
        <v/>
      </c>
    </row>
    <row r="2984" customFormat="false" ht="15" hidden="false" customHeight="true" outlineLevel="0" collapsed="false">
      <c r="A2984" s="7"/>
      <c r="B2984" s="18" t="str">
        <f aca="false">IF(A2984="","",IFERROR(INDEX(Sales_Memo!$B$2:$B$1001,MATCH(A2984,Sales_Memo!$A$2:$A$1001,0)),""))</f>
        <v/>
      </c>
      <c r="C2984" s="7"/>
      <c r="D2984" s="16" t="str">
        <f aca="false">IF(C2984="","",IFERROR(INDEX(Products!$B$2:$B$501,MATCH(C2984,Products!$A$2:$A$501,0)),"CODE NOT FOUND"))</f>
        <v/>
      </c>
      <c r="E2984" s="7"/>
      <c r="F2984" s="13"/>
      <c r="G2984" s="13"/>
      <c r="H2984" s="17" t="str">
        <f aca="false">IF(OR(E2984="",F2984=""),"",E2984*F2984)</f>
        <v/>
      </c>
      <c r="I2984" s="17" t="str">
        <f aca="false">IF(OR(E2984="",G2984=""),"",E2984*G2984)</f>
        <v/>
      </c>
      <c r="J2984" s="17" t="str">
        <f aca="false">IF(H2984="","",H2984-I2984)</f>
        <v/>
      </c>
    </row>
    <row r="2985" customFormat="false" ht="15" hidden="false" customHeight="true" outlineLevel="0" collapsed="false">
      <c r="A2985" s="7"/>
      <c r="B2985" s="18" t="str">
        <f aca="false">IF(A2985="","",IFERROR(INDEX(Sales_Memo!$B$2:$B$1001,MATCH(A2985,Sales_Memo!$A$2:$A$1001,0)),""))</f>
        <v/>
      </c>
      <c r="C2985" s="7"/>
      <c r="D2985" s="16" t="str">
        <f aca="false">IF(C2985="","",IFERROR(INDEX(Products!$B$2:$B$501,MATCH(C2985,Products!$A$2:$A$501,0)),"CODE NOT FOUND"))</f>
        <v/>
      </c>
      <c r="E2985" s="7"/>
      <c r="F2985" s="13"/>
      <c r="G2985" s="13"/>
      <c r="H2985" s="17" t="str">
        <f aca="false">IF(OR(E2985="",F2985=""),"",E2985*F2985)</f>
        <v/>
      </c>
      <c r="I2985" s="17" t="str">
        <f aca="false">IF(OR(E2985="",G2985=""),"",E2985*G2985)</f>
        <v/>
      </c>
      <c r="J2985" s="17" t="str">
        <f aca="false">IF(H2985="","",H2985-I2985)</f>
        <v/>
      </c>
    </row>
    <row r="2986" customFormat="false" ht="15" hidden="false" customHeight="true" outlineLevel="0" collapsed="false">
      <c r="A2986" s="7"/>
      <c r="B2986" s="18" t="str">
        <f aca="false">IF(A2986="","",IFERROR(INDEX(Sales_Memo!$B$2:$B$1001,MATCH(A2986,Sales_Memo!$A$2:$A$1001,0)),""))</f>
        <v/>
      </c>
      <c r="C2986" s="7"/>
      <c r="D2986" s="16" t="str">
        <f aca="false">IF(C2986="","",IFERROR(INDEX(Products!$B$2:$B$501,MATCH(C2986,Products!$A$2:$A$501,0)),"CODE NOT FOUND"))</f>
        <v/>
      </c>
      <c r="E2986" s="7"/>
      <c r="F2986" s="13"/>
      <c r="G2986" s="13"/>
      <c r="H2986" s="17" t="str">
        <f aca="false">IF(OR(E2986="",F2986=""),"",E2986*F2986)</f>
        <v/>
      </c>
      <c r="I2986" s="17" t="str">
        <f aca="false">IF(OR(E2986="",G2986=""),"",E2986*G2986)</f>
        <v/>
      </c>
      <c r="J2986" s="17" t="str">
        <f aca="false">IF(H2986="","",H2986-I2986)</f>
        <v/>
      </c>
    </row>
    <row r="2987" customFormat="false" ht="15" hidden="false" customHeight="true" outlineLevel="0" collapsed="false">
      <c r="A2987" s="7"/>
      <c r="B2987" s="18" t="str">
        <f aca="false">IF(A2987="","",IFERROR(INDEX(Sales_Memo!$B$2:$B$1001,MATCH(A2987,Sales_Memo!$A$2:$A$1001,0)),""))</f>
        <v/>
      </c>
      <c r="C2987" s="7"/>
      <c r="D2987" s="16" t="str">
        <f aca="false">IF(C2987="","",IFERROR(INDEX(Products!$B$2:$B$501,MATCH(C2987,Products!$A$2:$A$501,0)),"CODE NOT FOUND"))</f>
        <v/>
      </c>
      <c r="E2987" s="7"/>
      <c r="F2987" s="13"/>
      <c r="G2987" s="13"/>
      <c r="H2987" s="17" t="str">
        <f aca="false">IF(OR(E2987="",F2987=""),"",E2987*F2987)</f>
        <v/>
      </c>
      <c r="I2987" s="17" t="str">
        <f aca="false">IF(OR(E2987="",G2987=""),"",E2987*G2987)</f>
        <v/>
      </c>
      <c r="J2987" s="17" t="str">
        <f aca="false">IF(H2987="","",H2987-I2987)</f>
        <v/>
      </c>
    </row>
    <row r="2988" customFormat="false" ht="15" hidden="false" customHeight="true" outlineLevel="0" collapsed="false">
      <c r="A2988" s="7"/>
      <c r="B2988" s="18" t="str">
        <f aca="false">IF(A2988="","",IFERROR(INDEX(Sales_Memo!$B$2:$B$1001,MATCH(A2988,Sales_Memo!$A$2:$A$1001,0)),""))</f>
        <v/>
      </c>
      <c r="C2988" s="7"/>
      <c r="D2988" s="16" t="str">
        <f aca="false">IF(C2988="","",IFERROR(INDEX(Products!$B$2:$B$501,MATCH(C2988,Products!$A$2:$A$501,0)),"CODE NOT FOUND"))</f>
        <v/>
      </c>
      <c r="E2988" s="7"/>
      <c r="F2988" s="13"/>
      <c r="G2988" s="13"/>
      <c r="H2988" s="17" t="str">
        <f aca="false">IF(OR(E2988="",F2988=""),"",E2988*F2988)</f>
        <v/>
      </c>
      <c r="I2988" s="17" t="str">
        <f aca="false">IF(OR(E2988="",G2988=""),"",E2988*G2988)</f>
        <v/>
      </c>
      <c r="J2988" s="17" t="str">
        <f aca="false">IF(H2988="","",H2988-I2988)</f>
        <v/>
      </c>
    </row>
    <row r="2989" customFormat="false" ht="15" hidden="false" customHeight="true" outlineLevel="0" collapsed="false">
      <c r="A2989" s="7"/>
      <c r="B2989" s="18" t="str">
        <f aca="false">IF(A2989="","",IFERROR(INDEX(Sales_Memo!$B$2:$B$1001,MATCH(A2989,Sales_Memo!$A$2:$A$1001,0)),""))</f>
        <v/>
      </c>
      <c r="C2989" s="7"/>
      <c r="D2989" s="16" t="str">
        <f aca="false">IF(C2989="","",IFERROR(INDEX(Products!$B$2:$B$501,MATCH(C2989,Products!$A$2:$A$501,0)),"CODE NOT FOUND"))</f>
        <v/>
      </c>
      <c r="E2989" s="7"/>
      <c r="F2989" s="13"/>
      <c r="G2989" s="13"/>
      <c r="H2989" s="17" t="str">
        <f aca="false">IF(OR(E2989="",F2989=""),"",E2989*F2989)</f>
        <v/>
      </c>
      <c r="I2989" s="17" t="str">
        <f aca="false">IF(OR(E2989="",G2989=""),"",E2989*G2989)</f>
        <v/>
      </c>
      <c r="J2989" s="17" t="str">
        <f aca="false">IF(H2989="","",H2989-I2989)</f>
        <v/>
      </c>
    </row>
    <row r="2990" customFormat="false" ht="15" hidden="false" customHeight="true" outlineLevel="0" collapsed="false">
      <c r="A2990" s="7"/>
      <c r="B2990" s="18" t="str">
        <f aca="false">IF(A2990="","",IFERROR(INDEX(Sales_Memo!$B$2:$B$1001,MATCH(A2990,Sales_Memo!$A$2:$A$1001,0)),""))</f>
        <v/>
      </c>
      <c r="C2990" s="7"/>
      <c r="D2990" s="16" t="str">
        <f aca="false">IF(C2990="","",IFERROR(INDEX(Products!$B$2:$B$501,MATCH(C2990,Products!$A$2:$A$501,0)),"CODE NOT FOUND"))</f>
        <v/>
      </c>
      <c r="E2990" s="7"/>
      <c r="F2990" s="13"/>
      <c r="G2990" s="13"/>
      <c r="H2990" s="17" t="str">
        <f aca="false">IF(OR(E2990="",F2990=""),"",E2990*F2990)</f>
        <v/>
      </c>
      <c r="I2990" s="17" t="str">
        <f aca="false">IF(OR(E2990="",G2990=""),"",E2990*G2990)</f>
        <v/>
      </c>
      <c r="J2990" s="17" t="str">
        <f aca="false">IF(H2990="","",H2990-I2990)</f>
        <v/>
      </c>
    </row>
    <row r="2991" customFormat="false" ht="15" hidden="false" customHeight="true" outlineLevel="0" collapsed="false">
      <c r="A2991" s="7"/>
      <c r="B2991" s="18" t="str">
        <f aca="false">IF(A2991="","",IFERROR(INDEX(Sales_Memo!$B$2:$B$1001,MATCH(A2991,Sales_Memo!$A$2:$A$1001,0)),""))</f>
        <v/>
      </c>
      <c r="C2991" s="7"/>
      <c r="D2991" s="16" t="str">
        <f aca="false">IF(C2991="","",IFERROR(INDEX(Products!$B$2:$B$501,MATCH(C2991,Products!$A$2:$A$501,0)),"CODE NOT FOUND"))</f>
        <v/>
      </c>
      <c r="E2991" s="7"/>
      <c r="F2991" s="13"/>
      <c r="G2991" s="13"/>
      <c r="H2991" s="17" t="str">
        <f aca="false">IF(OR(E2991="",F2991=""),"",E2991*F2991)</f>
        <v/>
      </c>
      <c r="I2991" s="17" t="str">
        <f aca="false">IF(OR(E2991="",G2991=""),"",E2991*G2991)</f>
        <v/>
      </c>
      <c r="J2991" s="17" t="str">
        <f aca="false">IF(H2991="","",H2991-I2991)</f>
        <v/>
      </c>
    </row>
    <row r="2992" customFormat="false" ht="15" hidden="false" customHeight="true" outlineLevel="0" collapsed="false">
      <c r="A2992" s="7"/>
      <c r="B2992" s="18" t="str">
        <f aca="false">IF(A2992="","",IFERROR(INDEX(Sales_Memo!$B$2:$B$1001,MATCH(A2992,Sales_Memo!$A$2:$A$1001,0)),""))</f>
        <v/>
      </c>
      <c r="C2992" s="7"/>
      <c r="D2992" s="16" t="str">
        <f aca="false">IF(C2992="","",IFERROR(INDEX(Products!$B$2:$B$501,MATCH(C2992,Products!$A$2:$A$501,0)),"CODE NOT FOUND"))</f>
        <v/>
      </c>
      <c r="E2992" s="7"/>
      <c r="F2992" s="13"/>
      <c r="G2992" s="13"/>
      <c r="H2992" s="17" t="str">
        <f aca="false">IF(OR(E2992="",F2992=""),"",E2992*F2992)</f>
        <v/>
      </c>
      <c r="I2992" s="17" t="str">
        <f aca="false">IF(OR(E2992="",G2992=""),"",E2992*G2992)</f>
        <v/>
      </c>
      <c r="J2992" s="17" t="str">
        <f aca="false">IF(H2992="","",H2992-I2992)</f>
        <v/>
      </c>
    </row>
    <row r="2993" customFormat="false" ht="15" hidden="false" customHeight="true" outlineLevel="0" collapsed="false">
      <c r="A2993" s="7"/>
      <c r="B2993" s="18" t="str">
        <f aca="false">IF(A2993="","",IFERROR(INDEX(Sales_Memo!$B$2:$B$1001,MATCH(A2993,Sales_Memo!$A$2:$A$1001,0)),""))</f>
        <v/>
      </c>
      <c r="C2993" s="7"/>
      <c r="D2993" s="16" t="str">
        <f aca="false">IF(C2993="","",IFERROR(INDEX(Products!$B$2:$B$501,MATCH(C2993,Products!$A$2:$A$501,0)),"CODE NOT FOUND"))</f>
        <v/>
      </c>
      <c r="E2993" s="7"/>
      <c r="F2993" s="13"/>
      <c r="G2993" s="13"/>
      <c r="H2993" s="17" t="str">
        <f aca="false">IF(OR(E2993="",F2993=""),"",E2993*F2993)</f>
        <v/>
      </c>
      <c r="I2993" s="17" t="str">
        <f aca="false">IF(OR(E2993="",G2993=""),"",E2993*G2993)</f>
        <v/>
      </c>
      <c r="J2993" s="17" t="str">
        <f aca="false">IF(H2993="","",H2993-I2993)</f>
        <v/>
      </c>
    </row>
    <row r="2994" customFormat="false" ht="15" hidden="false" customHeight="true" outlineLevel="0" collapsed="false">
      <c r="A2994" s="7"/>
      <c r="B2994" s="18" t="str">
        <f aca="false">IF(A2994="","",IFERROR(INDEX(Sales_Memo!$B$2:$B$1001,MATCH(A2994,Sales_Memo!$A$2:$A$1001,0)),""))</f>
        <v/>
      </c>
      <c r="C2994" s="7"/>
      <c r="D2994" s="16" t="str">
        <f aca="false">IF(C2994="","",IFERROR(INDEX(Products!$B$2:$B$501,MATCH(C2994,Products!$A$2:$A$501,0)),"CODE NOT FOUND"))</f>
        <v/>
      </c>
      <c r="E2994" s="7"/>
      <c r="F2994" s="13"/>
      <c r="G2994" s="13"/>
      <c r="H2994" s="17" t="str">
        <f aca="false">IF(OR(E2994="",F2994=""),"",E2994*F2994)</f>
        <v/>
      </c>
      <c r="I2994" s="17" t="str">
        <f aca="false">IF(OR(E2994="",G2994=""),"",E2994*G2994)</f>
        <v/>
      </c>
      <c r="J2994" s="17" t="str">
        <f aca="false">IF(H2994="","",H2994-I2994)</f>
        <v/>
      </c>
    </row>
    <row r="2995" customFormat="false" ht="15" hidden="false" customHeight="true" outlineLevel="0" collapsed="false">
      <c r="A2995" s="7"/>
      <c r="B2995" s="18" t="str">
        <f aca="false">IF(A2995="","",IFERROR(INDEX(Sales_Memo!$B$2:$B$1001,MATCH(A2995,Sales_Memo!$A$2:$A$1001,0)),""))</f>
        <v/>
      </c>
      <c r="C2995" s="7"/>
      <c r="D2995" s="16" t="str">
        <f aca="false">IF(C2995="","",IFERROR(INDEX(Products!$B$2:$B$501,MATCH(C2995,Products!$A$2:$A$501,0)),"CODE NOT FOUND"))</f>
        <v/>
      </c>
      <c r="E2995" s="7"/>
      <c r="F2995" s="13"/>
      <c r="G2995" s="13"/>
      <c r="H2995" s="17" t="str">
        <f aca="false">IF(OR(E2995="",F2995=""),"",E2995*F2995)</f>
        <v/>
      </c>
      <c r="I2995" s="17" t="str">
        <f aca="false">IF(OR(E2995="",G2995=""),"",E2995*G2995)</f>
        <v/>
      </c>
      <c r="J2995" s="17" t="str">
        <f aca="false">IF(H2995="","",H2995-I2995)</f>
        <v/>
      </c>
    </row>
    <row r="2996" customFormat="false" ht="15" hidden="false" customHeight="true" outlineLevel="0" collapsed="false">
      <c r="A2996" s="7"/>
      <c r="B2996" s="18" t="str">
        <f aca="false">IF(A2996="","",IFERROR(INDEX(Sales_Memo!$B$2:$B$1001,MATCH(A2996,Sales_Memo!$A$2:$A$1001,0)),""))</f>
        <v/>
      </c>
      <c r="C2996" s="7"/>
      <c r="D2996" s="16" t="str">
        <f aca="false">IF(C2996="","",IFERROR(INDEX(Products!$B$2:$B$501,MATCH(C2996,Products!$A$2:$A$501,0)),"CODE NOT FOUND"))</f>
        <v/>
      </c>
      <c r="E2996" s="7"/>
      <c r="F2996" s="13"/>
      <c r="G2996" s="13"/>
      <c r="H2996" s="17" t="str">
        <f aca="false">IF(OR(E2996="",F2996=""),"",E2996*F2996)</f>
        <v/>
      </c>
      <c r="I2996" s="17" t="str">
        <f aca="false">IF(OR(E2996="",G2996=""),"",E2996*G2996)</f>
        <v/>
      </c>
      <c r="J2996" s="17" t="str">
        <f aca="false">IF(H2996="","",H2996-I2996)</f>
        <v/>
      </c>
    </row>
    <row r="2997" customFormat="false" ht="15" hidden="false" customHeight="true" outlineLevel="0" collapsed="false">
      <c r="A2997" s="7"/>
      <c r="B2997" s="18" t="str">
        <f aca="false">IF(A2997="","",IFERROR(INDEX(Sales_Memo!$B$2:$B$1001,MATCH(A2997,Sales_Memo!$A$2:$A$1001,0)),""))</f>
        <v/>
      </c>
      <c r="C2997" s="7"/>
      <c r="D2997" s="16" t="str">
        <f aca="false">IF(C2997="","",IFERROR(INDEX(Products!$B$2:$B$501,MATCH(C2997,Products!$A$2:$A$501,0)),"CODE NOT FOUND"))</f>
        <v/>
      </c>
      <c r="E2997" s="7"/>
      <c r="F2997" s="13"/>
      <c r="G2997" s="13"/>
      <c r="H2997" s="17" t="str">
        <f aca="false">IF(OR(E2997="",F2997=""),"",E2997*F2997)</f>
        <v/>
      </c>
      <c r="I2997" s="17" t="str">
        <f aca="false">IF(OR(E2997="",G2997=""),"",E2997*G2997)</f>
        <v/>
      </c>
      <c r="J2997" s="17" t="str">
        <f aca="false">IF(H2997="","",H2997-I2997)</f>
        <v/>
      </c>
    </row>
    <row r="2998" customFormat="false" ht="15" hidden="false" customHeight="true" outlineLevel="0" collapsed="false">
      <c r="A2998" s="7"/>
      <c r="B2998" s="18" t="str">
        <f aca="false">IF(A2998="","",IFERROR(INDEX(Sales_Memo!$B$2:$B$1001,MATCH(A2998,Sales_Memo!$A$2:$A$1001,0)),""))</f>
        <v/>
      </c>
      <c r="C2998" s="7"/>
      <c r="D2998" s="16" t="str">
        <f aca="false">IF(C2998="","",IFERROR(INDEX(Products!$B$2:$B$501,MATCH(C2998,Products!$A$2:$A$501,0)),"CODE NOT FOUND"))</f>
        <v/>
      </c>
      <c r="E2998" s="7"/>
      <c r="F2998" s="13"/>
      <c r="G2998" s="13"/>
      <c r="H2998" s="17" t="str">
        <f aca="false">IF(OR(E2998="",F2998=""),"",E2998*F2998)</f>
        <v/>
      </c>
      <c r="I2998" s="17" t="str">
        <f aca="false">IF(OR(E2998="",G2998=""),"",E2998*G2998)</f>
        <v/>
      </c>
      <c r="J2998" s="17" t="str">
        <f aca="false">IF(H2998="","",H2998-I2998)</f>
        <v/>
      </c>
    </row>
    <row r="2999" customFormat="false" ht="15" hidden="false" customHeight="true" outlineLevel="0" collapsed="false">
      <c r="A2999" s="7"/>
      <c r="B2999" s="18" t="str">
        <f aca="false">IF(A2999="","",IFERROR(INDEX(Sales_Memo!$B$2:$B$1001,MATCH(A2999,Sales_Memo!$A$2:$A$1001,0)),""))</f>
        <v/>
      </c>
      <c r="C2999" s="7"/>
      <c r="D2999" s="16" t="str">
        <f aca="false">IF(C2999="","",IFERROR(INDEX(Products!$B$2:$B$501,MATCH(C2999,Products!$A$2:$A$501,0)),"CODE NOT FOUND"))</f>
        <v/>
      </c>
      <c r="E2999" s="7"/>
      <c r="F2999" s="13"/>
      <c r="G2999" s="13"/>
      <c r="H2999" s="17" t="str">
        <f aca="false">IF(OR(E2999="",F2999=""),"",E2999*F2999)</f>
        <v/>
      </c>
      <c r="I2999" s="17" t="str">
        <f aca="false">IF(OR(E2999="",G2999=""),"",E2999*G2999)</f>
        <v/>
      </c>
      <c r="J2999" s="17" t="str">
        <f aca="false">IF(H2999="","",H2999-I2999)</f>
        <v/>
      </c>
    </row>
    <row r="3000" customFormat="false" ht="15" hidden="false" customHeight="true" outlineLevel="0" collapsed="false">
      <c r="A3000" s="7"/>
      <c r="B3000" s="18" t="str">
        <f aca="false">IF(A3000="","",IFERROR(INDEX(Sales_Memo!$B$2:$B$1001,MATCH(A3000,Sales_Memo!$A$2:$A$1001,0)),""))</f>
        <v/>
      </c>
      <c r="C3000" s="7"/>
      <c r="D3000" s="16" t="str">
        <f aca="false">IF(C3000="","",IFERROR(INDEX(Products!$B$2:$B$501,MATCH(C3000,Products!$A$2:$A$501,0)),"CODE NOT FOUND"))</f>
        <v/>
      </c>
      <c r="E3000" s="7"/>
      <c r="F3000" s="13"/>
      <c r="G3000" s="13"/>
      <c r="H3000" s="17" t="str">
        <f aca="false">IF(OR(E3000="",F3000=""),"",E3000*F3000)</f>
        <v/>
      </c>
      <c r="I3000" s="17" t="str">
        <f aca="false">IF(OR(E3000="",G3000=""),"",E3000*G3000)</f>
        <v/>
      </c>
      <c r="J3000" s="17" t="str">
        <f aca="false">IF(H3000="","",H3000-I3000)</f>
        <v/>
      </c>
    </row>
    <row r="3001" customFormat="false" ht="15" hidden="false" customHeight="true" outlineLevel="0" collapsed="false">
      <c r="A3001" s="7"/>
      <c r="B3001" s="18" t="str">
        <f aca="false">IF(A3001="","",IFERROR(INDEX(Sales_Memo!$B$2:$B$1001,MATCH(A3001,Sales_Memo!$A$2:$A$1001,0)),""))</f>
        <v/>
      </c>
      <c r="C3001" s="7"/>
      <c r="D3001" s="16" t="str">
        <f aca="false">IF(C3001="","",IFERROR(INDEX(Products!$B$2:$B$501,MATCH(C3001,Products!$A$2:$A$501,0)),"CODE NOT FOUND"))</f>
        <v/>
      </c>
      <c r="E3001" s="7"/>
      <c r="F3001" s="13"/>
      <c r="G3001" s="13"/>
      <c r="H3001" s="17" t="str">
        <f aca="false">IF(OR(E3001="",F3001=""),"",E3001*F3001)</f>
        <v/>
      </c>
      <c r="I3001" s="17" t="str">
        <f aca="false">IF(OR(E3001="",G3001=""),"",E3001*G3001)</f>
        <v/>
      </c>
      <c r="J3001" s="17" t="str">
        <f aca="false">IF(H3001="","",H3001-I3001)</f>
        <v/>
      </c>
    </row>
  </sheetData>
  <dataValidations count="1">
    <dataValidation allowBlank="true" errorStyle="stop" operator="between" showDropDown="false" showErrorMessage="false" showInputMessage="false" sqref="C2:C3001" type="list">
      <formula1>Products!$A$2:$A$501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28"/>
  </cols>
  <sheetData>
    <row r="1" customFormat="false" ht="31.5" hidden="false" customHeight="true" outlineLevel="0" collapsed="false">
      <c r="A1" s="11" t="s">
        <v>124</v>
      </c>
      <c r="B1" s="11" t="s">
        <v>186</v>
      </c>
      <c r="C1" s="11" t="s">
        <v>1146</v>
      </c>
      <c r="D1" s="11" t="s">
        <v>1147</v>
      </c>
      <c r="E1" s="11" t="s">
        <v>196</v>
      </c>
    </row>
    <row r="2" customFormat="false" ht="15" hidden="false" customHeight="true" outlineLevel="0" collapsed="false">
      <c r="A2" s="15" t="n">
        <v>46243</v>
      </c>
      <c r="B2" s="7" t="s">
        <v>220</v>
      </c>
      <c r="C2" s="13" t="n">
        <v>190</v>
      </c>
      <c r="D2" s="7" t="s">
        <v>13</v>
      </c>
      <c r="E2" s="7" t="s">
        <v>1148</v>
      </c>
    </row>
    <row r="3" customFormat="false" ht="15" hidden="false" customHeight="true" outlineLevel="0" collapsed="false">
      <c r="A3" s="15" t="n">
        <v>46249</v>
      </c>
      <c r="B3" s="7" t="s">
        <v>232</v>
      </c>
      <c r="C3" s="13" t="n">
        <v>400</v>
      </c>
      <c r="D3" s="7" t="s">
        <v>13</v>
      </c>
      <c r="E3" s="7" t="s">
        <v>1148</v>
      </c>
    </row>
    <row r="4" customFormat="false" ht="15" hidden="false" customHeight="true" outlineLevel="0" collapsed="false">
      <c r="A4" s="15" t="n">
        <v>46247</v>
      </c>
      <c r="B4" s="7" t="s">
        <v>238</v>
      </c>
      <c r="C4" s="13" t="n">
        <v>680</v>
      </c>
      <c r="D4" s="7" t="s">
        <v>13</v>
      </c>
      <c r="E4" s="7" t="s">
        <v>1148</v>
      </c>
    </row>
    <row r="5" customFormat="false" ht="15" hidden="false" customHeight="true" outlineLevel="0" collapsed="false">
      <c r="A5" s="15" t="n">
        <v>46243</v>
      </c>
      <c r="B5" s="7" t="s">
        <v>258</v>
      </c>
      <c r="C5" s="13" t="n">
        <v>90</v>
      </c>
      <c r="D5" s="7" t="s">
        <v>13</v>
      </c>
      <c r="E5" s="7" t="s">
        <v>1148</v>
      </c>
    </row>
    <row r="6" customFormat="false" ht="15" hidden="false" customHeight="true" outlineLevel="0" collapsed="false">
      <c r="A6" s="15" t="n">
        <v>46246</v>
      </c>
      <c r="B6" s="7" t="s">
        <v>272</v>
      </c>
      <c r="C6" s="13" t="n">
        <v>2720</v>
      </c>
      <c r="D6" s="7" t="s">
        <v>13</v>
      </c>
      <c r="E6" s="7" t="s">
        <v>1148</v>
      </c>
    </row>
    <row r="7" customFormat="false" ht="15" hidden="false" customHeight="true" outlineLevel="0" collapsed="false">
      <c r="A7" s="15" t="n">
        <v>46249</v>
      </c>
      <c r="B7" s="7" t="s">
        <v>274</v>
      </c>
      <c r="C7" s="13" t="n">
        <v>220</v>
      </c>
      <c r="D7" s="7" t="s">
        <v>13</v>
      </c>
      <c r="E7" s="7" t="s">
        <v>1148</v>
      </c>
    </row>
    <row r="8" customFormat="false" ht="15" hidden="false" customHeight="true" outlineLevel="0" collapsed="false">
      <c r="A8" s="15" t="n">
        <v>46252</v>
      </c>
      <c r="B8" s="7" t="s">
        <v>304</v>
      </c>
      <c r="C8" s="13" t="n">
        <v>680</v>
      </c>
      <c r="D8" s="7" t="s">
        <v>13</v>
      </c>
      <c r="E8" s="7" t="s">
        <v>1148</v>
      </c>
    </row>
    <row r="9" customFormat="false" ht="15" hidden="false" customHeight="true" outlineLevel="0" collapsed="false">
      <c r="A9" s="15" t="n">
        <v>46250</v>
      </c>
      <c r="B9" s="7" t="s">
        <v>306</v>
      </c>
      <c r="C9" s="13" t="n">
        <v>220</v>
      </c>
      <c r="D9" s="7" t="s">
        <v>13</v>
      </c>
      <c r="E9" s="7" t="s">
        <v>1148</v>
      </c>
    </row>
    <row r="10" customFormat="false" ht="15" hidden="false" customHeight="true" outlineLevel="0" collapsed="false">
      <c r="A10" s="15" t="n">
        <v>46255</v>
      </c>
      <c r="B10" s="7" t="s">
        <v>334</v>
      </c>
      <c r="C10" s="13" t="n">
        <v>510</v>
      </c>
      <c r="D10" s="7" t="s">
        <v>13</v>
      </c>
      <c r="E10" s="7" t="s">
        <v>1148</v>
      </c>
    </row>
    <row r="11" customFormat="false" ht="15" hidden="false" customHeight="true" outlineLevel="0" collapsed="false">
      <c r="A11" s="15" t="n">
        <v>46252</v>
      </c>
      <c r="B11" s="7" t="s">
        <v>338</v>
      </c>
      <c r="C11" s="13" t="n">
        <v>60</v>
      </c>
      <c r="D11" s="7" t="s">
        <v>13</v>
      </c>
      <c r="E11" s="7" t="s">
        <v>1148</v>
      </c>
    </row>
    <row r="12" customFormat="false" ht="15" hidden="false" customHeight="true" outlineLevel="0" collapsed="false">
      <c r="A12" s="15" t="n">
        <v>46251</v>
      </c>
      <c r="B12" s="7" t="s">
        <v>339</v>
      </c>
      <c r="C12" s="13" t="n">
        <v>370</v>
      </c>
      <c r="D12" s="7" t="s">
        <v>13</v>
      </c>
      <c r="E12" s="7" t="s">
        <v>1148</v>
      </c>
    </row>
    <row r="13" customFormat="false" ht="15" hidden="false" customHeight="true" outlineLevel="0" collapsed="false">
      <c r="A13" s="15" t="n">
        <v>46247</v>
      </c>
      <c r="B13" s="7" t="s">
        <v>341</v>
      </c>
      <c r="C13" s="13" t="n">
        <v>60</v>
      </c>
      <c r="D13" s="7" t="s">
        <v>13</v>
      </c>
      <c r="E13" s="7" t="s">
        <v>1148</v>
      </c>
    </row>
    <row r="14" customFormat="false" ht="15" hidden="false" customHeight="true" outlineLevel="0" collapsed="false">
      <c r="A14" s="15" t="n">
        <v>46254</v>
      </c>
      <c r="B14" s="7" t="s">
        <v>400</v>
      </c>
      <c r="C14" s="13" t="n">
        <v>1200</v>
      </c>
      <c r="D14" s="7" t="s">
        <v>13</v>
      </c>
      <c r="E14" s="7" t="s">
        <v>1148</v>
      </c>
    </row>
    <row r="15" customFormat="false" ht="15" hidden="false" customHeight="true" outlineLevel="0" collapsed="false">
      <c r="A15" s="15" t="n">
        <v>46260</v>
      </c>
      <c r="B15" s="7" t="s">
        <v>430</v>
      </c>
      <c r="C15" s="13" t="n">
        <v>500</v>
      </c>
      <c r="D15" s="7" t="s">
        <v>13</v>
      </c>
      <c r="E15" s="7" t="s">
        <v>1148</v>
      </c>
    </row>
    <row r="16" customFormat="false" ht="15" hidden="false" customHeight="true" outlineLevel="0" collapsed="false">
      <c r="A16" s="15" t="n">
        <v>46262</v>
      </c>
      <c r="B16" s="7" t="s">
        <v>441</v>
      </c>
      <c r="C16" s="13" t="n">
        <v>470</v>
      </c>
      <c r="D16" s="7" t="s">
        <v>13</v>
      </c>
      <c r="E16" s="7" t="s">
        <v>1148</v>
      </c>
    </row>
    <row r="17" customFormat="false" ht="15" hidden="false" customHeight="true" outlineLevel="0" collapsed="false">
      <c r="A17" s="15" t="n">
        <v>46261</v>
      </c>
      <c r="B17" s="7" t="s">
        <v>469</v>
      </c>
      <c r="C17" s="13" t="n">
        <v>310</v>
      </c>
      <c r="D17" s="7" t="s">
        <v>13</v>
      </c>
      <c r="E17" s="7" t="s">
        <v>1148</v>
      </c>
    </row>
    <row r="18" customFormat="false" ht="15" hidden="false" customHeight="true" outlineLevel="0" collapsed="false">
      <c r="A18" s="15" t="n">
        <v>46260</v>
      </c>
      <c r="B18" s="7" t="s">
        <v>479</v>
      </c>
      <c r="C18" s="13" t="n">
        <v>80</v>
      </c>
      <c r="D18" s="7" t="s">
        <v>13</v>
      </c>
      <c r="E18" s="7" t="s">
        <v>1148</v>
      </c>
    </row>
    <row r="19" customFormat="false" ht="15" hidden="false" customHeight="true" outlineLevel="0" collapsed="false">
      <c r="A19" s="15" t="n">
        <v>46260</v>
      </c>
      <c r="B19" s="7" t="s">
        <v>488</v>
      </c>
      <c r="C19" s="13" t="n">
        <v>2240</v>
      </c>
      <c r="D19" s="7" t="s">
        <v>13</v>
      </c>
      <c r="E19" s="7" t="s">
        <v>1148</v>
      </c>
    </row>
    <row r="20" customFormat="false" ht="15" hidden="false" customHeight="true" outlineLevel="0" collapsed="false">
      <c r="A20" s="15" t="n">
        <v>46266</v>
      </c>
      <c r="B20" s="7" t="s">
        <v>519</v>
      </c>
      <c r="C20" s="13" t="n">
        <v>300</v>
      </c>
      <c r="D20" s="7" t="s">
        <v>13</v>
      </c>
      <c r="E20" s="7" t="s">
        <v>1148</v>
      </c>
    </row>
    <row r="21" customFormat="false" ht="15" hidden="false" customHeight="true" outlineLevel="0" collapsed="false">
      <c r="A21" s="15" t="n">
        <v>46267</v>
      </c>
      <c r="B21" s="7" t="s">
        <v>527</v>
      </c>
      <c r="C21" s="13" t="n">
        <v>620</v>
      </c>
      <c r="D21" s="7" t="s">
        <v>13</v>
      </c>
      <c r="E21" s="7" t="s">
        <v>1148</v>
      </c>
    </row>
    <row r="22" customFormat="false" ht="15" hidden="false" customHeight="true" outlineLevel="0" collapsed="false">
      <c r="A22" s="15" t="n">
        <v>46269</v>
      </c>
      <c r="B22" s="7" t="s">
        <v>538</v>
      </c>
      <c r="C22" s="13" t="n">
        <v>290</v>
      </c>
      <c r="D22" s="7" t="s">
        <v>13</v>
      </c>
      <c r="E22" s="7" t="s">
        <v>1148</v>
      </c>
    </row>
    <row r="23" customFormat="false" ht="15" hidden="false" customHeight="true" outlineLevel="0" collapsed="false">
      <c r="A23" s="15" t="n">
        <v>46273</v>
      </c>
      <c r="B23" s="7" t="s">
        <v>558</v>
      </c>
      <c r="C23" s="13" t="n">
        <v>120</v>
      </c>
      <c r="D23" s="7" t="s">
        <v>13</v>
      </c>
      <c r="E23" s="7" t="s">
        <v>1148</v>
      </c>
    </row>
    <row r="24" customFormat="false" ht="15" hidden="false" customHeight="true" outlineLevel="0" collapsed="false">
      <c r="A24" s="15" t="n">
        <v>46267</v>
      </c>
      <c r="B24" s="7" t="s">
        <v>570</v>
      </c>
      <c r="C24" s="13" t="n">
        <v>3380</v>
      </c>
      <c r="D24" s="7" t="s">
        <v>13</v>
      </c>
      <c r="E24" s="7" t="s">
        <v>1148</v>
      </c>
    </row>
    <row r="25" customFormat="false" ht="15" hidden="false" customHeight="true" outlineLevel="0" collapsed="false">
      <c r="A25" s="15" t="n">
        <v>46270</v>
      </c>
      <c r="B25" s="7" t="s">
        <v>577</v>
      </c>
      <c r="C25" s="13" t="n">
        <v>40</v>
      </c>
      <c r="D25" s="7" t="s">
        <v>13</v>
      </c>
      <c r="E25" s="7" t="s">
        <v>1148</v>
      </c>
    </row>
    <row r="26" customFormat="false" ht="15" hidden="false" customHeight="true" outlineLevel="0" collapsed="false">
      <c r="A26" s="15" t="n">
        <v>46275</v>
      </c>
      <c r="B26" s="7" t="s">
        <v>581</v>
      </c>
      <c r="C26" s="13" t="n">
        <v>50</v>
      </c>
      <c r="D26" s="7" t="s">
        <v>13</v>
      </c>
      <c r="E26" s="7" t="s">
        <v>1148</v>
      </c>
    </row>
    <row r="27" customFormat="false" ht="15" hidden="false" customHeight="true" outlineLevel="0" collapsed="false">
      <c r="A27" s="15" t="n">
        <v>46277</v>
      </c>
      <c r="B27" s="7" t="s">
        <v>592</v>
      </c>
      <c r="C27" s="13" t="n">
        <v>100</v>
      </c>
      <c r="D27" s="7" t="s">
        <v>13</v>
      </c>
      <c r="E27" s="7" t="s">
        <v>1148</v>
      </c>
    </row>
    <row r="28" customFormat="false" ht="15" hidden="false" customHeight="true" outlineLevel="0" collapsed="false">
      <c r="A28" s="15" t="n">
        <v>46275</v>
      </c>
      <c r="B28" s="7" t="s">
        <v>597</v>
      </c>
      <c r="C28" s="13" t="n">
        <v>190</v>
      </c>
      <c r="D28" s="7" t="s">
        <v>13</v>
      </c>
      <c r="E28" s="7" t="s">
        <v>1148</v>
      </c>
    </row>
    <row r="29" customFormat="false" ht="15" hidden="false" customHeight="true" outlineLevel="0" collapsed="false">
      <c r="A29" s="15" t="n">
        <v>46270</v>
      </c>
      <c r="B29" s="7" t="s">
        <v>598</v>
      </c>
      <c r="C29" s="13" t="n">
        <v>130</v>
      </c>
      <c r="D29" s="7" t="s">
        <v>13</v>
      </c>
      <c r="E29" s="7" t="s">
        <v>1148</v>
      </c>
    </row>
    <row r="30" customFormat="false" ht="15" hidden="false" customHeight="true" outlineLevel="0" collapsed="false">
      <c r="A30" s="15" t="n">
        <v>46274</v>
      </c>
      <c r="B30" s="7" t="s">
        <v>602</v>
      </c>
      <c r="C30" s="13" t="n">
        <v>1060</v>
      </c>
      <c r="D30" s="7" t="s">
        <v>13</v>
      </c>
      <c r="E30" s="7" t="s">
        <v>1148</v>
      </c>
    </row>
    <row r="31" customFormat="false" ht="15" hidden="false" customHeight="true" outlineLevel="0" collapsed="false">
      <c r="A31" s="15" t="n">
        <v>46271</v>
      </c>
      <c r="B31" s="7" t="s">
        <v>613</v>
      </c>
      <c r="C31" s="13" t="n">
        <v>320</v>
      </c>
      <c r="D31" s="7" t="s">
        <v>13</v>
      </c>
      <c r="E31" s="7" t="s">
        <v>1148</v>
      </c>
    </row>
    <row r="32" customFormat="false" ht="15" hidden="false" customHeight="true" outlineLevel="0" collapsed="false">
      <c r="A32" s="15" t="n">
        <v>46279</v>
      </c>
      <c r="B32" s="7" t="s">
        <v>634</v>
      </c>
      <c r="C32" s="13" t="n">
        <v>320</v>
      </c>
      <c r="D32" s="7" t="s">
        <v>13</v>
      </c>
      <c r="E32" s="7" t="s">
        <v>1148</v>
      </c>
    </row>
    <row r="33" customFormat="false" ht="15" hidden="false" customHeight="true" outlineLevel="0" collapsed="false">
      <c r="A33" s="15" t="n">
        <v>46278</v>
      </c>
      <c r="B33" s="7" t="s">
        <v>647</v>
      </c>
      <c r="C33" s="13" t="n">
        <v>720</v>
      </c>
      <c r="D33" s="7" t="s">
        <v>13</v>
      </c>
      <c r="E33" s="7" t="s">
        <v>1148</v>
      </c>
    </row>
    <row r="34" customFormat="false" ht="15" hidden="false" customHeight="true" outlineLevel="0" collapsed="false">
      <c r="A34" s="15" t="n">
        <v>46275</v>
      </c>
      <c r="B34" s="7" t="s">
        <v>650</v>
      </c>
      <c r="C34" s="13" t="n">
        <v>180</v>
      </c>
      <c r="D34" s="7" t="s">
        <v>13</v>
      </c>
      <c r="E34" s="7" t="s">
        <v>1148</v>
      </c>
    </row>
    <row r="35" customFormat="false" ht="15" hidden="false" customHeight="true" outlineLevel="0" collapsed="false">
      <c r="A35" s="15" t="n">
        <v>46275</v>
      </c>
      <c r="B35" s="7" t="s">
        <v>652</v>
      </c>
      <c r="C35" s="13" t="n">
        <v>540</v>
      </c>
      <c r="D35" s="7" t="s">
        <v>13</v>
      </c>
      <c r="E35" s="7" t="s">
        <v>1148</v>
      </c>
    </row>
    <row r="36" customFormat="false" ht="15" hidden="false" customHeight="true" outlineLevel="0" collapsed="false">
      <c r="A36" s="15" t="n">
        <v>46282</v>
      </c>
      <c r="B36" s="7" t="s">
        <v>656</v>
      </c>
      <c r="C36" s="13" t="n">
        <v>270</v>
      </c>
      <c r="D36" s="7" t="s">
        <v>13</v>
      </c>
      <c r="E36" s="7" t="s">
        <v>1148</v>
      </c>
    </row>
    <row r="37" customFormat="false" ht="15" hidden="false" customHeight="true" outlineLevel="0" collapsed="false">
      <c r="A37" s="15" t="n">
        <v>46274</v>
      </c>
      <c r="B37" s="7" t="s">
        <v>658</v>
      </c>
      <c r="C37" s="13" t="n">
        <v>280</v>
      </c>
      <c r="D37" s="7" t="s">
        <v>13</v>
      </c>
      <c r="E37" s="7" t="s">
        <v>1148</v>
      </c>
    </row>
    <row r="38" customFormat="false" ht="15" hidden="false" customHeight="true" outlineLevel="0" collapsed="false">
      <c r="A38" s="15" t="n">
        <v>46278</v>
      </c>
      <c r="B38" s="7" t="s">
        <v>702</v>
      </c>
      <c r="C38" s="13" t="n">
        <v>120</v>
      </c>
      <c r="D38" s="7" t="s">
        <v>13</v>
      </c>
      <c r="E38" s="7" t="s">
        <v>1148</v>
      </c>
    </row>
    <row r="39" customFormat="false" ht="15" hidden="false" customHeight="true" outlineLevel="0" collapsed="false">
      <c r="A39" s="15" t="n">
        <v>46284</v>
      </c>
      <c r="B39" s="7" t="s">
        <v>718</v>
      </c>
      <c r="C39" s="13" t="n">
        <v>220</v>
      </c>
      <c r="D39" s="7" t="s">
        <v>13</v>
      </c>
      <c r="E39" s="7" t="s">
        <v>1148</v>
      </c>
    </row>
    <row r="40" customFormat="false" ht="15" hidden="false" customHeight="true" outlineLevel="0" collapsed="false">
      <c r="A40" s="15" t="n">
        <v>46280</v>
      </c>
      <c r="B40" s="7" t="s">
        <v>720</v>
      </c>
      <c r="C40" s="13" t="n">
        <v>440</v>
      </c>
      <c r="D40" s="7" t="s">
        <v>13</v>
      </c>
      <c r="E40" s="7" t="s">
        <v>1148</v>
      </c>
    </row>
    <row r="41" customFormat="false" ht="15" hidden="false" customHeight="true" outlineLevel="0" collapsed="false">
      <c r="A41" s="15" t="n">
        <v>46285</v>
      </c>
      <c r="B41" s="7" t="s">
        <v>724</v>
      </c>
      <c r="C41" s="13" t="n">
        <v>1020</v>
      </c>
      <c r="D41" s="7" t="s">
        <v>13</v>
      </c>
      <c r="E41" s="7" t="s">
        <v>1148</v>
      </c>
    </row>
    <row r="42" customFormat="false" ht="15" hidden="false" customHeight="true" outlineLevel="0" collapsed="false">
      <c r="A42" s="15" t="n">
        <v>46283</v>
      </c>
      <c r="B42" s="7" t="s">
        <v>728</v>
      </c>
      <c r="C42" s="13" t="n">
        <v>380</v>
      </c>
      <c r="D42" s="7" t="s">
        <v>13</v>
      </c>
      <c r="E42" s="7" t="s">
        <v>1148</v>
      </c>
    </row>
    <row r="43" customFormat="false" ht="15" hidden="false" customHeight="true" outlineLevel="0" collapsed="false">
      <c r="A43" s="15" t="n">
        <v>46288</v>
      </c>
      <c r="B43" s="7" t="s">
        <v>739</v>
      </c>
      <c r="C43" s="13" t="n">
        <v>270</v>
      </c>
      <c r="D43" s="7" t="s">
        <v>13</v>
      </c>
      <c r="E43" s="7" t="s">
        <v>1148</v>
      </c>
    </row>
    <row r="44" customFormat="false" ht="15" hidden="false" customHeight="true" outlineLevel="0" collapsed="false">
      <c r="A44" s="15" t="n">
        <v>46282</v>
      </c>
      <c r="B44" s="7" t="s">
        <v>741</v>
      </c>
      <c r="C44" s="13" t="n">
        <v>810</v>
      </c>
      <c r="D44" s="7" t="s">
        <v>13</v>
      </c>
      <c r="E44" s="7" t="s">
        <v>1148</v>
      </c>
    </row>
    <row r="45" customFormat="false" ht="15" hidden="false" customHeight="true" outlineLevel="0" collapsed="false">
      <c r="A45" s="15" t="n">
        <v>46282</v>
      </c>
      <c r="B45" s="7" t="s">
        <v>745</v>
      </c>
      <c r="C45" s="13" t="n">
        <v>680</v>
      </c>
      <c r="D45" s="7" t="s">
        <v>13</v>
      </c>
      <c r="E45" s="7" t="s">
        <v>1148</v>
      </c>
    </row>
    <row r="46" customFormat="false" ht="15" hidden="false" customHeight="true" outlineLevel="0" collapsed="false">
      <c r="A46" s="15" t="n">
        <v>46285</v>
      </c>
      <c r="B46" s="7" t="s">
        <v>748</v>
      </c>
      <c r="C46" s="13" t="n">
        <v>230</v>
      </c>
      <c r="D46" s="7" t="s">
        <v>13</v>
      </c>
      <c r="E46" s="7" t="s">
        <v>1148</v>
      </c>
    </row>
    <row r="47" customFormat="false" ht="15" hidden="false" customHeight="true" outlineLevel="0" collapsed="false">
      <c r="A47" s="15" t="n">
        <v>46292</v>
      </c>
      <c r="B47" s="7" t="s">
        <v>791</v>
      </c>
      <c r="C47" s="13" t="n">
        <v>960</v>
      </c>
      <c r="D47" s="7" t="s">
        <v>13</v>
      </c>
      <c r="E47" s="7" t="s">
        <v>1148</v>
      </c>
    </row>
    <row r="48" customFormat="false" ht="15" hidden="false" customHeight="true" outlineLevel="0" collapsed="false">
      <c r="A48" s="15" t="n">
        <v>46293</v>
      </c>
      <c r="B48" s="7" t="s">
        <v>803</v>
      </c>
      <c r="C48" s="13" t="n">
        <v>360</v>
      </c>
      <c r="D48" s="7" t="s">
        <v>13</v>
      </c>
      <c r="E48" s="7" t="s">
        <v>1148</v>
      </c>
    </row>
    <row r="49" customFormat="false" ht="15" hidden="false" customHeight="true" outlineLevel="0" collapsed="false">
      <c r="A49" s="15" t="n">
        <v>46293</v>
      </c>
      <c r="B49" s="7" t="s">
        <v>827</v>
      </c>
      <c r="C49" s="13" t="n">
        <v>240</v>
      </c>
      <c r="D49" s="7" t="s">
        <v>13</v>
      </c>
      <c r="E49" s="7" t="s">
        <v>1148</v>
      </c>
    </row>
    <row r="50" customFormat="false" ht="15" hidden="false" customHeight="true" outlineLevel="0" collapsed="false">
      <c r="A50" s="15" t="n">
        <v>46295</v>
      </c>
      <c r="B50" s="7" t="s">
        <v>835</v>
      </c>
      <c r="C50" s="13" t="n">
        <v>160</v>
      </c>
      <c r="D50" s="7" t="s">
        <v>13</v>
      </c>
      <c r="E50" s="7" t="s">
        <v>1148</v>
      </c>
    </row>
    <row r="51" customFormat="false" ht="15" hidden="false" customHeight="true" outlineLevel="0" collapsed="false">
      <c r="A51" s="15" t="n">
        <v>46292</v>
      </c>
      <c r="B51" s="7" t="s">
        <v>846</v>
      </c>
      <c r="C51" s="13" t="n">
        <v>1020</v>
      </c>
      <c r="D51" s="7" t="s">
        <v>13</v>
      </c>
      <c r="E51" s="7" t="s">
        <v>1148</v>
      </c>
    </row>
    <row r="52" customFormat="false" ht="15" hidden="false" customHeight="true" outlineLevel="0" collapsed="false">
      <c r="A52" s="15" t="n">
        <v>46300</v>
      </c>
      <c r="B52" s="7" t="s">
        <v>849</v>
      </c>
      <c r="C52" s="13" t="n">
        <v>1130</v>
      </c>
      <c r="D52" s="7" t="s">
        <v>13</v>
      </c>
      <c r="E52" s="7" t="s">
        <v>1148</v>
      </c>
    </row>
    <row r="53" customFormat="false" ht="15" hidden="false" customHeight="true" outlineLevel="0" collapsed="false">
      <c r="A53" s="15" t="n">
        <v>46300</v>
      </c>
      <c r="B53" s="7" t="s">
        <v>880</v>
      </c>
      <c r="C53" s="13" t="n">
        <v>380</v>
      </c>
      <c r="D53" s="7" t="s">
        <v>13</v>
      </c>
      <c r="E53" s="7" t="s">
        <v>1148</v>
      </c>
    </row>
    <row r="54" customFormat="false" ht="15" hidden="false" customHeight="true" outlineLevel="0" collapsed="false">
      <c r="A54" s="15" t="n">
        <v>46296</v>
      </c>
      <c r="B54" s="7" t="s">
        <v>884</v>
      </c>
      <c r="C54" s="13" t="n">
        <v>240</v>
      </c>
      <c r="D54" s="7" t="s">
        <v>13</v>
      </c>
      <c r="E54" s="7" t="s">
        <v>1148</v>
      </c>
    </row>
    <row r="55" customFormat="false" ht="15" hidden="false" customHeight="true" outlineLevel="0" collapsed="false">
      <c r="A55" s="15" t="n">
        <v>46300</v>
      </c>
      <c r="B55" s="7" t="s">
        <v>885</v>
      </c>
      <c r="C55" s="13" t="n">
        <v>840</v>
      </c>
      <c r="D55" s="7" t="s">
        <v>13</v>
      </c>
      <c r="E55" s="7" t="s">
        <v>1148</v>
      </c>
    </row>
    <row r="56" customFormat="false" ht="15" hidden="false" customHeight="true" outlineLevel="0" collapsed="false">
      <c r="A56" s="15" t="n">
        <v>46302</v>
      </c>
      <c r="B56" s="7" t="s">
        <v>907</v>
      </c>
      <c r="C56" s="13" t="n">
        <v>240</v>
      </c>
      <c r="D56" s="7" t="s">
        <v>13</v>
      </c>
      <c r="E56" s="7" t="s">
        <v>1148</v>
      </c>
    </row>
    <row r="57" customFormat="false" ht="15" hidden="false" customHeight="true" outlineLevel="0" collapsed="false">
      <c r="A57" s="15" t="n">
        <v>46300</v>
      </c>
      <c r="B57" s="7" t="s">
        <v>915</v>
      </c>
      <c r="C57" s="13" t="n">
        <v>370</v>
      </c>
      <c r="D57" s="7" t="s">
        <v>13</v>
      </c>
      <c r="E57" s="7" t="s">
        <v>1148</v>
      </c>
    </row>
    <row r="58" customFormat="false" ht="15" hidden="false" customHeight="true" outlineLevel="0" collapsed="false">
      <c r="A58" s="15" t="n">
        <v>46304</v>
      </c>
      <c r="B58" s="7" t="s">
        <v>921</v>
      </c>
      <c r="C58" s="13" t="n">
        <v>110</v>
      </c>
      <c r="D58" s="7" t="s">
        <v>13</v>
      </c>
      <c r="E58" s="7" t="s">
        <v>1148</v>
      </c>
    </row>
    <row r="59" customFormat="false" ht="15" hidden="false" customHeight="true" outlineLevel="0" collapsed="false">
      <c r="A59" s="15" t="n">
        <v>46301</v>
      </c>
      <c r="B59" s="7" t="s">
        <v>931</v>
      </c>
      <c r="C59" s="13" t="n">
        <v>110</v>
      </c>
      <c r="D59" s="7" t="s">
        <v>13</v>
      </c>
      <c r="E59" s="7" t="s">
        <v>1148</v>
      </c>
    </row>
    <row r="60" customFormat="false" ht="15" hidden="false" customHeight="true" outlineLevel="0" collapsed="false">
      <c r="A60" s="15" t="n">
        <v>46305</v>
      </c>
      <c r="B60" s="7" t="s">
        <v>934</v>
      </c>
      <c r="C60" s="13" t="n">
        <v>210</v>
      </c>
      <c r="D60" s="7" t="s">
        <v>13</v>
      </c>
      <c r="E60" s="7" t="s">
        <v>1148</v>
      </c>
    </row>
    <row r="61" customFormat="false" ht="15" hidden="false" customHeight="true" outlineLevel="0" collapsed="false">
      <c r="A61" s="15" t="n">
        <v>46310</v>
      </c>
      <c r="B61" s="7" t="s">
        <v>941</v>
      </c>
      <c r="C61" s="13" t="n">
        <v>260</v>
      </c>
      <c r="D61" s="7" t="s">
        <v>13</v>
      </c>
      <c r="E61" s="7" t="s">
        <v>1148</v>
      </c>
    </row>
    <row r="62" customFormat="false" ht="15" hidden="false" customHeight="true" outlineLevel="0" collapsed="false">
      <c r="A62" s="15" t="n">
        <v>46308</v>
      </c>
      <c r="B62" s="7" t="s">
        <v>946</v>
      </c>
      <c r="C62" s="13" t="n">
        <v>360</v>
      </c>
      <c r="D62" s="7" t="s">
        <v>13</v>
      </c>
      <c r="E62" s="7" t="s">
        <v>1148</v>
      </c>
    </row>
    <row r="63" customFormat="false" ht="15" hidden="false" customHeight="true" outlineLevel="0" collapsed="false">
      <c r="A63" s="15" t="n">
        <v>46311</v>
      </c>
      <c r="B63" s="7" t="s">
        <v>956</v>
      </c>
      <c r="C63" s="13" t="n">
        <v>60</v>
      </c>
      <c r="D63" s="7" t="s">
        <v>13</v>
      </c>
      <c r="E63" s="7" t="s">
        <v>1148</v>
      </c>
    </row>
    <row r="64" customFormat="false" ht="15" hidden="false" customHeight="true" outlineLevel="0" collapsed="false">
      <c r="A64" s="15" t="n">
        <v>46310</v>
      </c>
      <c r="B64" s="7" t="s">
        <v>957</v>
      </c>
      <c r="C64" s="13" t="n">
        <v>330</v>
      </c>
      <c r="D64" s="7" t="s">
        <v>13</v>
      </c>
      <c r="E64" s="7" t="s">
        <v>1148</v>
      </c>
    </row>
    <row r="65" customFormat="false" ht="15" hidden="false" customHeight="true" outlineLevel="0" collapsed="false">
      <c r="A65" s="15" t="n">
        <v>46312</v>
      </c>
      <c r="B65" s="7" t="s">
        <v>973</v>
      </c>
      <c r="C65" s="13" t="n">
        <v>140</v>
      </c>
      <c r="D65" s="7" t="s">
        <v>13</v>
      </c>
      <c r="E65" s="7" t="s">
        <v>1148</v>
      </c>
    </row>
    <row r="66" customFormat="false" ht="15" hidden="false" customHeight="true" outlineLevel="0" collapsed="false">
      <c r="A66" s="15" t="n">
        <v>46306</v>
      </c>
      <c r="B66" s="7" t="s">
        <v>980</v>
      </c>
      <c r="C66" s="13" t="n">
        <v>790</v>
      </c>
      <c r="D66" s="7" t="s">
        <v>13</v>
      </c>
      <c r="E66" s="7" t="s">
        <v>1148</v>
      </c>
    </row>
    <row r="67" customFormat="false" ht="15" hidden="false" customHeight="true" outlineLevel="0" collapsed="false">
      <c r="A67" s="15" t="n">
        <v>46309</v>
      </c>
      <c r="B67" s="7" t="s">
        <v>984</v>
      </c>
      <c r="C67" s="13" t="n">
        <v>100</v>
      </c>
      <c r="D67" s="7" t="s">
        <v>13</v>
      </c>
      <c r="E67" s="7" t="s">
        <v>1148</v>
      </c>
    </row>
    <row r="68" customFormat="false" ht="15" hidden="false" customHeight="true" outlineLevel="0" collapsed="false">
      <c r="A68" s="15" t="n">
        <v>46306</v>
      </c>
      <c r="B68" s="7" t="s">
        <v>996</v>
      </c>
      <c r="C68" s="13" t="n">
        <v>320</v>
      </c>
      <c r="D68" s="7" t="s">
        <v>13</v>
      </c>
      <c r="E68" s="7" t="s">
        <v>1148</v>
      </c>
    </row>
    <row r="69" customFormat="false" ht="15" hidden="false" customHeight="true" outlineLevel="0" collapsed="false">
      <c r="A69" s="15" t="n">
        <v>46316</v>
      </c>
      <c r="B69" s="7" t="s">
        <v>1016</v>
      </c>
      <c r="C69" s="13" t="n">
        <v>40</v>
      </c>
      <c r="D69" s="7" t="s">
        <v>13</v>
      </c>
      <c r="E69" s="7" t="s">
        <v>1148</v>
      </c>
    </row>
    <row r="70" customFormat="false" ht="15" hidden="false" customHeight="true" outlineLevel="0" collapsed="false">
      <c r="A70" s="15" t="n">
        <v>46316</v>
      </c>
      <c r="B70" s="7" t="s">
        <v>1039</v>
      </c>
      <c r="C70" s="13" t="n">
        <v>100</v>
      </c>
      <c r="D70" s="7" t="s">
        <v>13</v>
      </c>
      <c r="E70" s="7" t="s">
        <v>1148</v>
      </c>
    </row>
    <row r="71" customFormat="false" ht="15" hidden="false" customHeight="true" outlineLevel="0" collapsed="false">
      <c r="A71" s="15" t="n">
        <v>46312</v>
      </c>
      <c r="B71" s="7" t="s">
        <v>1042</v>
      </c>
      <c r="C71" s="13" t="n">
        <v>1240</v>
      </c>
      <c r="D71" s="7" t="s">
        <v>13</v>
      </c>
      <c r="E71" s="7" t="s">
        <v>1148</v>
      </c>
    </row>
    <row r="72" customFormat="false" ht="15" hidden="false" customHeight="true" outlineLevel="0" collapsed="false">
      <c r="A72" s="15" t="n">
        <v>46317</v>
      </c>
      <c r="B72" s="7" t="s">
        <v>1045</v>
      </c>
      <c r="C72" s="13" t="n">
        <v>480</v>
      </c>
      <c r="D72" s="7" t="s">
        <v>13</v>
      </c>
      <c r="E72" s="7" t="s">
        <v>1148</v>
      </c>
    </row>
    <row r="73" customFormat="false" ht="15" hidden="false" customHeight="true" outlineLevel="0" collapsed="false">
      <c r="A73" s="15" t="n">
        <v>46312</v>
      </c>
      <c r="B73" s="7" t="s">
        <v>1056</v>
      </c>
      <c r="C73" s="13" t="n">
        <v>260</v>
      </c>
      <c r="D73" s="7" t="s">
        <v>13</v>
      </c>
      <c r="E73" s="7" t="s">
        <v>1148</v>
      </c>
    </row>
    <row r="74" customFormat="false" ht="15" hidden="false" customHeight="true" outlineLevel="0" collapsed="false">
      <c r="A74" s="15" t="n">
        <v>46317</v>
      </c>
      <c r="B74" s="7" t="s">
        <v>1063</v>
      </c>
      <c r="C74" s="13" t="n">
        <v>440</v>
      </c>
      <c r="D74" s="7" t="s">
        <v>13</v>
      </c>
      <c r="E74" s="7" t="s">
        <v>1148</v>
      </c>
    </row>
    <row r="75" customFormat="false" ht="15" hidden="false" customHeight="true" outlineLevel="0" collapsed="false">
      <c r="A75" s="15" t="n">
        <v>46316</v>
      </c>
      <c r="B75" s="7" t="s">
        <v>1064</v>
      </c>
      <c r="C75" s="13" t="n">
        <v>340</v>
      </c>
      <c r="D75" s="7" t="s">
        <v>13</v>
      </c>
      <c r="E75" s="7" t="s">
        <v>1148</v>
      </c>
    </row>
    <row r="76" customFormat="false" ht="15" hidden="false" customHeight="true" outlineLevel="0" collapsed="false">
      <c r="A76" s="15"/>
      <c r="B76" s="7"/>
      <c r="C76" s="13"/>
      <c r="D76" s="7"/>
      <c r="E76" s="7"/>
    </row>
    <row r="77" customFormat="false" ht="15" hidden="false" customHeight="true" outlineLevel="0" collapsed="false">
      <c r="A77" s="15"/>
      <c r="B77" s="7"/>
      <c r="C77" s="13"/>
      <c r="D77" s="7"/>
      <c r="E77" s="7"/>
    </row>
    <row r="78" customFormat="false" ht="15" hidden="false" customHeight="true" outlineLevel="0" collapsed="false">
      <c r="A78" s="15"/>
      <c r="B78" s="7"/>
      <c r="C78" s="13"/>
      <c r="D78" s="7"/>
      <c r="E78" s="7"/>
    </row>
    <row r="79" customFormat="false" ht="15" hidden="false" customHeight="true" outlineLevel="0" collapsed="false">
      <c r="A79" s="15"/>
      <c r="B79" s="7"/>
      <c r="C79" s="13"/>
      <c r="D79" s="7"/>
      <c r="E79" s="7"/>
    </row>
    <row r="80" customFormat="false" ht="15" hidden="false" customHeight="true" outlineLevel="0" collapsed="false">
      <c r="A80" s="15"/>
      <c r="B80" s="7"/>
      <c r="C80" s="13"/>
      <c r="D80" s="7"/>
      <c r="E80" s="7"/>
    </row>
    <row r="81" customFormat="false" ht="15" hidden="false" customHeight="true" outlineLevel="0" collapsed="false">
      <c r="A81" s="15"/>
      <c r="B81" s="7"/>
      <c r="C81" s="13"/>
      <c r="D81" s="7"/>
      <c r="E81" s="7"/>
    </row>
    <row r="82" customFormat="false" ht="15" hidden="false" customHeight="true" outlineLevel="0" collapsed="false">
      <c r="A82" s="15"/>
      <c r="B82" s="7"/>
      <c r="C82" s="13"/>
      <c r="D82" s="7"/>
      <c r="E82" s="7"/>
    </row>
    <row r="83" customFormat="false" ht="15" hidden="false" customHeight="true" outlineLevel="0" collapsed="false">
      <c r="A83" s="15"/>
      <c r="B83" s="7"/>
      <c r="C83" s="13"/>
      <c r="D83" s="7"/>
      <c r="E83" s="7"/>
    </row>
    <row r="84" customFormat="false" ht="15" hidden="false" customHeight="true" outlineLevel="0" collapsed="false">
      <c r="A84" s="15"/>
      <c r="B84" s="7"/>
      <c r="C84" s="13"/>
      <c r="D84" s="7"/>
      <c r="E84" s="7"/>
    </row>
    <row r="85" customFormat="false" ht="15" hidden="false" customHeight="true" outlineLevel="0" collapsed="false">
      <c r="A85" s="15"/>
      <c r="B85" s="7"/>
      <c r="C85" s="13"/>
      <c r="D85" s="7"/>
      <c r="E85" s="7"/>
    </row>
    <row r="86" customFormat="false" ht="15" hidden="false" customHeight="true" outlineLevel="0" collapsed="false">
      <c r="A86" s="15"/>
      <c r="B86" s="7"/>
      <c r="C86" s="13"/>
      <c r="D86" s="7"/>
      <c r="E86" s="7"/>
    </row>
    <row r="87" customFormat="false" ht="15" hidden="false" customHeight="true" outlineLevel="0" collapsed="false">
      <c r="A87" s="15"/>
      <c r="B87" s="7"/>
      <c r="C87" s="13"/>
      <c r="D87" s="7"/>
      <c r="E87" s="7"/>
    </row>
    <row r="88" customFormat="false" ht="15" hidden="false" customHeight="true" outlineLevel="0" collapsed="false">
      <c r="A88" s="15"/>
      <c r="B88" s="7"/>
      <c r="C88" s="13"/>
      <c r="D88" s="7"/>
      <c r="E88" s="7"/>
    </row>
    <row r="89" customFormat="false" ht="15" hidden="false" customHeight="true" outlineLevel="0" collapsed="false">
      <c r="A89" s="15"/>
      <c r="B89" s="7"/>
      <c r="C89" s="13"/>
      <c r="D89" s="7"/>
      <c r="E89" s="7"/>
    </row>
    <row r="90" customFormat="false" ht="15" hidden="false" customHeight="true" outlineLevel="0" collapsed="false">
      <c r="A90" s="15"/>
      <c r="B90" s="7"/>
      <c r="C90" s="13"/>
      <c r="D90" s="7"/>
      <c r="E90" s="7"/>
    </row>
    <row r="91" customFormat="false" ht="15" hidden="false" customHeight="true" outlineLevel="0" collapsed="false">
      <c r="A91" s="15"/>
      <c r="B91" s="7"/>
      <c r="C91" s="13"/>
      <c r="D91" s="7"/>
      <c r="E91" s="7"/>
    </row>
    <row r="92" customFormat="false" ht="15" hidden="false" customHeight="true" outlineLevel="0" collapsed="false">
      <c r="A92" s="15"/>
      <c r="B92" s="7"/>
      <c r="C92" s="13"/>
      <c r="D92" s="7"/>
      <c r="E92" s="7"/>
    </row>
    <row r="93" customFormat="false" ht="15" hidden="false" customHeight="true" outlineLevel="0" collapsed="false">
      <c r="A93" s="15"/>
      <c r="B93" s="7"/>
      <c r="C93" s="13"/>
      <c r="D93" s="7"/>
      <c r="E93" s="7"/>
    </row>
    <row r="94" customFormat="false" ht="15" hidden="false" customHeight="true" outlineLevel="0" collapsed="false">
      <c r="A94" s="15"/>
      <c r="B94" s="7"/>
      <c r="C94" s="13"/>
      <c r="D94" s="7"/>
      <c r="E94" s="7"/>
    </row>
    <row r="95" customFormat="false" ht="15" hidden="false" customHeight="true" outlineLevel="0" collapsed="false">
      <c r="A95" s="15"/>
      <c r="B95" s="7"/>
      <c r="C95" s="13"/>
      <c r="D95" s="7"/>
      <c r="E95" s="7"/>
    </row>
    <row r="96" customFormat="false" ht="15" hidden="false" customHeight="true" outlineLevel="0" collapsed="false">
      <c r="A96" s="15"/>
      <c r="B96" s="7"/>
      <c r="C96" s="13"/>
      <c r="D96" s="7"/>
      <c r="E96" s="7"/>
    </row>
    <row r="97" customFormat="false" ht="15" hidden="false" customHeight="true" outlineLevel="0" collapsed="false">
      <c r="A97" s="15"/>
      <c r="B97" s="7"/>
      <c r="C97" s="13"/>
      <c r="D97" s="7"/>
      <c r="E97" s="7"/>
    </row>
    <row r="98" customFormat="false" ht="15" hidden="false" customHeight="true" outlineLevel="0" collapsed="false">
      <c r="A98" s="15"/>
      <c r="B98" s="7"/>
      <c r="C98" s="13"/>
      <c r="D98" s="7"/>
      <c r="E98" s="7"/>
    </row>
    <row r="99" customFormat="false" ht="15" hidden="false" customHeight="true" outlineLevel="0" collapsed="false">
      <c r="A99" s="15"/>
      <c r="B99" s="7"/>
      <c r="C99" s="13"/>
      <c r="D99" s="7"/>
      <c r="E99" s="7"/>
    </row>
    <row r="100" customFormat="false" ht="15" hidden="false" customHeight="true" outlineLevel="0" collapsed="false">
      <c r="A100" s="15"/>
      <c r="B100" s="7"/>
      <c r="C100" s="13"/>
      <c r="D100" s="7"/>
      <c r="E100" s="7"/>
    </row>
    <row r="101" customFormat="false" ht="15" hidden="false" customHeight="true" outlineLevel="0" collapsed="false">
      <c r="A101" s="15"/>
      <c r="B101" s="7"/>
      <c r="C101" s="13"/>
      <c r="D101" s="7"/>
      <c r="E101" s="7"/>
    </row>
    <row r="102" customFormat="false" ht="15" hidden="false" customHeight="true" outlineLevel="0" collapsed="false">
      <c r="A102" s="15"/>
      <c r="B102" s="7"/>
      <c r="C102" s="13"/>
      <c r="D102" s="7"/>
      <c r="E102" s="7"/>
    </row>
    <row r="103" customFormat="false" ht="15" hidden="false" customHeight="true" outlineLevel="0" collapsed="false">
      <c r="A103" s="15"/>
      <c r="B103" s="7"/>
      <c r="C103" s="13"/>
      <c r="D103" s="7"/>
      <c r="E103" s="7"/>
    </row>
    <row r="104" customFormat="false" ht="15" hidden="false" customHeight="true" outlineLevel="0" collapsed="false">
      <c r="A104" s="15"/>
      <c r="B104" s="7"/>
      <c r="C104" s="13"/>
      <c r="D104" s="7"/>
      <c r="E104" s="7"/>
    </row>
    <row r="105" customFormat="false" ht="15" hidden="false" customHeight="true" outlineLevel="0" collapsed="false">
      <c r="A105" s="15"/>
      <c r="B105" s="7"/>
      <c r="C105" s="13"/>
      <c r="D105" s="7"/>
      <c r="E105" s="7"/>
    </row>
    <row r="106" customFormat="false" ht="15" hidden="false" customHeight="true" outlineLevel="0" collapsed="false">
      <c r="A106" s="15"/>
      <c r="B106" s="7"/>
      <c r="C106" s="13"/>
      <c r="D106" s="7"/>
      <c r="E106" s="7"/>
    </row>
    <row r="107" customFormat="false" ht="15" hidden="false" customHeight="true" outlineLevel="0" collapsed="false">
      <c r="A107" s="15"/>
      <c r="B107" s="7"/>
      <c r="C107" s="13"/>
      <c r="D107" s="7"/>
      <c r="E107" s="7"/>
    </row>
    <row r="108" customFormat="false" ht="15" hidden="false" customHeight="true" outlineLevel="0" collapsed="false">
      <c r="A108" s="15"/>
      <c r="B108" s="7"/>
      <c r="C108" s="13"/>
      <c r="D108" s="7"/>
      <c r="E108" s="7"/>
    </row>
    <row r="109" customFormat="false" ht="15" hidden="false" customHeight="true" outlineLevel="0" collapsed="false">
      <c r="A109" s="15"/>
      <c r="B109" s="7"/>
      <c r="C109" s="13"/>
      <c r="D109" s="7"/>
      <c r="E109" s="7"/>
    </row>
    <row r="110" customFormat="false" ht="15" hidden="false" customHeight="true" outlineLevel="0" collapsed="false">
      <c r="A110" s="15"/>
      <c r="B110" s="7"/>
      <c r="C110" s="13"/>
      <c r="D110" s="7"/>
      <c r="E110" s="7"/>
    </row>
    <row r="111" customFormat="false" ht="15" hidden="false" customHeight="true" outlineLevel="0" collapsed="false">
      <c r="A111" s="15"/>
      <c r="B111" s="7"/>
      <c r="C111" s="13"/>
      <c r="D111" s="7"/>
      <c r="E111" s="7"/>
    </row>
    <row r="112" customFormat="false" ht="15" hidden="false" customHeight="true" outlineLevel="0" collapsed="false">
      <c r="A112" s="15"/>
      <c r="B112" s="7"/>
      <c r="C112" s="13"/>
      <c r="D112" s="7"/>
      <c r="E112" s="7"/>
    </row>
    <row r="113" customFormat="false" ht="15" hidden="false" customHeight="true" outlineLevel="0" collapsed="false">
      <c r="A113" s="15"/>
      <c r="B113" s="7"/>
      <c r="C113" s="13"/>
      <c r="D113" s="7"/>
      <c r="E113" s="7"/>
    </row>
    <row r="114" customFormat="false" ht="15" hidden="false" customHeight="true" outlineLevel="0" collapsed="false">
      <c r="A114" s="15"/>
      <c r="B114" s="7"/>
      <c r="C114" s="13"/>
      <c r="D114" s="7"/>
      <c r="E114" s="7"/>
    </row>
    <row r="115" customFormat="false" ht="15" hidden="false" customHeight="true" outlineLevel="0" collapsed="false">
      <c r="A115" s="15"/>
      <c r="B115" s="7"/>
      <c r="C115" s="13"/>
      <c r="D115" s="7"/>
      <c r="E115" s="7"/>
    </row>
    <row r="116" customFormat="false" ht="15" hidden="false" customHeight="true" outlineLevel="0" collapsed="false">
      <c r="A116" s="15"/>
      <c r="B116" s="7"/>
      <c r="C116" s="13"/>
      <c r="D116" s="7"/>
      <c r="E116" s="7"/>
    </row>
    <row r="117" customFormat="false" ht="15" hidden="false" customHeight="true" outlineLevel="0" collapsed="false">
      <c r="A117" s="15"/>
      <c r="B117" s="7"/>
      <c r="C117" s="13"/>
      <c r="D117" s="7"/>
      <c r="E117" s="7"/>
    </row>
    <row r="118" customFormat="false" ht="15" hidden="false" customHeight="true" outlineLevel="0" collapsed="false">
      <c r="A118" s="15"/>
      <c r="B118" s="7"/>
      <c r="C118" s="13"/>
      <c r="D118" s="7"/>
      <c r="E118" s="7"/>
    </row>
    <row r="119" customFormat="false" ht="15" hidden="false" customHeight="true" outlineLevel="0" collapsed="false">
      <c r="A119" s="15"/>
      <c r="B119" s="7"/>
      <c r="C119" s="13"/>
      <c r="D119" s="7"/>
      <c r="E119" s="7"/>
    </row>
    <row r="120" customFormat="false" ht="15" hidden="false" customHeight="true" outlineLevel="0" collapsed="false">
      <c r="A120" s="15"/>
      <c r="B120" s="7"/>
      <c r="C120" s="13"/>
      <c r="D120" s="7"/>
      <c r="E120" s="7"/>
    </row>
    <row r="121" customFormat="false" ht="15" hidden="false" customHeight="true" outlineLevel="0" collapsed="false">
      <c r="A121" s="15"/>
      <c r="B121" s="7"/>
      <c r="C121" s="13"/>
      <c r="D121" s="7"/>
      <c r="E121" s="7"/>
    </row>
    <row r="122" customFormat="false" ht="15" hidden="false" customHeight="true" outlineLevel="0" collapsed="false">
      <c r="A122" s="15"/>
      <c r="B122" s="7"/>
      <c r="C122" s="13"/>
      <c r="D122" s="7"/>
      <c r="E122" s="7"/>
    </row>
    <row r="123" customFormat="false" ht="15" hidden="false" customHeight="true" outlineLevel="0" collapsed="false">
      <c r="A123" s="15"/>
      <c r="B123" s="7"/>
      <c r="C123" s="13"/>
      <c r="D123" s="7"/>
      <c r="E123" s="7"/>
    </row>
    <row r="124" customFormat="false" ht="15" hidden="false" customHeight="true" outlineLevel="0" collapsed="false">
      <c r="A124" s="15"/>
      <c r="B124" s="7"/>
      <c r="C124" s="13"/>
      <c r="D124" s="7"/>
      <c r="E124" s="7"/>
    </row>
    <row r="125" customFormat="false" ht="15" hidden="false" customHeight="true" outlineLevel="0" collapsed="false">
      <c r="A125" s="15"/>
      <c r="B125" s="7"/>
      <c r="C125" s="13"/>
      <c r="D125" s="7"/>
      <c r="E125" s="7"/>
    </row>
    <row r="126" customFormat="false" ht="15" hidden="false" customHeight="true" outlineLevel="0" collapsed="false">
      <c r="A126" s="15"/>
      <c r="B126" s="7"/>
      <c r="C126" s="13"/>
      <c r="D126" s="7"/>
      <c r="E126" s="7"/>
    </row>
    <row r="127" customFormat="false" ht="15" hidden="false" customHeight="true" outlineLevel="0" collapsed="false">
      <c r="A127" s="15"/>
      <c r="B127" s="7"/>
      <c r="C127" s="13"/>
      <c r="D127" s="7"/>
      <c r="E127" s="7"/>
    </row>
    <row r="128" customFormat="false" ht="15" hidden="false" customHeight="true" outlineLevel="0" collapsed="false">
      <c r="A128" s="15"/>
      <c r="B128" s="7"/>
      <c r="C128" s="13"/>
      <c r="D128" s="7"/>
      <c r="E128" s="7"/>
    </row>
    <row r="129" customFormat="false" ht="15" hidden="false" customHeight="true" outlineLevel="0" collapsed="false">
      <c r="A129" s="15"/>
      <c r="B129" s="7"/>
      <c r="C129" s="13"/>
      <c r="D129" s="7"/>
      <c r="E129" s="7"/>
    </row>
    <row r="130" customFormat="false" ht="15" hidden="false" customHeight="true" outlineLevel="0" collapsed="false">
      <c r="A130" s="15"/>
      <c r="B130" s="7"/>
      <c r="C130" s="13"/>
      <c r="D130" s="7"/>
      <c r="E130" s="7"/>
    </row>
    <row r="131" customFormat="false" ht="15" hidden="false" customHeight="true" outlineLevel="0" collapsed="false">
      <c r="A131" s="15"/>
      <c r="B131" s="7"/>
      <c r="C131" s="13"/>
      <c r="D131" s="7"/>
      <c r="E131" s="7"/>
    </row>
    <row r="132" customFormat="false" ht="15" hidden="false" customHeight="true" outlineLevel="0" collapsed="false">
      <c r="A132" s="15"/>
      <c r="B132" s="7"/>
      <c r="C132" s="13"/>
      <c r="D132" s="7"/>
      <c r="E132" s="7"/>
    </row>
    <row r="133" customFormat="false" ht="15" hidden="false" customHeight="true" outlineLevel="0" collapsed="false">
      <c r="A133" s="15"/>
      <c r="B133" s="7"/>
      <c r="C133" s="13"/>
      <c r="D133" s="7"/>
      <c r="E133" s="7"/>
    </row>
    <row r="134" customFormat="false" ht="15" hidden="false" customHeight="true" outlineLevel="0" collapsed="false">
      <c r="A134" s="15"/>
      <c r="B134" s="7"/>
      <c r="C134" s="13"/>
      <c r="D134" s="7"/>
      <c r="E134" s="7"/>
    </row>
    <row r="135" customFormat="false" ht="15" hidden="false" customHeight="true" outlineLevel="0" collapsed="false">
      <c r="A135" s="15"/>
      <c r="B135" s="7"/>
      <c r="C135" s="13"/>
      <c r="D135" s="7"/>
      <c r="E135" s="7"/>
    </row>
    <row r="136" customFormat="false" ht="15" hidden="false" customHeight="true" outlineLevel="0" collapsed="false">
      <c r="A136" s="15"/>
      <c r="B136" s="7"/>
      <c r="C136" s="13"/>
      <c r="D136" s="7"/>
      <c r="E136" s="7"/>
    </row>
    <row r="137" customFormat="false" ht="15" hidden="false" customHeight="true" outlineLevel="0" collapsed="false">
      <c r="A137" s="15"/>
      <c r="B137" s="7"/>
      <c r="C137" s="13"/>
      <c r="D137" s="7"/>
      <c r="E137" s="7"/>
    </row>
    <row r="138" customFormat="false" ht="15" hidden="false" customHeight="true" outlineLevel="0" collapsed="false">
      <c r="A138" s="15"/>
      <c r="B138" s="7"/>
      <c r="C138" s="13"/>
      <c r="D138" s="7"/>
      <c r="E138" s="7"/>
    </row>
    <row r="139" customFormat="false" ht="15" hidden="false" customHeight="true" outlineLevel="0" collapsed="false">
      <c r="A139" s="15"/>
      <c r="B139" s="7"/>
      <c r="C139" s="13"/>
      <c r="D139" s="7"/>
      <c r="E139" s="7"/>
    </row>
    <row r="140" customFormat="false" ht="15" hidden="false" customHeight="true" outlineLevel="0" collapsed="false">
      <c r="A140" s="15"/>
      <c r="B140" s="7"/>
      <c r="C140" s="13"/>
      <c r="D140" s="7"/>
      <c r="E140" s="7"/>
    </row>
    <row r="141" customFormat="false" ht="15" hidden="false" customHeight="true" outlineLevel="0" collapsed="false">
      <c r="A141" s="15"/>
      <c r="B141" s="7"/>
      <c r="C141" s="13"/>
      <c r="D141" s="7"/>
      <c r="E141" s="7"/>
    </row>
    <row r="142" customFormat="false" ht="15" hidden="false" customHeight="true" outlineLevel="0" collapsed="false">
      <c r="A142" s="15"/>
      <c r="B142" s="7"/>
      <c r="C142" s="13"/>
      <c r="D142" s="7"/>
      <c r="E142" s="7"/>
    </row>
    <row r="143" customFormat="false" ht="15" hidden="false" customHeight="true" outlineLevel="0" collapsed="false">
      <c r="A143" s="15"/>
      <c r="B143" s="7"/>
      <c r="C143" s="13"/>
      <c r="D143" s="7"/>
      <c r="E143" s="7"/>
    </row>
    <row r="144" customFormat="false" ht="15" hidden="false" customHeight="true" outlineLevel="0" collapsed="false">
      <c r="A144" s="15"/>
      <c r="B144" s="7"/>
      <c r="C144" s="13"/>
      <c r="D144" s="7"/>
      <c r="E144" s="7"/>
    </row>
    <row r="145" customFormat="false" ht="15" hidden="false" customHeight="true" outlineLevel="0" collapsed="false">
      <c r="A145" s="15"/>
      <c r="B145" s="7"/>
      <c r="C145" s="13"/>
      <c r="D145" s="7"/>
      <c r="E145" s="7"/>
    </row>
    <row r="146" customFormat="false" ht="15" hidden="false" customHeight="true" outlineLevel="0" collapsed="false">
      <c r="A146" s="15"/>
      <c r="B146" s="7"/>
      <c r="C146" s="13"/>
      <c r="D146" s="7"/>
      <c r="E146" s="7"/>
    </row>
    <row r="147" customFormat="false" ht="15" hidden="false" customHeight="true" outlineLevel="0" collapsed="false">
      <c r="A147" s="15"/>
      <c r="B147" s="7"/>
      <c r="C147" s="13"/>
      <c r="D147" s="7"/>
      <c r="E147" s="7"/>
    </row>
    <row r="148" customFormat="false" ht="15" hidden="false" customHeight="true" outlineLevel="0" collapsed="false">
      <c r="A148" s="15"/>
      <c r="B148" s="7"/>
      <c r="C148" s="13"/>
      <c r="D148" s="7"/>
      <c r="E148" s="7"/>
    </row>
    <row r="149" customFormat="false" ht="15" hidden="false" customHeight="true" outlineLevel="0" collapsed="false">
      <c r="A149" s="15"/>
      <c r="B149" s="7"/>
      <c r="C149" s="13"/>
      <c r="D149" s="7"/>
      <c r="E149" s="7"/>
    </row>
    <row r="150" customFormat="false" ht="15" hidden="false" customHeight="true" outlineLevel="0" collapsed="false">
      <c r="A150" s="15"/>
      <c r="B150" s="7"/>
      <c r="C150" s="13"/>
      <c r="D150" s="7"/>
      <c r="E150" s="7"/>
    </row>
    <row r="151" customFormat="false" ht="15" hidden="false" customHeight="true" outlineLevel="0" collapsed="false">
      <c r="A151" s="15"/>
      <c r="B151" s="7"/>
      <c r="C151" s="13"/>
      <c r="D151" s="7"/>
      <c r="E151" s="7"/>
    </row>
    <row r="152" customFormat="false" ht="15" hidden="false" customHeight="true" outlineLevel="0" collapsed="false">
      <c r="A152" s="15"/>
      <c r="B152" s="7"/>
      <c r="C152" s="13"/>
      <c r="D152" s="7"/>
      <c r="E152" s="7"/>
    </row>
    <row r="153" customFormat="false" ht="15" hidden="false" customHeight="true" outlineLevel="0" collapsed="false">
      <c r="A153" s="15"/>
      <c r="B153" s="7"/>
      <c r="C153" s="13"/>
      <c r="D153" s="7"/>
      <c r="E153" s="7"/>
    </row>
    <row r="154" customFormat="false" ht="15" hidden="false" customHeight="true" outlineLevel="0" collapsed="false">
      <c r="A154" s="15"/>
      <c r="B154" s="7"/>
      <c r="C154" s="13"/>
      <c r="D154" s="7"/>
      <c r="E154" s="7"/>
    </row>
    <row r="155" customFormat="false" ht="15" hidden="false" customHeight="true" outlineLevel="0" collapsed="false">
      <c r="A155" s="15"/>
      <c r="B155" s="7"/>
      <c r="C155" s="13"/>
      <c r="D155" s="7"/>
      <c r="E155" s="7"/>
    </row>
    <row r="156" customFormat="false" ht="15" hidden="false" customHeight="true" outlineLevel="0" collapsed="false">
      <c r="A156" s="15"/>
      <c r="B156" s="7"/>
      <c r="C156" s="13"/>
      <c r="D156" s="7"/>
      <c r="E156" s="7"/>
    </row>
    <row r="157" customFormat="false" ht="15" hidden="false" customHeight="true" outlineLevel="0" collapsed="false">
      <c r="A157" s="15"/>
      <c r="B157" s="7"/>
      <c r="C157" s="13"/>
      <c r="D157" s="7"/>
      <c r="E157" s="7"/>
    </row>
    <row r="158" customFormat="false" ht="15" hidden="false" customHeight="true" outlineLevel="0" collapsed="false">
      <c r="A158" s="15"/>
      <c r="B158" s="7"/>
      <c r="C158" s="13"/>
      <c r="D158" s="7"/>
      <c r="E158" s="7"/>
    </row>
    <row r="159" customFormat="false" ht="15" hidden="false" customHeight="true" outlineLevel="0" collapsed="false">
      <c r="A159" s="15"/>
      <c r="B159" s="7"/>
      <c r="C159" s="13"/>
      <c r="D159" s="7"/>
      <c r="E159" s="7"/>
    </row>
    <row r="160" customFormat="false" ht="15" hidden="false" customHeight="true" outlineLevel="0" collapsed="false">
      <c r="A160" s="15"/>
      <c r="B160" s="7"/>
      <c r="C160" s="13"/>
      <c r="D160" s="7"/>
      <c r="E160" s="7"/>
    </row>
    <row r="161" customFormat="false" ht="15" hidden="false" customHeight="true" outlineLevel="0" collapsed="false">
      <c r="A161" s="15"/>
      <c r="B161" s="7"/>
      <c r="C161" s="13"/>
      <c r="D161" s="7"/>
      <c r="E161" s="7"/>
    </row>
    <row r="162" customFormat="false" ht="15" hidden="false" customHeight="true" outlineLevel="0" collapsed="false">
      <c r="A162" s="15"/>
      <c r="B162" s="7"/>
      <c r="C162" s="13"/>
      <c r="D162" s="7"/>
      <c r="E162" s="7"/>
    </row>
    <row r="163" customFormat="false" ht="15" hidden="false" customHeight="true" outlineLevel="0" collapsed="false">
      <c r="A163" s="15"/>
      <c r="B163" s="7"/>
      <c r="C163" s="13"/>
      <c r="D163" s="7"/>
      <c r="E163" s="7"/>
    </row>
    <row r="164" customFormat="false" ht="15" hidden="false" customHeight="true" outlineLevel="0" collapsed="false">
      <c r="A164" s="15"/>
      <c r="B164" s="7"/>
      <c r="C164" s="13"/>
      <c r="D164" s="7"/>
      <c r="E164" s="7"/>
    </row>
    <row r="165" customFormat="false" ht="15" hidden="false" customHeight="true" outlineLevel="0" collapsed="false">
      <c r="A165" s="15"/>
      <c r="B165" s="7"/>
      <c r="C165" s="13"/>
      <c r="D165" s="7"/>
      <c r="E165" s="7"/>
    </row>
    <row r="166" customFormat="false" ht="15" hidden="false" customHeight="true" outlineLevel="0" collapsed="false">
      <c r="A166" s="15"/>
      <c r="B166" s="7"/>
      <c r="C166" s="13"/>
      <c r="D166" s="7"/>
      <c r="E166" s="7"/>
    </row>
    <row r="167" customFormat="false" ht="15" hidden="false" customHeight="true" outlineLevel="0" collapsed="false">
      <c r="A167" s="15"/>
      <c r="B167" s="7"/>
      <c r="C167" s="13"/>
      <c r="D167" s="7"/>
      <c r="E167" s="7"/>
    </row>
    <row r="168" customFormat="false" ht="15" hidden="false" customHeight="true" outlineLevel="0" collapsed="false">
      <c r="A168" s="15"/>
      <c r="B168" s="7"/>
      <c r="C168" s="13"/>
      <c r="D168" s="7"/>
      <c r="E168" s="7"/>
    </row>
    <row r="169" customFormat="false" ht="15" hidden="false" customHeight="true" outlineLevel="0" collapsed="false">
      <c r="A169" s="15"/>
      <c r="B169" s="7"/>
      <c r="C169" s="13"/>
      <c r="D169" s="7"/>
      <c r="E169" s="7"/>
    </row>
    <row r="170" customFormat="false" ht="15" hidden="false" customHeight="true" outlineLevel="0" collapsed="false">
      <c r="A170" s="15"/>
      <c r="B170" s="7"/>
      <c r="C170" s="13"/>
      <c r="D170" s="7"/>
      <c r="E170" s="7"/>
    </row>
    <row r="171" customFormat="false" ht="15" hidden="false" customHeight="true" outlineLevel="0" collapsed="false">
      <c r="A171" s="15"/>
      <c r="B171" s="7"/>
      <c r="C171" s="13"/>
      <c r="D171" s="7"/>
      <c r="E171" s="7"/>
    </row>
    <row r="172" customFormat="false" ht="15" hidden="false" customHeight="true" outlineLevel="0" collapsed="false">
      <c r="A172" s="15"/>
      <c r="B172" s="7"/>
      <c r="C172" s="13"/>
      <c r="D172" s="7"/>
      <c r="E172" s="7"/>
    </row>
    <row r="173" customFormat="false" ht="15" hidden="false" customHeight="true" outlineLevel="0" collapsed="false">
      <c r="A173" s="15"/>
      <c r="B173" s="7"/>
      <c r="C173" s="13"/>
      <c r="D173" s="7"/>
      <c r="E173" s="7"/>
    </row>
    <row r="174" customFormat="false" ht="15" hidden="false" customHeight="true" outlineLevel="0" collapsed="false">
      <c r="A174" s="15"/>
      <c r="B174" s="7"/>
      <c r="C174" s="13"/>
      <c r="D174" s="7"/>
      <c r="E174" s="7"/>
    </row>
    <row r="175" customFormat="false" ht="15" hidden="false" customHeight="true" outlineLevel="0" collapsed="false">
      <c r="A175" s="15"/>
      <c r="B175" s="7"/>
      <c r="C175" s="13"/>
      <c r="D175" s="7"/>
      <c r="E175" s="7"/>
    </row>
    <row r="176" customFormat="false" ht="15" hidden="false" customHeight="true" outlineLevel="0" collapsed="false">
      <c r="A176" s="15"/>
      <c r="B176" s="7"/>
      <c r="C176" s="13"/>
      <c r="D176" s="7"/>
      <c r="E176" s="7"/>
    </row>
    <row r="177" customFormat="false" ht="15" hidden="false" customHeight="true" outlineLevel="0" collapsed="false">
      <c r="A177" s="15"/>
      <c r="B177" s="7"/>
      <c r="C177" s="13"/>
      <c r="D177" s="7"/>
      <c r="E177" s="7"/>
    </row>
    <row r="178" customFormat="false" ht="15" hidden="false" customHeight="true" outlineLevel="0" collapsed="false">
      <c r="A178" s="15"/>
      <c r="B178" s="7"/>
      <c r="C178" s="13"/>
      <c r="D178" s="7"/>
      <c r="E178" s="7"/>
    </row>
    <row r="179" customFormat="false" ht="15" hidden="false" customHeight="true" outlineLevel="0" collapsed="false">
      <c r="A179" s="15"/>
      <c r="B179" s="7"/>
      <c r="C179" s="13"/>
      <c r="D179" s="7"/>
      <c r="E179" s="7"/>
    </row>
    <row r="180" customFormat="false" ht="15" hidden="false" customHeight="true" outlineLevel="0" collapsed="false">
      <c r="A180" s="15"/>
      <c r="B180" s="7"/>
      <c r="C180" s="13"/>
      <c r="D180" s="7"/>
      <c r="E180" s="7"/>
    </row>
    <row r="181" customFormat="false" ht="15" hidden="false" customHeight="true" outlineLevel="0" collapsed="false">
      <c r="A181" s="15"/>
      <c r="B181" s="7"/>
      <c r="C181" s="13"/>
      <c r="D181" s="7"/>
      <c r="E181" s="7"/>
    </row>
    <row r="182" customFormat="false" ht="15" hidden="false" customHeight="true" outlineLevel="0" collapsed="false">
      <c r="A182" s="15"/>
      <c r="B182" s="7"/>
      <c r="C182" s="13"/>
      <c r="D182" s="7"/>
      <c r="E182" s="7"/>
    </row>
    <row r="183" customFormat="false" ht="15" hidden="false" customHeight="true" outlineLevel="0" collapsed="false">
      <c r="A183" s="15"/>
      <c r="B183" s="7"/>
      <c r="C183" s="13"/>
      <c r="D183" s="7"/>
      <c r="E183" s="7"/>
    </row>
    <row r="184" customFormat="false" ht="15" hidden="false" customHeight="true" outlineLevel="0" collapsed="false">
      <c r="A184" s="15"/>
      <c r="B184" s="7"/>
      <c r="C184" s="13"/>
      <c r="D184" s="7"/>
      <c r="E184" s="7"/>
    </row>
    <row r="185" customFormat="false" ht="15" hidden="false" customHeight="true" outlineLevel="0" collapsed="false">
      <c r="A185" s="15"/>
      <c r="B185" s="7"/>
      <c r="C185" s="13"/>
      <c r="D185" s="7"/>
      <c r="E185" s="7"/>
    </row>
    <row r="186" customFormat="false" ht="15" hidden="false" customHeight="true" outlineLevel="0" collapsed="false">
      <c r="A186" s="15"/>
      <c r="B186" s="7"/>
      <c r="C186" s="13"/>
      <c r="D186" s="7"/>
      <c r="E186" s="7"/>
    </row>
    <row r="187" customFormat="false" ht="15" hidden="false" customHeight="true" outlineLevel="0" collapsed="false">
      <c r="A187" s="15"/>
      <c r="B187" s="7"/>
      <c r="C187" s="13"/>
      <c r="D187" s="7"/>
      <c r="E187" s="7"/>
    </row>
    <row r="188" customFormat="false" ht="15" hidden="false" customHeight="true" outlineLevel="0" collapsed="false">
      <c r="A188" s="15"/>
      <c r="B188" s="7"/>
      <c r="C188" s="13"/>
      <c r="D188" s="7"/>
      <c r="E188" s="7"/>
    </row>
    <row r="189" customFormat="false" ht="15" hidden="false" customHeight="true" outlineLevel="0" collapsed="false">
      <c r="A189" s="15"/>
      <c r="B189" s="7"/>
      <c r="C189" s="13"/>
      <c r="D189" s="7"/>
      <c r="E189" s="7"/>
    </row>
    <row r="190" customFormat="false" ht="15" hidden="false" customHeight="true" outlineLevel="0" collapsed="false">
      <c r="A190" s="15"/>
      <c r="B190" s="7"/>
      <c r="C190" s="13"/>
      <c r="D190" s="7"/>
      <c r="E190" s="7"/>
    </row>
    <row r="191" customFormat="false" ht="15" hidden="false" customHeight="true" outlineLevel="0" collapsed="false">
      <c r="A191" s="15"/>
      <c r="B191" s="7"/>
      <c r="C191" s="13"/>
      <c r="D191" s="7"/>
      <c r="E191" s="7"/>
    </row>
    <row r="192" customFormat="false" ht="15" hidden="false" customHeight="true" outlineLevel="0" collapsed="false">
      <c r="A192" s="15"/>
      <c r="B192" s="7"/>
      <c r="C192" s="13"/>
      <c r="D192" s="7"/>
      <c r="E192" s="7"/>
    </row>
    <row r="193" customFormat="false" ht="15" hidden="false" customHeight="true" outlineLevel="0" collapsed="false">
      <c r="A193" s="15"/>
      <c r="B193" s="7"/>
      <c r="C193" s="13"/>
      <c r="D193" s="7"/>
      <c r="E193" s="7"/>
    </row>
    <row r="194" customFormat="false" ht="15" hidden="false" customHeight="true" outlineLevel="0" collapsed="false">
      <c r="A194" s="15"/>
      <c r="B194" s="7"/>
      <c r="C194" s="13"/>
      <c r="D194" s="7"/>
      <c r="E194" s="7"/>
    </row>
    <row r="195" customFormat="false" ht="15" hidden="false" customHeight="true" outlineLevel="0" collapsed="false">
      <c r="A195" s="15"/>
      <c r="B195" s="7"/>
      <c r="C195" s="13"/>
      <c r="D195" s="7"/>
      <c r="E195" s="7"/>
    </row>
    <row r="196" customFormat="false" ht="15" hidden="false" customHeight="true" outlineLevel="0" collapsed="false">
      <c r="A196" s="15"/>
      <c r="B196" s="7"/>
      <c r="C196" s="13"/>
      <c r="D196" s="7"/>
      <c r="E196" s="7"/>
    </row>
    <row r="197" customFormat="false" ht="15" hidden="false" customHeight="true" outlineLevel="0" collapsed="false">
      <c r="A197" s="15"/>
      <c r="B197" s="7"/>
      <c r="C197" s="13"/>
      <c r="D197" s="7"/>
      <c r="E197" s="7"/>
    </row>
    <row r="198" customFormat="false" ht="15" hidden="false" customHeight="true" outlineLevel="0" collapsed="false">
      <c r="A198" s="15"/>
      <c r="B198" s="7"/>
      <c r="C198" s="13"/>
      <c r="D198" s="7"/>
      <c r="E198" s="7"/>
    </row>
    <row r="199" customFormat="false" ht="15" hidden="false" customHeight="true" outlineLevel="0" collapsed="false">
      <c r="A199" s="15"/>
      <c r="B199" s="7"/>
      <c r="C199" s="13"/>
      <c r="D199" s="7"/>
      <c r="E199" s="7"/>
    </row>
    <row r="200" customFormat="false" ht="15" hidden="false" customHeight="true" outlineLevel="0" collapsed="false">
      <c r="A200" s="15"/>
      <c r="B200" s="7"/>
      <c r="C200" s="13"/>
      <c r="D200" s="7"/>
      <c r="E200" s="7"/>
    </row>
    <row r="201" customFormat="false" ht="15" hidden="false" customHeight="true" outlineLevel="0" collapsed="false">
      <c r="A201" s="15"/>
      <c r="B201" s="7"/>
      <c r="C201" s="13"/>
      <c r="D201" s="7"/>
      <c r="E201" s="7"/>
    </row>
    <row r="202" customFormat="false" ht="15" hidden="false" customHeight="true" outlineLevel="0" collapsed="false">
      <c r="A202" s="15"/>
      <c r="B202" s="7"/>
      <c r="C202" s="13"/>
      <c r="D202" s="7"/>
      <c r="E202" s="7"/>
    </row>
    <row r="203" customFormat="false" ht="15" hidden="false" customHeight="true" outlineLevel="0" collapsed="false">
      <c r="A203" s="15"/>
      <c r="B203" s="7"/>
      <c r="C203" s="13"/>
      <c r="D203" s="7"/>
      <c r="E203" s="7"/>
    </row>
    <row r="204" customFormat="false" ht="15" hidden="false" customHeight="true" outlineLevel="0" collapsed="false">
      <c r="A204" s="15"/>
      <c r="B204" s="7"/>
      <c r="C204" s="13"/>
      <c r="D204" s="7"/>
      <c r="E204" s="7"/>
    </row>
    <row r="205" customFormat="false" ht="15" hidden="false" customHeight="true" outlineLevel="0" collapsed="false">
      <c r="A205" s="15"/>
      <c r="B205" s="7"/>
      <c r="C205" s="13"/>
      <c r="D205" s="7"/>
      <c r="E205" s="7"/>
    </row>
    <row r="206" customFormat="false" ht="15" hidden="false" customHeight="true" outlineLevel="0" collapsed="false">
      <c r="A206" s="15"/>
      <c r="B206" s="7"/>
      <c r="C206" s="13"/>
      <c r="D206" s="7"/>
      <c r="E206" s="7"/>
    </row>
    <row r="207" customFormat="false" ht="15" hidden="false" customHeight="true" outlineLevel="0" collapsed="false">
      <c r="A207" s="15"/>
      <c r="B207" s="7"/>
      <c r="C207" s="13"/>
      <c r="D207" s="7"/>
      <c r="E207" s="7"/>
    </row>
    <row r="208" customFormat="false" ht="15" hidden="false" customHeight="true" outlineLevel="0" collapsed="false">
      <c r="A208" s="15"/>
      <c r="B208" s="7"/>
      <c r="C208" s="13"/>
      <c r="D208" s="7"/>
      <c r="E208" s="7"/>
    </row>
    <row r="209" customFormat="false" ht="15" hidden="false" customHeight="true" outlineLevel="0" collapsed="false">
      <c r="A209" s="15"/>
      <c r="B209" s="7"/>
      <c r="C209" s="13"/>
      <c r="D209" s="7"/>
      <c r="E209" s="7"/>
    </row>
    <row r="210" customFormat="false" ht="15" hidden="false" customHeight="true" outlineLevel="0" collapsed="false">
      <c r="A210" s="15"/>
      <c r="B210" s="7"/>
      <c r="C210" s="13"/>
      <c r="D210" s="7"/>
      <c r="E210" s="7"/>
    </row>
    <row r="211" customFormat="false" ht="15" hidden="false" customHeight="true" outlineLevel="0" collapsed="false">
      <c r="A211" s="15"/>
      <c r="B211" s="7"/>
      <c r="C211" s="13"/>
      <c r="D211" s="7"/>
      <c r="E211" s="7"/>
    </row>
    <row r="212" customFormat="false" ht="15" hidden="false" customHeight="true" outlineLevel="0" collapsed="false">
      <c r="A212" s="15"/>
      <c r="B212" s="7"/>
      <c r="C212" s="13"/>
      <c r="D212" s="7"/>
      <c r="E212" s="7"/>
    </row>
    <row r="213" customFormat="false" ht="15" hidden="false" customHeight="true" outlineLevel="0" collapsed="false">
      <c r="A213" s="15"/>
      <c r="B213" s="7"/>
      <c r="C213" s="13"/>
      <c r="D213" s="7"/>
      <c r="E213" s="7"/>
    </row>
    <row r="214" customFormat="false" ht="15" hidden="false" customHeight="true" outlineLevel="0" collapsed="false">
      <c r="A214" s="15"/>
      <c r="B214" s="7"/>
      <c r="C214" s="13"/>
      <c r="D214" s="7"/>
      <c r="E214" s="7"/>
    </row>
    <row r="215" customFormat="false" ht="15" hidden="false" customHeight="true" outlineLevel="0" collapsed="false">
      <c r="A215" s="15"/>
      <c r="B215" s="7"/>
      <c r="C215" s="13"/>
      <c r="D215" s="7"/>
      <c r="E215" s="7"/>
    </row>
    <row r="216" customFormat="false" ht="15" hidden="false" customHeight="true" outlineLevel="0" collapsed="false">
      <c r="A216" s="15"/>
      <c r="B216" s="7"/>
      <c r="C216" s="13"/>
      <c r="D216" s="7"/>
      <c r="E216" s="7"/>
    </row>
    <row r="217" customFormat="false" ht="15" hidden="false" customHeight="true" outlineLevel="0" collapsed="false">
      <c r="A217" s="15"/>
      <c r="B217" s="7"/>
      <c r="C217" s="13"/>
      <c r="D217" s="7"/>
      <c r="E217" s="7"/>
    </row>
    <row r="218" customFormat="false" ht="15" hidden="false" customHeight="true" outlineLevel="0" collapsed="false">
      <c r="A218" s="15"/>
      <c r="B218" s="7"/>
      <c r="C218" s="13"/>
      <c r="D218" s="7"/>
      <c r="E218" s="7"/>
    </row>
    <row r="219" customFormat="false" ht="15" hidden="false" customHeight="true" outlineLevel="0" collapsed="false">
      <c r="A219" s="15"/>
      <c r="B219" s="7"/>
      <c r="C219" s="13"/>
      <c r="D219" s="7"/>
      <c r="E219" s="7"/>
    </row>
    <row r="220" customFormat="false" ht="15" hidden="false" customHeight="true" outlineLevel="0" collapsed="false">
      <c r="A220" s="15"/>
      <c r="B220" s="7"/>
      <c r="C220" s="13"/>
      <c r="D220" s="7"/>
      <c r="E220" s="7"/>
    </row>
    <row r="221" customFormat="false" ht="15" hidden="false" customHeight="true" outlineLevel="0" collapsed="false">
      <c r="A221" s="15"/>
      <c r="B221" s="7"/>
      <c r="C221" s="13"/>
      <c r="D221" s="7"/>
      <c r="E221" s="7"/>
    </row>
    <row r="222" customFormat="false" ht="15" hidden="false" customHeight="true" outlineLevel="0" collapsed="false">
      <c r="A222" s="15"/>
      <c r="B222" s="7"/>
      <c r="C222" s="13"/>
      <c r="D222" s="7"/>
      <c r="E222" s="7"/>
    </row>
    <row r="223" customFormat="false" ht="15" hidden="false" customHeight="true" outlineLevel="0" collapsed="false">
      <c r="A223" s="15"/>
      <c r="B223" s="7"/>
      <c r="C223" s="13"/>
      <c r="D223" s="7"/>
      <c r="E223" s="7"/>
    </row>
    <row r="224" customFormat="false" ht="15" hidden="false" customHeight="true" outlineLevel="0" collapsed="false">
      <c r="A224" s="15"/>
      <c r="B224" s="7"/>
      <c r="C224" s="13"/>
      <c r="D224" s="7"/>
      <c r="E224" s="7"/>
    </row>
    <row r="225" customFormat="false" ht="15" hidden="false" customHeight="true" outlineLevel="0" collapsed="false">
      <c r="A225" s="15"/>
      <c r="B225" s="7"/>
      <c r="C225" s="13"/>
      <c r="D225" s="7"/>
      <c r="E225" s="7"/>
    </row>
    <row r="226" customFormat="false" ht="15" hidden="false" customHeight="true" outlineLevel="0" collapsed="false">
      <c r="A226" s="15"/>
      <c r="B226" s="7"/>
      <c r="C226" s="13"/>
      <c r="D226" s="7"/>
      <c r="E226" s="7"/>
    </row>
    <row r="227" customFormat="false" ht="15" hidden="false" customHeight="true" outlineLevel="0" collapsed="false">
      <c r="A227" s="15"/>
      <c r="B227" s="7"/>
      <c r="C227" s="13"/>
      <c r="D227" s="7"/>
      <c r="E227" s="7"/>
    </row>
    <row r="228" customFormat="false" ht="15" hidden="false" customHeight="true" outlineLevel="0" collapsed="false">
      <c r="A228" s="15"/>
      <c r="B228" s="7"/>
      <c r="C228" s="13"/>
      <c r="D228" s="7"/>
      <c r="E228" s="7"/>
    </row>
    <row r="229" customFormat="false" ht="15" hidden="false" customHeight="true" outlineLevel="0" collapsed="false">
      <c r="A229" s="15"/>
      <c r="B229" s="7"/>
      <c r="C229" s="13"/>
      <c r="D229" s="7"/>
      <c r="E229" s="7"/>
    </row>
    <row r="230" customFormat="false" ht="15" hidden="false" customHeight="true" outlineLevel="0" collapsed="false">
      <c r="A230" s="15"/>
      <c r="B230" s="7"/>
      <c r="C230" s="13"/>
      <c r="D230" s="7"/>
      <c r="E230" s="7"/>
    </row>
    <row r="231" customFormat="false" ht="15" hidden="false" customHeight="true" outlineLevel="0" collapsed="false">
      <c r="A231" s="15"/>
      <c r="B231" s="7"/>
      <c r="C231" s="13"/>
      <c r="D231" s="7"/>
      <c r="E231" s="7"/>
    </row>
    <row r="232" customFormat="false" ht="15" hidden="false" customHeight="true" outlineLevel="0" collapsed="false">
      <c r="A232" s="15"/>
      <c r="B232" s="7"/>
      <c r="C232" s="13"/>
      <c r="D232" s="7"/>
      <c r="E232" s="7"/>
    </row>
    <row r="233" customFormat="false" ht="15" hidden="false" customHeight="true" outlineLevel="0" collapsed="false">
      <c r="A233" s="15"/>
      <c r="B233" s="7"/>
      <c r="C233" s="13"/>
      <c r="D233" s="7"/>
      <c r="E233" s="7"/>
    </row>
    <row r="234" customFormat="false" ht="15" hidden="false" customHeight="true" outlineLevel="0" collapsed="false">
      <c r="A234" s="15"/>
      <c r="B234" s="7"/>
      <c r="C234" s="13"/>
      <c r="D234" s="7"/>
      <c r="E234" s="7"/>
    </row>
    <row r="235" customFormat="false" ht="15" hidden="false" customHeight="true" outlineLevel="0" collapsed="false">
      <c r="A235" s="15"/>
      <c r="B235" s="7"/>
      <c r="C235" s="13"/>
      <c r="D235" s="7"/>
      <c r="E235" s="7"/>
    </row>
    <row r="236" customFormat="false" ht="15" hidden="false" customHeight="true" outlineLevel="0" collapsed="false">
      <c r="A236" s="15"/>
      <c r="B236" s="7"/>
      <c r="C236" s="13"/>
      <c r="D236" s="7"/>
      <c r="E236" s="7"/>
    </row>
    <row r="237" customFormat="false" ht="15" hidden="false" customHeight="true" outlineLevel="0" collapsed="false">
      <c r="A237" s="15"/>
      <c r="B237" s="7"/>
      <c r="C237" s="13"/>
      <c r="D237" s="7"/>
      <c r="E237" s="7"/>
    </row>
    <row r="238" customFormat="false" ht="15" hidden="false" customHeight="true" outlineLevel="0" collapsed="false">
      <c r="A238" s="15"/>
      <c r="B238" s="7"/>
      <c r="C238" s="13"/>
      <c r="D238" s="7"/>
      <c r="E238" s="7"/>
    </row>
    <row r="239" customFormat="false" ht="15" hidden="false" customHeight="true" outlineLevel="0" collapsed="false">
      <c r="A239" s="15"/>
      <c r="B239" s="7"/>
      <c r="C239" s="13"/>
      <c r="D239" s="7"/>
      <c r="E239" s="7"/>
    </row>
    <row r="240" customFormat="false" ht="15" hidden="false" customHeight="true" outlineLevel="0" collapsed="false">
      <c r="A240" s="15"/>
      <c r="B240" s="7"/>
      <c r="C240" s="13"/>
      <c r="D240" s="7"/>
      <c r="E240" s="7"/>
    </row>
    <row r="241" customFormat="false" ht="15" hidden="false" customHeight="true" outlineLevel="0" collapsed="false">
      <c r="A241" s="15"/>
      <c r="B241" s="7"/>
      <c r="C241" s="13"/>
      <c r="D241" s="7"/>
      <c r="E241" s="7"/>
    </row>
    <row r="242" customFormat="false" ht="15" hidden="false" customHeight="true" outlineLevel="0" collapsed="false">
      <c r="A242" s="15"/>
      <c r="B242" s="7"/>
      <c r="C242" s="13"/>
      <c r="D242" s="7"/>
      <c r="E242" s="7"/>
    </row>
    <row r="243" customFormat="false" ht="15" hidden="false" customHeight="true" outlineLevel="0" collapsed="false">
      <c r="A243" s="15"/>
      <c r="B243" s="7"/>
      <c r="C243" s="13"/>
      <c r="D243" s="7"/>
      <c r="E243" s="7"/>
    </row>
    <row r="244" customFormat="false" ht="15" hidden="false" customHeight="true" outlineLevel="0" collapsed="false">
      <c r="A244" s="15"/>
      <c r="B244" s="7"/>
      <c r="C244" s="13"/>
      <c r="D244" s="7"/>
      <c r="E244" s="7"/>
    </row>
    <row r="245" customFormat="false" ht="15" hidden="false" customHeight="true" outlineLevel="0" collapsed="false">
      <c r="A245" s="15"/>
      <c r="B245" s="7"/>
      <c r="C245" s="13"/>
      <c r="D245" s="7"/>
      <c r="E245" s="7"/>
    </row>
    <row r="246" customFormat="false" ht="15" hidden="false" customHeight="true" outlineLevel="0" collapsed="false">
      <c r="A246" s="15"/>
      <c r="B246" s="7"/>
      <c r="C246" s="13"/>
      <c r="D246" s="7"/>
      <c r="E246" s="7"/>
    </row>
    <row r="247" customFormat="false" ht="15" hidden="false" customHeight="true" outlineLevel="0" collapsed="false">
      <c r="A247" s="15"/>
      <c r="B247" s="7"/>
      <c r="C247" s="13"/>
      <c r="D247" s="7"/>
      <c r="E247" s="7"/>
    </row>
    <row r="248" customFormat="false" ht="15" hidden="false" customHeight="true" outlineLevel="0" collapsed="false">
      <c r="A248" s="15"/>
      <c r="B248" s="7"/>
      <c r="C248" s="13"/>
      <c r="D248" s="7"/>
      <c r="E248" s="7"/>
    </row>
    <row r="249" customFormat="false" ht="15" hidden="false" customHeight="true" outlineLevel="0" collapsed="false">
      <c r="A249" s="15"/>
      <c r="B249" s="7"/>
      <c r="C249" s="13"/>
      <c r="D249" s="7"/>
      <c r="E249" s="7"/>
    </row>
    <row r="250" customFormat="false" ht="15" hidden="false" customHeight="true" outlineLevel="0" collapsed="false">
      <c r="A250" s="15"/>
      <c r="B250" s="7"/>
      <c r="C250" s="13"/>
      <c r="D250" s="7"/>
      <c r="E250" s="7"/>
    </row>
    <row r="251" customFormat="false" ht="15" hidden="false" customHeight="true" outlineLevel="0" collapsed="false">
      <c r="A251" s="15"/>
      <c r="B251" s="7"/>
      <c r="C251" s="13"/>
      <c r="D251" s="7"/>
      <c r="E251" s="7"/>
    </row>
    <row r="252" customFormat="false" ht="15" hidden="false" customHeight="true" outlineLevel="0" collapsed="false">
      <c r="A252" s="15"/>
      <c r="B252" s="7"/>
      <c r="C252" s="13"/>
      <c r="D252" s="7"/>
      <c r="E252" s="7"/>
    </row>
    <row r="253" customFormat="false" ht="15" hidden="false" customHeight="true" outlineLevel="0" collapsed="false">
      <c r="A253" s="15"/>
      <c r="B253" s="7"/>
      <c r="C253" s="13"/>
      <c r="D253" s="7"/>
      <c r="E253" s="7"/>
    </row>
    <row r="254" customFormat="false" ht="15" hidden="false" customHeight="true" outlineLevel="0" collapsed="false">
      <c r="A254" s="15"/>
      <c r="B254" s="7"/>
      <c r="C254" s="13"/>
      <c r="D254" s="7"/>
      <c r="E254" s="7"/>
    </row>
    <row r="255" customFormat="false" ht="15" hidden="false" customHeight="true" outlineLevel="0" collapsed="false">
      <c r="A255" s="15"/>
      <c r="B255" s="7"/>
      <c r="C255" s="13"/>
      <c r="D255" s="7"/>
      <c r="E255" s="7"/>
    </row>
    <row r="256" customFormat="false" ht="15" hidden="false" customHeight="true" outlineLevel="0" collapsed="false">
      <c r="A256" s="15"/>
      <c r="B256" s="7"/>
      <c r="C256" s="13"/>
      <c r="D256" s="7"/>
      <c r="E256" s="7"/>
    </row>
    <row r="257" customFormat="false" ht="15" hidden="false" customHeight="true" outlineLevel="0" collapsed="false">
      <c r="A257" s="15"/>
      <c r="B257" s="7"/>
      <c r="C257" s="13"/>
      <c r="D257" s="7"/>
      <c r="E257" s="7"/>
    </row>
    <row r="258" customFormat="false" ht="15" hidden="false" customHeight="true" outlineLevel="0" collapsed="false">
      <c r="A258" s="15"/>
      <c r="B258" s="7"/>
      <c r="C258" s="13"/>
      <c r="D258" s="7"/>
      <c r="E258" s="7"/>
    </row>
    <row r="259" customFormat="false" ht="15" hidden="false" customHeight="true" outlineLevel="0" collapsed="false">
      <c r="A259" s="15"/>
      <c r="B259" s="7"/>
      <c r="C259" s="13"/>
      <c r="D259" s="7"/>
      <c r="E259" s="7"/>
    </row>
    <row r="260" customFormat="false" ht="15" hidden="false" customHeight="true" outlineLevel="0" collapsed="false">
      <c r="A260" s="15"/>
      <c r="B260" s="7"/>
      <c r="C260" s="13"/>
      <c r="D260" s="7"/>
      <c r="E260" s="7"/>
    </row>
    <row r="261" customFormat="false" ht="15" hidden="false" customHeight="true" outlineLevel="0" collapsed="false">
      <c r="A261" s="15"/>
      <c r="B261" s="7"/>
      <c r="C261" s="13"/>
      <c r="D261" s="7"/>
      <c r="E261" s="7"/>
    </row>
    <row r="262" customFormat="false" ht="15" hidden="false" customHeight="true" outlineLevel="0" collapsed="false">
      <c r="A262" s="15"/>
      <c r="B262" s="7"/>
      <c r="C262" s="13"/>
      <c r="D262" s="7"/>
      <c r="E262" s="7"/>
    </row>
    <row r="263" customFormat="false" ht="15" hidden="false" customHeight="true" outlineLevel="0" collapsed="false">
      <c r="A263" s="15"/>
      <c r="B263" s="7"/>
      <c r="C263" s="13"/>
      <c r="D263" s="7"/>
      <c r="E263" s="7"/>
    </row>
    <row r="264" customFormat="false" ht="15" hidden="false" customHeight="true" outlineLevel="0" collapsed="false">
      <c r="A264" s="15"/>
      <c r="B264" s="7"/>
      <c r="C264" s="13"/>
      <c r="D264" s="7"/>
      <c r="E264" s="7"/>
    </row>
    <row r="265" customFormat="false" ht="15" hidden="false" customHeight="true" outlineLevel="0" collapsed="false">
      <c r="A265" s="15"/>
      <c r="B265" s="7"/>
      <c r="C265" s="13"/>
      <c r="D265" s="7"/>
      <c r="E265" s="7"/>
    </row>
    <row r="266" customFormat="false" ht="15" hidden="false" customHeight="true" outlineLevel="0" collapsed="false">
      <c r="A266" s="15"/>
      <c r="B266" s="7"/>
      <c r="C266" s="13"/>
      <c r="D266" s="7"/>
      <c r="E266" s="7"/>
    </row>
    <row r="267" customFormat="false" ht="15" hidden="false" customHeight="true" outlineLevel="0" collapsed="false">
      <c r="A267" s="15"/>
      <c r="B267" s="7"/>
      <c r="C267" s="13"/>
      <c r="D267" s="7"/>
      <c r="E267" s="7"/>
    </row>
    <row r="268" customFormat="false" ht="15" hidden="false" customHeight="true" outlineLevel="0" collapsed="false">
      <c r="A268" s="15"/>
      <c r="B268" s="7"/>
      <c r="C268" s="13"/>
      <c r="D268" s="7"/>
      <c r="E268" s="7"/>
    </row>
    <row r="269" customFormat="false" ht="15" hidden="false" customHeight="true" outlineLevel="0" collapsed="false">
      <c r="A269" s="15"/>
      <c r="B269" s="7"/>
      <c r="C269" s="13"/>
      <c r="D269" s="7"/>
      <c r="E269" s="7"/>
    </row>
    <row r="270" customFormat="false" ht="15" hidden="false" customHeight="true" outlineLevel="0" collapsed="false">
      <c r="A270" s="15"/>
      <c r="B270" s="7"/>
      <c r="C270" s="13"/>
      <c r="D270" s="7"/>
      <c r="E270" s="7"/>
    </row>
    <row r="271" customFormat="false" ht="15" hidden="false" customHeight="true" outlineLevel="0" collapsed="false">
      <c r="A271" s="15"/>
      <c r="B271" s="7"/>
      <c r="C271" s="13"/>
      <c r="D271" s="7"/>
      <c r="E271" s="7"/>
    </row>
    <row r="272" customFormat="false" ht="15" hidden="false" customHeight="true" outlineLevel="0" collapsed="false">
      <c r="A272" s="15"/>
      <c r="B272" s="7"/>
      <c r="C272" s="13"/>
      <c r="D272" s="7"/>
      <c r="E272" s="7"/>
    </row>
    <row r="273" customFormat="false" ht="15" hidden="false" customHeight="true" outlineLevel="0" collapsed="false">
      <c r="A273" s="15"/>
      <c r="B273" s="7"/>
      <c r="C273" s="13"/>
      <c r="D273" s="7"/>
      <c r="E273" s="7"/>
    </row>
    <row r="274" customFormat="false" ht="15" hidden="false" customHeight="true" outlineLevel="0" collapsed="false">
      <c r="A274" s="15"/>
      <c r="B274" s="7"/>
      <c r="C274" s="13"/>
      <c r="D274" s="7"/>
      <c r="E274" s="7"/>
    </row>
    <row r="275" customFormat="false" ht="15" hidden="false" customHeight="true" outlineLevel="0" collapsed="false">
      <c r="A275" s="15"/>
      <c r="B275" s="7"/>
      <c r="C275" s="13"/>
      <c r="D275" s="7"/>
      <c r="E275" s="7"/>
    </row>
    <row r="276" customFormat="false" ht="15" hidden="false" customHeight="true" outlineLevel="0" collapsed="false">
      <c r="A276" s="15"/>
      <c r="B276" s="7"/>
      <c r="C276" s="13"/>
      <c r="D276" s="7"/>
      <c r="E276" s="7"/>
    </row>
    <row r="277" customFormat="false" ht="15" hidden="false" customHeight="true" outlineLevel="0" collapsed="false">
      <c r="A277" s="15"/>
      <c r="B277" s="7"/>
      <c r="C277" s="13"/>
      <c r="D277" s="7"/>
      <c r="E277" s="7"/>
    </row>
    <row r="278" customFormat="false" ht="15" hidden="false" customHeight="true" outlineLevel="0" collapsed="false">
      <c r="A278" s="15"/>
      <c r="B278" s="7"/>
      <c r="C278" s="13"/>
      <c r="D278" s="7"/>
      <c r="E278" s="7"/>
    </row>
    <row r="279" customFormat="false" ht="15" hidden="false" customHeight="true" outlineLevel="0" collapsed="false">
      <c r="A279" s="15"/>
      <c r="B279" s="7"/>
      <c r="C279" s="13"/>
      <c r="D279" s="7"/>
      <c r="E279" s="7"/>
    </row>
    <row r="280" customFormat="false" ht="15" hidden="false" customHeight="true" outlineLevel="0" collapsed="false">
      <c r="A280" s="15"/>
      <c r="B280" s="7"/>
      <c r="C280" s="13"/>
      <c r="D280" s="7"/>
      <c r="E280" s="7"/>
    </row>
    <row r="281" customFormat="false" ht="15" hidden="false" customHeight="true" outlineLevel="0" collapsed="false">
      <c r="A281" s="15"/>
      <c r="B281" s="7"/>
      <c r="C281" s="13"/>
      <c r="D281" s="7"/>
      <c r="E281" s="7"/>
    </row>
    <row r="282" customFormat="false" ht="15" hidden="false" customHeight="true" outlineLevel="0" collapsed="false">
      <c r="A282" s="15"/>
      <c r="B282" s="7"/>
      <c r="C282" s="13"/>
      <c r="D282" s="7"/>
      <c r="E282" s="7"/>
    </row>
    <row r="283" customFormat="false" ht="15" hidden="false" customHeight="true" outlineLevel="0" collapsed="false">
      <c r="A283" s="15"/>
      <c r="B283" s="7"/>
      <c r="C283" s="13"/>
      <c r="D283" s="7"/>
      <c r="E283" s="7"/>
    </row>
    <row r="284" customFormat="false" ht="15" hidden="false" customHeight="true" outlineLevel="0" collapsed="false">
      <c r="A284" s="15"/>
      <c r="B284" s="7"/>
      <c r="C284" s="13"/>
      <c r="D284" s="7"/>
      <c r="E284" s="7"/>
    </row>
    <row r="285" customFormat="false" ht="15" hidden="false" customHeight="true" outlineLevel="0" collapsed="false">
      <c r="A285" s="15"/>
      <c r="B285" s="7"/>
      <c r="C285" s="13"/>
      <c r="D285" s="7"/>
      <c r="E285" s="7"/>
    </row>
    <row r="286" customFormat="false" ht="15" hidden="false" customHeight="true" outlineLevel="0" collapsed="false">
      <c r="A286" s="15"/>
      <c r="B286" s="7"/>
      <c r="C286" s="13"/>
      <c r="D286" s="7"/>
      <c r="E286" s="7"/>
    </row>
    <row r="287" customFormat="false" ht="15" hidden="false" customHeight="true" outlineLevel="0" collapsed="false">
      <c r="A287" s="15"/>
      <c r="B287" s="7"/>
      <c r="C287" s="13"/>
      <c r="D287" s="7"/>
      <c r="E287" s="7"/>
    </row>
    <row r="288" customFormat="false" ht="15" hidden="false" customHeight="true" outlineLevel="0" collapsed="false">
      <c r="A288" s="15"/>
      <c r="B288" s="7"/>
      <c r="C288" s="13"/>
      <c r="D288" s="7"/>
      <c r="E288" s="7"/>
    </row>
    <row r="289" customFormat="false" ht="15" hidden="false" customHeight="true" outlineLevel="0" collapsed="false">
      <c r="A289" s="15"/>
      <c r="B289" s="7"/>
      <c r="C289" s="13"/>
      <c r="D289" s="7"/>
      <c r="E289" s="7"/>
    </row>
    <row r="290" customFormat="false" ht="15" hidden="false" customHeight="true" outlineLevel="0" collapsed="false">
      <c r="A290" s="15"/>
      <c r="B290" s="7"/>
      <c r="C290" s="13"/>
      <c r="D290" s="7"/>
      <c r="E290" s="7"/>
    </row>
    <row r="291" customFormat="false" ht="15" hidden="false" customHeight="true" outlineLevel="0" collapsed="false">
      <c r="A291" s="15"/>
      <c r="B291" s="7"/>
      <c r="C291" s="13"/>
      <c r="D291" s="7"/>
      <c r="E291" s="7"/>
    </row>
    <row r="292" customFormat="false" ht="15" hidden="false" customHeight="true" outlineLevel="0" collapsed="false">
      <c r="A292" s="15"/>
      <c r="B292" s="7"/>
      <c r="C292" s="13"/>
      <c r="D292" s="7"/>
      <c r="E292" s="7"/>
    </row>
    <row r="293" customFormat="false" ht="15" hidden="false" customHeight="true" outlineLevel="0" collapsed="false">
      <c r="A293" s="15"/>
      <c r="B293" s="7"/>
      <c r="C293" s="13"/>
      <c r="D293" s="7"/>
      <c r="E293" s="7"/>
    </row>
    <row r="294" customFormat="false" ht="15" hidden="false" customHeight="true" outlineLevel="0" collapsed="false">
      <c r="A294" s="15"/>
      <c r="B294" s="7"/>
      <c r="C294" s="13"/>
      <c r="D294" s="7"/>
      <c r="E294" s="7"/>
    </row>
    <row r="295" customFormat="false" ht="15" hidden="false" customHeight="true" outlineLevel="0" collapsed="false">
      <c r="A295" s="15"/>
      <c r="B295" s="7"/>
      <c r="C295" s="13"/>
      <c r="D295" s="7"/>
      <c r="E295" s="7"/>
    </row>
    <row r="296" customFormat="false" ht="15" hidden="false" customHeight="true" outlineLevel="0" collapsed="false">
      <c r="A296" s="15"/>
      <c r="B296" s="7"/>
      <c r="C296" s="13"/>
      <c r="D296" s="7"/>
      <c r="E296" s="7"/>
    </row>
    <row r="297" customFormat="false" ht="15" hidden="false" customHeight="true" outlineLevel="0" collapsed="false">
      <c r="A297" s="15"/>
      <c r="B297" s="7"/>
      <c r="C297" s="13"/>
      <c r="D297" s="7"/>
      <c r="E297" s="7"/>
    </row>
    <row r="298" customFormat="false" ht="15" hidden="false" customHeight="true" outlineLevel="0" collapsed="false">
      <c r="A298" s="15"/>
      <c r="B298" s="7"/>
      <c r="C298" s="13"/>
      <c r="D298" s="7"/>
      <c r="E298" s="7"/>
    </row>
    <row r="299" customFormat="false" ht="15" hidden="false" customHeight="true" outlineLevel="0" collapsed="false">
      <c r="A299" s="15"/>
      <c r="B299" s="7"/>
      <c r="C299" s="13"/>
      <c r="D299" s="7"/>
      <c r="E299" s="7"/>
    </row>
    <row r="300" customFormat="false" ht="15" hidden="false" customHeight="true" outlineLevel="0" collapsed="false">
      <c r="A300" s="15"/>
      <c r="B300" s="7"/>
      <c r="C300" s="13"/>
      <c r="D300" s="7"/>
      <c r="E300" s="7"/>
    </row>
    <row r="301" customFormat="false" ht="15" hidden="false" customHeight="true" outlineLevel="0" collapsed="false">
      <c r="A301" s="15"/>
      <c r="B301" s="7"/>
      <c r="C301" s="13"/>
      <c r="D301" s="7"/>
      <c r="E301" s="7"/>
    </row>
    <row r="302" customFormat="false" ht="15" hidden="false" customHeight="true" outlineLevel="0" collapsed="false">
      <c r="A302" s="15"/>
      <c r="B302" s="7"/>
      <c r="C302" s="13"/>
      <c r="D302" s="7"/>
      <c r="E302" s="7"/>
    </row>
    <row r="303" customFormat="false" ht="15" hidden="false" customHeight="true" outlineLevel="0" collapsed="false">
      <c r="A303" s="15"/>
      <c r="B303" s="7"/>
      <c r="C303" s="13"/>
      <c r="D303" s="7"/>
      <c r="E303" s="7"/>
    </row>
    <row r="304" customFormat="false" ht="15" hidden="false" customHeight="true" outlineLevel="0" collapsed="false">
      <c r="A304" s="15"/>
      <c r="B304" s="7"/>
      <c r="C304" s="13"/>
      <c r="D304" s="7"/>
      <c r="E304" s="7"/>
    </row>
    <row r="305" customFormat="false" ht="15" hidden="false" customHeight="true" outlineLevel="0" collapsed="false">
      <c r="A305" s="15"/>
      <c r="B305" s="7"/>
      <c r="C305" s="13"/>
      <c r="D305" s="7"/>
      <c r="E305" s="7"/>
    </row>
    <row r="306" customFormat="false" ht="15" hidden="false" customHeight="true" outlineLevel="0" collapsed="false">
      <c r="A306" s="15"/>
      <c r="B306" s="7"/>
      <c r="C306" s="13"/>
      <c r="D306" s="7"/>
      <c r="E306" s="7"/>
    </row>
    <row r="307" customFormat="false" ht="15" hidden="false" customHeight="true" outlineLevel="0" collapsed="false">
      <c r="A307" s="15"/>
      <c r="B307" s="7"/>
      <c r="C307" s="13"/>
      <c r="D307" s="7"/>
      <c r="E307" s="7"/>
    </row>
    <row r="308" customFormat="false" ht="15" hidden="false" customHeight="true" outlineLevel="0" collapsed="false">
      <c r="A308" s="15"/>
      <c r="B308" s="7"/>
      <c r="C308" s="13"/>
      <c r="D308" s="7"/>
      <c r="E308" s="7"/>
    </row>
    <row r="309" customFormat="false" ht="15" hidden="false" customHeight="true" outlineLevel="0" collapsed="false">
      <c r="A309" s="15"/>
      <c r="B309" s="7"/>
      <c r="C309" s="13"/>
      <c r="D309" s="7"/>
      <c r="E309" s="7"/>
    </row>
    <row r="310" customFormat="false" ht="15" hidden="false" customHeight="true" outlineLevel="0" collapsed="false">
      <c r="A310" s="15"/>
      <c r="B310" s="7"/>
      <c r="C310" s="13"/>
      <c r="D310" s="7"/>
      <c r="E310" s="7"/>
    </row>
    <row r="311" customFormat="false" ht="15" hidden="false" customHeight="true" outlineLevel="0" collapsed="false">
      <c r="A311" s="15"/>
      <c r="B311" s="7"/>
      <c r="C311" s="13"/>
      <c r="D311" s="7"/>
      <c r="E311" s="7"/>
    </row>
    <row r="312" customFormat="false" ht="15" hidden="false" customHeight="true" outlineLevel="0" collapsed="false">
      <c r="A312" s="15"/>
      <c r="B312" s="7"/>
      <c r="C312" s="13"/>
      <c r="D312" s="7"/>
      <c r="E312" s="7"/>
    </row>
    <row r="313" customFormat="false" ht="15" hidden="false" customHeight="true" outlineLevel="0" collapsed="false">
      <c r="A313" s="15"/>
      <c r="B313" s="7"/>
      <c r="C313" s="13"/>
      <c r="D313" s="7"/>
      <c r="E313" s="7"/>
    </row>
    <row r="314" customFormat="false" ht="15" hidden="false" customHeight="true" outlineLevel="0" collapsed="false">
      <c r="A314" s="15"/>
      <c r="B314" s="7"/>
      <c r="C314" s="13"/>
      <c r="D314" s="7"/>
      <c r="E314" s="7"/>
    </row>
    <row r="315" customFormat="false" ht="15" hidden="false" customHeight="true" outlineLevel="0" collapsed="false">
      <c r="A315" s="15"/>
      <c r="B315" s="7"/>
      <c r="C315" s="13"/>
      <c r="D315" s="7"/>
      <c r="E315" s="7"/>
    </row>
    <row r="316" customFormat="false" ht="15" hidden="false" customHeight="true" outlineLevel="0" collapsed="false">
      <c r="A316" s="15"/>
      <c r="B316" s="7"/>
      <c r="C316" s="13"/>
      <c r="D316" s="7"/>
      <c r="E316" s="7"/>
    </row>
    <row r="317" customFormat="false" ht="15" hidden="false" customHeight="true" outlineLevel="0" collapsed="false">
      <c r="A317" s="15"/>
      <c r="B317" s="7"/>
      <c r="C317" s="13"/>
      <c r="D317" s="7"/>
      <c r="E317" s="7"/>
    </row>
    <row r="318" customFormat="false" ht="15" hidden="false" customHeight="true" outlineLevel="0" collapsed="false">
      <c r="A318" s="15"/>
      <c r="B318" s="7"/>
      <c r="C318" s="13"/>
      <c r="D318" s="7"/>
      <c r="E318" s="7"/>
    </row>
    <row r="319" customFormat="false" ht="15" hidden="false" customHeight="true" outlineLevel="0" collapsed="false">
      <c r="A319" s="15"/>
      <c r="B319" s="7"/>
      <c r="C319" s="13"/>
      <c r="D319" s="7"/>
      <c r="E319" s="7"/>
    </row>
    <row r="320" customFormat="false" ht="15" hidden="false" customHeight="true" outlineLevel="0" collapsed="false">
      <c r="A320" s="15"/>
      <c r="B320" s="7"/>
      <c r="C320" s="13"/>
      <c r="D320" s="7"/>
      <c r="E320" s="7"/>
    </row>
    <row r="321" customFormat="false" ht="15" hidden="false" customHeight="true" outlineLevel="0" collapsed="false">
      <c r="A321" s="15"/>
      <c r="B321" s="7"/>
      <c r="C321" s="13"/>
      <c r="D321" s="7"/>
      <c r="E321" s="7"/>
    </row>
    <row r="322" customFormat="false" ht="15" hidden="false" customHeight="true" outlineLevel="0" collapsed="false">
      <c r="A322" s="15"/>
      <c r="B322" s="7"/>
      <c r="C322" s="13"/>
      <c r="D322" s="7"/>
      <c r="E322" s="7"/>
    </row>
    <row r="323" customFormat="false" ht="15" hidden="false" customHeight="true" outlineLevel="0" collapsed="false">
      <c r="A323" s="15"/>
      <c r="B323" s="7"/>
      <c r="C323" s="13"/>
      <c r="D323" s="7"/>
      <c r="E323" s="7"/>
    </row>
    <row r="324" customFormat="false" ht="15" hidden="false" customHeight="true" outlineLevel="0" collapsed="false">
      <c r="A324" s="15"/>
      <c r="B324" s="7"/>
      <c r="C324" s="13"/>
      <c r="D324" s="7"/>
      <c r="E324" s="7"/>
    </row>
    <row r="325" customFormat="false" ht="15" hidden="false" customHeight="true" outlineLevel="0" collapsed="false">
      <c r="A325" s="15"/>
      <c r="B325" s="7"/>
      <c r="C325" s="13"/>
      <c r="D325" s="7"/>
      <c r="E325" s="7"/>
    </row>
    <row r="326" customFormat="false" ht="15" hidden="false" customHeight="true" outlineLevel="0" collapsed="false">
      <c r="A326" s="15"/>
      <c r="B326" s="7"/>
      <c r="C326" s="13"/>
      <c r="D326" s="7"/>
      <c r="E326" s="7"/>
    </row>
    <row r="327" customFormat="false" ht="15" hidden="false" customHeight="true" outlineLevel="0" collapsed="false">
      <c r="A327" s="15"/>
      <c r="B327" s="7"/>
      <c r="C327" s="13"/>
      <c r="D327" s="7"/>
      <c r="E327" s="7"/>
    </row>
    <row r="328" customFormat="false" ht="15" hidden="false" customHeight="true" outlineLevel="0" collapsed="false">
      <c r="A328" s="15"/>
      <c r="B328" s="7"/>
      <c r="C328" s="13"/>
      <c r="D328" s="7"/>
      <c r="E328" s="7"/>
    </row>
    <row r="329" customFormat="false" ht="15" hidden="false" customHeight="true" outlineLevel="0" collapsed="false">
      <c r="A329" s="15"/>
      <c r="B329" s="7"/>
      <c r="C329" s="13"/>
      <c r="D329" s="7"/>
      <c r="E329" s="7"/>
    </row>
    <row r="330" customFormat="false" ht="15" hidden="false" customHeight="true" outlineLevel="0" collapsed="false">
      <c r="A330" s="15"/>
      <c r="B330" s="7"/>
      <c r="C330" s="13"/>
      <c r="D330" s="7"/>
      <c r="E330" s="7"/>
    </row>
    <row r="331" customFormat="false" ht="15" hidden="false" customHeight="true" outlineLevel="0" collapsed="false">
      <c r="A331" s="15"/>
      <c r="B331" s="7"/>
      <c r="C331" s="13"/>
      <c r="D331" s="7"/>
      <c r="E331" s="7"/>
    </row>
    <row r="332" customFormat="false" ht="15" hidden="false" customHeight="true" outlineLevel="0" collapsed="false">
      <c r="A332" s="15"/>
      <c r="B332" s="7"/>
      <c r="C332" s="13"/>
      <c r="D332" s="7"/>
      <c r="E332" s="7"/>
    </row>
    <row r="333" customFormat="false" ht="15" hidden="false" customHeight="true" outlineLevel="0" collapsed="false">
      <c r="A333" s="15"/>
      <c r="B333" s="7"/>
      <c r="C333" s="13"/>
      <c r="D333" s="7"/>
      <c r="E333" s="7"/>
    </row>
    <row r="334" customFormat="false" ht="15" hidden="false" customHeight="true" outlineLevel="0" collapsed="false">
      <c r="A334" s="15"/>
      <c r="B334" s="7"/>
      <c r="C334" s="13"/>
      <c r="D334" s="7"/>
      <c r="E334" s="7"/>
    </row>
    <row r="335" customFormat="false" ht="15" hidden="false" customHeight="true" outlineLevel="0" collapsed="false">
      <c r="A335" s="15"/>
      <c r="B335" s="7"/>
      <c r="C335" s="13"/>
      <c r="D335" s="7"/>
      <c r="E335" s="7"/>
    </row>
    <row r="336" customFormat="false" ht="15" hidden="false" customHeight="true" outlineLevel="0" collapsed="false">
      <c r="A336" s="15"/>
      <c r="B336" s="7"/>
      <c r="C336" s="13"/>
      <c r="D336" s="7"/>
      <c r="E336" s="7"/>
    </row>
    <row r="337" customFormat="false" ht="15" hidden="false" customHeight="true" outlineLevel="0" collapsed="false">
      <c r="A337" s="15"/>
      <c r="B337" s="7"/>
      <c r="C337" s="13"/>
      <c r="D337" s="7"/>
      <c r="E337" s="7"/>
    </row>
    <row r="338" customFormat="false" ht="15" hidden="false" customHeight="true" outlineLevel="0" collapsed="false">
      <c r="A338" s="15"/>
      <c r="B338" s="7"/>
      <c r="C338" s="13"/>
      <c r="D338" s="7"/>
      <c r="E338" s="7"/>
    </row>
    <row r="339" customFormat="false" ht="15" hidden="false" customHeight="true" outlineLevel="0" collapsed="false">
      <c r="A339" s="15"/>
      <c r="B339" s="7"/>
      <c r="C339" s="13"/>
      <c r="D339" s="7"/>
      <c r="E339" s="7"/>
    </row>
    <row r="340" customFormat="false" ht="15" hidden="false" customHeight="true" outlineLevel="0" collapsed="false">
      <c r="A340" s="15"/>
      <c r="B340" s="7"/>
      <c r="C340" s="13"/>
      <c r="D340" s="7"/>
      <c r="E340" s="7"/>
    </row>
    <row r="341" customFormat="false" ht="15" hidden="false" customHeight="true" outlineLevel="0" collapsed="false">
      <c r="A341" s="15"/>
      <c r="B341" s="7"/>
      <c r="C341" s="13"/>
      <c r="D341" s="7"/>
      <c r="E341" s="7"/>
    </row>
    <row r="342" customFormat="false" ht="15" hidden="false" customHeight="true" outlineLevel="0" collapsed="false">
      <c r="A342" s="15"/>
      <c r="B342" s="7"/>
      <c r="C342" s="13"/>
      <c r="D342" s="7"/>
      <c r="E342" s="7"/>
    </row>
    <row r="343" customFormat="false" ht="15" hidden="false" customHeight="true" outlineLevel="0" collapsed="false">
      <c r="A343" s="15"/>
      <c r="B343" s="7"/>
      <c r="C343" s="13"/>
      <c r="D343" s="7"/>
      <c r="E343" s="7"/>
    </row>
    <row r="344" customFormat="false" ht="15" hidden="false" customHeight="true" outlineLevel="0" collapsed="false">
      <c r="A344" s="15"/>
      <c r="B344" s="7"/>
      <c r="C344" s="13"/>
      <c r="D344" s="7"/>
      <c r="E344" s="7"/>
    </row>
    <row r="345" customFormat="false" ht="15" hidden="false" customHeight="true" outlineLevel="0" collapsed="false">
      <c r="A345" s="15"/>
      <c r="B345" s="7"/>
      <c r="C345" s="13"/>
      <c r="D345" s="7"/>
      <c r="E345" s="7"/>
    </row>
    <row r="346" customFormat="false" ht="15" hidden="false" customHeight="true" outlineLevel="0" collapsed="false">
      <c r="A346" s="15"/>
      <c r="B346" s="7"/>
      <c r="C346" s="13"/>
      <c r="D346" s="7"/>
      <c r="E346" s="7"/>
    </row>
    <row r="347" customFormat="false" ht="15" hidden="false" customHeight="true" outlineLevel="0" collapsed="false">
      <c r="A347" s="15"/>
      <c r="B347" s="7"/>
      <c r="C347" s="13"/>
      <c r="D347" s="7"/>
      <c r="E347" s="7"/>
    </row>
    <row r="348" customFormat="false" ht="15" hidden="false" customHeight="true" outlineLevel="0" collapsed="false">
      <c r="A348" s="15"/>
      <c r="B348" s="7"/>
      <c r="C348" s="13"/>
      <c r="D348" s="7"/>
      <c r="E348" s="7"/>
    </row>
    <row r="349" customFormat="false" ht="15" hidden="false" customHeight="true" outlineLevel="0" collapsed="false">
      <c r="A349" s="15"/>
      <c r="B349" s="7"/>
      <c r="C349" s="13"/>
      <c r="D349" s="7"/>
      <c r="E349" s="7"/>
    </row>
    <row r="350" customFormat="false" ht="15" hidden="false" customHeight="true" outlineLevel="0" collapsed="false">
      <c r="A350" s="15"/>
      <c r="B350" s="7"/>
      <c r="C350" s="13"/>
      <c r="D350" s="7"/>
      <c r="E350" s="7"/>
    </row>
    <row r="351" customFormat="false" ht="15" hidden="false" customHeight="true" outlineLevel="0" collapsed="false">
      <c r="A351" s="15"/>
      <c r="B351" s="7"/>
      <c r="C351" s="13"/>
      <c r="D351" s="7"/>
      <c r="E351" s="7"/>
    </row>
    <row r="352" customFormat="false" ht="15" hidden="false" customHeight="true" outlineLevel="0" collapsed="false">
      <c r="A352" s="15"/>
      <c r="B352" s="7"/>
      <c r="C352" s="13"/>
      <c r="D352" s="7"/>
      <c r="E352" s="7"/>
    </row>
    <row r="353" customFormat="false" ht="15" hidden="false" customHeight="true" outlineLevel="0" collapsed="false">
      <c r="A353" s="15"/>
      <c r="B353" s="7"/>
      <c r="C353" s="13"/>
      <c r="D353" s="7"/>
      <c r="E353" s="7"/>
    </row>
    <row r="354" customFormat="false" ht="15" hidden="false" customHeight="true" outlineLevel="0" collapsed="false">
      <c r="A354" s="15"/>
      <c r="B354" s="7"/>
      <c r="C354" s="13"/>
      <c r="D354" s="7"/>
      <c r="E354" s="7"/>
    </row>
    <row r="355" customFormat="false" ht="15" hidden="false" customHeight="true" outlineLevel="0" collapsed="false">
      <c r="A355" s="15"/>
      <c r="B355" s="7"/>
      <c r="C355" s="13"/>
      <c r="D355" s="7"/>
      <c r="E355" s="7"/>
    </row>
    <row r="356" customFormat="false" ht="15" hidden="false" customHeight="true" outlineLevel="0" collapsed="false">
      <c r="A356" s="15"/>
      <c r="B356" s="7"/>
      <c r="C356" s="13"/>
      <c r="D356" s="7"/>
      <c r="E356" s="7"/>
    </row>
    <row r="357" customFormat="false" ht="15" hidden="false" customHeight="true" outlineLevel="0" collapsed="false">
      <c r="A357" s="15"/>
      <c r="B357" s="7"/>
      <c r="C357" s="13"/>
      <c r="D357" s="7"/>
      <c r="E357" s="7"/>
    </row>
    <row r="358" customFormat="false" ht="15" hidden="false" customHeight="true" outlineLevel="0" collapsed="false">
      <c r="A358" s="15"/>
      <c r="B358" s="7"/>
      <c r="C358" s="13"/>
      <c r="D358" s="7"/>
      <c r="E358" s="7"/>
    </row>
    <row r="359" customFormat="false" ht="15" hidden="false" customHeight="true" outlineLevel="0" collapsed="false">
      <c r="A359" s="15"/>
      <c r="B359" s="7"/>
      <c r="C359" s="13"/>
      <c r="D359" s="7"/>
      <c r="E359" s="7"/>
    </row>
    <row r="360" customFormat="false" ht="15" hidden="false" customHeight="true" outlineLevel="0" collapsed="false">
      <c r="A360" s="15"/>
      <c r="B360" s="7"/>
      <c r="C360" s="13"/>
      <c r="D360" s="7"/>
      <c r="E360" s="7"/>
    </row>
    <row r="361" customFormat="false" ht="15" hidden="false" customHeight="true" outlineLevel="0" collapsed="false">
      <c r="A361" s="15"/>
      <c r="B361" s="7"/>
      <c r="C361" s="13"/>
      <c r="D361" s="7"/>
      <c r="E361" s="7"/>
    </row>
    <row r="362" customFormat="false" ht="15" hidden="false" customHeight="true" outlineLevel="0" collapsed="false">
      <c r="A362" s="15"/>
      <c r="B362" s="7"/>
      <c r="C362" s="13"/>
      <c r="D362" s="7"/>
      <c r="E362" s="7"/>
    </row>
    <row r="363" customFormat="false" ht="15" hidden="false" customHeight="true" outlineLevel="0" collapsed="false">
      <c r="A363" s="15"/>
      <c r="B363" s="7"/>
      <c r="C363" s="13"/>
      <c r="D363" s="7"/>
      <c r="E363" s="7"/>
    </row>
    <row r="364" customFormat="false" ht="15" hidden="false" customHeight="true" outlineLevel="0" collapsed="false">
      <c r="A364" s="15"/>
      <c r="B364" s="7"/>
      <c r="C364" s="13"/>
      <c r="D364" s="7"/>
      <c r="E364" s="7"/>
    </row>
    <row r="365" customFormat="false" ht="15" hidden="false" customHeight="true" outlineLevel="0" collapsed="false">
      <c r="A365" s="15"/>
      <c r="B365" s="7"/>
      <c r="C365" s="13"/>
      <c r="D365" s="7"/>
      <c r="E365" s="7"/>
    </row>
    <row r="366" customFormat="false" ht="15" hidden="false" customHeight="true" outlineLevel="0" collapsed="false">
      <c r="A366" s="15"/>
      <c r="B366" s="7"/>
      <c r="C366" s="13"/>
      <c r="D366" s="7"/>
      <c r="E366" s="7"/>
    </row>
    <row r="367" customFormat="false" ht="15" hidden="false" customHeight="true" outlineLevel="0" collapsed="false">
      <c r="A367" s="15"/>
      <c r="B367" s="7"/>
      <c r="C367" s="13"/>
      <c r="D367" s="7"/>
      <c r="E367" s="7"/>
    </row>
    <row r="368" customFormat="false" ht="15" hidden="false" customHeight="true" outlineLevel="0" collapsed="false">
      <c r="A368" s="15"/>
      <c r="B368" s="7"/>
      <c r="C368" s="13"/>
      <c r="D368" s="7"/>
      <c r="E368" s="7"/>
    </row>
    <row r="369" customFormat="false" ht="15" hidden="false" customHeight="true" outlineLevel="0" collapsed="false">
      <c r="A369" s="15"/>
      <c r="B369" s="7"/>
      <c r="C369" s="13"/>
      <c r="D369" s="7"/>
      <c r="E369" s="7"/>
    </row>
    <row r="370" customFormat="false" ht="15" hidden="false" customHeight="true" outlineLevel="0" collapsed="false">
      <c r="A370" s="15"/>
      <c r="B370" s="7"/>
      <c r="C370" s="13"/>
      <c r="D370" s="7"/>
      <c r="E370" s="7"/>
    </row>
    <row r="371" customFormat="false" ht="15" hidden="false" customHeight="true" outlineLevel="0" collapsed="false">
      <c r="A371" s="15"/>
      <c r="B371" s="7"/>
      <c r="C371" s="13"/>
      <c r="D371" s="7"/>
      <c r="E371" s="7"/>
    </row>
    <row r="372" customFormat="false" ht="15" hidden="false" customHeight="true" outlineLevel="0" collapsed="false">
      <c r="A372" s="15"/>
      <c r="B372" s="7"/>
      <c r="C372" s="13"/>
      <c r="D372" s="7"/>
      <c r="E372" s="7"/>
    </row>
    <row r="373" customFormat="false" ht="15" hidden="false" customHeight="true" outlineLevel="0" collapsed="false">
      <c r="A373" s="15"/>
      <c r="B373" s="7"/>
      <c r="C373" s="13"/>
      <c r="D373" s="7"/>
      <c r="E373" s="7"/>
    </row>
    <row r="374" customFormat="false" ht="15" hidden="false" customHeight="true" outlineLevel="0" collapsed="false">
      <c r="A374" s="15"/>
      <c r="B374" s="7"/>
      <c r="C374" s="13"/>
      <c r="D374" s="7"/>
      <c r="E374" s="7"/>
    </row>
    <row r="375" customFormat="false" ht="15" hidden="false" customHeight="true" outlineLevel="0" collapsed="false">
      <c r="A375" s="15"/>
      <c r="B375" s="7"/>
      <c r="C375" s="13"/>
      <c r="D375" s="7"/>
      <c r="E375" s="7"/>
    </row>
    <row r="376" customFormat="false" ht="15" hidden="false" customHeight="true" outlineLevel="0" collapsed="false">
      <c r="A376" s="15"/>
      <c r="B376" s="7"/>
      <c r="C376" s="13"/>
      <c r="D376" s="7"/>
      <c r="E376" s="7"/>
    </row>
    <row r="377" customFormat="false" ht="15" hidden="false" customHeight="true" outlineLevel="0" collapsed="false">
      <c r="A377" s="15"/>
      <c r="B377" s="7"/>
      <c r="C377" s="13"/>
      <c r="D377" s="7"/>
      <c r="E377" s="7"/>
    </row>
    <row r="378" customFormat="false" ht="15" hidden="false" customHeight="true" outlineLevel="0" collapsed="false">
      <c r="A378" s="15"/>
      <c r="B378" s="7"/>
      <c r="C378" s="13"/>
      <c r="D378" s="7"/>
      <c r="E378" s="7"/>
    </row>
    <row r="379" customFormat="false" ht="15" hidden="false" customHeight="true" outlineLevel="0" collapsed="false">
      <c r="A379" s="15"/>
      <c r="B379" s="7"/>
      <c r="C379" s="13"/>
      <c r="D379" s="7"/>
      <c r="E379" s="7"/>
    </row>
    <row r="380" customFormat="false" ht="15" hidden="false" customHeight="true" outlineLevel="0" collapsed="false">
      <c r="A380" s="15"/>
      <c r="B380" s="7"/>
      <c r="C380" s="13"/>
      <c r="D380" s="7"/>
      <c r="E380" s="7"/>
    </row>
    <row r="381" customFormat="false" ht="15" hidden="false" customHeight="true" outlineLevel="0" collapsed="false">
      <c r="A381" s="15"/>
      <c r="B381" s="7"/>
      <c r="C381" s="13"/>
      <c r="D381" s="7"/>
      <c r="E381" s="7"/>
    </row>
    <row r="382" customFormat="false" ht="15" hidden="false" customHeight="true" outlineLevel="0" collapsed="false">
      <c r="A382" s="15"/>
      <c r="B382" s="7"/>
      <c r="C382" s="13"/>
      <c r="D382" s="7"/>
      <c r="E382" s="7"/>
    </row>
    <row r="383" customFormat="false" ht="15" hidden="false" customHeight="true" outlineLevel="0" collapsed="false">
      <c r="A383" s="15"/>
      <c r="B383" s="7"/>
      <c r="C383" s="13"/>
      <c r="D383" s="7"/>
      <c r="E383" s="7"/>
    </row>
    <row r="384" customFormat="false" ht="15" hidden="false" customHeight="true" outlineLevel="0" collapsed="false">
      <c r="A384" s="15"/>
      <c r="B384" s="7"/>
      <c r="C384" s="13"/>
      <c r="D384" s="7"/>
      <c r="E384" s="7"/>
    </row>
    <row r="385" customFormat="false" ht="15" hidden="false" customHeight="true" outlineLevel="0" collapsed="false">
      <c r="A385" s="15"/>
      <c r="B385" s="7"/>
      <c r="C385" s="13"/>
      <c r="D385" s="7"/>
      <c r="E385" s="7"/>
    </row>
    <row r="386" customFormat="false" ht="15" hidden="false" customHeight="true" outlineLevel="0" collapsed="false">
      <c r="A386" s="15"/>
      <c r="B386" s="7"/>
      <c r="C386" s="13"/>
      <c r="D386" s="7"/>
      <c r="E386" s="7"/>
    </row>
    <row r="387" customFormat="false" ht="15" hidden="false" customHeight="true" outlineLevel="0" collapsed="false">
      <c r="A387" s="15"/>
      <c r="B387" s="7"/>
      <c r="C387" s="13"/>
      <c r="D387" s="7"/>
      <c r="E387" s="7"/>
    </row>
    <row r="388" customFormat="false" ht="15" hidden="false" customHeight="true" outlineLevel="0" collapsed="false">
      <c r="A388" s="15"/>
      <c r="B388" s="7"/>
      <c r="C388" s="13"/>
      <c r="D388" s="7"/>
      <c r="E388" s="7"/>
    </row>
    <row r="389" customFormat="false" ht="15" hidden="false" customHeight="true" outlineLevel="0" collapsed="false">
      <c r="A389" s="15"/>
      <c r="B389" s="7"/>
      <c r="C389" s="13"/>
      <c r="D389" s="7"/>
      <c r="E389" s="7"/>
    </row>
    <row r="390" customFormat="false" ht="15" hidden="false" customHeight="true" outlineLevel="0" collapsed="false">
      <c r="A390" s="15"/>
      <c r="B390" s="7"/>
      <c r="C390" s="13"/>
      <c r="D390" s="7"/>
      <c r="E390" s="7"/>
    </row>
    <row r="391" customFormat="false" ht="15" hidden="false" customHeight="true" outlineLevel="0" collapsed="false">
      <c r="A391" s="15"/>
      <c r="B391" s="7"/>
      <c r="C391" s="13"/>
      <c r="D391" s="7"/>
      <c r="E391" s="7"/>
    </row>
    <row r="392" customFormat="false" ht="15" hidden="false" customHeight="true" outlineLevel="0" collapsed="false">
      <c r="A392" s="15"/>
      <c r="B392" s="7"/>
      <c r="C392" s="13"/>
      <c r="D392" s="7"/>
      <c r="E392" s="7"/>
    </row>
    <row r="393" customFormat="false" ht="15" hidden="false" customHeight="true" outlineLevel="0" collapsed="false">
      <c r="A393" s="15"/>
      <c r="B393" s="7"/>
      <c r="C393" s="13"/>
      <c r="D393" s="7"/>
      <c r="E393" s="7"/>
    </row>
    <row r="394" customFormat="false" ht="15" hidden="false" customHeight="true" outlineLevel="0" collapsed="false">
      <c r="A394" s="15"/>
      <c r="B394" s="7"/>
      <c r="C394" s="13"/>
      <c r="D394" s="7"/>
      <c r="E394" s="7"/>
    </row>
    <row r="395" customFormat="false" ht="15" hidden="false" customHeight="true" outlineLevel="0" collapsed="false">
      <c r="A395" s="15"/>
      <c r="B395" s="7"/>
      <c r="C395" s="13"/>
      <c r="D395" s="7"/>
      <c r="E395" s="7"/>
    </row>
    <row r="396" customFormat="false" ht="15" hidden="false" customHeight="true" outlineLevel="0" collapsed="false">
      <c r="A396" s="15"/>
      <c r="B396" s="7"/>
      <c r="C396" s="13"/>
      <c r="D396" s="7"/>
      <c r="E396" s="7"/>
    </row>
    <row r="397" customFormat="false" ht="15" hidden="false" customHeight="true" outlineLevel="0" collapsed="false">
      <c r="A397" s="15"/>
      <c r="B397" s="7"/>
      <c r="C397" s="13"/>
      <c r="D397" s="7"/>
      <c r="E397" s="7"/>
    </row>
    <row r="398" customFormat="false" ht="15" hidden="false" customHeight="true" outlineLevel="0" collapsed="false">
      <c r="A398" s="15"/>
      <c r="B398" s="7"/>
      <c r="C398" s="13"/>
      <c r="D398" s="7"/>
      <c r="E398" s="7"/>
    </row>
    <row r="399" customFormat="false" ht="15" hidden="false" customHeight="true" outlineLevel="0" collapsed="false">
      <c r="A399" s="15"/>
      <c r="B399" s="7"/>
      <c r="C399" s="13"/>
      <c r="D399" s="7"/>
      <c r="E399" s="7"/>
    </row>
    <row r="400" customFormat="false" ht="15" hidden="false" customHeight="true" outlineLevel="0" collapsed="false">
      <c r="A400" s="15"/>
      <c r="B400" s="7"/>
      <c r="C400" s="13"/>
      <c r="D400" s="7"/>
      <c r="E400" s="7"/>
    </row>
    <row r="401" customFormat="false" ht="15" hidden="false" customHeight="true" outlineLevel="0" collapsed="false">
      <c r="A401" s="15"/>
      <c r="B401" s="7"/>
      <c r="C401" s="13"/>
      <c r="D401" s="7"/>
      <c r="E401" s="7"/>
    </row>
    <row r="402" customFormat="false" ht="15" hidden="false" customHeight="true" outlineLevel="0" collapsed="false">
      <c r="A402" s="15"/>
      <c r="B402" s="7"/>
      <c r="C402" s="13"/>
      <c r="D402" s="7"/>
      <c r="E402" s="7"/>
    </row>
    <row r="403" customFormat="false" ht="15" hidden="false" customHeight="true" outlineLevel="0" collapsed="false">
      <c r="A403" s="15"/>
      <c r="B403" s="7"/>
      <c r="C403" s="13"/>
      <c r="D403" s="7"/>
      <c r="E403" s="7"/>
    </row>
    <row r="404" customFormat="false" ht="15" hidden="false" customHeight="true" outlineLevel="0" collapsed="false">
      <c r="A404" s="15"/>
      <c r="B404" s="7"/>
      <c r="C404" s="13"/>
      <c r="D404" s="7"/>
      <c r="E404" s="7"/>
    </row>
    <row r="405" customFormat="false" ht="15" hidden="false" customHeight="true" outlineLevel="0" collapsed="false">
      <c r="A405" s="15"/>
      <c r="B405" s="7"/>
      <c r="C405" s="13"/>
      <c r="D405" s="7"/>
      <c r="E405" s="7"/>
    </row>
    <row r="406" customFormat="false" ht="15" hidden="false" customHeight="true" outlineLevel="0" collapsed="false">
      <c r="A406" s="15"/>
      <c r="B406" s="7"/>
      <c r="C406" s="13"/>
      <c r="D406" s="7"/>
      <c r="E406" s="7"/>
    </row>
    <row r="407" customFormat="false" ht="15" hidden="false" customHeight="true" outlineLevel="0" collapsed="false">
      <c r="A407" s="15"/>
      <c r="B407" s="7"/>
      <c r="C407" s="13"/>
      <c r="D407" s="7"/>
      <c r="E407" s="7"/>
    </row>
    <row r="408" customFormat="false" ht="15" hidden="false" customHeight="true" outlineLevel="0" collapsed="false">
      <c r="A408" s="15"/>
      <c r="B408" s="7"/>
      <c r="C408" s="13"/>
      <c r="D408" s="7"/>
      <c r="E408" s="7"/>
    </row>
    <row r="409" customFormat="false" ht="15" hidden="false" customHeight="true" outlineLevel="0" collapsed="false">
      <c r="A409" s="15"/>
      <c r="B409" s="7"/>
      <c r="C409" s="13"/>
      <c r="D409" s="7"/>
      <c r="E409" s="7"/>
    </row>
    <row r="410" customFormat="false" ht="15" hidden="false" customHeight="true" outlineLevel="0" collapsed="false">
      <c r="A410" s="15"/>
      <c r="B410" s="7"/>
      <c r="C410" s="13"/>
      <c r="D410" s="7"/>
      <c r="E410" s="7"/>
    </row>
    <row r="411" customFormat="false" ht="15" hidden="false" customHeight="true" outlineLevel="0" collapsed="false">
      <c r="A411" s="15"/>
      <c r="B411" s="7"/>
      <c r="C411" s="13"/>
      <c r="D411" s="7"/>
      <c r="E411" s="7"/>
    </row>
    <row r="412" customFormat="false" ht="15" hidden="false" customHeight="true" outlineLevel="0" collapsed="false">
      <c r="A412" s="15"/>
      <c r="B412" s="7"/>
      <c r="C412" s="13"/>
      <c r="D412" s="7"/>
      <c r="E412" s="7"/>
    </row>
    <row r="413" customFormat="false" ht="15" hidden="false" customHeight="true" outlineLevel="0" collapsed="false">
      <c r="A413" s="15"/>
      <c r="B413" s="7"/>
      <c r="C413" s="13"/>
      <c r="D413" s="7"/>
      <c r="E413" s="7"/>
    </row>
    <row r="414" customFormat="false" ht="15" hidden="false" customHeight="true" outlineLevel="0" collapsed="false">
      <c r="A414" s="15"/>
      <c r="B414" s="7"/>
      <c r="C414" s="13"/>
      <c r="D414" s="7"/>
      <c r="E414" s="7"/>
    </row>
    <row r="415" customFormat="false" ht="15" hidden="false" customHeight="true" outlineLevel="0" collapsed="false">
      <c r="A415" s="15"/>
      <c r="B415" s="7"/>
      <c r="C415" s="13"/>
      <c r="D415" s="7"/>
      <c r="E415" s="7"/>
    </row>
    <row r="416" customFormat="false" ht="15" hidden="false" customHeight="true" outlineLevel="0" collapsed="false">
      <c r="A416" s="15"/>
      <c r="B416" s="7"/>
      <c r="C416" s="13"/>
      <c r="D416" s="7"/>
      <c r="E416" s="7"/>
    </row>
    <row r="417" customFormat="false" ht="15" hidden="false" customHeight="true" outlineLevel="0" collapsed="false">
      <c r="A417" s="15"/>
      <c r="B417" s="7"/>
      <c r="C417" s="13"/>
      <c r="D417" s="7"/>
      <c r="E417" s="7"/>
    </row>
    <row r="418" customFormat="false" ht="15" hidden="false" customHeight="true" outlineLevel="0" collapsed="false">
      <c r="A418" s="15"/>
      <c r="B418" s="7"/>
      <c r="C418" s="13"/>
      <c r="D418" s="7"/>
      <c r="E418" s="7"/>
    </row>
    <row r="419" customFormat="false" ht="15" hidden="false" customHeight="true" outlineLevel="0" collapsed="false">
      <c r="A419" s="15"/>
      <c r="B419" s="7"/>
      <c r="C419" s="13"/>
      <c r="D419" s="7"/>
      <c r="E419" s="7"/>
    </row>
    <row r="420" customFormat="false" ht="15" hidden="false" customHeight="true" outlineLevel="0" collapsed="false">
      <c r="A420" s="15"/>
      <c r="B420" s="7"/>
      <c r="C420" s="13"/>
      <c r="D420" s="7"/>
      <c r="E420" s="7"/>
    </row>
    <row r="421" customFormat="false" ht="15" hidden="false" customHeight="true" outlineLevel="0" collapsed="false">
      <c r="A421" s="15"/>
      <c r="B421" s="7"/>
      <c r="C421" s="13"/>
      <c r="D421" s="7"/>
      <c r="E421" s="7"/>
    </row>
    <row r="422" customFormat="false" ht="15" hidden="false" customHeight="true" outlineLevel="0" collapsed="false">
      <c r="A422" s="15"/>
      <c r="B422" s="7"/>
      <c r="C422" s="13"/>
      <c r="D422" s="7"/>
      <c r="E422" s="7"/>
    </row>
    <row r="423" customFormat="false" ht="15" hidden="false" customHeight="true" outlineLevel="0" collapsed="false">
      <c r="A423" s="15"/>
      <c r="B423" s="7"/>
      <c r="C423" s="13"/>
      <c r="D423" s="7"/>
      <c r="E423" s="7"/>
    </row>
    <row r="424" customFormat="false" ht="15" hidden="false" customHeight="true" outlineLevel="0" collapsed="false">
      <c r="A424" s="15"/>
      <c r="B424" s="7"/>
      <c r="C424" s="13"/>
      <c r="D424" s="7"/>
      <c r="E424" s="7"/>
    </row>
    <row r="425" customFormat="false" ht="15" hidden="false" customHeight="true" outlineLevel="0" collapsed="false">
      <c r="A425" s="15"/>
      <c r="B425" s="7"/>
      <c r="C425" s="13"/>
      <c r="D425" s="7"/>
      <c r="E425" s="7"/>
    </row>
    <row r="426" customFormat="false" ht="15" hidden="false" customHeight="true" outlineLevel="0" collapsed="false">
      <c r="A426" s="15"/>
      <c r="B426" s="7"/>
      <c r="C426" s="13"/>
      <c r="D426" s="7"/>
      <c r="E426" s="7"/>
    </row>
    <row r="427" customFormat="false" ht="15" hidden="false" customHeight="true" outlineLevel="0" collapsed="false">
      <c r="A427" s="15"/>
      <c r="B427" s="7"/>
      <c r="C427" s="13"/>
      <c r="D427" s="7"/>
      <c r="E427" s="7"/>
    </row>
    <row r="428" customFormat="false" ht="15" hidden="false" customHeight="true" outlineLevel="0" collapsed="false">
      <c r="A428" s="15"/>
      <c r="B428" s="7"/>
      <c r="C428" s="13"/>
      <c r="D428" s="7"/>
      <c r="E428" s="7"/>
    </row>
    <row r="429" customFormat="false" ht="15" hidden="false" customHeight="true" outlineLevel="0" collapsed="false">
      <c r="A429" s="15"/>
      <c r="B429" s="7"/>
      <c r="C429" s="13"/>
      <c r="D429" s="7"/>
      <c r="E429" s="7"/>
    </row>
    <row r="430" customFormat="false" ht="15" hidden="false" customHeight="true" outlineLevel="0" collapsed="false">
      <c r="A430" s="15"/>
      <c r="B430" s="7"/>
      <c r="C430" s="13"/>
      <c r="D430" s="7"/>
      <c r="E430" s="7"/>
    </row>
    <row r="431" customFormat="false" ht="15" hidden="false" customHeight="true" outlineLevel="0" collapsed="false">
      <c r="A431" s="15"/>
      <c r="B431" s="7"/>
      <c r="C431" s="13"/>
      <c r="D431" s="7"/>
      <c r="E431" s="7"/>
    </row>
    <row r="432" customFormat="false" ht="15" hidden="false" customHeight="true" outlineLevel="0" collapsed="false">
      <c r="A432" s="15"/>
      <c r="B432" s="7"/>
      <c r="C432" s="13"/>
      <c r="D432" s="7"/>
      <c r="E432" s="7"/>
    </row>
    <row r="433" customFormat="false" ht="15" hidden="false" customHeight="true" outlineLevel="0" collapsed="false">
      <c r="A433" s="15"/>
      <c r="B433" s="7"/>
      <c r="C433" s="13"/>
      <c r="D433" s="7"/>
      <c r="E433" s="7"/>
    </row>
    <row r="434" customFormat="false" ht="15" hidden="false" customHeight="true" outlineLevel="0" collapsed="false">
      <c r="A434" s="15"/>
      <c r="B434" s="7"/>
      <c r="C434" s="13"/>
      <c r="D434" s="7"/>
      <c r="E434" s="7"/>
    </row>
    <row r="435" customFormat="false" ht="15" hidden="false" customHeight="true" outlineLevel="0" collapsed="false">
      <c r="A435" s="15"/>
      <c r="B435" s="7"/>
      <c r="C435" s="13"/>
      <c r="D435" s="7"/>
      <c r="E435" s="7"/>
    </row>
    <row r="436" customFormat="false" ht="15" hidden="false" customHeight="true" outlineLevel="0" collapsed="false">
      <c r="A436" s="15"/>
      <c r="B436" s="7"/>
      <c r="C436" s="13"/>
      <c r="D436" s="7"/>
      <c r="E436" s="7"/>
    </row>
    <row r="437" customFormat="false" ht="15" hidden="false" customHeight="true" outlineLevel="0" collapsed="false">
      <c r="A437" s="15"/>
      <c r="B437" s="7"/>
      <c r="C437" s="13"/>
      <c r="D437" s="7"/>
      <c r="E437" s="7"/>
    </row>
    <row r="438" customFormat="false" ht="15" hidden="false" customHeight="true" outlineLevel="0" collapsed="false">
      <c r="A438" s="15"/>
      <c r="B438" s="7"/>
      <c r="C438" s="13"/>
      <c r="D438" s="7"/>
      <c r="E438" s="7"/>
    </row>
    <row r="439" customFormat="false" ht="15" hidden="false" customHeight="true" outlineLevel="0" collapsed="false">
      <c r="A439" s="15"/>
      <c r="B439" s="7"/>
      <c r="C439" s="13"/>
      <c r="D439" s="7"/>
      <c r="E439" s="7"/>
    </row>
    <row r="440" customFormat="false" ht="15" hidden="false" customHeight="true" outlineLevel="0" collapsed="false">
      <c r="A440" s="15"/>
      <c r="B440" s="7"/>
      <c r="C440" s="13"/>
      <c r="D440" s="7"/>
      <c r="E440" s="7"/>
    </row>
    <row r="441" customFormat="false" ht="15" hidden="false" customHeight="true" outlineLevel="0" collapsed="false">
      <c r="A441" s="15"/>
      <c r="B441" s="7"/>
      <c r="C441" s="13"/>
      <c r="D441" s="7"/>
      <c r="E441" s="7"/>
    </row>
    <row r="442" customFormat="false" ht="15" hidden="false" customHeight="true" outlineLevel="0" collapsed="false">
      <c r="A442" s="15"/>
      <c r="B442" s="7"/>
      <c r="C442" s="13"/>
      <c r="D442" s="7"/>
      <c r="E442" s="7"/>
    </row>
    <row r="443" customFormat="false" ht="15" hidden="false" customHeight="true" outlineLevel="0" collapsed="false">
      <c r="A443" s="15"/>
      <c r="B443" s="7"/>
      <c r="C443" s="13"/>
      <c r="D443" s="7"/>
      <c r="E443" s="7"/>
    </row>
    <row r="444" customFormat="false" ht="15" hidden="false" customHeight="true" outlineLevel="0" collapsed="false">
      <c r="A444" s="15"/>
      <c r="B444" s="7"/>
      <c r="C444" s="13"/>
      <c r="D444" s="7"/>
      <c r="E444" s="7"/>
    </row>
    <row r="445" customFormat="false" ht="15" hidden="false" customHeight="true" outlineLevel="0" collapsed="false">
      <c r="A445" s="15"/>
      <c r="B445" s="7"/>
      <c r="C445" s="13"/>
      <c r="D445" s="7"/>
      <c r="E445" s="7"/>
    </row>
    <row r="446" customFormat="false" ht="15" hidden="false" customHeight="true" outlineLevel="0" collapsed="false">
      <c r="A446" s="15"/>
      <c r="B446" s="7"/>
      <c r="C446" s="13"/>
      <c r="D446" s="7"/>
      <c r="E446" s="7"/>
    </row>
    <row r="447" customFormat="false" ht="15" hidden="false" customHeight="true" outlineLevel="0" collapsed="false">
      <c r="A447" s="15"/>
      <c r="B447" s="7"/>
      <c r="C447" s="13"/>
      <c r="D447" s="7"/>
      <c r="E447" s="7"/>
    </row>
    <row r="448" customFormat="false" ht="15" hidden="false" customHeight="true" outlineLevel="0" collapsed="false">
      <c r="A448" s="15"/>
      <c r="B448" s="7"/>
      <c r="C448" s="13"/>
      <c r="D448" s="7"/>
      <c r="E448" s="7"/>
    </row>
    <row r="449" customFormat="false" ht="15" hidden="false" customHeight="true" outlineLevel="0" collapsed="false">
      <c r="A449" s="15"/>
      <c r="B449" s="7"/>
      <c r="C449" s="13"/>
      <c r="D449" s="7"/>
      <c r="E449" s="7"/>
    </row>
    <row r="450" customFormat="false" ht="15" hidden="false" customHeight="true" outlineLevel="0" collapsed="false">
      <c r="A450" s="15"/>
      <c r="B450" s="7"/>
      <c r="C450" s="13"/>
      <c r="D450" s="7"/>
      <c r="E450" s="7"/>
    </row>
    <row r="451" customFormat="false" ht="15" hidden="false" customHeight="true" outlineLevel="0" collapsed="false">
      <c r="A451" s="15"/>
      <c r="B451" s="7"/>
      <c r="C451" s="13"/>
      <c r="D451" s="7"/>
      <c r="E451" s="7"/>
    </row>
    <row r="452" customFormat="false" ht="15" hidden="false" customHeight="true" outlineLevel="0" collapsed="false">
      <c r="A452" s="15"/>
      <c r="B452" s="7"/>
      <c r="C452" s="13"/>
      <c r="D452" s="7"/>
      <c r="E452" s="7"/>
    </row>
    <row r="453" customFormat="false" ht="15" hidden="false" customHeight="true" outlineLevel="0" collapsed="false">
      <c r="A453" s="15"/>
      <c r="B453" s="7"/>
      <c r="C453" s="13"/>
      <c r="D453" s="7"/>
      <c r="E453" s="7"/>
    </row>
    <row r="454" customFormat="false" ht="15" hidden="false" customHeight="true" outlineLevel="0" collapsed="false">
      <c r="A454" s="15"/>
      <c r="B454" s="7"/>
      <c r="C454" s="13"/>
      <c r="D454" s="7"/>
      <c r="E454" s="7"/>
    </row>
    <row r="455" customFormat="false" ht="15" hidden="false" customHeight="true" outlineLevel="0" collapsed="false">
      <c r="A455" s="15"/>
      <c r="B455" s="7"/>
      <c r="C455" s="13"/>
      <c r="D455" s="7"/>
      <c r="E455" s="7"/>
    </row>
    <row r="456" customFormat="false" ht="15" hidden="false" customHeight="true" outlineLevel="0" collapsed="false">
      <c r="A456" s="15"/>
      <c r="B456" s="7"/>
      <c r="C456" s="13"/>
      <c r="D456" s="7"/>
      <c r="E456" s="7"/>
    </row>
    <row r="457" customFormat="false" ht="15" hidden="false" customHeight="true" outlineLevel="0" collapsed="false">
      <c r="A457" s="15"/>
      <c r="B457" s="7"/>
      <c r="C457" s="13"/>
      <c r="D457" s="7"/>
      <c r="E457" s="7"/>
    </row>
    <row r="458" customFormat="false" ht="15" hidden="false" customHeight="true" outlineLevel="0" collapsed="false">
      <c r="A458" s="15"/>
      <c r="B458" s="7"/>
      <c r="C458" s="13"/>
      <c r="D458" s="7"/>
      <c r="E458" s="7"/>
    </row>
    <row r="459" customFormat="false" ht="15" hidden="false" customHeight="true" outlineLevel="0" collapsed="false">
      <c r="A459" s="15"/>
      <c r="B459" s="7"/>
      <c r="C459" s="13"/>
      <c r="D459" s="7"/>
      <c r="E459" s="7"/>
    </row>
    <row r="460" customFormat="false" ht="15" hidden="false" customHeight="true" outlineLevel="0" collapsed="false">
      <c r="A460" s="15"/>
      <c r="B460" s="7"/>
      <c r="C460" s="13"/>
      <c r="D460" s="7"/>
      <c r="E460" s="7"/>
    </row>
    <row r="461" customFormat="false" ht="15" hidden="false" customHeight="true" outlineLevel="0" collapsed="false">
      <c r="A461" s="15"/>
      <c r="B461" s="7"/>
      <c r="C461" s="13"/>
      <c r="D461" s="7"/>
      <c r="E461" s="7"/>
    </row>
    <row r="462" customFormat="false" ht="15" hidden="false" customHeight="true" outlineLevel="0" collapsed="false">
      <c r="A462" s="15"/>
      <c r="B462" s="7"/>
      <c r="C462" s="13"/>
      <c r="D462" s="7"/>
      <c r="E462" s="7"/>
    </row>
    <row r="463" customFormat="false" ht="15" hidden="false" customHeight="true" outlineLevel="0" collapsed="false">
      <c r="A463" s="15"/>
      <c r="B463" s="7"/>
      <c r="C463" s="13"/>
      <c r="D463" s="7"/>
      <c r="E463" s="7"/>
    </row>
    <row r="464" customFormat="false" ht="15" hidden="false" customHeight="true" outlineLevel="0" collapsed="false">
      <c r="A464" s="15"/>
      <c r="B464" s="7"/>
      <c r="C464" s="13"/>
      <c r="D464" s="7"/>
      <c r="E464" s="7"/>
    </row>
    <row r="465" customFormat="false" ht="15" hidden="false" customHeight="true" outlineLevel="0" collapsed="false">
      <c r="A465" s="15"/>
      <c r="B465" s="7"/>
      <c r="C465" s="13"/>
      <c r="D465" s="7"/>
      <c r="E465" s="7"/>
    </row>
    <row r="466" customFormat="false" ht="15" hidden="false" customHeight="true" outlineLevel="0" collapsed="false">
      <c r="A466" s="15"/>
      <c r="B466" s="7"/>
      <c r="C466" s="13"/>
      <c r="D466" s="7"/>
      <c r="E466" s="7"/>
    </row>
    <row r="467" customFormat="false" ht="15" hidden="false" customHeight="true" outlineLevel="0" collapsed="false">
      <c r="A467" s="15"/>
      <c r="B467" s="7"/>
      <c r="C467" s="13"/>
      <c r="D467" s="7"/>
      <c r="E467" s="7"/>
    </row>
    <row r="468" customFormat="false" ht="15" hidden="false" customHeight="true" outlineLevel="0" collapsed="false">
      <c r="A468" s="15"/>
      <c r="B468" s="7"/>
      <c r="C468" s="13"/>
      <c r="D468" s="7"/>
      <c r="E468" s="7"/>
    </row>
    <row r="469" customFormat="false" ht="15" hidden="false" customHeight="true" outlineLevel="0" collapsed="false">
      <c r="A469" s="15"/>
      <c r="B469" s="7"/>
      <c r="C469" s="13"/>
      <c r="D469" s="7"/>
      <c r="E469" s="7"/>
    </row>
    <row r="470" customFormat="false" ht="15" hidden="false" customHeight="true" outlineLevel="0" collapsed="false">
      <c r="A470" s="15"/>
      <c r="B470" s="7"/>
      <c r="C470" s="13"/>
      <c r="D470" s="7"/>
      <c r="E470" s="7"/>
    </row>
    <row r="471" customFormat="false" ht="15" hidden="false" customHeight="true" outlineLevel="0" collapsed="false">
      <c r="A471" s="15"/>
      <c r="B471" s="7"/>
      <c r="C471" s="13"/>
      <c r="D471" s="7"/>
      <c r="E471" s="7"/>
    </row>
    <row r="472" customFormat="false" ht="15" hidden="false" customHeight="true" outlineLevel="0" collapsed="false">
      <c r="A472" s="15"/>
      <c r="B472" s="7"/>
      <c r="C472" s="13"/>
      <c r="D472" s="7"/>
      <c r="E472" s="7"/>
    </row>
    <row r="473" customFormat="false" ht="15" hidden="false" customHeight="true" outlineLevel="0" collapsed="false">
      <c r="A473" s="15"/>
      <c r="B473" s="7"/>
      <c r="C473" s="13"/>
      <c r="D473" s="7"/>
      <c r="E473" s="7"/>
    </row>
    <row r="474" customFormat="false" ht="15" hidden="false" customHeight="true" outlineLevel="0" collapsed="false">
      <c r="A474" s="15"/>
      <c r="B474" s="7"/>
      <c r="C474" s="13"/>
      <c r="D474" s="7"/>
      <c r="E474" s="7"/>
    </row>
    <row r="475" customFormat="false" ht="15" hidden="false" customHeight="true" outlineLevel="0" collapsed="false">
      <c r="A475" s="15"/>
      <c r="B475" s="7"/>
      <c r="C475" s="13"/>
      <c r="D475" s="7"/>
      <c r="E475" s="7"/>
    </row>
    <row r="476" customFormat="false" ht="15" hidden="false" customHeight="true" outlineLevel="0" collapsed="false">
      <c r="A476" s="15"/>
      <c r="B476" s="7"/>
      <c r="C476" s="13"/>
      <c r="D476" s="7"/>
      <c r="E476" s="7"/>
    </row>
    <row r="477" customFormat="false" ht="15" hidden="false" customHeight="true" outlineLevel="0" collapsed="false">
      <c r="A477" s="15"/>
      <c r="B477" s="7"/>
      <c r="C477" s="13"/>
      <c r="D477" s="7"/>
      <c r="E477" s="7"/>
    </row>
    <row r="478" customFormat="false" ht="15" hidden="false" customHeight="true" outlineLevel="0" collapsed="false">
      <c r="A478" s="15"/>
      <c r="B478" s="7"/>
      <c r="C478" s="13"/>
      <c r="D478" s="7"/>
      <c r="E478" s="7"/>
    </row>
    <row r="479" customFormat="false" ht="15" hidden="false" customHeight="true" outlineLevel="0" collapsed="false">
      <c r="A479" s="15"/>
      <c r="B479" s="7"/>
      <c r="C479" s="13"/>
      <c r="D479" s="7"/>
      <c r="E479" s="7"/>
    </row>
    <row r="480" customFormat="false" ht="15" hidden="false" customHeight="true" outlineLevel="0" collapsed="false">
      <c r="A480" s="15"/>
      <c r="B480" s="7"/>
      <c r="C480" s="13"/>
      <c r="D480" s="7"/>
      <c r="E480" s="7"/>
    </row>
    <row r="481" customFormat="false" ht="15" hidden="false" customHeight="true" outlineLevel="0" collapsed="false">
      <c r="A481" s="15"/>
      <c r="B481" s="7"/>
      <c r="C481" s="13"/>
      <c r="D481" s="7"/>
      <c r="E481" s="7"/>
    </row>
    <row r="482" customFormat="false" ht="15" hidden="false" customHeight="true" outlineLevel="0" collapsed="false">
      <c r="A482" s="15"/>
      <c r="B482" s="7"/>
      <c r="C482" s="13"/>
      <c r="D482" s="7"/>
      <c r="E482" s="7"/>
    </row>
    <row r="483" customFormat="false" ht="15" hidden="false" customHeight="true" outlineLevel="0" collapsed="false">
      <c r="A483" s="15"/>
      <c r="B483" s="7"/>
      <c r="C483" s="13"/>
      <c r="D483" s="7"/>
      <c r="E483" s="7"/>
    </row>
    <row r="484" customFormat="false" ht="15" hidden="false" customHeight="true" outlineLevel="0" collapsed="false">
      <c r="A484" s="15"/>
      <c r="B484" s="7"/>
      <c r="C484" s="13"/>
      <c r="D484" s="7"/>
      <c r="E484" s="7"/>
    </row>
    <row r="485" customFormat="false" ht="15" hidden="false" customHeight="true" outlineLevel="0" collapsed="false">
      <c r="A485" s="15"/>
      <c r="B485" s="7"/>
      <c r="C485" s="13"/>
      <c r="D485" s="7"/>
      <c r="E485" s="7"/>
    </row>
    <row r="486" customFormat="false" ht="15" hidden="false" customHeight="true" outlineLevel="0" collapsed="false">
      <c r="A486" s="15"/>
      <c r="B486" s="7"/>
      <c r="C486" s="13"/>
      <c r="D486" s="7"/>
      <c r="E486" s="7"/>
    </row>
    <row r="487" customFormat="false" ht="15" hidden="false" customHeight="true" outlineLevel="0" collapsed="false">
      <c r="A487" s="15"/>
      <c r="B487" s="7"/>
      <c r="C487" s="13"/>
      <c r="D487" s="7"/>
      <c r="E487" s="7"/>
    </row>
    <row r="488" customFormat="false" ht="15" hidden="false" customHeight="true" outlineLevel="0" collapsed="false">
      <c r="A488" s="15"/>
      <c r="B488" s="7"/>
      <c r="C488" s="13"/>
      <c r="D488" s="7"/>
      <c r="E488" s="7"/>
    </row>
    <row r="489" customFormat="false" ht="15" hidden="false" customHeight="true" outlineLevel="0" collapsed="false">
      <c r="A489" s="15"/>
      <c r="B489" s="7"/>
      <c r="C489" s="13"/>
      <c r="D489" s="7"/>
      <c r="E489" s="7"/>
    </row>
    <row r="490" customFormat="false" ht="15" hidden="false" customHeight="true" outlineLevel="0" collapsed="false">
      <c r="A490" s="15"/>
      <c r="B490" s="7"/>
      <c r="C490" s="13"/>
      <c r="D490" s="7"/>
      <c r="E490" s="7"/>
    </row>
    <row r="491" customFormat="false" ht="15" hidden="false" customHeight="true" outlineLevel="0" collapsed="false">
      <c r="A491" s="15"/>
      <c r="B491" s="7"/>
      <c r="C491" s="13"/>
      <c r="D491" s="7"/>
      <c r="E491" s="7"/>
    </row>
    <row r="492" customFormat="false" ht="15" hidden="false" customHeight="true" outlineLevel="0" collapsed="false">
      <c r="A492" s="15"/>
      <c r="B492" s="7"/>
      <c r="C492" s="13"/>
      <c r="D492" s="7"/>
      <c r="E492" s="7"/>
    </row>
    <row r="493" customFormat="false" ht="15" hidden="false" customHeight="true" outlineLevel="0" collapsed="false">
      <c r="A493" s="15"/>
      <c r="B493" s="7"/>
      <c r="C493" s="13"/>
      <c r="D493" s="7"/>
      <c r="E493" s="7"/>
    </row>
    <row r="494" customFormat="false" ht="15" hidden="false" customHeight="true" outlineLevel="0" collapsed="false">
      <c r="A494" s="15"/>
      <c r="B494" s="7"/>
      <c r="C494" s="13"/>
      <c r="D494" s="7"/>
      <c r="E494" s="7"/>
    </row>
    <row r="495" customFormat="false" ht="15" hidden="false" customHeight="true" outlineLevel="0" collapsed="false">
      <c r="A495" s="15"/>
      <c r="B495" s="7"/>
      <c r="C495" s="13"/>
      <c r="D495" s="7"/>
      <c r="E495" s="7"/>
    </row>
    <row r="496" customFormat="false" ht="15" hidden="false" customHeight="true" outlineLevel="0" collapsed="false">
      <c r="A496" s="15"/>
      <c r="B496" s="7"/>
      <c r="C496" s="13"/>
      <c r="D496" s="7"/>
      <c r="E496" s="7"/>
    </row>
    <row r="497" customFormat="false" ht="15" hidden="false" customHeight="true" outlineLevel="0" collapsed="false">
      <c r="A497" s="15"/>
      <c r="B497" s="7"/>
      <c r="C497" s="13"/>
      <c r="D497" s="7"/>
      <c r="E497" s="7"/>
    </row>
    <row r="498" customFormat="false" ht="15" hidden="false" customHeight="true" outlineLevel="0" collapsed="false">
      <c r="A498" s="15"/>
      <c r="B498" s="7"/>
      <c r="C498" s="13"/>
      <c r="D498" s="7"/>
      <c r="E498" s="7"/>
    </row>
    <row r="499" customFormat="false" ht="15" hidden="false" customHeight="true" outlineLevel="0" collapsed="false">
      <c r="A499" s="15"/>
      <c r="B499" s="7"/>
      <c r="C499" s="13"/>
      <c r="D499" s="7"/>
      <c r="E499" s="7"/>
    </row>
    <row r="500" customFormat="false" ht="15" hidden="false" customHeight="true" outlineLevel="0" collapsed="false">
      <c r="A500" s="15"/>
      <c r="B500" s="7"/>
      <c r="C500" s="13"/>
      <c r="D500" s="7"/>
      <c r="E500" s="7"/>
    </row>
    <row r="501" customFormat="false" ht="15" hidden="false" customHeight="true" outlineLevel="0" collapsed="false">
      <c r="A501" s="15"/>
      <c r="B501" s="7"/>
      <c r="C501" s="13"/>
      <c r="D501" s="7"/>
      <c r="E501" s="7"/>
    </row>
    <row r="502" customFormat="false" ht="15" hidden="false" customHeight="true" outlineLevel="0" collapsed="false">
      <c r="A502" s="15"/>
      <c r="B502" s="7"/>
      <c r="C502" s="13"/>
      <c r="D502" s="7"/>
      <c r="E502" s="7"/>
    </row>
    <row r="503" customFormat="false" ht="15" hidden="false" customHeight="true" outlineLevel="0" collapsed="false">
      <c r="A503" s="15"/>
      <c r="B503" s="7"/>
      <c r="C503" s="13"/>
      <c r="D503" s="7"/>
      <c r="E503" s="7"/>
    </row>
    <row r="504" customFormat="false" ht="15" hidden="false" customHeight="true" outlineLevel="0" collapsed="false">
      <c r="A504" s="15"/>
      <c r="B504" s="7"/>
      <c r="C504" s="13"/>
      <c r="D504" s="7"/>
      <c r="E504" s="7"/>
    </row>
    <row r="505" customFormat="false" ht="15" hidden="false" customHeight="true" outlineLevel="0" collapsed="false">
      <c r="A505" s="15"/>
      <c r="B505" s="7"/>
      <c r="C505" s="13"/>
      <c r="D505" s="7"/>
      <c r="E505" s="7"/>
    </row>
    <row r="506" customFormat="false" ht="15" hidden="false" customHeight="true" outlineLevel="0" collapsed="false">
      <c r="A506" s="15"/>
      <c r="B506" s="7"/>
      <c r="C506" s="13"/>
      <c r="D506" s="7"/>
      <c r="E506" s="7"/>
    </row>
    <row r="507" customFormat="false" ht="15" hidden="false" customHeight="true" outlineLevel="0" collapsed="false">
      <c r="A507" s="15"/>
      <c r="B507" s="7"/>
      <c r="C507" s="13"/>
      <c r="D507" s="7"/>
      <c r="E507" s="7"/>
    </row>
    <row r="508" customFormat="false" ht="15" hidden="false" customHeight="true" outlineLevel="0" collapsed="false">
      <c r="A508" s="15"/>
      <c r="B508" s="7"/>
      <c r="C508" s="13"/>
      <c r="D508" s="7"/>
      <c r="E508" s="7"/>
    </row>
    <row r="509" customFormat="false" ht="15" hidden="false" customHeight="true" outlineLevel="0" collapsed="false">
      <c r="A509" s="15"/>
      <c r="B509" s="7"/>
      <c r="C509" s="13"/>
      <c r="D509" s="7"/>
      <c r="E509" s="7"/>
    </row>
    <row r="510" customFormat="false" ht="15" hidden="false" customHeight="true" outlineLevel="0" collapsed="false">
      <c r="A510" s="15"/>
      <c r="B510" s="7"/>
      <c r="C510" s="13"/>
      <c r="D510" s="7"/>
      <c r="E510" s="7"/>
    </row>
    <row r="511" customFormat="false" ht="15" hidden="false" customHeight="true" outlineLevel="0" collapsed="false">
      <c r="A511" s="15"/>
      <c r="B511" s="7"/>
      <c r="C511" s="13"/>
      <c r="D511" s="7"/>
      <c r="E511" s="7"/>
    </row>
    <row r="512" customFormat="false" ht="15" hidden="false" customHeight="true" outlineLevel="0" collapsed="false">
      <c r="A512" s="15"/>
      <c r="B512" s="7"/>
      <c r="C512" s="13"/>
      <c r="D512" s="7"/>
      <c r="E512" s="7"/>
    </row>
    <row r="513" customFormat="false" ht="15" hidden="false" customHeight="true" outlineLevel="0" collapsed="false">
      <c r="A513" s="15"/>
      <c r="B513" s="7"/>
      <c r="C513" s="13"/>
      <c r="D513" s="7"/>
      <c r="E513" s="7"/>
    </row>
    <row r="514" customFormat="false" ht="15" hidden="false" customHeight="true" outlineLevel="0" collapsed="false">
      <c r="A514" s="15"/>
      <c r="B514" s="7"/>
      <c r="C514" s="13"/>
      <c r="D514" s="7"/>
      <c r="E514" s="7"/>
    </row>
    <row r="515" customFormat="false" ht="15" hidden="false" customHeight="true" outlineLevel="0" collapsed="false">
      <c r="A515" s="15"/>
      <c r="B515" s="7"/>
      <c r="C515" s="13"/>
      <c r="D515" s="7"/>
      <c r="E515" s="7"/>
    </row>
    <row r="516" customFormat="false" ht="15" hidden="false" customHeight="true" outlineLevel="0" collapsed="false">
      <c r="A516" s="15"/>
      <c r="B516" s="7"/>
      <c r="C516" s="13"/>
      <c r="D516" s="7"/>
      <c r="E516" s="7"/>
    </row>
    <row r="517" customFormat="false" ht="15" hidden="false" customHeight="true" outlineLevel="0" collapsed="false">
      <c r="A517" s="15"/>
      <c r="B517" s="7"/>
      <c r="C517" s="13"/>
      <c r="D517" s="7"/>
      <c r="E517" s="7"/>
    </row>
    <row r="518" customFormat="false" ht="15" hidden="false" customHeight="true" outlineLevel="0" collapsed="false">
      <c r="A518" s="15"/>
      <c r="B518" s="7"/>
      <c r="C518" s="13"/>
      <c r="D518" s="7"/>
      <c r="E518" s="7"/>
    </row>
    <row r="519" customFormat="false" ht="15" hidden="false" customHeight="true" outlineLevel="0" collapsed="false">
      <c r="A519" s="15"/>
      <c r="B519" s="7"/>
      <c r="C519" s="13"/>
      <c r="D519" s="7"/>
      <c r="E519" s="7"/>
    </row>
    <row r="520" customFormat="false" ht="15" hidden="false" customHeight="true" outlineLevel="0" collapsed="false">
      <c r="A520" s="15"/>
      <c r="B520" s="7"/>
      <c r="C520" s="13"/>
      <c r="D520" s="7"/>
      <c r="E520" s="7"/>
    </row>
    <row r="521" customFormat="false" ht="15" hidden="false" customHeight="true" outlineLevel="0" collapsed="false">
      <c r="A521" s="15"/>
      <c r="B521" s="7"/>
      <c r="C521" s="13"/>
      <c r="D521" s="7"/>
      <c r="E521" s="7"/>
    </row>
    <row r="522" customFormat="false" ht="15" hidden="false" customHeight="true" outlineLevel="0" collapsed="false">
      <c r="A522" s="15"/>
      <c r="B522" s="7"/>
      <c r="C522" s="13"/>
      <c r="D522" s="7"/>
      <c r="E522" s="7"/>
    </row>
    <row r="523" customFormat="false" ht="15" hidden="false" customHeight="true" outlineLevel="0" collapsed="false">
      <c r="A523" s="15"/>
      <c r="B523" s="7"/>
      <c r="C523" s="13"/>
      <c r="D523" s="7"/>
      <c r="E523" s="7"/>
    </row>
    <row r="524" customFormat="false" ht="15" hidden="false" customHeight="true" outlineLevel="0" collapsed="false">
      <c r="A524" s="15"/>
      <c r="B524" s="7"/>
      <c r="C524" s="13"/>
      <c r="D524" s="7"/>
      <c r="E524" s="7"/>
    </row>
    <row r="525" customFormat="false" ht="15" hidden="false" customHeight="true" outlineLevel="0" collapsed="false">
      <c r="A525" s="15"/>
      <c r="B525" s="7"/>
      <c r="C525" s="13"/>
      <c r="D525" s="7"/>
      <c r="E525" s="7"/>
    </row>
    <row r="526" customFormat="false" ht="15" hidden="false" customHeight="true" outlineLevel="0" collapsed="false">
      <c r="A526" s="15"/>
      <c r="B526" s="7"/>
      <c r="C526" s="13"/>
      <c r="D526" s="7"/>
      <c r="E526" s="7"/>
    </row>
    <row r="527" customFormat="false" ht="15" hidden="false" customHeight="true" outlineLevel="0" collapsed="false">
      <c r="A527" s="15"/>
      <c r="B527" s="7"/>
      <c r="C527" s="13"/>
      <c r="D527" s="7"/>
      <c r="E527" s="7"/>
    </row>
    <row r="528" customFormat="false" ht="15" hidden="false" customHeight="true" outlineLevel="0" collapsed="false">
      <c r="A528" s="15"/>
      <c r="B528" s="7"/>
      <c r="C528" s="13"/>
      <c r="D528" s="7"/>
      <c r="E528" s="7"/>
    </row>
    <row r="529" customFormat="false" ht="15" hidden="false" customHeight="true" outlineLevel="0" collapsed="false">
      <c r="A529" s="15"/>
      <c r="B529" s="7"/>
      <c r="C529" s="13"/>
      <c r="D529" s="7"/>
      <c r="E529" s="7"/>
    </row>
    <row r="530" customFormat="false" ht="15" hidden="false" customHeight="true" outlineLevel="0" collapsed="false">
      <c r="A530" s="15"/>
      <c r="B530" s="7"/>
      <c r="C530" s="13"/>
      <c r="D530" s="7"/>
      <c r="E530" s="7"/>
    </row>
    <row r="531" customFormat="false" ht="15" hidden="false" customHeight="true" outlineLevel="0" collapsed="false">
      <c r="A531" s="15"/>
      <c r="B531" s="7"/>
      <c r="C531" s="13"/>
      <c r="D531" s="7"/>
      <c r="E531" s="7"/>
    </row>
    <row r="532" customFormat="false" ht="15" hidden="false" customHeight="true" outlineLevel="0" collapsed="false">
      <c r="A532" s="15"/>
      <c r="B532" s="7"/>
      <c r="C532" s="13"/>
      <c r="D532" s="7"/>
      <c r="E532" s="7"/>
    </row>
    <row r="533" customFormat="false" ht="15" hidden="false" customHeight="true" outlineLevel="0" collapsed="false">
      <c r="A533" s="15"/>
      <c r="B533" s="7"/>
      <c r="C533" s="13"/>
      <c r="D533" s="7"/>
      <c r="E533" s="7"/>
    </row>
    <row r="534" customFormat="false" ht="15" hidden="false" customHeight="true" outlineLevel="0" collapsed="false">
      <c r="A534" s="15"/>
      <c r="B534" s="7"/>
      <c r="C534" s="13"/>
      <c r="D534" s="7"/>
      <c r="E534" s="7"/>
    </row>
    <row r="535" customFormat="false" ht="15" hidden="false" customHeight="true" outlineLevel="0" collapsed="false">
      <c r="A535" s="15"/>
      <c r="B535" s="7"/>
      <c r="C535" s="13"/>
      <c r="D535" s="7"/>
      <c r="E535" s="7"/>
    </row>
    <row r="536" customFormat="false" ht="15" hidden="false" customHeight="true" outlineLevel="0" collapsed="false">
      <c r="A536" s="15"/>
      <c r="B536" s="7"/>
      <c r="C536" s="13"/>
      <c r="D536" s="7"/>
      <c r="E536" s="7"/>
    </row>
    <row r="537" customFormat="false" ht="15" hidden="false" customHeight="true" outlineLevel="0" collapsed="false">
      <c r="A537" s="15"/>
      <c r="B537" s="7"/>
      <c r="C537" s="13"/>
      <c r="D537" s="7"/>
      <c r="E537" s="7"/>
    </row>
    <row r="538" customFormat="false" ht="15" hidden="false" customHeight="true" outlineLevel="0" collapsed="false">
      <c r="A538" s="15"/>
      <c r="B538" s="7"/>
      <c r="C538" s="13"/>
      <c r="D538" s="7"/>
      <c r="E538" s="7"/>
    </row>
    <row r="539" customFormat="false" ht="15" hidden="false" customHeight="true" outlineLevel="0" collapsed="false">
      <c r="A539" s="15"/>
      <c r="B539" s="7"/>
      <c r="C539" s="13"/>
      <c r="D539" s="7"/>
      <c r="E539" s="7"/>
    </row>
    <row r="540" customFormat="false" ht="15" hidden="false" customHeight="true" outlineLevel="0" collapsed="false">
      <c r="A540" s="15"/>
      <c r="B540" s="7"/>
      <c r="C540" s="13"/>
      <c r="D540" s="7"/>
      <c r="E540" s="7"/>
    </row>
    <row r="541" customFormat="false" ht="15" hidden="false" customHeight="true" outlineLevel="0" collapsed="false">
      <c r="A541" s="15"/>
      <c r="B541" s="7"/>
      <c r="C541" s="13"/>
      <c r="D541" s="7"/>
      <c r="E541" s="7"/>
    </row>
    <row r="542" customFormat="false" ht="15" hidden="false" customHeight="true" outlineLevel="0" collapsed="false">
      <c r="A542" s="15"/>
      <c r="B542" s="7"/>
      <c r="C542" s="13"/>
      <c r="D542" s="7"/>
      <c r="E542" s="7"/>
    </row>
    <row r="543" customFormat="false" ht="15" hidden="false" customHeight="true" outlineLevel="0" collapsed="false">
      <c r="A543" s="15"/>
      <c r="B543" s="7"/>
      <c r="C543" s="13"/>
      <c r="D543" s="7"/>
      <c r="E543" s="7"/>
    </row>
    <row r="544" customFormat="false" ht="15" hidden="false" customHeight="true" outlineLevel="0" collapsed="false">
      <c r="A544" s="15"/>
      <c r="B544" s="7"/>
      <c r="C544" s="13"/>
      <c r="D544" s="7"/>
      <c r="E544" s="7"/>
    </row>
    <row r="545" customFormat="false" ht="15" hidden="false" customHeight="true" outlineLevel="0" collapsed="false">
      <c r="A545" s="15"/>
      <c r="B545" s="7"/>
      <c r="C545" s="13"/>
      <c r="D545" s="7"/>
      <c r="E545" s="7"/>
    </row>
    <row r="546" customFormat="false" ht="15" hidden="false" customHeight="true" outlineLevel="0" collapsed="false">
      <c r="A546" s="15"/>
      <c r="B546" s="7"/>
      <c r="C546" s="13"/>
      <c r="D546" s="7"/>
      <c r="E546" s="7"/>
    </row>
    <row r="547" customFormat="false" ht="15" hidden="false" customHeight="true" outlineLevel="0" collapsed="false">
      <c r="A547" s="15"/>
      <c r="B547" s="7"/>
      <c r="C547" s="13"/>
      <c r="D547" s="7"/>
      <c r="E547" s="7"/>
    </row>
    <row r="548" customFormat="false" ht="15" hidden="false" customHeight="true" outlineLevel="0" collapsed="false">
      <c r="A548" s="15"/>
      <c r="B548" s="7"/>
      <c r="C548" s="13"/>
      <c r="D548" s="7"/>
      <c r="E548" s="7"/>
    </row>
    <row r="549" customFormat="false" ht="15" hidden="false" customHeight="true" outlineLevel="0" collapsed="false">
      <c r="A549" s="15"/>
      <c r="B549" s="7"/>
      <c r="C549" s="13"/>
      <c r="D549" s="7"/>
      <c r="E549" s="7"/>
    </row>
    <row r="550" customFormat="false" ht="15" hidden="false" customHeight="true" outlineLevel="0" collapsed="false">
      <c r="A550" s="15"/>
      <c r="B550" s="7"/>
      <c r="C550" s="13"/>
      <c r="D550" s="7"/>
      <c r="E550" s="7"/>
    </row>
    <row r="551" customFormat="false" ht="15" hidden="false" customHeight="true" outlineLevel="0" collapsed="false">
      <c r="A551" s="15"/>
      <c r="B551" s="7"/>
      <c r="C551" s="13"/>
      <c r="D551" s="7"/>
      <c r="E551" s="7"/>
    </row>
    <row r="552" customFormat="false" ht="15" hidden="false" customHeight="true" outlineLevel="0" collapsed="false">
      <c r="A552" s="15"/>
      <c r="B552" s="7"/>
      <c r="C552" s="13"/>
      <c r="D552" s="7"/>
      <c r="E552" s="7"/>
    </row>
    <row r="553" customFormat="false" ht="15" hidden="false" customHeight="true" outlineLevel="0" collapsed="false">
      <c r="A553" s="15"/>
      <c r="B553" s="7"/>
      <c r="C553" s="13"/>
      <c r="D553" s="7"/>
      <c r="E553" s="7"/>
    </row>
    <row r="554" customFormat="false" ht="15" hidden="false" customHeight="true" outlineLevel="0" collapsed="false">
      <c r="A554" s="15"/>
      <c r="B554" s="7"/>
      <c r="C554" s="13"/>
      <c r="D554" s="7"/>
      <c r="E554" s="7"/>
    </row>
    <row r="555" customFormat="false" ht="15" hidden="false" customHeight="true" outlineLevel="0" collapsed="false">
      <c r="A555" s="15"/>
      <c r="B555" s="7"/>
      <c r="C555" s="13"/>
      <c r="D555" s="7"/>
      <c r="E555" s="7"/>
    </row>
    <row r="556" customFormat="false" ht="15" hidden="false" customHeight="true" outlineLevel="0" collapsed="false">
      <c r="A556" s="15"/>
      <c r="B556" s="7"/>
      <c r="C556" s="13"/>
      <c r="D556" s="7"/>
      <c r="E556" s="7"/>
    </row>
    <row r="557" customFormat="false" ht="15" hidden="false" customHeight="true" outlineLevel="0" collapsed="false">
      <c r="A557" s="15"/>
      <c r="B557" s="7"/>
      <c r="C557" s="13"/>
      <c r="D557" s="7"/>
      <c r="E557" s="7"/>
    </row>
    <row r="558" customFormat="false" ht="15" hidden="false" customHeight="true" outlineLevel="0" collapsed="false">
      <c r="A558" s="15"/>
      <c r="B558" s="7"/>
      <c r="C558" s="13"/>
      <c r="D558" s="7"/>
      <c r="E558" s="7"/>
    </row>
    <row r="559" customFormat="false" ht="15" hidden="false" customHeight="true" outlineLevel="0" collapsed="false">
      <c r="A559" s="15"/>
      <c r="B559" s="7"/>
      <c r="C559" s="13"/>
      <c r="D559" s="7"/>
      <c r="E559" s="7"/>
    </row>
    <row r="560" customFormat="false" ht="15" hidden="false" customHeight="true" outlineLevel="0" collapsed="false">
      <c r="A560" s="15"/>
      <c r="B560" s="7"/>
      <c r="C560" s="13"/>
      <c r="D560" s="7"/>
      <c r="E560" s="7"/>
    </row>
    <row r="561" customFormat="false" ht="15" hidden="false" customHeight="true" outlineLevel="0" collapsed="false">
      <c r="A561" s="15"/>
      <c r="B561" s="7"/>
      <c r="C561" s="13"/>
      <c r="D561" s="7"/>
      <c r="E561" s="7"/>
    </row>
    <row r="562" customFormat="false" ht="15" hidden="false" customHeight="true" outlineLevel="0" collapsed="false">
      <c r="A562" s="15"/>
      <c r="B562" s="7"/>
      <c r="C562" s="13"/>
      <c r="D562" s="7"/>
      <c r="E562" s="7"/>
    </row>
    <row r="563" customFormat="false" ht="15" hidden="false" customHeight="true" outlineLevel="0" collapsed="false">
      <c r="A563" s="15"/>
      <c r="B563" s="7"/>
      <c r="C563" s="13"/>
      <c r="D563" s="7"/>
      <c r="E563" s="7"/>
    </row>
    <row r="564" customFormat="false" ht="15" hidden="false" customHeight="true" outlineLevel="0" collapsed="false">
      <c r="A564" s="15"/>
      <c r="B564" s="7"/>
      <c r="C564" s="13"/>
      <c r="D564" s="7"/>
      <c r="E564" s="7"/>
    </row>
    <row r="565" customFormat="false" ht="15" hidden="false" customHeight="true" outlineLevel="0" collapsed="false">
      <c r="A565" s="15"/>
      <c r="B565" s="7"/>
      <c r="C565" s="13"/>
      <c r="D565" s="7"/>
      <c r="E565" s="7"/>
    </row>
    <row r="566" customFormat="false" ht="15" hidden="false" customHeight="true" outlineLevel="0" collapsed="false">
      <c r="A566" s="15"/>
      <c r="B566" s="7"/>
      <c r="C566" s="13"/>
      <c r="D566" s="7"/>
      <c r="E566" s="7"/>
    </row>
    <row r="567" customFormat="false" ht="15" hidden="false" customHeight="true" outlineLevel="0" collapsed="false">
      <c r="A567" s="15"/>
      <c r="B567" s="7"/>
      <c r="C567" s="13"/>
      <c r="D567" s="7"/>
      <c r="E567" s="7"/>
    </row>
    <row r="568" customFormat="false" ht="15" hidden="false" customHeight="true" outlineLevel="0" collapsed="false">
      <c r="A568" s="15"/>
      <c r="B568" s="7"/>
      <c r="C568" s="13"/>
      <c r="D568" s="7"/>
      <c r="E568" s="7"/>
    </row>
    <row r="569" customFormat="false" ht="15" hidden="false" customHeight="true" outlineLevel="0" collapsed="false">
      <c r="A569" s="15"/>
      <c r="B569" s="7"/>
      <c r="C569" s="13"/>
      <c r="D569" s="7"/>
      <c r="E569" s="7"/>
    </row>
    <row r="570" customFormat="false" ht="15" hidden="false" customHeight="true" outlineLevel="0" collapsed="false">
      <c r="A570" s="15"/>
      <c r="B570" s="7"/>
      <c r="C570" s="13"/>
      <c r="D570" s="7"/>
      <c r="E570" s="7"/>
    </row>
    <row r="571" customFormat="false" ht="15" hidden="false" customHeight="true" outlineLevel="0" collapsed="false">
      <c r="A571" s="15"/>
      <c r="B571" s="7"/>
      <c r="C571" s="13"/>
      <c r="D571" s="7"/>
      <c r="E571" s="7"/>
    </row>
    <row r="572" customFormat="false" ht="15" hidden="false" customHeight="true" outlineLevel="0" collapsed="false">
      <c r="A572" s="15"/>
      <c r="B572" s="7"/>
      <c r="C572" s="13"/>
      <c r="D572" s="7"/>
      <c r="E572" s="7"/>
    </row>
    <row r="573" customFormat="false" ht="15" hidden="false" customHeight="true" outlineLevel="0" collapsed="false">
      <c r="A573" s="15"/>
      <c r="B573" s="7"/>
      <c r="C573" s="13"/>
      <c r="D573" s="7"/>
      <c r="E573" s="7"/>
    </row>
    <row r="574" customFormat="false" ht="15" hidden="false" customHeight="true" outlineLevel="0" collapsed="false">
      <c r="A574" s="15"/>
      <c r="B574" s="7"/>
      <c r="C574" s="13"/>
      <c r="D574" s="7"/>
      <c r="E574" s="7"/>
    </row>
    <row r="575" customFormat="false" ht="15" hidden="false" customHeight="true" outlineLevel="0" collapsed="false">
      <c r="A575" s="15"/>
      <c r="B575" s="7"/>
      <c r="C575" s="13"/>
      <c r="D575" s="7"/>
      <c r="E575" s="7"/>
    </row>
    <row r="576" customFormat="false" ht="15" hidden="false" customHeight="true" outlineLevel="0" collapsed="false">
      <c r="A576" s="15"/>
      <c r="B576" s="7"/>
      <c r="C576" s="13"/>
      <c r="D576" s="7"/>
      <c r="E576" s="7"/>
    </row>
    <row r="577" customFormat="false" ht="15" hidden="false" customHeight="true" outlineLevel="0" collapsed="false">
      <c r="A577" s="15"/>
      <c r="B577" s="7"/>
      <c r="C577" s="13"/>
      <c r="D577" s="7"/>
      <c r="E577" s="7"/>
    </row>
    <row r="578" customFormat="false" ht="15" hidden="false" customHeight="true" outlineLevel="0" collapsed="false">
      <c r="A578" s="15"/>
      <c r="B578" s="7"/>
      <c r="C578" s="13"/>
      <c r="D578" s="7"/>
      <c r="E578" s="7"/>
    </row>
    <row r="579" customFormat="false" ht="15" hidden="false" customHeight="true" outlineLevel="0" collapsed="false">
      <c r="A579" s="15"/>
      <c r="B579" s="7"/>
      <c r="C579" s="13"/>
      <c r="D579" s="7"/>
      <c r="E579" s="7"/>
    </row>
    <row r="580" customFormat="false" ht="15" hidden="false" customHeight="true" outlineLevel="0" collapsed="false">
      <c r="A580" s="15"/>
      <c r="B580" s="7"/>
      <c r="C580" s="13"/>
      <c r="D580" s="7"/>
      <c r="E580" s="7"/>
    </row>
    <row r="581" customFormat="false" ht="15" hidden="false" customHeight="true" outlineLevel="0" collapsed="false">
      <c r="A581" s="15"/>
      <c r="B581" s="7"/>
      <c r="C581" s="13"/>
      <c r="D581" s="7"/>
      <c r="E581" s="7"/>
    </row>
    <row r="582" customFormat="false" ht="15" hidden="false" customHeight="true" outlineLevel="0" collapsed="false">
      <c r="A582" s="15"/>
      <c r="B582" s="7"/>
      <c r="C582" s="13"/>
      <c r="D582" s="7"/>
      <c r="E582" s="7"/>
    </row>
    <row r="583" customFormat="false" ht="15" hidden="false" customHeight="true" outlineLevel="0" collapsed="false">
      <c r="A583" s="15"/>
      <c r="B583" s="7"/>
      <c r="C583" s="13"/>
      <c r="D583" s="7"/>
      <c r="E583" s="7"/>
    </row>
    <row r="584" customFormat="false" ht="15" hidden="false" customHeight="true" outlineLevel="0" collapsed="false">
      <c r="A584" s="15"/>
      <c r="B584" s="7"/>
      <c r="C584" s="13"/>
      <c r="D584" s="7"/>
      <c r="E584" s="7"/>
    </row>
    <row r="585" customFormat="false" ht="15" hidden="false" customHeight="true" outlineLevel="0" collapsed="false">
      <c r="A585" s="15"/>
      <c r="B585" s="7"/>
      <c r="C585" s="13"/>
      <c r="D585" s="7"/>
      <c r="E585" s="7"/>
    </row>
    <row r="586" customFormat="false" ht="15" hidden="false" customHeight="true" outlineLevel="0" collapsed="false">
      <c r="A586" s="15"/>
      <c r="B586" s="7"/>
      <c r="C586" s="13"/>
      <c r="D586" s="7"/>
      <c r="E586" s="7"/>
    </row>
    <row r="587" customFormat="false" ht="15" hidden="false" customHeight="true" outlineLevel="0" collapsed="false">
      <c r="A587" s="15"/>
      <c r="B587" s="7"/>
      <c r="C587" s="13"/>
      <c r="D587" s="7"/>
      <c r="E587" s="7"/>
    </row>
    <row r="588" customFormat="false" ht="15" hidden="false" customHeight="true" outlineLevel="0" collapsed="false">
      <c r="A588" s="15"/>
      <c r="B588" s="7"/>
      <c r="C588" s="13"/>
      <c r="D588" s="7"/>
      <c r="E588" s="7"/>
    </row>
    <row r="589" customFormat="false" ht="15" hidden="false" customHeight="true" outlineLevel="0" collapsed="false">
      <c r="A589" s="15"/>
      <c r="B589" s="7"/>
      <c r="C589" s="13"/>
      <c r="D589" s="7"/>
      <c r="E589" s="7"/>
    </row>
    <row r="590" customFormat="false" ht="15" hidden="false" customHeight="true" outlineLevel="0" collapsed="false">
      <c r="A590" s="15"/>
      <c r="B590" s="7"/>
      <c r="C590" s="13"/>
      <c r="D590" s="7"/>
      <c r="E590" s="7"/>
    </row>
    <row r="591" customFormat="false" ht="15" hidden="false" customHeight="true" outlineLevel="0" collapsed="false">
      <c r="A591" s="15"/>
      <c r="B591" s="7"/>
      <c r="C591" s="13"/>
      <c r="D591" s="7"/>
      <c r="E591" s="7"/>
    </row>
    <row r="592" customFormat="false" ht="15" hidden="false" customHeight="true" outlineLevel="0" collapsed="false">
      <c r="A592" s="15"/>
      <c r="B592" s="7"/>
      <c r="C592" s="13"/>
      <c r="D592" s="7"/>
      <c r="E592" s="7"/>
    </row>
    <row r="593" customFormat="false" ht="15" hidden="false" customHeight="true" outlineLevel="0" collapsed="false">
      <c r="A593" s="15"/>
      <c r="B593" s="7"/>
      <c r="C593" s="13"/>
      <c r="D593" s="7"/>
      <c r="E593" s="7"/>
    </row>
    <row r="594" customFormat="false" ht="15" hidden="false" customHeight="true" outlineLevel="0" collapsed="false">
      <c r="A594" s="15"/>
      <c r="B594" s="7"/>
      <c r="C594" s="13"/>
      <c r="D594" s="7"/>
      <c r="E594" s="7"/>
    </row>
    <row r="595" customFormat="false" ht="15" hidden="false" customHeight="true" outlineLevel="0" collapsed="false">
      <c r="A595" s="15"/>
      <c r="B595" s="7"/>
      <c r="C595" s="13"/>
      <c r="D595" s="7"/>
      <c r="E595" s="7"/>
    </row>
    <row r="596" customFormat="false" ht="15" hidden="false" customHeight="true" outlineLevel="0" collapsed="false">
      <c r="A596" s="15"/>
      <c r="B596" s="7"/>
      <c r="C596" s="13"/>
      <c r="D596" s="7"/>
      <c r="E596" s="7"/>
    </row>
    <row r="597" customFormat="false" ht="15" hidden="false" customHeight="true" outlineLevel="0" collapsed="false">
      <c r="A597" s="15"/>
      <c r="B597" s="7"/>
      <c r="C597" s="13"/>
      <c r="D597" s="7"/>
      <c r="E597" s="7"/>
    </row>
    <row r="598" customFormat="false" ht="15" hidden="false" customHeight="true" outlineLevel="0" collapsed="false">
      <c r="A598" s="15"/>
      <c r="B598" s="7"/>
      <c r="C598" s="13"/>
      <c r="D598" s="7"/>
      <c r="E598" s="7"/>
    </row>
    <row r="599" customFormat="false" ht="15" hidden="false" customHeight="true" outlineLevel="0" collapsed="false">
      <c r="A599" s="15"/>
      <c r="B599" s="7"/>
      <c r="C599" s="13"/>
      <c r="D599" s="7"/>
      <c r="E599" s="7"/>
    </row>
    <row r="600" customFormat="false" ht="15" hidden="false" customHeight="true" outlineLevel="0" collapsed="false">
      <c r="A600" s="15"/>
      <c r="B600" s="7"/>
      <c r="C600" s="13"/>
      <c r="D600" s="7"/>
      <c r="E600" s="7"/>
    </row>
    <row r="601" customFormat="false" ht="15" hidden="false" customHeight="true" outlineLevel="0" collapsed="false">
      <c r="A601" s="15"/>
      <c r="B601" s="7"/>
      <c r="C601" s="13"/>
      <c r="D601" s="7"/>
      <c r="E601" s="7"/>
    </row>
    <row r="602" customFormat="false" ht="15" hidden="false" customHeight="true" outlineLevel="0" collapsed="false">
      <c r="A602" s="15"/>
      <c r="B602" s="7"/>
      <c r="C602" s="13"/>
      <c r="D602" s="7"/>
      <c r="E602" s="7"/>
    </row>
    <row r="603" customFormat="false" ht="15" hidden="false" customHeight="true" outlineLevel="0" collapsed="false">
      <c r="A603" s="15"/>
      <c r="B603" s="7"/>
      <c r="C603" s="13"/>
      <c r="D603" s="7"/>
      <c r="E603" s="7"/>
    </row>
    <row r="604" customFormat="false" ht="15" hidden="false" customHeight="true" outlineLevel="0" collapsed="false">
      <c r="A604" s="15"/>
      <c r="B604" s="7"/>
      <c r="C604" s="13"/>
      <c r="D604" s="7"/>
      <c r="E604" s="7"/>
    </row>
    <row r="605" customFormat="false" ht="15" hidden="false" customHeight="true" outlineLevel="0" collapsed="false">
      <c r="A605" s="15"/>
      <c r="B605" s="7"/>
      <c r="C605" s="13"/>
      <c r="D605" s="7"/>
      <c r="E605" s="7"/>
    </row>
    <row r="606" customFormat="false" ht="15" hidden="false" customHeight="true" outlineLevel="0" collapsed="false">
      <c r="A606" s="15"/>
      <c r="B606" s="7"/>
      <c r="C606" s="13"/>
      <c r="D606" s="7"/>
      <c r="E606" s="7"/>
    </row>
    <row r="607" customFormat="false" ht="15" hidden="false" customHeight="true" outlineLevel="0" collapsed="false">
      <c r="A607" s="15"/>
      <c r="B607" s="7"/>
      <c r="C607" s="13"/>
      <c r="D607" s="7"/>
      <c r="E607" s="7"/>
    </row>
    <row r="608" customFormat="false" ht="15" hidden="false" customHeight="true" outlineLevel="0" collapsed="false">
      <c r="A608" s="15"/>
      <c r="B608" s="7"/>
      <c r="C608" s="13"/>
      <c r="D608" s="7"/>
      <c r="E608" s="7"/>
    </row>
    <row r="609" customFormat="false" ht="15" hidden="false" customHeight="true" outlineLevel="0" collapsed="false">
      <c r="A609" s="15"/>
      <c r="B609" s="7"/>
      <c r="C609" s="13"/>
      <c r="D609" s="7"/>
      <c r="E609" s="7"/>
    </row>
    <row r="610" customFormat="false" ht="15" hidden="false" customHeight="true" outlineLevel="0" collapsed="false">
      <c r="A610" s="15"/>
      <c r="B610" s="7"/>
      <c r="C610" s="13"/>
      <c r="D610" s="7"/>
      <c r="E610" s="7"/>
    </row>
    <row r="611" customFormat="false" ht="15" hidden="false" customHeight="true" outlineLevel="0" collapsed="false">
      <c r="A611" s="15"/>
      <c r="B611" s="7"/>
      <c r="C611" s="13"/>
      <c r="D611" s="7"/>
      <c r="E611" s="7"/>
    </row>
    <row r="612" customFormat="false" ht="15" hidden="false" customHeight="true" outlineLevel="0" collapsed="false">
      <c r="A612" s="15"/>
      <c r="B612" s="7"/>
      <c r="C612" s="13"/>
      <c r="D612" s="7"/>
      <c r="E612" s="7"/>
    </row>
    <row r="613" customFormat="false" ht="15" hidden="false" customHeight="true" outlineLevel="0" collapsed="false">
      <c r="A613" s="15"/>
      <c r="B613" s="7"/>
      <c r="C613" s="13"/>
      <c r="D613" s="7"/>
      <c r="E613" s="7"/>
    </row>
    <row r="614" customFormat="false" ht="15" hidden="false" customHeight="true" outlineLevel="0" collapsed="false">
      <c r="A614" s="15"/>
      <c r="B614" s="7"/>
      <c r="C614" s="13"/>
      <c r="D614" s="7"/>
      <c r="E614" s="7"/>
    </row>
    <row r="615" customFormat="false" ht="15" hidden="false" customHeight="true" outlineLevel="0" collapsed="false">
      <c r="A615" s="15"/>
      <c r="B615" s="7"/>
      <c r="C615" s="13"/>
      <c r="D615" s="7"/>
      <c r="E615" s="7"/>
    </row>
    <row r="616" customFormat="false" ht="15" hidden="false" customHeight="true" outlineLevel="0" collapsed="false">
      <c r="A616" s="15"/>
      <c r="B616" s="7"/>
      <c r="C616" s="13"/>
      <c r="D616" s="7"/>
      <c r="E616" s="7"/>
    </row>
    <row r="617" customFormat="false" ht="15" hidden="false" customHeight="true" outlineLevel="0" collapsed="false">
      <c r="A617" s="15"/>
      <c r="B617" s="7"/>
      <c r="C617" s="13"/>
      <c r="D617" s="7"/>
      <c r="E617" s="7"/>
    </row>
    <row r="618" customFormat="false" ht="15" hidden="false" customHeight="true" outlineLevel="0" collapsed="false">
      <c r="A618" s="15"/>
      <c r="B618" s="7"/>
      <c r="C618" s="13"/>
      <c r="D618" s="7"/>
      <c r="E618" s="7"/>
    </row>
    <row r="619" customFormat="false" ht="15" hidden="false" customHeight="true" outlineLevel="0" collapsed="false">
      <c r="A619" s="15"/>
      <c r="B619" s="7"/>
      <c r="C619" s="13"/>
      <c r="D619" s="7"/>
      <c r="E619" s="7"/>
    </row>
    <row r="620" customFormat="false" ht="15" hidden="false" customHeight="true" outlineLevel="0" collapsed="false">
      <c r="A620" s="15"/>
      <c r="B620" s="7"/>
      <c r="C620" s="13"/>
      <c r="D620" s="7"/>
      <c r="E620" s="7"/>
    </row>
    <row r="621" customFormat="false" ht="15" hidden="false" customHeight="true" outlineLevel="0" collapsed="false">
      <c r="A621" s="15"/>
      <c r="B621" s="7"/>
      <c r="C621" s="13"/>
      <c r="D621" s="7"/>
      <c r="E621" s="7"/>
    </row>
    <row r="622" customFormat="false" ht="15" hidden="false" customHeight="true" outlineLevel="0" collapsed="false">
      <c r="A622" s="15"/>
      <c r="B622" s="7"/>
      <c r="C622" s="13"/>
      <c r="D622" s="7"/>
      <c r="E622" s="7"/>
    </row>
    <row r="623" customFormat="false" ht="15" hidden="false" customHeight="true" outlineLevel="0" collapsed="false">
      <c r="A623" s="15"/>
      <c r="B623" s="7"/>
      <c r="C623" s="13"/>
      <c r="D623" s="7"/>
      <c r="E623" s="7"/>
    </row>
    <row r="624" customFormat="false" ht="15" hidden="false" customHeight="true" outlineLevel="0" collapsed="false">
      <c r="A624" s="15"/>
      <c r="B624" s="7"/>
      <c r="C624" s="13"/>
      <c r="D624" s="7"/>
      <c r="E624" s="7"/>
    </row>
    <row r="625" customFormat="false" ht="15" hidden="false" customHeight="true" outlineLevel="0" collapsed="false">
      <c r="A625" s="15"/>
      <c r="B625" s="7"/>
      <c r="C625" s="13"/>
      <c r="D625" s="7"/>
      <c r="E625" s="7"/>
    </row>
    <row r="626" customFormat="false" ht="15" hidden="false" customHeight="true" outlineLevel="0" collapsed="false">
      <c r="A626" s="15"/>
      <c r="B626" s="7"/>
      <c r="C626" s="13"/>
      <c r="D626" s="7"/>
      <c r="E626" s="7"/>
    </row>
    <row r="627" customFormat="false" ht="15" hidden="false" customHeight="true" outlineLevel="0" collapsed="false">
      <c r="A627" s="15"/>
      <c r="B627" s="7"/>
      <c r="C627" s="13"/>
      <c r="D627" s="7"/>
      <c r="E627" s="7"/>
    </row>
    <row r="628" customFormat="false" ht="15" hidden="false" customHeight="true" outlineLevel="0" collapsed="false">
      <c r="A628" s="15"/>
      <c r="B628" s="7"/>
      <c r="C628" s="13"/>
      <c r="D628" s="7"/>
      <c r="E628" s="7"/>
    </row>
    <row r="629" customFormat="false" ht="15" hidden="false" customHeight="true" outlineLevel="0" collapsed="false">
      <c r="A629" s="15"/>
      <c r="B629" s="7"/>
      <c r="C629" s="13"/>
      <c r="D629" s="7"/>
      <c r="E629" s="7"/>
    </row>
    <row r="630" customFormat="false" ht="15" hidden="false" customHeight="true" outlineLevel="0" collapsed="false">
      <c r="A630" s="15"/>
      <c r="B630" s="7"/>
      <c r="C630" s="13"/>
      <c r="D630" s="7"/>
      <c r="E630" s="7"/>
    </row>
    <row r="631" customFormat="false" ht="15" hidden="false" customHeight="true" outlineLevel="0" collapsed="false">
      <c r="A631" s="15"/>
      <c r="B631" s="7"/>
      <c r="C631" s="13"/>
      <c r="D631" s="7"/>
      <c r="E631" s="7"/>
    </row>
    <row r="632" customFormat="false" ht="15" hidden="false" customHeight="true" outlineLevel="0" collapsed="false">
      <c r="A632" s="15"/>
      <c r="B632" s="7"/>
      <c r="C632" s="13"/>
      <c r="D632" s="7"/>
      <c r="E632" s="7"/>
    </row>
    <row r="633" customFormat="false" ht="15" hidden="false" customHeight="true" outlineLevel="0" collapsed="false">
      <c r="A633" s="15"/>
      <c r="B633" s="7"/>
      <c r="C633" s="13"/>
      <c r="D633" s="7"/>
      <c r="E633" s="7"/>
    </row>
    <row r="634" customFormat="false" ht="15" hidden="false" customHeight="true" outlineLevel="0" collapsed="false">
      <c r="A634" s="15"/>
      <c r="B634" s="7"/>
      <c r="C634" s="13"/>
      <c r="D634" s="7"/>
      <c r="E634" s="7"/>
    </row>
    <row r="635" customFormat="false" ht="15" hidden="false" customHeight="true" outlineLevel="0" collapsed="false">
      <c r="A635" s="15"/>
      <c r="B635" s="7"/>
      <c r="C635" s="13"/>
      <c r="D635" s="7"/>
      <c r="E635" s="7"/>
    </row>
    <row r="636" customFormat="false" ht="15" hidden="false" customHeight="true" outlineLevel="0" collapsed="false">
      <c r="A636" s="15"/>
      <c r="B636" s="7"/>
      <c r="C636" s="13"/>
      <c r="D636" s="7"/>
      <c r="E636" s="7"/>
    </row>
    <row r="637" customFormat="false" ht="15" hidden="false" customHeight="true" outlineLevel="0" collapsed="false">
      <c r="A637" s="15"/>
      <c r="B637" s="7"/>
      <c r="C637" s="13"/>
      <c r="D637" s="7"/>
      <c r="E637" s="7"/>
    </row>
    <row r="638" customFormat="false" ht="15" hidden="false" customHeight="true" outlineLevel="0" collapsed="false">
      <c r="A638" s="15"/>
      <c r="B638" s="7"/>
      <c r="C638" s="13"/>
      <c r="D638" s="7"/>
      <c r="E638" s="7"/>
    </row>
    <row r="639" customFormat="false" ht="15" hidden="false" customHeight="true" outlineLevel="0" collapsed="false">
      <c r="A639" s="15"/>
      <c r="B639" s="7"/>
      <c r="C639" s="13"/>
      <c r="D639" s="7"/>
      <c r="E639" s="7"/>
    </row>
    <row r="640" customFormat="false" ht="15" hidden="false" customHeight="true" outlineLevel="0" collapsed="false">
      <c r="A640" s="15"/>
      <c r="B640" s="7"/>
      <c r="C640" s="13"/>
      <c r="D640" s="7"/>
      <c r="E640" s="7"/>
    </row>
    <row r="641" customFormat="false" ht="15" hidden="false" customHeight="true" outlineLevel="0" collapsed="false">
      <c r="A641" s="15"/>
      <c r="B641" s="7"/>
      <c r="C641" s="13"/>
      <c r="D641" s="7"/>
      <c r="E641" s="7"/>
    </row>
    <row r="642" customFormat="false" ht="15" hidden="false" customHeight="true" outlineLevel="0" collapsed="false">
      <c r="A642" s="15"/>
      <c r="B642" s="7"/>
      <c r="C642" s="13"/>
      <c r="D642" s="7"/>
      <c r="E642" s="7"/>
    </row>
    <row r="643" customFormat="false" ht="15" hidden="false" customHeight="true" outlineLevel="0" collapsed="false">
      <c r="A643" s="15"/>
      <c r="B643" s="7"/>
      <c r="C643" s="13"/>
      <c r="D643" s="7"/>
      <c r="E643" s="7"/>
    </row>
    <row r="644" customFormat="false" ht="15" hidden="false" customHeight="true" outlineLevel="0" collapsed="false">
      <c r="A644" s="15"/>
      <c r="B644" s="7"/>
      <c r="C644" s="13"/>
      <c r="D644" s="7"/>
      <c r="E644" s="7"/>
    </row>
    <row r="645" customFormat="false" ht="15" hidden="false" customHeight="true" outlineLevel="0" collapsed="false">
      <c r="A645" s="15"/>
      <c r="B645" s="7"/>
      <c r="C645" s="13"/>
      <c r="D645" s="7"/>
      <c r="E645" s="7"/>
    </row>
    <row r="646" customFormat="false" ht="15" hidden="false" customHeight="true" outlineLevel="0" collapsed="false">
      <c r="A646" s="15"/>
      <c r="B646" s="7"/>
      <c r="C646" s="13"/>
      <c r="D646" s="7"/>
      <c r="E646" s="7"/>
    </row>
    <row r="647" customFormat="false" ht="15" hidden="false" customHeight="true" outlineLevel="0" collapsed="false">
      <c r="A647" s="15"/>
      <c r="B647" s="7"/>
      <c r="C647" s="13"/>
      <c r="D647" s="7"/>
      <c r="E647" s="7"/>
    </row>
    <row r="648" customFormat="false" ht="15" hidden="false" customHeight="true" outlineLevel="0" collapsed="false">
      <c r="A648" s="15"/>
      <c r="B648" s="7"/>
      <c r="C648" s="13"/>
      <c r="D648" s="7"/>
      <c r="E648" s="7"/>
    </row>
    <row r="649" customFormat="false" ht="15" hidden="false" customHeight="true" outlineLevel="0" collapsed="false">
      <c r="A649" s="15"/>
      <c r="B649" s="7"/>
      <c r="C649" s="13"/>
      <c r="D649" s="7"/>
      <c r="E649" s="7"/>
    </row>
    <row r="650" customFormat="false" ht="15" hidden="false" customHeight="true" outlineLevel="0" collapsed="false">
      <c r="A650" s="15"/>
      <c r="B650" s="7"/>
      <c r="C650" s="13"/>
      <c r="D650" s="7"/>
      <c r="E650" s="7"/>
    </row>
    <row r="651" customFormat="false" ht="15" hidden="false" customHeight="true" outlineLevel="0" collapsed="false">
      <c r="A651" s="15"/>
      <c r="B651" s="7"/>
      <c r="C651" s="13"/>
      <c r="D651" s="7"/>
      <c r="E651" s="7"/>
    </row>
    <row r="652" customFormat="false" ht="15" hidden="false" customHeight="true" outlineLevel="0" collapsed="false">
      <c r="A652" s="15"/>
      <c r="B652" s="7"/>
      <c r="C652" s="13"/>
      <c r="D652" s="7"/>
      <c r="E652" s="7"/>
    </row>
    <row r="653" customFormat="false" ht="15" hidden="false" customHeight="true" outlineLevel="0" collapsed="false">
      <c r="A653" s="15"/>
      <c r="B653" s="7"/>
      <c r="C653" s="13"/>
      <c r="D653" s="7"/>
      <c r="E653" s="7"/>
    </row>
    <row r="654" customFormat="false" ht="15" hidden="false" customHeight="true" outlineLevel="0" collapsed="false">
      <c r="A654" s="15"/>
      <c r="B654" s="7"/>
      <c r="C654" s="13"/>
      <c r="D654" s="7"/>
      <c r="E654" s="7"/>
    </row>
    <row r="655" customFormat="false" ht="15" hidden="false" customHeight="true" outlineLevel="0" collapsed="false">
      <c r="A655" s="15"/>
      <c r="B655" s="7"/>
      <c r="C655" s="13"/>
      <c r="D655" s="7"/>
      <c r="E655" s="7"/>
    </row>
    <row r="656" customFormat="false" ht="15" hidden="false" customHeight="true" outlineLevel="0" collapsed="false">
      <c r="A656" s="15"/>
      <c r="B656" s="7"/>
      <c r="C656" s="13"/>
      <c r="D656" s="7"/>
      <c r="E656" s="7"/>
    </row>
    <row r="657" customFormat="false" ht="15" hidden="false" customHeight="true" outlineLevel="0" collapsed="false">
      <c r="A657" s="15"/>
      <c r="B657" s="7"/>
      <c r="C657" s="13"/>
      <c r="D657" s="7"/>
      <c r="E657" s="7"/>
    </row>
    <row r="658" customFormat="false" ht="15" hidden="false" customHeight="true" outlineLevel="0" collapsed="false">
      <c r="A658" s="15"/>
      <c r="B658" s="7"/>
      <c r="C658" s="13"/>
      <c r="D658" s="7"/>
      <c r="E658" s="7"/>
    </row>
    <row r="659" customFormat="false" ht="15" hidden="false" customHeight="true" outlineLevel="0" collapsed="false">
      <c r="A659" s="15"/>
      <c r="B659" s="7"/>
      <c r="C659" s="13"/>
      <c r="D659" s="7"/>
      <c r="E659" s="7"/>
    </row>
    <row r="660" customFormat="false" ht="15" hidden="false" customHeight="true" outlineLevel="0" collapsed="false">
      <c r="A660" s="15"/>
      <c r="B660" s="7"/>
      <c r="C660" s="13"/>
      <c r="D660" s="7"/>
      <c r="E660" s="7"/>
    </row>
    <row r="661" customFormat="false" ht="15" hidden="false" customHeight="true" outlineLevel="0" collapsed="false">
      <c r="A661" s="15"/>
      <c r="B661" s="7"/>
      <c r="C661" s="13"/>
      <c r="D661" s="7"/>
      <c r="E661" s="7"/>
    </row>
    <row r="662" customFormat="false" ht="15" hidden="false" customHeight="true" outlineLevel="0" collapsed="false">
      <c r="A662" s="15"/>
      <c r="B662" s="7"/>
      <c r="C662" s="13"/>
      <c r="D662" s="7"/>
      <c r="E662" s="7"/>
    </row>
    <row r="663" customFormat="false" ht="15" hidden="false" customHeight="true" outlineLevel="0" collapsed="false">
      <c r="A663" s="15"/>
      <c r="B663" s="7"/>
      <c r="C663" s="13"/>
      <c r="D663" s="7"/>
      <c r="E663" s="7"/>
    </row>
    <row r="664" customFormat="false" ht="15" hidden="false" customHeight="true" outlineLevel="0" collapsed="false">
      <c r="A664" s="15"/>
      <c r="B664" s="7"/>
      <c r="C664" s="13"/>
      <c r="D664" s="7"/>
      <c r="E664" s="7"/>
    </row>
    <row r="665" customFormat="false" ht="15" hidden="false" customHeight="true" outlineLevel="0" collapsed="false">
      <c r="A665" s="15"/>
      <c r="B665" s="7"/>
      <c r="C665" s="13"/>
      <c r="D665" s="7"/>
      <c r="E665" s="7"/>
    </row>
    <row r="666" customFormat="false" ht="15" hidden="false" customHeight="true" outlineLevel="0" collapsed="false">
      <c r="A666" s="15"/>
      <c r="B666" s="7"/>
      <c r="C666" s="13"/>
      <c r="D666" s="7"/>
      <c r="E666" s="7"/>
    </row>
    <row r="667" customFormat="false" ht="15" hidden="false" customHeight="true" outlineLevel="0" collapsed="false">
      <c r="A667" s="15"/>
      <c r="B667" s="7"/>
      <c r="C667" s="13"/>
      <c r="D667" s="7"/>
      <c r="E667" s="7"/>
    </row>
    <row r="668" customFormat="false" ht="15" hidden="false" customHeight="true" outlineLevel="0" collapsed="false">
      <c r="A668" s="15"/>
      <c r="B668" s="7"/>
      <c r="C668" s="13"/>
      <c r="D668" s="7"/>
      <c r="E668" s="7"/>
    </row>
    <row r="669" customFormat="false" ht="15" hidden="false" customHeight="true" outlineLevel="0" collapsed="false">
      <c r="A669" s="15"/>
      <c r="B669" s="7"/>
      <c r="C669" s="13"/>
      <c r="D669" s="7"/>
      <c r="E669" s="7"/>
    </row>
    <row r="670" customFormat="false" ht="15" hidden="false" customHeight="true" outlineLevel="0" collapsed="false">
      <c r="A670" s="15"/>
      <c r="B670" s="7"/>
      <c r="C670" s="13"/>
      <c r="D670" s="7"/>
      <c r="E670" s="7"/>
    </row>
    <row r="671" customFormat="false" ht="15" hidden="false" customHeight="true" outlineLevel="0" collapsed="false">
      <c r="A671" s="15"/>
      <c r="B671" s="7"/>
      <c r="C671" s="13"/>
      <c r="D671" s="7"/>
      <c r="E671" s="7"/>
    </row>
    <row r="672" customFormat="false" ht="15" hidden="false" customHeight="true" outlineLevel="0" collapsed="false">
      <c r="A672" s="15"/>
      <c r="B672" s="7"/>
      <c r="C672" s="13"/>
      <c r="D672" s="7"/>
      <c r="E672" s="7"/>
    </row>
    <row r="673" customFormat="false" ht="15" hidden="false" customHeight="true" outlineLevel="0" collapsed="false">
      <c r="A673" s="15"/>
      <c r="B673" s="7"/>
      <c r="C673" s="13"/>
      <c r="D673" s="7"/>
      <c r="E673" s="7"/>
    </row>
    <row r="674" customFormat="false" ht="15" hidden="false" customHeight="true" outlineLevel="0" collapsed="false">
      <c r="A674" s="15"/>
      <c r="B674" s="7"/>
      <c r="C674" s="13"/>
      <c r="D674" s="7"/>
      <c r="E674" s="7"/>
    </row>
    <row r="675" customFormat="false" ht="15" hidden="false" customHeight="true" outlineLevel="0" collapsed="false">
      <c r="A675" s="15"/>
      <c r="B675" s="7"/>
      <c r="C675" s="13"/>
      <c r="D675" s="7"/>
      <c r="E675" s="7"/>
    </row>
    <row r="676" customFormat="false" ht="15" hidden="false" customHeight="true" outlineLevel="0" collapsed="false">
      <c r="A676" s="15"/>
      <c r="B676" s="7"/>
      <c r="C676" s="13"/>
      <c r="D676" s="7"/>
      <c r="E676" s="7"/>
    </row>
    <row r="677" customFormat="false" ht="15" hidden="false" customHeight="true" outlineLevel="0" collapsed="false">
      <c r="A677" s="15"/>
      <c r="B677" s="7"/>
      <c r="C677" s="13"/>
      <c r="D677" s="7"/>
      <c r="E677" s="7"/>
    </row>
    <row r="678" customFormat="false" ht="15" hidden="false" customHeight="true" outlineLevel="0" collapsed="false">
      <c r="A678" s="15"/>
      <c r="B678" s="7"/>
      <c r="C678" s="13"/>
      <c r="D678" s="7"/>
      <c r="E678" s="7"/>
    </row>
    <row r="679" customFormat="false" ht="15" hidden="false" customHeight="true" outlineLevel="0" collapsed="false">
      <c r="A679" s="15"/>
      <c r="B679" s="7"/>
      <c r="C679" s="13"/>
      <c r="D679" s="7"/>
      <c r="E679" s="7"/>
    </row>
    <row r="680" customFormat="false" ht="15" hidden="false" customHeight="true" outlineLevel="0" collapsed="false">
      <c r="A680" s="15"/>
      <c r="B680" s="7"/>
      <c r="C680" s="13"/>
      <c r="D680" s="7"/>
      <c r="E680" s="7"/>
    </row>
    <row r="681" customFormat="false" ht="15" hidden="false" customHeight="true" outlineLevel="0" collapsed="false">
      <c r="A681" s="15"/>
      <c r="B681" s="7"/>
      <c r="C681" s="13"/>
      <c r="D681" s="7"/>
      <c r="E681" s="7"/>
    </row>
    <row r="682" customFormat="false" ht="15" hidden="false" customHeight="true" outlineLevel="0" collapsed="false">
      <c r="A682" s="15"/>
      <c r="B682" s="7"/>
      <c r="C682" s="13"/>
      <c r="D682" s="7"/>
      <c r="E682" s="7"/>
    </row>
    <row r="683" customFormat="false" ht="15" hidden="false" customHeight="true" outlineLevel="0" collapsed="false">
      <c r="A683" s="15"/>
      <c r="B683" s="7"/>
      <c r="C683" s="13"/>
      <c r="D683" s="7"/>
      <c r="E683" s="7"/>
    </row>
    <row r="684" customFormat="false" ht="15" hidden="false" customHeight="true" outlineLevel="0" collapsed="false">
      <c r="A684" s="15"/>
      <c r="B684" s="7"/>
      <c r="C684" s="13"/>
      <c r="D684" s="7"/>
      <c r="E684" s="7"/>
    </row>
    <row r="685" customFormat="false" ht="15" hidden="false" customHeight="true" outlineLevel="0" collapsed="false">
      <c r="A685" s="15"/>
      <c r="B685" s="7"/>
      <c r="C685" s="13"/>
      <c r="D685" s="7"/>
      <c r="E685" s="7"/>
    </row>
    <row r="686" customFormat="false" ht="15" hidden="false" customHeight="true" outlineLevel="0" collapsed="false">
      <c r="A686" s="15"/>
      <c r="B686" s="7"/>
      <c r="C686" s="13"/>
      <c r="D686" s="7"/>
      <c r="E686" s="7"/>
    </row>
    <row r="687" customFormat="false" ht="15" hidden="false" customHeight="true" outlineLevel="0" collapsed="false">
      <c r="A687" s="15"/>
      <c r="B687" s="7"/>
      <c r="C687" s="13"/>
      <c r="D687" s="7"/>
      <c r="E687" s="7"/>
    </row>
    <row r="688" customFormat="false" ht="15" hidden="false" customHeight="true" outlineLevel="0" collapsed="false">
      <c r="A688" s="15"/>
      <c r="B688" s="7"/>
      <c r="C688" s="13"/>
      <c r="D688" s="7"/>
      <c r="E688" s="7"/>
    </row>
    <row r="689" customFormat="false" ht="15" hidden="false" customHeight="true" outlineLevel="0" collapsed="false">
      <c r="A689" s="15"/>
      <c r="B689" s="7"/>
      <c r="C689" s="13"/>
      <c r="D689" s="7"/>
      <c r="E689" s="7"/>
    </row>
    <row r="690" customFormat="false" ht="15" hidden="false" customHeight="true" outlineLevel="0" collapsed="false">
      <c r="A690" s="15"/>
      <c r="B690" s="7"/>
      <c r="C690" s="13"/>
      <c r="D690" s="7"/>
      <c r="E690" s="7"/>
    </row>
    <row r="691" customFormat="false" ht="15" hidden="false" customHeight="true" outlineLevel="0" collapsed="false">
      <c r="A691" s="15"/>
      <c r="B691" s="7"/>
      <c r="C691" s="13"/>
      <c r="D691" s="7"/>
      <c r="E691" s="7"/>
    </row>
    <row r="692" customFormat="false" ht="15" hidden="false" customHeight="true" outlineLevel="0" collapsed="false">
      <c r="A692" s="15"/>
      <c r="B692" s="7"/>
      <c r="C692" s="13"/>
      <c r="D692" s="7"/>
      <c r="E692" s="7"/>
    </row>
    <row r="693" customFormat="false" ht="15" hidden="false" customHeight="true" outlineLevel="0" collapsed="false">
      <c r="A693" s="15"/>
      <c r="B693" s="7"/>
      <c r="C693" s="13"/>
      <c r="D693" s="7"/>
      <c r="E693" s="7"/>
    </row>
    <row r="694" customFormat="false" ht="15" hidden="false" customHeight="true" outlineLevel="0" collapsed="false">
      <c r="A694" s="15"/>
      <c r="B694" s="7"/>
      <c r="C694" s="13"/>
      <c r="D694" s="7"/>
      <c r="E694" s="7"/>
    </row>
    <row r="695" customFormat="false" ht="15" hidden="false" customHeight="true" outlineLevel="0" collapsed="false">
      <c r="A695" s="15"/>
      <c r="B695" s="7"/>
      <c r="C695" s="13"/>
      <c r="D695" s="7"/>
      <c r="E695" s="7"/>
    </row>
    <row r="696" customFormat="false" ht="15" hidden="false" customHeight="true" outlineLevel="0" collapsed="false">
      <c r="A696" s="15"/>
      <c r="B696" s="7"/>
      <c r="C696" s="13"/>
      <c r="D696" s="7"/>
      <c r="E696" s="7"/>
    </row>
    <row r="697" customFormat="false" ht="15" hidden="false" customHeight="true" outlineLevel="0" collapsed="false">
      <c r="A697" s="15"/>
      <c r="B697" s="7"/>
      <c r="C697" s="13"/>
      <c r="D697" s="7"/>
      <c r="E697" s="7"/>
    </row>
    <row r="698" customFormat="false" ht="15" hidden="false" customHeight="true" outlineLevel="0" collapsed="false">
      <c r="A698" s="15"/>
      <c r="B698" s="7"/>
      <c r="C698" s="13"/>
      <c r="D698" s="7"/>
      <c r="E698" s="7"/>
    </row>
    <row r="699" customFormat="false" ht="15" hidden="false" customHeight="true" outlineLevel="0" collapsed="false">
      <c r="A699" s="15"/>
      <c r="B699" s="7"/>
      <c r="C699" s="13"/>
      <c r="D699" s="7"/>
      <c r="E699" s="7"/>
    </row>
    <row r="700" customFormat="false" ht="15" hidden="false" customHeight="true" outlineLevel="0" collapsed="false">
      <c r="A700" s="15"/>
      <c r="B700" s="7"/>
      <c r="C700" s="13"/>
      <c r="D700" s="7"/>
      <c r="E700" s="7"/>
    </row>
    <row r="701" customFormat="false" ht="15" hidden="false" customHeight="true" outlineLevel="0" collapsed="false">
      <c r="A701" s="15"/>
      <c r="B701" s="7"/>
      <c r="C701" s="13"/>
      <c r="D701" s="7"/>
      <c r="E701" s="7"/>
    </row>
    <row r="702" customFormat="false" ht="15" hidden="false" customHeight="true" outlineLevel="0" collapsed="false">
      <c r="A702" s="15"/>
      <c r="B702" s="7"/>
      <c r="C702" s="13"/>
      <c r="D702" s="7"/>
      <c r="E702" s="7"/>
    </row>
    <row r="703" customFormat="false" ht="15" hidden="false" customHeight="true" outlineLevel="0" collapsed="false">
      <c r="A703" s="15"/>
      <c r="B703" s="7"/>
      <c r="C703" s="13"/>
      <c r="D703" s="7"/>
      <c r="E703" s="7"/>
    </row>
    <row r="704" customFormat="false" ht="15" hidden="false" customHeight="true" outlineLevel="0" collapsed="false">
      <c r="A704" s="15"/>
      <c r="B704" s="7"/>
      <c r="C704" s="13"/>
      <c r="D704" s="7"/>
      <c r="E704" s="7"/>
    </row>
    <row r="705" customFormat="false" ht="15" hidden="false" customHeight="true" outlineLevel="0" collapsed="false">
      <c r="A705" s="15"/>
      <c r="B705" s="7"/>
      <c r="C705" s="13"/>
      <c r="D705" s="7"/>
      <c r="E705" s="7"/>
    </row>
    <row r="706" customFormat="false" ht="15" hidden="false" customHeight="true" outlineLevel="0" collapsed="false">
      <c r="A706" s="15"/>
      <c r="B706" s="7"/>
      <c r="C706" s="13"/>
      <c r="D706" s="7"/>
      <c r="E706" s="7"/>
    </row>
    <row r="707" customFormat="false" ht="15" hidden="false" customHeight="true" outlineLevel="0" collapsed="false">
      <c r="A707" s="15"/>
      <c r="B707" s="7"/>
      <c r="C707" s="13"/>
      <c r="D707" s="7"/>
      <c r="E707" s="7"/>
    </row>
    <row r="708" customFormat="false" ht="15" hidden="false" customHeight="true" outlineLevel="0" collapsed="false">
      <c r="A708" s="15"/>
      <c r="B708" s="7"/>
      <c r="C708" s="13"/>
      <c r="D708" s="7"/>
      <c r="E708" s="7"/>
    </row>
    <row r="709" customFormat="false" ht="15" hidden="false" customHeight="true" outlineLevel="0" collapsed="false">
      <c r="A709" s="15"/>
      <c r="B709" s="7"/>
      <c r="C709" s="13"/>
      <c r="D709" s="7"/>
      <c r="E709" s="7"/>
    </row>
    <row r="710" customFormat="false" ht="15" hidden="false" customHeight="true" outlineLevel="0" collapsed="false">
      <c r="A710" s="15"/>
      <c r="B710" s="7"/>
      <c r="C710" s="13"/>
      <c r="D710" s="7"/>
      <c r="E710" s="7"/>
    </row>
    <row r="711" customFormat="false" ht="15" hidden="false" customHeight="true" outlineLevel="0" collapsed="false">
      <c r="A711" s="15"/>
      <c r="B711" s="7"/>
      <c r="C711" s="13"/>
      <c r="D711" s="7"/>
      <c r="E711" s="7"/>
    </row>
    <row r="712" customFormat="false" ht="15" hidden="false" customHeight="true" outlineLevel="0" collapsed="false">
      <c r="A712" s="15"/>
      <c r="B712" s="7"/>
      <c r="C712" s="13"/>
      <c r="D712" s="7"/>
      <c r="E712" s="7"/>
    </row>
    <row r="713" customFormat="false" ht="15" hidden="false" customHeight="true" outlineLevel="0" collapsed="false">
      <c r="A713" s="15"/>
      <c r="B713" s="7"/>
      <c r="C713" s="13"/>
      <c r="D713" s="7"/>
      <c r="E713" s="7"/>
    </row>
    <row r="714" customFormat="false" ht="15" hidden="false" customHeight="true" outlineLevel="0" collapsed="false">
      <c r="A714" s="15"/>
      <c r="B714" s="7"/>
      <c r="C714" s="13"/>
      <c r="D714" s="7"/>
      <c r="E714" s="7"/>
    </row>
    <row r="715" customFormat="false" ht="15" hidden="false" customHeight="true" outlineLevel="0" collapsed="false">
      <c r="A715" s="15"/>
      <c r="B715" s="7"/>
      <c r="C715" s="13"/>
      <c r="D715" s="7"/>
      <c r="E715" s="7"/>
    </row>
    <row r="716" customFormat="false" ht="15" hidden="false" customHeight="true" outlineLevel="0" collapsed="false">
      <c r="A716" s="15"/>
      <c r="B716" s="7"/>
      <c r="C716" s="13"/>
      <c r="D716" s="7"/>
      <c r="E716" s="7"/>
    </row>
    <row r="717" customFormat="false" ht="15" hidden="false" customHeight="true" outlineLevel="0" collapsed="false">
      <c r="A717" s="15"/>
      <c r="B717" s="7"/>
      <c r="C717" s="13"/>
      <c r="D717" s="7"/>
      <c r="E717" s="7"/>
    </row>
    <row r="718" customFormat="false" ht="15" hidden="false" customHeight="true" outlineLevel="0" collapsed="false">
      <c r="A718" s="15"/>
      <c r="B718" s="7"/>
      <c r="C718" s="13"/>
      <c r="D718" s="7"/>
      <c r="E718" s="7"/>
    </row>
    <row r="719" customFormat="false" ht="15" hidden="false" customHeight="true" outlineLevel="0" collapsed="false">
      <c r="A719" s="15"/>
      <c r="B719" s="7"/>
      <c r="C719" s="13"/>
      <c r="D719" s="7"/>
      <c r="E719" s="7"/>
    </row>
    <row r="720" customFormat="false" ht="15" hidden="false" customHeight="true" outlineLevel="0" collapsed="false">
      <c r="A720" s="15"/>
      <c r="B720" s="7"/>
      <c r="C720" s="13"/>
      <c r="D720" s="7"/>
      <c r="E720" s="7"/>
    </row>
    <row r="721" customFormat="false" ht="15" hidden="false" customHeight="true" outlineLevel="0" collapsed="false">
      <c r="A721" s="15"/>
      <c r="B721" s="7"/>
      <c r="C721" s="13"/>
      <c r="D721" s="7"/>
      <c r="E721" s="7"/>
    </row>
    <row r="722" customFormat="false" ht="15" hidden="false" customHeight="true" outlineLevel="0" collapsed="false">
      <c r="A722" s="15"/>
      <c r="B722" s="7"/>
      <c r="C722" s="13"/>
      <c r="D722" s="7"/>
      <c r="E722" s="7"/>
    </row>
    <row r="723" customFormat="false" ht="15" hidden="false" customHeight="true" outlineLevel="0" collapsed="false">
      <c r="A723" s="15"/>
      <c r="B723" s="7"/>
      <c r="C723" s="13"/>
      <c r="D723" s="7"/>
      <c r="E723" s="7"/>
    </row>
    <row r="724" customFormat="false" ht="15" hidden="false" customHeight="true" outlineLevel="0" collapsed="false">
      <c r="A724" s="15"/>
      <c r="B724" s="7"/>
      <c r="C724" s="13"/>
      <c r="D724" s="7"/>
      <c r="E724" s="7"/>
    </row>
    <row r="725" customFormat="false" ht="15" hidden="false" customHeight="true" outlineLevel="0" collapsed="false">
      <c r="A725" s="15"/>
      <c r="B725" s="7"/>
      <c r="C725" s="13"/>
      <c r="D725" s="7"/>
      <c r="E725" s="7"/>
    </row>
    <row r="726" customFormat="false" ht="15" hidden="false" customHeight="true" outlineLevel="0" collapsed="false">
      <c r="A726" s="15"/>
      <c r="B726" s="7"/>
      <c r="C726" s="13"/>
      <c r="D726" s="7"/>
      <c r="E726" s="7"/>
    </row>
    <row r="727" customFormat="false" ht="15" hidden="false" customHeight="true" outlineLevel="0" collapsed="false">
      <c r="A727" s="15"/>
      <c r="B727" s="7"/>
      <c r="C727" s="13"/>
      <c r="D727" s="7"/>
      <c r="E727" s="7"/>
    </row>
    <row r="728" customFormat="false" ht="15" hidden="false" customHeight="true" outlineLevel="0" collapsed="false">
      <c r="A728" s="15"/>
      <c r="B728" s="7"/>
      <c r="C728" s="13"/>
      <c r="D728" s="7"/>
      <c r="E728" s="7"/>
    </row>
    <row r="729" customFormat="false" ht="15" hidden="false" customHeight="true" outlineLevel="0" collapsed="false">
      <c r="A729" s="15"/>
      <c r="B729" s="7"/>
      <c r="C729" s="13"/>
      <c r="D729" s="7"/>
      <c r="E729" s="7"/>
    </row>
    <row r="730" customFormat="false" ht="15" hidden="false" customHeight="true" outlineLevel="0" collapsed="false">
      <c r="A730" s="15"/>
      <c r="B730" s="7"/>
      <c r="C730" s="13"/>
      <c r="D730" s="7"/>
      <c r="E730" s="7"/>
    </row>
    <row r="731" customFormat="false" ht="15" hidden="false" customHeight="true" outlineLevel="0" collapsed="false">
      <c r="A731" s="15"/>
      <c r="B731" s="7"/>
      <c r="C731" s="13"/>
      <c r="D731" s="7"/>
      <c r="E731" s="7"/>
    </row>
    <row r="732" customFormat="false" ht="15" hidden="false" customHeight="true" outlineLevel="0" collapsed="false">
      <c r="A732" s="15"/>
      <c r="B732" s="7"/>
      <c r="C732" s="13"/>
      <c r="D732" s="7"/>
      <c r="E732" s="7"/>
    </row>
    <row r="733" customFormat="false" ht="15" hidden="false" customHeight="true" outlineLevel="0" collapsed="false">
      <c r="A733" s="15"/>
      <c r="B733" s="7"/>
      <c r="C733" s="13"/>
      <c r="D733" s="7"/>
      <c r="E733" s="7"/>
    </row>
    <row r="734" customFormat="false" ht="15" hidden="false" customHeight="true" outlineLevel="0" collapsed="false">
      <c r="A734" s="15"/>
      <c r="B734" s="7"/>
      <c r="C734" s="13"/>
      <c r="D734" s="7"/>
      <c r="E734" s="7"/>
    </row>
    <row r="735" customFormat="false" ht="15" hidden="false" customHeight="true" outlineLevel="0" collapsed="false">
      <c r="A735" s="15"/>
      <c r="B735" s="7"/>
      <c r="C735" s="13"/>
      <c r="D735" s="7"/>
      <c r="E735" s="7"/>
    </row>
    <row r="736" customFormat="false" ht="15" hidden="false" customHeight="true" outlineLevel="0" collapsed="false">
      <c r="A736" s="15"/>
      <c r="B736" s="7"/>
      <c r="C736" s="13"/>
      <c r="D736" s="7"/>
      <c r="E736" s="7"/>
    </row>
    <row r="737" customFormat="false" ht="15" hidden="false" customHeight="true" outlineLevel="0" collapsed="false">
      <c r="A737" s="15"/>
      <c r="B737" s="7"/>
      <c r="C737" s="13"/>
      <c r="D737" s="7"/>
      <c r="E737" s="7"/>
    </row>
    <row r="738" customFormat="false" ht="15" hidden="false" customHeight="true" outlineLevel="0" collapsed="false">
      <c r="A738" s="15"/>
      <c r="B738" s="7"/>
      <c r="C738" s="13"/>
      <c r="D738" s="7"/>
      <c r="E738" s="7"/>
    </row>
    <row r="739" customFormat="false" ht="15" hidden="false" customHeight="true" outlineLevel="0" collapsed="false">
      <c r="A739" s="15"/>
      <c r="B739" s="7"/>
      <c r="C739" s="13"/>
      <c r="D739" s="7"/>
      <c r="E739" s="7"/>
    </row>
    <row r="740" customFormat="false" ht="15" hidden="false" customHeight="true" outlineLevel="0" collapsed="false">
      <c r="A740" s="15"/>
      <c r="B740" s="7"/>
      <c r="C740" s="13"/>
      <c r="D740" s="7"/>
      <c r="E740" s="7"/>
    </row>
    <row r="741" customFormat="false" ht="15" hidden="false" customHeight="true" outlineLevel="0" collapsed="false">
      <c r="A741" s="15"/>
      <c r="B741" s="7"/>
      <c r="C741" s="13"/>
      <c r="D741" s="7"/>
      <c r="E741" s="7"/>
    </row>
    <row r="742" customFormat="false" ht="15" hidden="false" customHeight="true" outlineLevel="0" collapsed="false">
      <c r="A742" s="15"/>
      <c r="B742" s="7"/>
      <c r="C742" s="13"/>
      <c r="D742" s="7"/>
      <c r="E742" s="7"/>
    </row>
    <row r="743" customFormat="false" ht="15" hidden="false" customHeight="true" outlineLevel="0" collapsed="false">
      <c r="A743" s="15"/>
      <c r="B743" s="7"/>
      <c r="C743" s="13"/>
      <c r="D743" s="7"/>
      <c r="E743" s="7"/>
    </row>
    <row r="744" customFormat="false" ht="15" hidden="false" customHeight="true" outlineLevel="0" collapsed="false">
      <c r="A744" s="15"/>
      <c r="B744" s="7"/>
      <c r="C744" s="13"/>
      <c r="D744" s="7"/>
      <c r="E744" s="7"/>
    </row>
    <row r="745" customFormat="false" ht="15" hidden="false" customHeight="true" outlineLevel="0" collapsed="false">
      <c r="A745" s="15"/>
      <c r="B745" s="7"/>
      <c r="C745" s="13"/>
      <c r="D745" s="7"/>
      <c r="E745" s="7"/>
    </row>
    <row r="746" customFormat="false" ht="15" hidden="false" customHeight="true" outlineLevel="0" collapsed="false">
      <c r="A746" s="15"/>
      <c r="B746" s="7"/>
      <c r="C746" s="13"/>
      <c r="D746" s="7"/>
      <c r="E746" s="7"/>
    </row>
    <row r="747" customFormat="false" ht="15" hidden="false" customHeight="true" outlineLevel="0" collapsed="false">
      <c r="A747" s="15"/>
      <c r="B747" s="7"/>
      <c r="C747" s="13"/>
      <c r="D747" s="7"/>
      <c r="E747" s="7"/>
    </row>
    <row r="748" customFormat="false" ht="15" hidden="false" customHeight="true" outlineLevel="0" collapsed="false">
      <c r="A748" s="15"/>
      <c r="B748" s="7"/>
      <c r="C748" s="13"/>
      <c r="D748" s="7"/>
      <c r="E748" s="7"/>
    </row>
    <row r="749" customFormat="false" ht="15" hidden="false" customHeight="true" outlineLevel="0" collapsed="false">
      <c r="A749" s="15"/>
      <c r="B749" s="7"/>
      <c r="C749" s="13"/>
      <c r="D749" s="7"/>
      <c r="E749" s="7"/>
    </row>
    <row r="750" customFormat="false" ht="15" hidden="false" customHeight="true" outlineLevel="0" collapsed="false">
      <c r="A750" s="15"/>
      <c r="B750" s="7"/>
      <c r="C750" s="13"/>
      <c r="D750" s="7"/>
      <c r="E750" s="7"/>
    </row>
    <row r="751" customFormat="false" ht="15" hidden="false" customHeight="true" outlineLevel="0" collapsed="false">
      <c r="A751" s="15"/>
      <c r="B751" s="7"/>
      <c r="C751" s="13"/>
      <c r="D751" s="7"/>
      <c r="E751" s="7"/>
    </row>
    <row r="752" customFormat="false" ht="15" hidden="false" customHeight="true" outlineLevel="0" collapsed="false">
      <c r="A752" s="15"/>
      <c r="B752" s="7"/>
      <c r="C752" s="13"/>
      <c r="D752" s="7"/>
      <c r="E752" s="7"/>
    </row>
    <row r="753" customFormat="false" ht="15" hidden="false" customHeight="true" outlineLevel="0" collapsed="false">
      <c r="A753" s="15"/>
      <c r="B753" s="7"/>
      <c r="C753" s="13"/>
      <c r="D753" s="7"/>
      <c r="E753" s="7"/>
    </row>
    <row r="754" customFormat="false" ht="15" hidden="false" customHeight="true" outlineLevel="0" collapsed="false">
      <c r="A754" s="15"/>
      <c r="B754" s="7"/>
      <c r="C754" s="13"/>
      <c r="D754" s="7"/>
      <c r="E754" s="7"/>
    </row>
    <row r="755" customFormat="false" ht="15" hidden="false" customHeight="true" outlineLevel="0" collapsed="false">
      <c r="A755" s="15"/>
      <c r="B755" s="7"/>
      <c r="C755" s="13"/>
      <c r="D755" s="7"/>
      <c r="E755" s="7"/>
    </row>
    <row r="756" customFormat="false" ht="15" hidden="false" customHeight="true" outlineLevel="0" collapsed="false">
      <c r="A756" s="15"/>
      <c r="B756" s="7"/>
      <c r="C756" s="13"/>
      <c r="D756" s="7"/>
      <c r="E756" s="7"/>
    </row>
    <row r="757" customFormat="false" ht="15" hidden="false" customHeight="true" outlineLevel="0" collapsed="false">
      <c r="A757" s="15"/>
      <c r="B757" s="7"/>
      <c r="C757" s="13"/>
      <c r="D757" s="7"/>
      <c r="E757" s="7"/>
    </row>
    <row r="758" customFormat="false" ht="15" hidden="false" customHeight="true" outlineLevel="0" collapsed="false">
      <c r="A758" s="15"/>
      <c r="B758" s="7"/>
      <c r="C758" s="13"/>
      <c r="D758" s="7"/>
      <c r="E758" s="7"/>
    </row>
    <row r="759" customFormat="false" ht="15" hidden="false" customHeight="true" outlineLevel="0" collapsed="false">
      <c r="A759" s="15"/>
      <c r="B759" s="7"/>
      <c r="C759" s="13"/>
      <c r="D759" s="7"/>
      <c r="E759" s="7"/>
    </row>
    <row r="760" customFormat="false" ht="15" hidden="false" customHeight="true" outlineLevel="0" collapsed="false">
      <c r="A760" s="15"/>
      <c r="B760" s="7"/>
      <c r="C760" s="13"/>
      <c r="D760" s="7"/>
      <c r="E760" s="7"/>
    </row>
    <row r="761" customFormat="false" ht="15" hidden="false" customHeight="true" outlineLevel="0" collapsed="false">
      <c r="A761" s="15"/>
      <c r="B761" s="7"/>
      <c r="C761" s="13"/>
      <c r="D761" s="7"/>
      <c r="E761" s="7"/>
    </row>
    <row r="762" customFormat="false" ht="15" hidden="false" customHeight="true" outlineLevel="0" collapsed="false">
      <c r="A762" s="15"/>
      <c r="B762" s="7"/>
      <c r="C762" s="13"/>
      <c r="D762" s="7"/>
      <c r="E762" s="7"/>
    </row>
    <row r="763" customFormat="false" ht="15" hidden="false" customHeight="true" outlineLevel="0" collapsed="false">
      <c r="A763" s="15"/>
      <c r="B763" s="7"/>
      <c r="C763" s="13"/>
      <c r="D763" s="7"/>
      <c r="E763" s="7"/>
    </row>
    <row r="764" customFormat="false" ht="15" hidden="false" customHeight="true" outlineLevel="0" collapsed="false">
      <c r="A764" s="15"/>
      <c r="B764" s="7"/>
      <c r="C764" s="13"/>
      <c r="D764" s="7"/>
      <c r="E764" s="7"/>
    </row>
    <row r="765" customFormat="false" ht="15" hidden="false" customHeight="true" outlineLevel="0" collapsed="false">
      <c r="A765" s="15"/>
      <c r="B765" s="7"/>
      <c r="C765" s="13"/>
      <c r="D765" s="7"/>
      <c r="E765" s="7"/>
    </row>
    <row r="766" customFormat="false" ht="15" hidden="false" customHeight="true" outlineLevel="0" collapsed="false">
      <c r="A766" s="15"/>
      <c r="B766" s="7"/>
      <c r="C766" s="13"/>
      <c r="D766" s="7"/>
      <c r="E766" s="7"/>
    </row>
    <row r="767" customFormat="false" ht="15" hidden="false" customHeight="true" outlineLevel="0" collapsed="false">
      <c r="A767" s="15"/>
      <c r="B767" s="7"/>
      <c r="C767" s="13"/>
      <c r="D767" s="7"/>
      <c r="E767" s="7"/>
    </row>
    <row r="768" customFormat="false" ht="15" hidden="false" customHeight="true" outlineLevel="0" collapsed="false">
      <c r="A768" s="15"/>
      <c r="B768" s="7"/>
      <c r="C768" s="13"/>
      <c r="D768" s="7"/>
      <c r="E768" s="7"/>
    </row>
    <row r="769" customFormat="false" ht="15" hidden="false" customHeight="true" outlineLevel="0" collapsed="false">
      <c r="A769" s="15"/>
      <c r="B769" s="7"/>
      <c r="C769" s="13"/>
      <c r="D769" s="7"/>
      <c r="E769" s="7"/>
    </row>
    <row r="770" customFormat="false" ht="15" hidden="false" customHeight="true" outlineLevel="0" collapsed="false">
      <c r="A770" s="15"/>
      <c r="B770" s="7"/>
      <c r="C770" s="13"/>
      <c r="D770" s="7"/>
      <c r="E770" s="7"/>
    </row>
    <row r="771" customFormat="false" ht="15" hidden="false" customHeight="true" outlineLevel="0" collapsed="false">
      <c r="A771" s="15"/>
      <c r="B771" s="7"/>
      <c r="C771" s="13"/>
      <c r="D771" s="7"/>
      <c r="E771" s="7"/>
    </row>
    <row r="772" customFormat="false" ht="15" hidden="false" customHeight="true" outlineLevel="0" collapsed="false">
      <c r="A772" s="15"/>
      <c r="B772" s="7"/>
      <c r="C772" s="13"/>
      <c r="D772" s="7"/>
      <c r="E772" s="7"/>
    </row>
    <row r="773" customFormat="false" ht="15" hidden="false" customHeight="true" outlineLevel="0" collapsed="false">
      <c r="A773" s="15"/>
      <c r="B773" s="7"/>
      <c r="C773" s="13"/>
      <c r="D773" s="7"/>
      <c r="E773" s="7"/>
    </row>
    <row r="774" customFormat="false" ht="15" hidden="false" customHeight="true" outlineLevel="0" collapsed="false">
      <c r="A774" s="15"/>
      <c r="B774" s="7"/>
      <c r="C774" s="13"/>
      <c r="D774" s="7"/>
      <c r="E774" s="7"/>
    </row>
    <row r="775" customFormat="false" ht="15" hidden="false" customHeight="true" outlineLevel="0" collapsed="false">
      <c r="A775" s="15"/>
      <c r="B775" s="7"/>
      <c r="C775" s="13"/>
      <c r="D775" s="7"/>
      <c r="E775" s="7"/>
    </row>
    <row r="776" customFormat="false" ht="15" hidden="false" customHeight="true" outlineLevel="0" collapsed="false">
      <c r="A776" s="15"/>
      <c r="B776" s="7"/>
      <c r="C776" s="13"/>
      <c r="D776" s="7"/>
      <c r="E776" s="7"/>
    </row>
    <row r="777" customFormat="false" ht="15" hidden="false" customHeight="true" outlineLevel="0" collapsed="false">
      <c r="A777" s="15"/>
      <c r="B777" s="7"/>
      <c r="C777" s="13"/>
      <c r="D777" s="7"/>
      <c r="E777" s="7"/>
    </row>
    <row r="778" customFormat="false" ht="15" hidden="false" customHeight="true" outlineLevel="0" collapsed="false">
      <c r="A778" s="15"/>
      <c r="B778" s="7"/>
      <c r="C778" s="13"/>
      <c r="D778" s="7"/>
      <c r="E778" s="7"/>
    </row>
    <row r="779" customFormat="false" ht="15" hidden="false" customHeight="true" outlineLevel="0" collapsed="false">
      <c r="A779" s="15"/>
      <c r="B779" s="7"/>
      <c r="C779" s="13"/>
      <c r="D779" s="7"/>
      <c r="E779" s="7"/>
    </row>
    <row r="780" customFormat="false" ht="15" hidden="false" customHeight="true" outlineLevel="0" collapsed="false">
      <c r="A780" s="15"/>
      <c r="B780" s="7"/>
      <c r="C780" s="13"/>
      <c r="D780" s="7"/>
      <c r="E780" s="7"/>
    </row>
    <row r="781" customFormat="false" ht="15" hidden="false" customHeight="true" outlineLevel="0" collapsed="false">
      <c r="A781" s="15"/>
      <c r="B781" s="7"/>
      <c r="C781" s="13"/>
      <c r="D781" s="7"/>
      <c r="E781" s="7"/>
    </row>
    <row r="782" customFormat="false" ht="15" hidden="false" customHeight="true" outlineLevel="0" collapsed="false">
      <c r="A782" s="15"/>
      <c r="B782" s="7"/>
      <c r="C782" s="13"/>
      <c r="D782" s="7"/>
      <c r="E782" s="7"/>
    </row>
    <row r="783" customFormat="false" ht="15" hidden="false" customHeight="true" outlineLevel="0" collapsed="false">
      <c r="A783" s="15"/>
      <c r="B783" s="7"/>
      <c r="C783" s="13"/>
      <c r="D783" s="7"/>
      <c r="E783" s="7"/>
    </row>
    <row r="784" customFormat="false" ht="15" hidden="false" customHeight="true" outlineLevel="0" collapsed="false">
      <c r="A784" s="15"/>
      <c r="B784" s="7"/>
      <c r="C784" s="13"/>
      <c r="D784" s="7"/>
      <c r="E784" s="7"/>
    </row>
    <row r="785" customFormat="false" ht="15" hidden="false" customHeight="true" outlineLevel="0" collapsed="false">
      <c r="A785" s="15"/>
      <c r="B785" s="7"/>
      <c r="C785" s="13"/>
      <c r="D785" s="7"/>
      <c r="E785" s="7"/>
    </row>
    <row r="786" customFormat="false" ht="15" hidden="false" customHeight="true" outlineLevel="0" collapsed="false">
      <c r="A786" s="15"/>
      <c r="B786" s="7"/>
      <c r="C786" s="13"/>
      <c r="D786" s="7"/>
      <c r="E786" s="7"/>
    </row>
    <row r="787" customFormat="false" ht="15" hidden="false" customHeight="true" outlineLevel="0" collapsed="false">
      <c r="A787" s="15"/>
      <c r="B787" s="7"/>
      <c r="C787" s="13"/>
      <c r="D787" s="7"/>
      <c r="E787" s="7"/>
    </row>
    <row r="788" customFormat="false" ht="15" hidden="false" customHeight="true" outlineLevel="0" collapsed="false">
      <c r="A788" s="15"/>
      <c r="B788" s="7"/>
      <c r="C788" s="13"/>
      <c r="D788" s="7"/>
      <c r="E788" s="7"/>
    </row>
    <row r="789" customFormat="false" ht="15" hidden="false" customHeight="true" outlineLevel="0" collapsed="false">
      <c r="A789" s="15"/>
      <c r="B789" s="7"/>
      <c r="C789" s="13"/>
      <c r="D789" s="7"/>
      <c r="E789" s="7"/>
    </row>
    <row r="790" customFormat="false" ht="15" hidden="false" customHeight="true" outlineLevel="0" collapsed="false">
      <c r="A790" s="15"/>
      <c r="B790" s="7"/>
      <c r="C790" s="13"/>
      <c r="D790" s="7"/>
      <c r="E790" s="7"/>
    </row>
    <row r="791" customFormat="false" ht="15" hidden="false" customHeight="true" outlineLevel="0" collapsed="false">
      <c r="A791" s="15"/>
      <c r="B791" s="7"/>
      <c r="C791" s="13"/>
      <c r="D791" s="7"/>
      <c r="E791" s="7"/>
    </row>
    <row r="792" customFormat="false" ht="15" hidden="false" customHeight="true" outlineLevel="0" collapsed="false">
      <c r="A792" s="15"/>
      <c r="B792" s="7"/>
      <c r="C792" s="13"/>
      <c r="D792" s="7"/>
      <c r="E792" s="7"/>
    </row>
    <row r="793" customFormat="false" ht="15" hidden="false" customHeight="true" outlineLevel="0" collapsed="false">
      <c r="A793" s="15"/>
      <c r="B793" s="7"/>
      <c r="C793" s="13"/>
      <c r="D793" s="7"/>
      <c r="E793" s="7"/>
    </row>
    <row r="794" customFormat="false" ht="15" hidden="false" customHeight="true" outlineLevel="0" collapsed="false">
      <c r="A794" s="15"/>
      <c r="B794" s="7"/>
      <c r="C794" s="13"/>
      <c r="D794" s="7"/>
      <c r="E794" s="7"/>
    </row>
    <row r="795" customFormat="false" ht="15" hidden="false" customHeight="true" outlineLevel="0" collapsed="false">
      <c r="A795" s="15"/>
      <c r="B795" s="7"/>
      <c r="C795" s="13"/>
      <c r="D795" s="7"/>
      <c r="E795" s="7"/>
    </row>
    <row r="796" customFormat="false" ht="15" hidden="false" customHeight="true" outlineLevel="0" collapsed="false">
      <c r="A796" s="15"/>
      <c r="B796" s="7"/>
      <c r="C796" s="13"/>
      <c r="D796" s="7"/>
      <c r="E796" s="7"/>
    </row>
    <row r="797" customFormat="false" ht="15" hidden="false" customHeight="true" outlineLevel="0" collapsed="false">
      <c r="A797" s="15"/>
      <c r="B797" s="7"/>
      <c r="C797" s="13"/>
      <c r="D797" s="7"/>
      <c r="E797" s="7"/>
    </row>
    <row r="798" customFormat="false" ht="15" hidden="false" customHeight="true" outlineLevel="0" collapsed="false">
      <c r="A798" s="15"/>
      <c r="B798" s="7"/>
      <c r="C798" s="13"/>
      <c r="D798" s="7"/>
      <c r="E798" s="7"/>
    </row>
    <row r="799" customFormat="false" ht="15" hidden="false" customHeight="true" outlineLevel="0" collapsed="false">
      <c r="A799" s="15"/>
      <c r="B799" s="7"/>
      <c r="C799" s="13"/>
      <c r="D799" s="7"/>
      <c r="E799" s="7"/>
    </row>
    <row r="800" customFormat="false" ht="15" hidden="false" customHeight="true" outlineLevel="0" collapsed="false">
      <c r="A800" s="15"/>
      <c r="B800" s="7"/>
      <c r="C800" s="13"/>
      <c r="D800" s="7"/>
      <c r="E800" s="7"/>
    </row>
    <row r="801" customFormat="false" ht="15" hidden="false" customHeight="true" outlineLevel="0" collapsed="false">
      <c r="A801" s="15"/>
      <c r="B801" s="7"/>
      <c r="C801" s="13"/>
      <c r="D801" s="7"/>
      <c r="E801" s="7"/>
    </row>
    <row r="802" customFormat="false" ht="15" hidden="false" customHeight="true" outlineLevel="0" collapsed="false">
      <c r="A802" s="15"/>
      <c r="B802" s="7"/>
      <c r="C802" s="13"/>
      <c r="D802" s="7"/>
      <c r="E802" s="7"/>
    </row>
    <row r="803" customFormat="false" ht="15" hidden="false" customHeight="true" outlineLevel="0" collapsed="false">
      <c r="A803" s="15"/>
      <c r="B803" s="7"/>
      <c r="C803" s="13"/>
      <c r="D803" s="7"/>
      <c r="E803" s="7"/>
    </row>
    <row r="804" customFormat="false" ht="15" hidden="false" customHeight="true" outlineLevel="0" collapsed="false">
      <c r="A804" s="15"/>
      <c r="B804" s="7"/>
      <c r="C804" s="13"/>
      <c r="D804" s="7"/>
      <c r="E804" s="7"/>
    </row>
    <row r="805" customFormat="false" ht="15" hidden="false" customHeight="true" outlineLevel="0" collapsed="false">
      <c r="A805" s="15"/>
      <c r="B805" s="7"/>
      <c r="C805" s="13"/>
      <c r="D805" s="7"/>
      <c r="E805" s="7"/>
    </row>
    <row r="806" customFormat="false" ht="15" hidden="false" customHeight="true" outlineLevel="0" collapsed="false">
      <c r="A806" s="15"/>
      <c r="B806" s="7"/>
      <c r="C806" s="13"/>
      <c r="D806" s="7"/>
      <c r="E806" s="7"/>
    </row>
    <row r="807" customFormat="false" ht="15" hidden="false" customHeight="true" outlineLevel="0" collapsed="false">
      <c r="A807" s="15"/>
      <c r="B807" s="7"/>
      <c r="C807" s="13"/>
      <c r="D807" s="7"/>
      <c r="E807" s="7"/>
    </row>
    <row r="808" customFormat="false" ht="15" hidden="false" customHeight="true" outlineLevel="0" collapsed="false">
      <c r="A808" s="15"/>
      <c r="B808" s="7"/>
      <c r="C808" s="13"/>
      <c r="D808" s="7"/>
      <c r="E808" s="7"/>
    </row>
    <row r="809" customFormat="false" ht="15" hidden="false" customHeight="true" outlineLevel="0" collapsed="false">
      <c r="A809" s="15"/>
      <c r="B809" s="7"/>
      <c r="C809" s="13"/>
      <c r="D809" s="7"/>
      <c r="E809" s="7"/>
    </row>
    <row r="810" customFormat="false" ht="15" hidden="false" customHeight="true" outlineLevel="0" collapsed="false">
      <c r="A810" s="15"/>
      <c r="B810" s="7"/>
      <c r="C810" s="13"/>
      <c r="D810" s="7"/>
      <c r="E810" s="7"/>
    </row>
    <row r="811" customFormat="false" ht="15" hidden="false" customHeight="true" outlineLevel="0" collapsed="false">
      <c r="A811" s="15"/>
      <c r="B811" s="7"/>
      <c r="C811" s="13"/>
      <c r="D811" s="7"/>
      <c r="E811" s="7"/>
    </row>
    <row r="812" customFormat="false" ht="15" hidden="false" customHeight="true" outlineLevel="0" collapsed="false">
      <c r="A812" s="15"/>
      <c r="B812" s="7"/>
      <c r="C812" s="13"/>
      <c r="D812" s="7"/>
      <c r="E812" s="7"/>
    </row>
    <row r="813" customFormat="false" ht="15" hidden="false" customHeight="true" outlineLevel="0" collapsed="false">
      <c r="A813" s="15"/>
      <c r="B813" s="7"/>
      <c r="C813" s="13"/>
      <c r="D813" s="7"/>
      <c r="E813" s="7"/>
    </row>
    <row r="814" customFormat="false" ht="15" hidden="false" customHeight="true" outlineLevel="0" collapsed="false">
      <c r="A814" s="15"/>
      <c r="B814" s="7"/>
      <c r="C814" s="13"/>
      <c r="D814" s="7"/>
      <c r="E814" s="7"/>
    </row>
    <row r="815" customFormat="false" ht="15" hidden="false" customHeight="true" outlineLevel="0" collapsed="false">
      <c r="A815" s="15"/>
      <c r="B815" s="7"/>
      <c r="C815" s="13"/>
      <c r="D815" s="7"/>
      <c r="E815" s="7"/>
    </row>
    <row r="816" customFormat="false" ht="15" hidden="false" customHeight="true" outlineLevel="0" collapsed="false">
      <c r="A816" s="15"/>
      <c r="B816" s="7"/>
      <c r="C816" s="13"/>
      <c r="D816" s="7"/>
      <c r="E816" s="7"/>
    </row>
    <row r="817" customFormat="false" ht="15" hidden="false" customHeight="true" outlineLevel="0" collapsed="false">
      <c r="A817" s="15"/>
      <c r="B817" s="7"/>
      <c r="C817" s="13"/>
      <c r="D817" s="7"/>
      <c r="E817" s="7"/>
    </row>
    <row r="818" customFormat="false" ht="15" hidden="false" customHeight="true" outlineLevel="0" collapsed="false">
      <c r="A818" s="15"/>
      <c r="B818" s="7"/>
      <c r="C818" s="13"/>
      <c r="D818" s="7"/>
      <c r="E818" s="7"/>
    </row>
    <row r="819" customFormat="false" ht="15" hidden="false" customHeight="true" outlineLevel="0" collapsed="false">
      <c r="A819" s="15"/>
      <c r="B819" s="7"/>
      <c r="C819" s="13"/>
      <c r="D819" s="7"/>
      <c r="E819" s="7"/>
    </row>
    <row r="820" customFormat="false" ht="15" hidden="false" customHeight="true" outlineLevel="0" collapsed="false">
      <c r="A820" s="15"/>
      <c r="B820" s="7"/>
      <c r="C820" s="13"/>
      <c r="D820" s="7"/>
      <c r="E820" s="7"/>
    </row>
    <row r="821" customFormat="false" ht="15" hidden="false" customHeight="true" outlineLevel="0" collapsed="false">
      <c r="A821" s="15"/>
      <c r="B821" s="7"/>
      <c r="C821" s="13"/>
      <c r="D821" s="7"/>
      <c r="E821" s="7"/>
    </row>
    <row r="822" customFormat="false" ht="15" hidden="false" customHeight="true" outlineLevel="0" collapsed="false">
      <c r="A822" s="15"/>
      <c r="B822" s="7"/>
      <c r="C822" s="13"/>
      <c r="D822" s="7"/>
      <c r="E822" s="7"/>
    </row>
    <row r="823" customFormat="false" ht="15" hidden="false" customHeight="true" outlineLevel="0" collapsed="false">
      <c r="A823" s="15"/>
      <c r="B823" s="7"/>
      <c r="C823" s="13"/>
      <c r="D823" s="7"/>
      <c r="E823" s="7"/>
    </row>
    <row r="824" customFormat="false" ht="15" hidden="false" customHeight="true" outlineLevel="0" collapsed="false">
      <c r="A824" s="15"/>
      <c r="B824" s="7"/>
      <c r="C824" s="13"/>
      <c r="D824" s="7"/>
      <c r="E824" s="7"/>
    </row>
    <row r="825" customFormat="false" ht="15" hidden="false" customHeight="true" outlineLevel="0" collapsed="false">
      <c r="A825" s="15"/>
      <c r="B825" s="7"/>
      <c r="C825" s="13"/>
      <c r="D825" s="7"/>
      <c r="E825" s="7"/>
    </row>
    <row r="826" customFormat="false" ht="15" hidden="false" customHeight="true" outlineLevel="0" collapsed="false">
      <c r="A826" s="15"/>
      <c r="B826" s="7"/>
      <c r="C826" s="13"/>
      <c r="D826" s="7"/>
      <c r="E826" s="7"/>
    </row>
    <row r="827" customFormat="false" ht="15" hidden="false" customHeight="true" outlineLevel="0" collapsed="false">
      <c r="A827" s="15"/>
      <c r="B827" s="7"/>
      <c r="C827" s="13"/>
      <c r="D827" s="7"/>
      <c r="E827" s="7"/>
    </row>
    <row r="828" customFormat="false" ht="15" hidden="false" customHeight="true" outlineLevel="0" collapsed="false">
      <c r="A828" s="15"/>
      <c r="B828" s="7"/>
      <c r="C828" s="13"/>
      <c r="D828" s="7"/>
      <c r="E828" s="7"/>
    </row>
    <row r="829" customFormat="false" ht="15" hidden="false" customHeight="true" outlineLevel="0" collapsed="false">
      <c r="A829" s="15"/>
      <c r="B829" s="7"/>
      <c r="C829" s="13"/>
      <c r="D829" s="7"/>
      <c r="E829" s="7"/>
    </row>
    <row r="830" customFormat="false" ht="15" hidden="false" customHeight="true" outlineLevel="0" collapsed="false">
      <c r="A830" s="15"/>
      <c r="B830" s="7"/>
      <c r="C830" s="13"/>
      <c r="D830" s="7"/>
      <c r="E830" s="7"/>
    </row>
    <row r="831" customFormat="false" ht="15" hidden="false" customHeight="true" outlineLevel="0" collapsed="false">
      <c r="A831" s="15"/>
      <c r="B831" s="7"/>
      <c r="C831" s="13"/>
      <c r="D831" s="7"/>
      <c r="E831" s="7"/>
    </row>
    <row r="832" customFormat="false" ht="15" hidden="false" customHeight="true" outlineLevel="0" collapsed="false">
      <c r="A832" s="15"/>
      <c r="B832" s="7"/>
      <c r="C832" s="13"/>
      <c r="D832" s="7"/>
      <c r="E832" s="7"/>
    </row>
    <row r="833" customFormat="false" ht="15" hidden="false" customHeight="true" outlineLevel="0" collapsed="false">
      <c r="A833" s="15"/>
      <c r="B833" s="7"/>
      <c r="C833" s="13"/>
      <c r="D833" s="7"/>
      <c r="E833" s="7"/>
    </row>
    <row r="834" customFormat="false" ht="15" hidden="false" customHeight="true" outlineLevel="0" collapsed="false">
      <c r="A834" s="15"/>
      <c r="B834" s="7"/>
      <c r="C834" s="13"/>
      <c r="D834" s="7"/>
      <c r="E834" s="7"/>
    </row>
    <row r="835" customFormat="false" ht="15" hidden="false" customHeight="true" outlineLevel="0" collapsed="false">
      <c r="A835" s="15"/>
      <c r="B835" s="7"/>
      <c r="C835" s="13"/>
      <c r="D835" s="7"/>
      <c r="E835" s="7"/>
    </row>
    <row r="836" customFormat="false" ht="15" hidden="false" customHeight="true" outlineLevel="0" collapsed="false">
      <c r="A836" s="15"/>
      <c r="B836" s="7"/>
      <c r="C836" s="13"/>
      <c r="D836" s="7"/>
      <c r="E836" s="7"/>
    </row>
    <row r="837" customFormat="false" ht="15" hidden="false" customHeight="true" outlineLevel="0" collapsed="false">
      <c r="A837" s="15"/>
      <c r="B837" s="7"/>
      <c r="C837" s="13"/>
      <c r="D837" s="7"/>
      <c r="E837" s="7"/>
    </row>
    <row r="838" customFormat="false" ht="15" hidden="false" customHeight="true" outlineLevel="0" collapsed="false">
      <c r="A838" s="15"/>
      <c r="B838" s="7"/>
      <c r="C838" s="13"/>
      <c r="D838" s="7"/>
      <c r="E838" s="7"/>
    </row>
    <row r="839" customFormat="false" ht="15" hidden="false" customHeight="true" outlineLevel="0" collapsed="false">
      <c r="A839" s="15"/>
      <c r="B839" s="7"/>
      <c r="C839" s="13"/>
      <c r="D839" s="7"/>
      <c r="E839" s="7"/>
    </row>
    <row r="840" customFormat="false" ht="15" hidden="false" customHeight="true" outlineLevel="0" collapsed="false">
      <c r="A840" s="15"/>
      <c r="B840" s="7"/>
      <c r="C840" s="13"/>
      <c r="D840" s="7"/>
      <c r="E840" s="7"/>
    </row>
    <row r="841" customFormat="false" ht="15" hidden="false" customHeight="true" outlineLevel="0" collapsed="false">
      <c r="A841" s="15"/>
      <c r="B841" s="7"/>
      <c r="C841" s="13"/>
      <c r="D841" s="7"/>
      <c r="E841" s="7"/>
    </row>
    <row r="842" customFormat="false" ht="15" hidden="false" customHeight="true" outlineLevel="0" collapsed="false">
      <c r="A842" s="15"/>
      <c r="B842" s="7"/>
      <c r="C842" s="13"/>
      <c r="D842" s="7"/>
      <c r="E842" s="7"/>
    </row>
    <row r="843" customFormat="false" ht="15" hidden="false" customHeight="true" outlineLevel="0" collapsed="false">
      <c r="A843" s="15"/>
      <c r="B843" s="7"/>
      <c r="C843" s="13"/>
      <c r="D843" s="7"/>
      <c r="E843" s="7"/>
    </row>
    <row r="844" customFormat="false" ht="15" hidden="false" customHeight="true" outlineLevel="0" collapsed="false">
      <c r="A844" s="15"/>
      <c r="B844" s="7"/>
      <c r="C844" s="13"/>
      <c r="D844" s="7"/>
      <c r="E844" s="7"/>
    </row>
    <row r="845" customFormat="false" ht="15" hidden="false" customHeight="true" outlineLevel="0" collapsed="false">
      <c r="A845" s="15"/>
      <c r="B845" s="7"/>
      <c r="C845" s="13"/>
      <c r="D845" s="7"/>
      <c r="E845" s="7"/>
    </row>
    <row r="846" customFormat="false" ht="15" hidden="false" customHeight="true" outlineLevel="0" collapsed="false">
      <c r="A846" s="15"/>
      <c r="B846" s="7"/>
      <c r="C846" s="13"/>
      <c r="D846" s="7"/>
      <c r="E846" s="7"/>
    </row>
    <row r="847" customFormat="false" ht="15" hidden="false" customHeight="true" outlineLevel="0" collapsed="false">
      <c r="A847" s="15"/>
      <c r="B847" s="7"/>
      <c r="C847" s="13"/>
      <c r="D847" s="7"/>
      <c r="E847" s="7"/>
    </row>
    <row r="848" customFormat="false" ht="15" hidden="false" customHeight="true" outlineLevel="0" collapsed="false">
      <c r="A848" s="15"/>
      <c r="B848" s="7"/>
      <c r="C848" s="13"/>
      <c r="D848" s="7"/>
      <c r="E848" s="7"/>
    </row>
    <row r="849" customFormat="false" ht="15" hidden="false" customHeight="true" outlineLevel="0" collapsed="false">
      <c r="A849" s="15"/>
      <c r="B849" s="7"/>
      <c r="C849" s="13"/>
      <c r="D849" s="7"/>
      <c r="E849" s="7"/>
    </row>
    <row r="850" customFormat="false" ht="15" hidden="false" customHeight="true" outlineLevel="0" collapsed="false">
      <c r="A850" s="15"/>
      <c r="B850" s="7"/>
      <c r="C850" s="13"/>
      <c r="D850" s="7"/>
      <c r="E850" s="7"/>
    </row>
    <row r="851" customFormat="false" ht="15" hidden="false" customHeight="true" outlineLevel="0" collapsed="false">
      <c r="A851" s="15"/>
      <c r="B851" s="7"/>
      <c r="C851" s="13"/>
      <c r="D851" s="7"/>
      <c r="E851" s="7"/>
    </row>
    <row r="852" customFormat="false" ht="15" hidden="false" customHeight="true" outlineLevel="0" collapsed="false">
      <c r="A852" s="15"/>
      <c r="B852" s="7"/>
      <c r="C852" s="13"/>
      <c r="D852" s="7"/>
      <c r="E852" s="7"/>
    </row>
    <row r="853" customFormat="false" ht="15" hidden="false" customHeight="true" outlineLevel="0" collapsed="false">
      <c r="A853" s="15"/>
      <c r="B853" s="7"/>
      <c r="C853" s="13"/>
      <c r="D853" s="7"/>
      <c r="E853" s="7"/>
    </row>
    <row r="854" customFormat="false" ht="15" hidden="false" customHeight="true" outlineLevel="0" collapsed="false">
      <c r="A854" s="15"/>
      <c r="B854" s="7"/>
      <c r="C854" s="13"/>
      <c r="D854" s="7"/>
      <c r="E854" s="7"/>
    </row>
    <row r="855" customFormat="false" ht="15" hidden="false" customHeight="true" outlineLevel="0" collapsed="false">
      <c r="A855" s="15"/>
      <c r="B855" s="7"/>
      <c r="C855" s="13"/>
      <c r="D855" s="7"/>
      <c r="E855" s="7"/>
    </row>
    <row r="856" customFormat="false" ht="15" hidden="false" customHeight="true" outlineLevel="0" collapsed="false">
      <c r="A856" s="15"/>
      <c r="B856" s="7"/>
      <c r="C856" s="13"/>
      <c r="D856" s="7"/>
      <c r="E856" s="7"/>
    </row>
    <row r="857" customFormat="false" ht="15" hidden="false" customHeight="true" outlineLevel="0" collapsed="false">
      <c r="A857" s="15"/>
      <c r="B857" s="7"/>
      <c r="C857" s="13"/>
      <c r="D857" s="7"/>
      <c r="E857" s="7"/>
    </row>
    <row r="858" customFormat="false" ht="15" hidden="false" customHeight="true" outlineLevel="0" collapsed="false">
      <c r="A858" s="15"/>
      <c r="B858" s="7"/>
      <c r="C858" s="13"/>
      <c r="D858" s="7"/>
      <c r="E858" s="7"/>
    </row>
    <row r="859" customFormat="false" ht="15" hidden="false" customHeight="true" outlineLevel="0" collapsed="false">
      <c r="A859" s="15"/>
      <c r="B859" s="7"/>
      <c r="C859" s="13"/>
      <c r="D859" s="7"/>
      <c r="E859" s="7"/>
    </row>
    <row r="860" customFormat="false" ht="15" hidden="false" customHeight="true" outlineLevel="0" collapsed="false">
      <c r="A860" s="15"/>
      <c r="B860" s="7"/>
      <c r="C860" s="13"/>
      <c r="D860" s="7"/>
      <c r="E860" s="7"/>
    </row>
    <row r="861" customFormat="false" ht="15" hidden="false" customHeight="true" outlineLevel="0" collapsed="false">
      <c r="A861" s="15"/>
      <c r="B861" s="7"/>
      <c r="C861" s="13"/>
      <c r="D861" s="7"/>
      <c r="E861" s="7"/>
    </row>
    <row r="862" customFormat="false" ht="15" hidden="false" customHeight="true" outlineLevel="0" collapsed="false">
      <c r="A862" s="15"/>
      <c r="B862" s="7"/>
      <c r="C862" s="13"/>
      <c r="D862" s="7"/>
      <c r="E862" s="7"/>
    </row>
    <row r="863" customFormat="false" ht="15" hidden="false" customHeight="true" outlineLevel="0" collapsed="false">
      <c r="A863" s="15"/>
      <c r="B863" s="7"/>
      <c r="C863" s="13"/>
      <c r="D863" s="7"/>
      <c r="E863" s="7"/>
    </row>
    <row r="864" customFormat="false" ht="15" hidden="false" customHeight="true" outlineLevel="0" collapsed="false">
      <c r="A864" s="15"/>
      <c r="B864" s="7"/>
      <c r="C864" s="13"/>
      <c r="D864" s="7"/>
      <c r="E864" s="7"/>
    </row>
    <row r="865" customFormat="false" ht="15" hidden="false" customHeight="true" outlineLevel="0" collapsed="false">
      <c r="A865" s="15"/>
      <c r="B865" s="7"/>
      <c r="C865" s="13"/>
      <c r="D865" s="7"/>
      <c r="E865" s="7"/>
    </row>
    <row r="866" customFormat="false" ht="15" hidden="false" customHeight="true" outlineLevel="0" collapsed="false">
      <c r="A866" s="15"/>
      <c r="B866" s="7"/>
      <c r="C866" s="13"/>
      <c r="D866" s="7"/>
      <c r="E866" s="7"/>
    </row>
    <row r="867" customFormat="false" ht="15" hidden="false" customHeight="true" outlineLevel="0" collapsed="false">
      <c r="A867" s="15"/>
      <c r="B867" s="7"/>
      <c r="C867" s="13"/>
      <c r="D867" s="7"/>
      <c r="E867" s="7"/>
    </row>
    <row r="868" customFormat="false" ht="15" hidden="false" customHeight="true" outlineLevel="0" collapsed="false">
      <c r="A868" s="15"/>
      <c r="B868" s="7"/>
      <c r="C868" s="13"/>
      <c r="D868" s="7"/>
      <c r="E868" s="7"/>
    </row>
    <row r="869" customFormat="false" ht="15" hidden="false" customHeight="true" outlineLevel="0" collapsed="false">
      <c r="A869" s="15"/>
      <c r="B869" s="7"/>
      <c r="C869" s="13"/>
      <c r="D869" s="7"/>
      <c r="E869" s="7"/>
    </row>
    <row r="870" customFormat="false" ht="15" hidden="false" customHeight="true" outlineLevel="0" collapsed="false">
      <c r="A870" s="15"/>
      <c r="B870" s="7"/>
      <c r="C870" s="13"/>
      <c r="D870" s="7"/>
      <c r="E870" s="7"/>
    </row>
    <row r="871" customFormat="false" ht="15" hidden="false" customHeight="true" outlineLevel="0" collapsed="false">
      <c r="A871" s="15"/>
      <c r="B871" s="7"/>
      <c r="C871" s="13"/>
      <c r="D871" s="7"/>
      <c r="E871" s="7"/>
    </row>
    <row r="872" customFormat="false" ht="15" hidden="false" customHeight="true" outlineLevel="0" collapsed="false">
      <c r="A872" s="15"/>
      <c r="B872" s="7"/>
      <c r="C872" s="13"/>
      <c r="D872" s="7"/>
      <c r="E872" s="7"/>
    </row>
    <row r="873" customFormat="false" ht="15" hidden="false" customHeight="true" outlineLevel="0" collapsed="false">
      <c r="A873" s="15"/>
      <c r="B873" s="7"/>
      <c r="C873" s="13"/>
      <c r="D873" s="7"/>
      <c r="E873" s="7"/>
    </row>
    <row r="874" customFormat="false" ht="15" hidden="false" customHeight="true" outlineLevel="0" collapsed="false">
      <c r="A874" s="15"/>
      <c r="B874" s="7"/>
      <c r="C874" s="13"/>
      <c r="D874" s="7"/>
      <c r="E874" s="7"/>
    </row>
    <row r="875" customFormat="false" ht="15" hidden="false" customHeight="true" outlineLevel="0" collapsed="false">
      <c r="A875" s="15"/>
      <c r="B875" s="7"/>
      <c r="C875" s="13"/>
      <c r="D875" s="7"/>
      <c r="E875" s="7"/>
    </row>
    <row r="876" customFormat="false" ht="15" hidden="false" customHeight="true" outlineLevel="0" collapsed="false">
      <c r="A876" s="15"/>
      <c r="B876" s="7"/>
      <c r="C876" s="13"/>
      <c r="D876" s="7"/>
      <c r="E876" s="7"/>
    </row>
    <row r="877" customFormat="false" ht="15" hidden="false" customHeight="true" outlineLevel="0" collapsed="false">
      <c r="A877" s="15"/>
      <c r="B877" s="7"/>
      <c r="C877" s="13"/>
      <c r="D877" s="7"/>
      <c r="E877" s="7"/>
    </row>
    <row r="878" customFormat="false" ht="15" hidden="false" customHeight="true" outlineLevel="0" collapsed="false">
      <c r="A878" s="15"/>
      <c r="B878" s="7"/>
      <c r="C878" s="13"/>
      <c r="D878" s="7"/>
      <c r="E878" s="7"/>
    </row>
    <row r="879" customFormat="false" ht="15" hidden="false" customHeight="true" outlineLevel="0" collapsed="false">
      <c r="A879" s="15"/>
      <c r="B879" s="7"/>
      <c r="C879" s="13"/>
      <c r="D879" s="7"/>
      <c r="E879" s="7"/>
    </row>
    <row r="880" customFormat="false" ht="15" hidden="false" customHeight="true" outlineLevel="0" collapsed="false">
      <c r="A880" s="15"/>
      <c r="B880" s="7"/>
      <c r="C880" s="13"/>
      <c r="D880" s="7"/>
      <c r="E880" s="7"/>
    </row>
    <row r="881" customFormat="false" ht="15" hidden="false" customHeight="true" outlineLevel="0" collapsed="false">
      <c r="A881" s="15"/>
      <c r="B881" s="7"/>
      <c r="C881" s="13"/>
      <c r="D881" s="7"/>
      <c r="E881" s="7"/>
    </row>
    <row r="882" customFormat="false" ht="15" hidden="false" customHeight="true" outlineLevel="0" collapsed="false">
      <c r="A882" s="15"/>
      <c r="B882" s="7"/>
      <c r="C882" s="13"/>
      <c r="D882" s="7"/>
      <c r="E882" s="7"/>
    </row>
    <row r="883" customFormat="false" ht="15" hidden="false" customHeight="true" outlineLevel="0" collapsed="false">
      <c r="A883" s="15"/>
      <c r="B883" s="7"/>
      <c r="C883" s="13"/>
      <c r="D883" s="7"/>
      <c r="E883" s="7"/>
    </row>
    <row r="884" customFormat="false" ht="15" hidden="false" customHeight="true" outlineLevel="0" collapsed="false">
      <c r="A884" s="15"/>
      <c r="B884" s="7"/>
      <c r="C884" s="13"/>
      <c r="D884" s="7"/>
      <c r="E884" s="7"/>
    </row>
    <row r="885" customFormat="false" ht="15" hidden="false" customHeight="true" outlineLevel="0" collapsed="false">
      <c r="A885" s="15"/>
      <c r="B885" s="7"/>
      <c r="C885" s="13"/>
      <c r="D885" s="7"/>
      <c r="E885" s="7"/>
    </row>
    <row r="886" customFormat="false" ht="15" hidden="false" customHeight="true" outlineLevel="0" collapsed="false">
      <c r="A886" s="15"/>
      <c r="B886" s="7"/>
      <c r="C886" s="13"/>
      <c r="D886" s="7"/>
      <c r="E886" s="7"/>
    </row>
    <row r="887" customFormat="false" ht="15" hidden="false" customHeight="true" outlineLevel="0" collapsed="false">
      <c r="A887" s="15"/>
      <c r="B887" s="7"/>
      <c r="C887" s="13"/>
      <c r="D887" s="7"/>
      <c r="E887" s="7"/>
    </row>
    <row r="888" customFormat="false" ht="15" hidden="false" customHeight="true" outlineLevel="0" collapsed="false">
      <c r="A888" s="15"/>
      <c r="B888" s="7"/>
      <c r="C888" s="13"/>
      <c r="D888" s="7"/>
      <c r="E888" s="7"/>
    </row>
    <row r="889" customFormat="false" ht="15" hidden="false" customHeight="true" outlineLevel="0" collapsed="false">
      <c r="A889" s="15"/>
      <c r="B889" s="7"/>
      <c r="C889" s="13"/>
      <c r="D889" s="7"/>
      <c r="E889" s="7"/>
    </row>
    <row r="890" customFormat="false" ht="15" hidden="false" customHeight="true" outlineLevel="0" collapsed="false">
      <c r="A890" s="15"/>
      <c r="B890" s="7"/>
      <c r="C890" s="13"/>
      <c r="D890" s="7"/>
      <c r="E890" s="7"/>
    </row>
    <row r="891" customFormat="false" ht="15" hidden="false" customHeight="true" outlineLevel="0" collapsed="false">
      <c r="A891" s="15"/>
      <c r="B891" s="7"/>
      <c r="C891" s="13"/>
      <c r="D891" s="7"/>
      <c r="E891" s="7"/>
    </row>
    <row r="892" customFormat="false" ht="15" hidden="false" customHeight="true" outlineLevel="0" collapsed="false">
      <c r="A892" s="15"/>
      <c r="B892" s="7"/>
      <c r="C892" s="13"/>
      <c r="D892" s="7"/>
      <c r="E892" s="7"/>
    </row>
    <row r="893" customFormat="false" ht="15" hidden="false" customHeight="true" outlineLevel="0" collapsed="false">
      <c r="A893" s="15"/>
      <c r="B893" s="7"/>
      <c r="C893" s="13"/>
      <c r="D893" s="7"/>
      <c r="E893" s="7"/>
    </row>
    <row r="894" customFormat="false" ht="15" hidden="false" customHeight="true" outlineLevel="0" collapsed="false">
      <c r="A894" s="15"/>
      <c r="B894" s="7"/>
      <c r="C894" s="13"/>
      <c r="D894" s="7"/>
      <c r="E894" s="7"/>
    </row>
    <row r="895" customFormat="false" ht="15" hidden="false" customHeight="true" outlineLevel="0" collapsed="false">
      <c r="A895" s="15"/>
      <c r="B895" s="7"/>
      <c r="C895" s="13"/>
      <c r="D895" s="7"/>
      <c r="E895" s="7"/>
    </row>
    <row r="896" customFormat="false" ht="15" hidden="false" customHeight="true" outlineLevel="0" collapsed="false">
      <c r="A896" s="15"/>
      <c r="B896" s="7"/>
      <c r="C896" s="13"/>
      <c r="D896" s="7"/>
      <c r="E896" s="7"/>
    </row>
    <row r="897" customFormat="false" ht="15" hidden="false" customHeight="true" outlineLevel="0" collapsed="false">
      <c r="A897" s="15"/>
      <c r="B897" s="7"/>
      <c r="C897" s="13"/>
      <c r="D897" s="7"/>
      <c r="E897" s="7"/>
    </row>
    <row r="898" customFormat="false" ht="15" hidden="false" customHeight="true" outlineLevel="0" collapsed="false">
      <c r="A898" s="15"/>
      <c r="B898" s="7"/>
      <c r="C898" s="13"/>
      <c r="D898" s="7"/>
      <c r="E898" s="7"/>
    </row>
    <row r="899" customFormat="false" ht="15" hidden="false" customHeight="true" outlineLevel="0" collapsed="false">
      <c r="A899" s="15"/>
      <c r="B899" s="7"/>
      <c r="C899" s="13"/>
      <c r="D899" s="7"/>
      <c r="E899" s="7"/>
    </row>
    <row r="900" customFormat="false" ht="15" hidden="false" customHeight="true" outlineLevel="0" collapsed="false">
      <c r="A900" s="15"/>
      <c r="B900" s="7"/>
      <c r="C900" s="13"/>
      <c r="D900" s="7"/>
      <c r="E900" s="7"/>
    </row>
    <row r="901" customFormat="false" ht="15" hidden="false" customHeight="true" outlineLevel="0" collapsed="false">
      <c r="A901" s="15"/>
      <c r="B901" s="7"/>
      <c r="C901" s="13"/>
      <c r="D901" s="7"/>
      <c r="E901" s="7"/>
    </row>
    <row r="902" customFormat="false" ht="15" hidden="false" customHeight="true" outlineLevel="0" collapsed="false">
      <c r="A902" s="15"/>
      <c r="B902" s="7"/>
      <c r="C902" s="13"/>
      <c r="D902" s="7"/>
      <c r="E902" s="7"/>
    </row>
    <row r="903" customFormat="false" ht="15" hidden="false" customHeight="true" outlineLevel="0" collapsed="false">
      <c r="A903" s="15"/>
      <c r="B903" s="7"/>
      <c r="C903" s="13"/>
      <c r="D903" s="7"/>
      <c r="E903" s="7"/>
    </row>
    <row r="904" customFormat="false" ht="15" hidden="false" customHeight="true" outlineLevel="0" collapsed="false">
      <c r="A904" s="15"/>
      <c r="B904" s="7"/>
      <c r="C904" s="13"/>
      <c r="D904" s="7"/>
      <c r="E904" s="7"/>
    </row>
    <row r="905" customFormat="false" ht="15" hidden="false" customHeight="true" outlineLevel="0" collapsed="false">
      <c r="A905" s="15"/>
      <c r="B905" s="7"/>
      <c r="C905" s="13"/>
      <c r="D905" s="7"/>
      <c r="E905" s="7"/>
    </row>
    <row r="906" customFormat="false" ht="15" hidden="false" customHeight="true" outlineLevel="0" collapsed="false">
      <c r="A906" s="15"/>
      <c r="B906" s="7"/>
      <c r="C906" s="13"/>
      <c r="D906" s="7"/>
      <c r="E906" s="7"/>
    </row>
    <row r="907" customFormat="false" ht="15" hidden="false" customHeight="true" outlineLevel="0" collapsed="false">
      <c r="A907" s="15"/>
      <c r="B907" s="7"/>
      <c r="C907" s="13"/>
      <c r="D907" s="7"/>
      <c r="E907" s="7"/>
    </row>
    <row r="908" customFormat="false" ht="15" hidden="false" customHeight="true" outlineLevel="0" collapsed="false">
      <c r="A908" s="15"/>
      <c r="B908" s="7"/>
      <c r="C908" s="13"/>
      <c r="D908" s="7"/>
      <c r="E908" s="7"/>
    </row>
    <row r="909" customFormat="false" ht="15" hidden="false" customHeight="true" outlineLevel="0" collapsed="false">
      <c r="A909" s="15"/>
      <c r="B909" s="7"/>
      <c r="C909" s="13"/>
      <c r="D909" s="7"/>
      <c r="E909" s="7"/>
    </row>
    <row r="910" customFormat="false" ht="15" hidden="false" customHeight="true" outlineLevel="0" collapsed="false">
      <c r="A910" s="15"/>
      <c r="B910" s="7"/>
      <c r="C910" s="13"/>
      <c r="D910" s="7"/>
      <c r="E910" s="7"/>
    </row>
    <row r="911" customFormat="false" ht="15" hidden="false" customHeight="true" outlineLevel="0" collapsed="false">
      <c r="A911" s="15"/>
      <c r="B911" s="7"/>
      <c r="C911" s="13"/>
      <c r="D911" s="7"/>
      <c r="E911" s="7"/>
    </row>
    <row r="912" customFormat="false" ht="15" hidden="false" customHeight="true" outlineLevel="0" collapsed="false">
      <c r="A912" s="15"/>
      <c r="B912" s="7"/>
      <c r="C912" s="13"/>
      <c r="D912" s="7"/>
      <c r="E912" s="7"/>
    </row>
    <row r="913" customFormat="false" ht="15" hidden="false" customHeight="true" outlineLevel="0" collapsed="false">
      <c r="A913" s="15"/>
      <c r="B913" s="7"/>
      <c r="C913" s="13"/>
      <c r="D913" s="7"/>
      <c r="E913" s="7"/>
    </row>
    <row r="914" customFormat="false" ht="15" hidden="false" customHeight="true" outlineLevel="0" collapsed="false">
      <c r="A914" s="15"/>
      <c r="B914" s="7"/>
      <c r="C914" s="13"/>
      <c r="D914" s="7"/>
      <c r="E914" s="7"/>
    </row>
    <row r="915" customFormat="false" ht="15" hidden="false" customHeight="true" outlineLevel="0" collapsed="false">
      <c r="A915" s="15"/>
      <c r="B915" s="7"/>
      <c r="C915" s="13"/>
      <c r="D915" s="7"/>
      <c r="E915" s="7"/>
    </row>
    <row r="916" customFormat="false" ht="15" hidden="false" customHeight="true" outlineLevel="0" collapsed="false">
      <c r="A916" s="15"/>
      <c r="B916" s="7"/>
      <c r="C916" s="13"/>
      <c r="D916" s="7"/>
      <c r="E916" s="7"/>
    </row>
    <row r="917" customFormat="false" ht="15" hidden="false" customHeight="true" outlineLevel="0" collapsed="false">
      <c r="A917" s="15"/>
      <c r="B917" s="7"/>
      <c r="C917" s="13"/>
      <c r="D917" s="7"/>
      <c r="E917" s="7"/>
    </row>
    <row r="918" customFormat="false" ht="15" hidden="false" customHeight="true" outlineLevel="0" collapsed="false">
      <c r="A918" s="15"/>
      <c r="B918" s="7"/>
      <c r="C918" s="13"/>
      <c r="D918" s="7"/>
      <c r="E918" s="7"/>
    </row>
    <row r="919" customFormat="false" ht="15" hidden="false" customHeight="true" outlineLevel="0" collapsed="false">
      <c r="A919" s="15"/>
      <c r="B919" s="7"/>
      <c r="C919" s="13"/>
      <c r="D919" s="7"/>
      <c r="E919" s="7"/>
    </row>
    <row r="920" customFormat="false" ht="15" hidden="false" customHeight="true" outlineLevel="0" collapsed="false">
      <c r="A920" s="15"/>
      <c r="B920" s="7"/>
      <c r="C920" s="13"/>
      <c r="D920" s="7"/>
      <c r="E920" s="7"/>
    </row>
    <row r="921" customFormat="false" ht="15" hidden="false" customHeight="true" outlineLevel="0" collapsed="false">
      <c r="A921" s="15"/>
      <c r="B921" s="7"/>
      <c r="C921" s="13"/>
      <c r="D921" s="7"/>
      <c r="E921" s="7"/>
    </row>
    <row r="922" customFormat="false" ht="15" hidden="false" customHeight="true" outlineLevel="0" collapsed="false">
      <c r="A922" s="15"/>
      <c r="B922" s="7"/>
      <c r="C922" s="13"/>
      <c r="D922" s="7"/>
      <c r="E922" s="7"/>
    </row>
    <row r="923" customFormat="false" ht="15" hidden="false" customHeight="true" outlineLevel="0" collapsed="false">
      <c r="A923" s="15"/>
      <c r="B923" s="7"/>
      <c r="C923" s="13"/>
      <c r="D923" s="7"/>
      <c r="E923" s="7"/>
    </row>
    <row r="924" customFormat="false" ht="15" hidden="false" customHeight="true" outlineLevel="0" collapsed="false">
      <c r="A924" s="15"/>
      <c r="B924" s="7"/>
      <c r="C924" s="13"/>
      <c r="D924" s="7"/>
      <c r="E924" s="7"/>
    </row>
    <row r="925" customFormat="false" ht="15" hidden="false" customHeight="true" outlineLevel="0" collapsed="false">
      <c r="A925" s="15"/>
      <c r="B925" s="7"/>
      <c r="C925" s="13"/>
      <c r="D925" s="7"/>
      <c r="E925" s="7"/>
    </row>
    <row r="926" customFormat="false" ht="15" hidden="false" customHeight="true" outlineLevel="0" collapsed="false">
      <c r="A926" s="15"/>
      <c r="B926" s="7"/>
      <c r="C926" s="13"/>
      <c r="D926" s="7"/>
      <c r="E926" s="7"/>
    </row>
    <row r="927" customFormat="false" ht="15" hidden="false" customHeight="true" outlineLevel="0" collapsed="false">
      <c r="A927" s="15"/>
      <c r="B927" s="7"/>
      <c r="C927" s="13"/>
      <c r="D927" s="7"/>
      <c r="E927" s="7"/>
    </row>
    <row r="928" customFormat="false" ht="15" hidden="false" customHeight="true" outlineLevel="0" collapsed="false">
      <c r="A928" s="15"/>
      <c r="B928" s="7"/>
      <c r="C928" s="13"/>
      <c r="D928" s="7"/>
      <c r="E928" s="7"/>
    </row>
    <row r="929" customFormat="false" ht="15" hidden="false" customHeight="true" outlineLevel="0" collapsed="false">
      <c r="A929" s="15"/>
      <c r="B929" s="7"/>
      <c r="C929" s="13"/>
      <c r="D929" s="7"/>
      <c r="E929" s="7"/>
    </row>
    <row r="930" customFormat="false" ht="15" hidden="false" customHeight="true" outlineLevel="0" collapsed="false">
      <c r="A930" s="15"/>
      <c r="B930" s="7"/>
      <c r="C930" s="13"/>
      <c r="D930" s="7"/>
      <c r="E930" s="7"/>
    </row>
    <row r="931" customFormat="false" ht="15" hidden="false" customHeight="true" outlineLevel="0" collapsed="false">
      <c r="A931" s="15"/>
      <c r="B931" s="7"/>
      <c r="C931" s="13"/>
      <c r="D931" s="7"/>
      <c r="E931" s="7"/>
    </row>
    <row r="932" customFormat="false" ht="15" hidden="false" customHeight="true" outlineLevel="0" collapsed="false">
      <c r="A932" s="15"/>
      <c r="B932" s="7"/>
      <c r="C932" s="13"/>
      <c r="D932" s="7"/>
      <c r="E932" s="7"/>
    </row>
    <row r="933" customFormat="false" ht="15" hidden="false" customHeight="true" outlineLevel="0" collapsed="false">
      <c r="A933" s="15"/>
      <c r="B933" s="7"/>
      <c r="C933" s="13"/>
      <c r="D933" s="7"/>
      <c r="E933" s="7"/>
    </row>
    <row r="934" customFormat="false" ht="15" hidden="false" customHeight="true" outlineLevel="0" collapsed="false">
      <c r="A934" s="15"/>
      <c r="B934" s="7"/>
      <c r="C934" s="13"/>
      <c r="D934" s="7"/>
      <c r="E934" s="7"/>
    </row>
    <row r="935" customFormat="false" ht="15" hidden="false" customHeight="true" outlineLevel="0" collapsed="false">
      <c r="A935" s="15"/>
      <c r="B935" s="7"/>
      <c r="C935" s="13"/>
      <c r="D935" s="7"/>
      <c r="E935" s="7"/>
    </row>
    <row r="936" customFormat="false" ht="15" hidden="false" customHeight="true" outlineLevel="0" collapsed="false">
      <c r="A936" s="15"/>
      <c r="B936" s="7"/>
      <c r="C936" s="13"/>
      <c r="D936" s="7"/>
      <c r="E936" s="7"/>
    </row>
    <row r="937" customFormat="false" ht="15" hidden="false" customHeight="true" outlineLevel="0" collapsed="false">
      <c r="A937" s="15"/>
      <c r="B937" s="7"/>
      <c r="C937" s="13"/>
      <c r="D937" s="7"/>
      <c r="E937" s="7"/>
    </row>
    <row r="938" customFormat="false" ht="15" hidden="false" customHeight="true" outlineLevel="0" collapsed="false">
      <c r="A938" s="15"/>
      <c r="B938" s="7"/>
      <c r="C938" s="13"/>
      <c r="D938" s="7"/>
      <c r="E938" s="7"/>
    </row>
    <row r="939" customFormat="false" ht="15" hidden="false" customHeight="true" outlineLevel="0" collapsed="false">
      <c r="A939" s="15"/>
      <c r="B939" s="7"/>
      <c r="C939" s="13"/>
      <c r="D939" s="7"/>
      <c r="E939" s="7"/>
    </row>
    <row r="940" customFormat="false" ht="15" hidden="false" customHeight="true" outlineLevel="0" collapsed="false">
      <c r="A940" s="15"/>
      <c r="B940" s="7"/>
      <c r="C940" s="13"/>
      <c r="D940" s="7"/>
      <c r="E940" s="7"/>
    </row>
    <row r="941" customFormat="false" ht="15" hidden="false" customHeight="true" outlineLevel="0" collapsed="false">
      <c r="A941" s="15"/>
      <c r="B941" s="7"/>
      <c r="C941" s="13"/>
      <c r="D941" s="7"/>
      <c r="E941" s="7"/>
    </row>
    <row r="942" customFormat="false" ht="15" hidden="false" customHeight="true" outlineLevel="0" collapsed="false">
      <c r="A942" s="15"/>
      <c r="B942" s="7"/>
      <c r="C942" s="13"/>
      <c r="D942" s="7"/>
      <c r="E942" s="7"/>
    </row>
    <row r="943" customFormat="false" ht="15" hidden="false" customHeight="true" outlineLevel="0" collapsed="false">
      <c r="A943" s="15"/>
      <c r="B943" s="7"/>
      <c r="C943" s="13"/>
      <c r="D943" s="7"/>
      <c r="E943" s="7"/>
    </row>
    <row r="944" customFormat="false" ht="15" hidden="false" customHeight="true" outlineLevel="0" collapsed="false">
      <c r="A944" s="15"/>
      <c r="B944" s="7"/>
      <c r="C944" s="13"/>
      <c r="D944" s="7"/>
      <c r="E944" s="7"/>
    </row>
    <row r="945" customFormat="false" ht="15" hidden="false" customHeight="true" outlineLevel="0" collapsed="false">
      <c r="A945" s="15"/>
      <c r="B945" s="7"/>
      <c r="C945" s="13"/>
      <c r="D945" s="7"/>
      <c r="E945" s="7"/>
    </row>
    <row r="946" customFormat="false" ht="15" hidden="false" customHeight="true" outlineLevel="0" collapsed="false">
      <c r="A946" s="15"/>
      <c r="B946" s="7"/>
      <c r="C946" s="13"/>
      <c r="D946" s="7"/>
      <c r="E946" s="7"/>
    </row>
    <row r="947" customFormat="false" ht="15" hidden="false" customHeight="true" outlineLevel="0" collapsed="false">
      <c r="A947" s="15"/>
      <c r="B947" s="7"/>
      <c r="C947" s="13"/>
      <c r="D947" s="7"/>
      <c r="E947" s="7"/>
    </row>
    <row r="948" customFormat="false" ht="15" hidden="false" customHeight="true" outlineLevel="0" collapsed="false">
      <c r="A948" s="15"/>
      <c r="B948" s="7"/>
      <c r="C948" s="13"/>
      <c r="D948" s="7"/>
      <c r="E948" s="7"/>
    </row>
    <row r="949" customFormat="false" ht="15" hidden="false" customHeight="true" outlineLevel="0" collapsed="false">
      <c r="A949" s="15"/>
      <c r="B949" s="7"/>
      <c r="C949" s="13"/>
      <c r="D949" s="7"/>
      <c r="E949" s="7"/>
    </row>
    <row r="950" customFormat="false" ht="15" hidden="false" customHeight="true" outlineLevel="0" collapsed="false">
      <c r="A950" s="15"/>
      <c r="B950" s="7"/>
      <c r="C950" s="13"/>
      <c r="D950" s="7"/>
      <c r="E950" s="7"/>
    </row>
    <row r="951" customFormat="false" ht="15" hidden="false" customHeight="true" outlineLevel="0" collapsed="false">
      <c r="A951" s="15"/>
      <c r="B951" s="7"/>
      <c r="C951" s="13"/>
      <c r="D951" s="7"/>
      <c r="E951" s="7"/>
    </row>
    <row r="952" customFormat="false" ht="15" hidden="false" customHeight="true" outlineLevel="0" collapsed="false">
      <c r="A952" s="15"/>
      <c r="B952" s="7"/>
      <c r="C952" s="13"/>
      <c r="D952" s="7"/>
      <c r="E952" s="7"/>
    </row>
    <row r="953" customFormat="false" ht="15" hidden="false" customHeight="true" outlineLevel="0" collapsed="false">
      <c r="A953" s="15"/>
      <c r="B953" s="7"/>
      <c r="C953" s="13"/>
      <c r="D953" s="7"/>
      <c r="E953" s="7"/>
    </row>
    <row r="954" customFormat="false" ht="15" hidden="false" customHeight="true" outlineLevel="0" collapsed="false">
      <c r="A954" s="15"/>
      <c r="B954" s="7"/>
      <c r="C954" s="13"/>
      <c r="D954" s="7"/>
      <c r="E954" s="7"/>
    </row>
    <row r="955" customFormat="false" ht="15" hidden="false" customHeight="true" outlineLevel="0" collapsed="false">
      <c r="A955" s="15"/>
      <c r="B955" s="7"/>
      <c r="C955" s="13"/>
      <c r="D955" s="7"/>
      <c r="E955" s="7"/>
    </row>
    <row r="956" customFormat="false" ht="15" hidden="false" customHeight="true" outlineLevel="0" collapsed="false">
      <c r="A956" s="15"/>
      <c r="B956" s="7"/>
      <c r="C956" s="13"/>
      <c r="D956" s="7"/>
      <c r="E956" s="7"/>
    </row>
    <row r="957" customFormat="false" ht="15" hidden="false" customHeight="true" outlineLevel="0" collapsed="false">
      <c r="A957" s="15"/>
      <c r="B957" s="7"/>
      <c r="C957" s="13"/>
      <c r="D957" s="7"/>
      <c r="E957" s="7"/>
    </row>
    <row r="958" customFormat="false" ht="15" hidden="false" customHeight="true" outlineLevel="0" collapsed="false">
      <c r="A958" s="15"/>
      <c r="B958" s="7"/>
      <c r="C958" s="13"/>
      <c r="D958" s="7"/>
      <c r="E958" s="7"/>
    </row>
    <row r="959" customFormat="false" ht="15" hidden="false" customHeight="true" outlineLevel="0" collapsed="false">
      <c r="A959" s="15"/>
      <c r="B959" s="7"/>
      <c r="C959" s="13"/>
      <c r="D959" s="7"/>
      <c r="E959" s="7"/>
    </row>
    <row r="960" customFormat="false" ht="15" hidden="false" customHeight="true" outlineLevel="0" collapsed="false">
      <c r="A960" s="15"/>
      <c r="B960" s="7"/>
      <c r="C960" s="13"/>
      <c r="D960" s="7"/>
      <c r="E960" s="7"/>
    </row>
    <row r="961" customFormat="false" ht="15" hidden="false" customHeight="true" outlineLevel="0" collapsed="false">
      <c r="A961" s="15"/>
      <c r="B961" s="7"/>
      <c r="C961" s="13"/>
      <c r="D961" s="7"/>
      <c r="E961" s="7"/>
    </row>
    <row r="962" customFormat="false" ht="15" hidden="false" customHeight="true" outlineLevel="0" collapsed="false">
      <c r="A962" s="15"/>
      <c r="B962" s="7"/>
      <c r="C962" s="13"/>
      <c r="D962" s="7"/>
      <c r="E962" s="7"/>
    </row>
    <row r="963" customFormat="false" ht="15" hidden="false" customHeight="true" outlineLevel="0" collapsed="false">
      <c r="A963" s="15"/>
      <c r="B963" s="7"/>
      <c r="C963" s="13"/>
      <c r="D963" s="7"/>
      <c r="E963" s="7"/>
    </row>
    <row r="964" customFormat="false" ht="15" hidden="false" customHeight="true" outlineLevel="0" collapsed="false">
      <c r="A964" s="15"/>
      <c r="B964" s="7"/>
      <c r="C964" s="13"/>
      <c r="D964" s="7"/>
      <c r="E964" s="7"/>
    </row>
    <row r="965" customFormat="false" ht="15" hidden="false" customHeight="true" outlineLevel="0" collapsed="false">
      <c r="A965" s="15"/>
      <c r="B965" s="7"/>
      <c r="C965" s="13"/>
      <c r="D965" s="7"/>
      <c r="E965" s="7"/>
    </row>
    <row r="966" customFormat="false" ht="15" hidden="false" customHeight="true" outlineLevel="0" collapsed="false">
      <c r="A966" s="15"/>
      <c r="B966" s="7"/>
      <c r="C966" s="13"/>
      <c r="D966" s="7"/>
      <c r="E966" s="7"/>
    </row>
    <row r="967" customFormat="false" ht="15" hidden="false" customHeight="true" outlineLevel="0" collapsed="false">
      <c r="A967" s="15"/>
      <c r="B967" s="7"/>
      <c r="C967" s="13"/>
      <c r="D967" s="7"/>
      <c r="E967" s="7"/>
    </row>
    <row r="968" customFormat="false" ht="15" hidden="false" customHeight="true" outlineLevel="0" collapsed="false">
      <c r="A968" s="15"/>
      <c r="B968" s="7"/>
      <c r="C968" s="13"/>
      <c r="D968" s="7"/>
      <c r="E968" s="7"/>
    </row>
    <row r="969" customFormat="false" ht="15" hidden="false" customHeight="true" outlineLevel="0" collapsed="false">
      <c r="A969" s="15"/>
      <c r="B969" s="7"/>
      <c r="C969" s="13"/>
      <c r="D969" s="7"/>
      <c r="E969" s="7"/>
    </row>
    <row r="970" customFormat="false" ht="15" hidden="false" customHeight="true" outlineLevel="0" collapsed="false">
      <c r="A970" s="15"/>
      <c r="B970" s="7"/>
      <c r="C970" s="13"/>
      <c r="D970" s="7"/>
      <c r="E970" s="7"/>
    </row>
    <row r="971" customFormat="false" ht="15" hidden="false" customHeight="true" outlineLevel="0" collapsed="false">
      <c r="A971" s="15"/>
      <c r="B971" s="7"/>
      <c r="C971" s="13"/>
      <c r="D971" s="7"/>
      <c r="E971" s="7"/>
    </row>
    <row r="972" customFormat="false" ht="15" hidden="false" customHeight="true" outlineLevel="0" collapsed="false">
      <c r="A972" s="15"/>
      <c r="B972" s="7"/>
      <c r="C972" s="13"/>
      <c r="D972" s="7"/>
      <c r="E972" s="7"/>
    </row>
    <row r="973" customFormat="false" ht="15" hidden="false" customHeight="true" outlineLevel="0" collapsed="false">
      <c r="A973" s="15"/>
      <c r="B973" s="7"/>
      <c r="C973" s="13"/>
      <c r="D973" s="7"/>
      <c r="E973" s="7"/>
    </row>
    <row r="974" customFormat="false" ht="15" hidden="false" customHeight="true" outlineLevel="0" collapsed="false">
      <c r="A974" s="15"/>
      <c r="B974" s="7"/>
      <c r="C974" s="13"/>
      <c r="D974" s="7"/>
      <c r="E974" s="7"/>
    </row>
    <row r="975" customFormat="false" ht="15" hidden="false" customHeight="true" outlineLevel="0" collapsed="false">
      <c r="A975" s="15"/>
      <c r="B975" s="7"/>
      <c r="C975" s="13"/>
      <c r="D975" s="7"/>
      <c r="E975" s="7"/>
    </row>
    <row r="976" customFormat="false" ht="15" hidden="false" customHeight="true" outlineLevel="0" collapsed="false">
      <c r="A976" s="15"/>
      <c r="B976" s="7"/>
      <c r="C976" s="13"/>
      <c r="D976" s="7"/>
      <c r="E976" s="7"/>
    </row>
    <row r="977" customFormat="false" ht="15" hidden="false" customHeight="true" outlineLevel="0" collapsed="false">
      <c r="A977" s="15"/>
      <c r="B977" s="7"/>
      <c r="C977" s="13"/>
      <c r="D977" s="7"/>
      <c r="E977" s="7"/>
    </row>
    <row r="978" customFormat="false" ht="15" hidden="false" customHeight="true" outlineLevel="0" collapsed="false">
      <c r="A978" s="15"/>
      <c r="B978" s="7"/>
      <c r="C978" s="13"/>
      <c r="D978" s="7"/>
      <c r="E978" s="7"/>
    </row>
    <row r="979" customFormat="false" ht="15" hidden="false" customHeight="true" outlineLevel="0" collapsed="false">
      <c r="A979" s="15"/>
      <c r="B979" s="7"/>
      <c r="C979" s="13"/>
      <c r="D979" s="7"/>
      <c r="E979" s="7"/>
    </row>
    <row r="980" customFormat="false" ht="15" hidden="false" customHeight="true" outlineLevel="0" collapsed="false">
      <c r="A980" s="15"/>
      <c r="B980" s="7"/>
      <c r="C980" s="13"/>
      <c r="D980" s="7"/>
      <c r="E980" s="7"/>
    </row>
    <row r="981" customFormat="false" ht="15" hidden="false" customHeight="true" outlineLevel="0" collapsed="false">
      <c r="A981" s="15"/>
      <c r="B981" s="7"/>
      <c r="C981" s="13"/>
      <c r="D981" s="7"/>
      <c r="E981" s="7"/>
    </row>
    <row r="982" customFormat="false" ht="15" hidden="false" customHeight="true" outlineLevel="0" collapsed="false">
      <c r="A982" s="15"/>
      <c r="B982" s="7"/>
      <c r="C982" s="13"/>
      <c r="D982" s="7"/>
      <c r="E982" s="7"/>
    </row>
    <row r="983" customFormat="false" ht="15" hidden="false" customHeight="true" outlineLevel="0" collapsed="false">
      <c r="A983" s="15"/>
      <c r="B983" s="7"/>
      <c r="C983" s="13"/>
      <c r="D983" s="7"/>
      <c r="E983" s="7"/>
    </row>
    <row r="984" customFormat="false" ht="15" hidden="false" customHeight="true" outlineLevel="0" collapsed="false">
      <c r="A984" s="15"/>
      <c r="B984" s="7"/>
      <c r="C984" s="13"/>
      <c r="D984" s="7"/>
      <c r="E984" s="7"/>
    </row>
    <row r="985" customFormat="false" ht="15" hidden="false" customHeight="true" outlineLevel="0" collapsed="false">
      <c r="A985" s="15"/>
      <c r="B985" s="7"/>
      <c r="C985" s="13"/>
      <c r="D985" s="7"/>
      <c r="E985" s="7"/>
    </row>
    <row r="986" customFormat="false" ht="15" hidden="false" customHeight="true" outlineLevel="0" collapsed="false">
      <c r="A986" s="15"/>
      <c r="B986" s="7"/>
      <c r="C986" s="13"/>
      <c r="D986" s="7"/>
      <c r="E986" s="7"/>
    </row>
    <row r="987" customFormat="false" ht="15" hidden="false" customHeight="true" outlineLevel="0" collapsed="false">
      <c r="A987" s="15"/>
      <c r="B987" s="7"/>
      <c r="C987" s="13"/>
      <c r="D987" s="7"/>
      <c r="E987" s="7"/>
    </row>
    <row r="988" customFormat="false" ht="15" hidden="false" customHeight="true" outlineLevel="0" collapsed="false">
      <c r="A988" s="15"/>
      <c r="B988" s="7"/>
      <c r="C988" s="13"/>
      <c r="D988" s="7"/>
      <c r="E988" s="7"/>
    </row>
    <row r="989" customFormat="false" ht="15" hidden="false" customHeight="true" outlineLevel="0" collapsed="false">
      <c r="A989" s="15"/>
      <c r="B989" s="7"/>
      <c r="C989" s="13"/>
      <c r="D989" s="7"/>
      <c r="E989" s="7"/>
    </row>
    <row r="990" customFormat="false" ht="15" hidden="false" customHeight="true" outlineLevel="0" collapsed="false">
      <c r="A990" s="15"/>
      <c r="B990" s="7"/>
      <c r="C990" s="13"/>
      <c r="D990" s="7"/>
      <c r="E990" s="7"/>
    </row>
    <row r="991" customFormat="false" ht="15" hidden="false" customHeight="true" outlineLevel="0" collapsed="false">
      <c r="A991" s="15"/>
      <c r="B991" s="7"/>
      <c r="C991" s="13"/>
      <c r="D991" s="7"/>
      <c r="E991" s="7"/>
    </row>
    <row r="992" customFormat="false" ht="15" hidden="false" customHeight="true" outlineLevel="0" collapsed="false">
      <c r="A992" s="15"/>
      <c r="B992" s="7"/>
      <c r="C992" s="13"/>
      <c r="D992" s="7"/>
      <c r="E992" s="7"/>
    </row>
    <row r="993" customFormat="false" ht="15" hidden="false" customHeight="true" outlineLevel="0" collapsed="false">
      <c r="A993" s="15"/>
      <c r="B993" s="7"/>
      <c r="C993" s="13"/>
      <c r="D993" s="7"/>
      <c r="E993" s="7"/>
    </row>
    <row r="994" customFormat="false" ht="15" hidden="false" customHeight="true" outlineLevel="0" collapsed="false">
      <c r="A994" s="15"/>
      <c r="B994" s="7"/>
      <c r="C994" s="13"/>
      <c r="D994" s="7"/>
      <c r="E994" s="7"/>
    </row>
    <row r="995" customFormat="false" ht="15" hidden="false" customHeight="true" outlineLevel="0" collapsed="false">
      <c r="A995" s="15"/>
      <c r="B995" s="7"/>
      <c r="C995" s="13"/>
      <c r="D995" s="7"/>
      <c r="E995" s="7"/>
    </row>
    <row r="996" customFormat="false" ht="15" hidden="false" customHeight="true" outlineLevel="0" collapsed="false">
      <c r="A996" s="15"/>
      <c r="B996" s="7"/>
      <c r="C996" s="13"/>
      <c r="D996" s="7"/>
      <c r="E996" s="7"/>
    </row>
    <row r="997" customFormat="false" ht="15" hidden="false" customHeight="true" outlineLevel="0" collapsed="false">
      <c r="A997" s="15"/>
      <c r="B997" s="7"/>
      <c r="C997" s="13"/>
      <c r="D997" s="7"/>
      <c r="E997" s="7"/>
    </row>
    <row r="998" customFormat="false" ht="15" hidden="false" customHeight="true" outlineLevel="0" collapsed="false">
      <c r="A998" s="15"/>
      <c r="B998" s="7"/>
      <c r="C998" s="13"/>
      <c r="D998" s="7"/>
      <c r="E998" s="7"/>
    </row>
    <row r="999" customFormat="false" ht="15" hidden="false" customHeight="true" outlineLevel="0" collapsed="false">
      <c r="A999" s="15"/>
      <c r="B999" s="7"/>
      <c r="C999" s="13"/>
      <c r="D999" s="7"/>
      <c r="E999" s="7"/>
    </row>
    <row r="1000" customFormat="false" ht="15" hidden="false" customHeight="true" outlineLevel="0" collapsed="false">
      <c r="A1000" s="15"/>
      <c r="B1000" s="7"/>
      <c r="C1000" s="13"/>
      <c r="D1000" s="7"/>
      <c r="E1000" s="7"/>
    </row>
    <row r="1001" customFormat="false" ht="15" hidden="false" customHeight="true" outlineLevel="0" collapsed="false">
      <c r="A1001" s="15"/>
      <c r="B1001" s="7"/>
      <c r="C1001" s="13"/>
      <c r="D1001" s="7"/>
      <c r="E1001" s="7"/>
    </row>
  </sheetData>
  <dataValidations count="1">
    <dataValidation allowBlank="true" errorStyle="stop" operator="between" showDropDown="false" showErrorMessage="false" showInputMessage="false" sqref="D2:D1001" type="list">
      <formula1>Settings!$F$3:$F$8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11"/>
    <col collapsed="false" customWidth="true" hidden="false" outlineLevel="0" max="6" min="6" style="1" width="10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1" min="10" style="1" width="10"/>
    <col collapsed="false" customWidth="true" hidden="false" outlineLevel="0" max="13" min="12" style="1" width="12"/>
  </cols>
  <sheetData>
    <row r="1" customFormat="false" ht="31.5" hidden="false" customHeight="true" outlineLevel="0" collapsed="false">
      <c r="A1" s="12" t="s">
        <v>65</v>
      </c>
      <c r="B1" s="12" t="s">
        <v>66</v>
      </c>
      <c r="C1" s="12" t="s">
        <v>67</v>
      </c>
      <c r="D1" s="12" t="s">
        <v>1149</v>
      </c>
      <c r="E1" s="12" t="s">
        <v>1150</v>
      </c>
      <c r="F1" s="12" t="s">
        <v>1151</v>
      </c>
      <c r="G1" s="12" t="s">
        <v>1152</v>
      </c>
      <c r="H1" s="12" t="s">
        <v>69</v>
      </c>
      <c r="I1" s="12" t="s">
        <v>1153</v>
      </c>
      <c r="J1" s="12" t="s">
        <v>1154</v>
      </c>
      <c r="K1" s="12" t="s">
        <v>1155</v>
      </c>
      <c r="L1" s="12" t="s">
        <v>1156</v>
      </c>
      <c r="M1" s="12" t="s">
        <v>1157</v>
      </c>
    </row>
    <row r="2" customFormat="false" ht="15" hidden="false" customHeight="true" outlineLevel="0" collapsed="false">
      <c r="A2" s="16" t="str">
        <f aca="false">IF(Products!A2="","",Products!A2)</f>
        <v>BP001</v>
      </c>
      <c r="B2" s="16" t="str">
        <f aca="false">IF($A2="","",INDEX(Products!$B$2:$B$501,ROW()-1))</f>
        <v>Brake Pad Set - Front</v>
      </c>
      <c r="C2" s="16" t="str">
        <f aca="false">IF($A2="","",INDEX(Products!$C$2:$C$501,ROW()-1))</f>
        <v>Brakes &amp; Clutch</v>
      </c>
      <c r="D2" s="16" t="n">
        <f aca="false">IF(A2="","",N(Products!I2))</f>
        <v>40</v>
      </c>
      <c r="E2" s="16" t="n">
        <f aca="false">IF(A2="","",SUMIFS(Purchases!$D$2:$D$2001,Purchases!$B$2:$B$2001,A2))</f>
        <v>112</v>
      </c>
      <c r="F2" s="16" t="n">
        <f aca="false">IF(A2="","",SUMIFS(Sales_Items!$E$2:$E$3001,Sales_Items!$C$2:$C$3001,A2))</f>
        <v>112</v>
      </c>
      <c r="G2" s="16" t="n">
        <f aca="false">IF(A2="","",D2+E2-F2)</f>
        <v>40</v>
      </c>
      <c r="H2" s="17" t="n">
        <f aca="false">IF(A2="","",N(Products!E2))</f>
        <v>320</v>
      </c>
      <c r="I2" s="17" t="n">
        <f aca="false">IF(A2="","",G2*H2)</f>
        <v>12800</v>
      </c>
      <c r="J2" s="16" t="n">
        <f aca="false">IF(A2="","",IF(Products!G2="",Settings!$B$8,Products!G2))</f>
        <v>8</v>
      </c>
      <c r="K2" s="16" t="str">
        <f aca="false">IF(A2="","",IF(G2&lt;=0,"OUT",IF(G2&lt;=J2,"LOW","OK")))</f>
        <v>OK</v>
      </c>
      <c r="L2" s="16" t="n">
        <f aca="false">IF(A2="","",F2+ROW()/1000000)</f>
        <v>112.000002</v>
      </c>
      <c r="M2" s="16" t="str">
        <f aca="false">IF(OR(K2="LOW",K2="OUT"),COUNTIF($K$2:K2,"LOW")+COUNTIF($K$2:K2,"OUT"),"")</f>
        <v/>
      </c>
    </row>
    <row r="3" customFormat="false" ht="15" hidden="false" customHeight="true" outlineLevel="0" collapsed="false">
      <c r="A3" s="16" t="str">
        <f aca="false">IF(Products!A3="","",Products!A3)</f>
        <v>BP002</v>
      </c>
      <c r="B3" s="16" t="str">
        <f aca="false">IF($A3="","",INDEX(Products!$B$2:$B$501,ROW()-1))</f>
        <v>Clutch Cable</v>
      </c>
      <c r="C3" s="16" t="str">
        <f aca="false">IF($A3="","",INDEX(Products!$C$2:$C$501,ROW()-1))</f>
        <v>Brakes &amp; Clutch</v>
      </c>
      <c r="D3" s="16" t="n">
        <f aca="false">IF(A3="","",N(Products!I3))</f>
        <v>60</v>
      </c>
      <c r="E3" s="16" t="n">
        <f aca="false">IF(A3="","",SUMIFS(Purchases!$D$2:$D$2001,Purchases!$B$2:$B$2001,A3))</f>
        <v>294</v>
      </c>
      <c r="F3" s="16" t="n">
        <f aca="false">IF(A3="","",SUMIFS(Sales_Items!$E$2:$E$3001,Sales_Items!$C$2:$C$3001,A3))</f>
        <v>347</v>
      </c>
      <c r="G3" s="16" t="n">
        <f aca="false">IF(A3="","",D3+E3-F3)</f>
        <v>7</v>
      </c>
      <c r="H3" s="17" t="n">
        <f aca="false">IF(A3="","",N(Products!E3))</f>
        <v>110</v>
      </c>
      <c r="I3" s="17" t="n">
        <f aca="false">IF(A3="","",G3*H3)</f>
        <v>770</v>
      </c>
      <c r="J3" s="16" t="n">
        <f aca="false">IF(A3="","",IF(Products!G3="",Settings!$B$8,Products!G3))</f>
        <v>10</v>
      </c>
      <c r="K3" s="16" t="str">
        <f aca="false">IF(A3="","",IF(G3&lt;=0,"OUT",IF(G3&lt;=J3,"LOW","OK")))</f>
        <v>LOW</v>
      </c>
      <c r="L3" s="16" t="n">
        <f aca="false">IF(A3="","",F3+ROW()/1000000)</f>
        <v>347.000003</v>
      </c>
      <c r="M3" s="16" t="n">
        <f aca="false">IF(OR(K3="LOW",K3="OUT"),COUNTIF($K$2:K3,"LOW")+COUNTIF($K$2:K3,"OUT"),"")</f>
        <v>1</v>
      </c>
    </row>
    <row r="4" customFormat="false" ht="15" hidden="false" customHeight="true" outlineLevel="0" collapsed="false">
      <c r="A4" s="16" t="str">
        <f aca="false">IF(Products!A4="","",Products!A4)</f>
        <v>BP003</v>
      </c>
      <c r="B4" s="16" t="str">
        <f aca="false">IF($A4="","",INDEX(Products!$B$2:$B$501,ROW()-1))</f>
        <v>Spark Plug CPR8EA-9</v>
      </c>
      <c r="C4" s="16" t="str">
        <f aca="false">IF($A4="","",INDEX(Products!$C$2:$C$501,ROW()-1))</f>
        <v>Engine Parts</v>
      </c>
      <c r="D4" s="16" t="n">
        <f aca="false">IF(A4="","",N(Products!I4))</f>
        <v>100</v>
      </c>
      <c r="E4" s="16" t="n">
        <f aca="false">IF(A4="","",SUMIFS(Purchases!$D$2:$D$2001,Purchases!$B$2:$B$2001,A4))</f>
        <v>210</v>
      </c>
      <c r="F4" s="16" t="n">
        <f aca="false">IF(A4="","",SUMIFS(Sales_Items!$E$2:$E$3001,Sales_Items!$C$2:$C$3001,A4))</f>
        <v>222</v>
      </c>
      <c r="G4" s="16" t="n">
        <f aca="false">IF(A4="","",D4+E4-F4)</f>
        <v>88</v>
      </c>
      <c r="H4" s="17" t="n">
        <f aca="false">IF(A4="","",N(Products!E4))</f>
        <v>175</v>
      </c>
      <c r="I4" s="17" t="n">
        <f aca="false">IF(A4="","",G4*H4)</f>
        <v>15400</v>
      </c>
      <c r="J4" s="16" t="n">
        <f aca="false">IF(A4="","",IF(Products!G4="",Settings!$B$8,Products!G4))</f>
        <v>15</v>
      </c>
      <c r="K4" s="16" t="str">
        <f aca="false">IF(A4="","",IF(G4&lt;=0,"OUT",IF(G4&lt;=J4,"LOW","OK")))</f>
        <v>OK</v>
      </c>
      <c r="L4" s="16" t="n">
        <f aca="false">IF(A4="","",F4+ROW()/1000000)</f>
        <v>222.000004</v>
      </c>
      <c r="M4" s="16" t="str">
        <f aca="false">IF(OR(K4="LOW",K4="OUT"),COUNTIF($K$2:K4,"LOW")+COUNTIF($K$2:K4,"OUT"),"")</f>
        <v/>
      </c>
    </row>
    <row r="5" customFormat="false" ht="15" hidden="false" customHeight="true" outlineLevel="0" collapsed="false">
      <c r="A5" s="16" t="str">
        <f aca="false">IF(Products!A5="","",Products!A5)</f>
        <v>BP004</v>
      </c>
      <c r="B5" s="16" t="str">
        <f aca="false">IF($A5="","",INDEX(Products!$B$2:$B$501,ROW()-1))</f>
        <v>Air Filter 150cc</v>
      </c>
      <c r="C5" s="16" t="str">
        <f aca="false">IF($A5="","",INDEX(Products!$C$2:$C$501,ROW()-1))</f>
        <v>Engine Parts</v>
      </c>
      <c r="D5" s="16" t="n">
        <f aca="false">IF(A5="","",N(Products!I5))</f>
        <v>45</v>
      </c>
      <c r="E5" s="16" t="n">
        <f aca="false">IF(A5="","",SUMIFS(Purchases!$D$2:$D$2001,Purchases!$B$2:$B$2001,A5))</f>
        <v>155</v>
      </c>
      <c r="F5" s="16" t="n">
        <f aca="false">IF(A5="","",SUMIFS(Sales_Items!$E$2:$E$3001,Sales_Items!$C$2:$C$3001,A5))</f>
        <v>174</v>
      </c>
      <c r="G5" s="16" t="n">
        <f aca="false">IF(A5="","",D5+E5-F5)</f>
        <v>26</v>
      </c>
      <c r="H5" s="17" t="n">
        <f aca="false">IF(A5="","",N(Products!E5))</f>
        <v>210</v>
      </c>
      <c r="I5" s="17" t="n">
        <f aca="false">IF(A5="","",G5*H5)</f>
        <v>5460</v>
      </c>
      <c r="J5" s="16" t="n">
        <f aca="false">IF(A5="","",IF(Products!G5="",Settings!$B$8,Products!G5))</f>
        <v>10</v>
      </c>
      <c r="K5" s="16" t="str">
        <f aca="false">IF(A5="","",IF(G5&lt;=0,"OUT",IF(G5&lt;=J5,"LOW","OK")))</f>
        <v>OK</v>
      </c>
      <c r="L5" s="16" t="n">
        <f aca="false">IF(A5="","",F5+ROW()/1000000)</f>
        <v>174.000005</v>
      </c>
      <c r="M5" s="16" t="str">
        <f aca="false">IF(OR(K5="LOW",K5="OUT"),COUNTIF($K$2:K5,"LOW")+COUNTIF($K$2:K5,"OUT"),"")</f>
        <v/>
      </c>
    </row>
    <row r="6" customFormat="false" ht="15" hidden="false" customHeight="true" outlineLevel="0" collapsed="false">
      <c r="A6" s="16" t="str">
        <f aca="false">IF(Products!A6="","",Products!A6)</f>
        <v>BP005</v>
      </c>
      <c r="B6" s="16" t="str">
        <f aca="false">IF($A6="","",INDEX(Products!$B$2:$B$501,ROW()-1))</f>
        <v>Chain &amp; Sprocket Kit</v>
      </c>
      <c r="C6" s="16" t="str">
        <f aca="false">IF($A6="","",INDEX(Products!$C$2:$C$501,ROW()-1))</f>
        <v>Engine Parts</v>
      </c>
      <c r="D6" s="16" t="n">
        <f aca="false">IF(A6="","",N(Products!I6))</f>
        <v>18</v>
      </c>
      <c r="E6" s="16" t="n">
        <f aca="false">IF(A6="","",SUMIFS(Purchases!$D$2:$D$2001,Purchases!$B$2:$B$2001,A6))</f>
        <v>12</v>
      </c>
      <c r="F6" s="16" t="n">
        <f aca="false">IF(A6="","",SUMIFS(Sales_Items!$E$2:$E$3001,Sales_Items!$C$2:$C$3001,A6))</f>
        <v>11</v>
      </c>
      <c r="G6" s="16" t="n">
        <f aca="false">IF(A6="","",D6+E6-F6)</f>
        <v>19</v>
      </c>
      <c r="H6" s="17" t="n">
        <f aca="false">IF(A6="","",N(Products!E6))</f>
        <v>1750</v>
      </c>
      <c r="I6" s="17" t="n">
        <f aca="false">IF(A6="","",G6*H6)</f>
        <v>33250</v>
      </c>
      <c r="J6" s="16" t="n">
        <f aca="false">IF(A6="","",IF(Products!G6="",Settings!$B$8,Products!G6))</f>
        <v>4</v>
      </c>
      <c r="K6" s="16" t="str">
        <f aca="false">IF(A6="","",IF(G6&lt;=0,"OUT",IF(G6&lt;=J6,"LOW","OK")))</f>
        <v>OK</v>
      </c>
      <c r="L6" s="16" t="n">
        <f aca="false">IF(A6="","",F6+ROW()/1000000)</f>
        <v>11.000006</v>
      </c>
      <c r="M6" s="16" t="str">
        <f aca="false">IF(OR(K6="LOW",K6="OUT"),COUNTIF($K$2:K6,"LOW")+COUNTIF($K$2:K6,"OUT"),"")</f>
        <v/>
      </c>
    </row>
    <row r="7" customFormat="false" ht="15" hidden="false" customHeight="true" outlineLevel="0" collapsed="false">
      <c r="A7" s="16" t="str">
        <f aca="false">IF(Products!A7="","",Products!A7)</f>
        <v>BP006</v>
      </c>
      <c r="B7" s="16" t="str">
        <f aca="false">IF($A7="","",INDEX(Products!$B$2:$B$501,ROW()-1))</f>
        <v>Engine Oil 10W-30 (1L)</v>
      </c>
      <c r="C7" s="16" t="str">
        <f aca="false">IF($A7="","",INDEX(Products!$C$2:$C$501,ROW()-1))</f>
        <v>Lubricants</v>
      </c>
      <c r="D7" s="16" t="n">
        <f aca="false">IF(A7="","",N(Products!I7))</f>
        <v>90</v>
      </c>
      <c r="E7" s="16" t="n">
        <f aca="false">IF(A7="","",SUMIFS(Purchases!$D$2:$D$2001,Purchases!$B$2:$B$2001,A7))</f>
        <v>62</v>
      </c>
      <c r="F7" s="16" t="n">
        <f aca="false">IF(A7="","",SUMIFS(Sales_Items!$E$2:$E$3001,Sales_Items!$C$2:$C$3001,A7))</f>
        <v>101</v>
      </c>
      <c r="G7" s="16" t="n">
        <f aca="false">IF(A7="","",D7+E7-F7)</f>
        <v>51</v>
      </c>
      <c r="H7" s="17" t="n">
        <f aca="false">IF(A7="","",N(Products!E7))</f>
        <v>620</v>
      </c>
      <c r="I7" s="17" t="n">
        <f aca="false">IF(A7="","",G7*H7)</f>
        <v>31620</v>
      </c>
      <c r="J7" s="16" t="n">
        <f aca="false">IF(A7="","",IF(Products!G7="",Settings!$B$8,Products!G7))</f>
        <v>20</v>
      </c>
      <c r="K7" s="16" t="str">
        <f aca="false">IF(A7="","",IF(G7&lt;=0,"OUT",IF(G7&lt;=J7,"LOW","OK")))</f>
        <v>OK</v>
      </c>
      <c r="L7" s="16" t="n">
        <f aca="false">IF(A7="","",F7+ROW()/1000000)</f>
        <v>101.000007</v>
      </c>
      <c r="M7" s="16" t="str">
        <f aca="false">IF(OR(K7="LOW",K7="OUT"),COUNTIF($K$2:K7,"LOW")+COUNTIF($K$2:K7,"OUT"),"")</f>
        <v/>
      </c>
    </row>
    <row r="8" customFormat="false" ht="15" hidden="false" customHeight="true" outlineLevel="0" collapsed="false">
      <c r="A8" s="16" t="str">
        <f aca="false">IF(Products!A8="","",Products!A8)</f>
        <v>BP007</v>
      </c>
      <c r="B8" s="16" t="str">
        <f aca="false">IF($A8="","",INDEX(Products!$B$2:$B$501,ROW()-1))</f>
        <v>Engine Oil 20W-50 (1L)</v>
      </c>
      <c r="C8" s="16" t="str">
        <f aca="false">IF($A8="","",INDEX(Products!$C$2:$C$501,ROW()-1))</f>
        <v>Lubricants</v>
      </c>
      <c r="D8" s="16" t="n">
        <f aca="false">IF(A8="","",N(Products!I8))</f>
        <v>50</v>
      </c>
      <c r="E8" s="16" t="n">
        <f aca="false">IF(A8="","",SUMIFS(Purchases!$D$2:$D$2001,Purchases!$B$2:$B$2001,A8))</f>
        <v>105</v>
      </c>
      <c r="F8" s="16" t="n">
        <f aca="false">IF(A8="","",SUMIFS(Sales_Items!$E$2:$E$3001,Sales_Items!$C$2:$C$3001,A8))</f>
        <v>97</v>
      </c>
      <c r="G8" s="16" t="n">
        <f aca="false">IF(A8="","",D8+E8-F8)</f>
        <v>58</v>
      </c>
      <c r="H8" s="17" t="n">
        <f aca="false">IF(A8="","",N(Products!E8))</f>
        <v>780</v>
      </c>
      <c r="I8" s="17" t="n">
        <f aca="false">IF(A8="","",G8*H8)</f>
        <v>45240</v>
      </c>
      <c r="J8" s="16" t="n">
        <f aca="false">IF(A8="","",IF(Products!G8="",Settings!$B$8,Products!G8))</f>
        <v>15</v>
      </c>
      <c r="K8" s="16" t="str">
        <f aca="false">IF(A8="","",IF(G8&lt;=0,"OUT",IF(G8&lt;=J8,"LOW","OK")))</f>
        <v>OK</v>
      </c>
      <c r="L8" s="16" t="n">
        <f aca="false">IF(A8="","",F8+ROW()/1000000)</f>
        <v>97.000008</v>
      </c>
      <c r="M8" s="16" t="str">
        <f aca="false">IF(OR(K8="LOW",K8="OUT"),COUNTIF($K$2:K8,"LOW")+COUNTIF($K$2:K8,"OUT"),"")</f>
        <v/>
      </c>
    </row>
    <row r="9" customFormat="false" ht="15" hidden="false" customHeight="true" outlineLevel="0" collapsed="false">
      <c r="A9" s="16" t="str">
        <f aca="false">IF(Products!A9="","",Products!A9)</f>
        <v>BP008</v>
      </c>
      <c r="B9" s="16" t="str">
        <f aca="false">IF($A9="","",INDEX(Products!$B$2:$B$501,ROW()-1))</f>
        <v>Headlight Bulb H4</v>
      </c>
      <c r="C9" s="16" t="str">
        <f aca="false">IF($A9="","",INDEX(Products!$C$2:$C$501,ROW()-1))</f>
        <v>Electrical</v>
      </c>
      <c r="D9" s="16" t="n">
        <f aca="false">IF(A9="","",N(Products!I9))</f>
        <v>70</v>
      </c>
      <c r="E9" s="16" t="n">
        <f aca="false">IF(A9="","",SUMIFS(Purchases!$D$2:$D$2001,Purchases!$B$2:$B$2001,A9))</f>
        <v>245</v>
      </c>
      <c r="F9" s="16" t="n">
        <f aca="false">IF(A9="","",SUMIFS(Sales_Items!$E$2:$E$3001,Sales_Items!$C$2:$C$3001,A9))</f>
        <v>264</v>
      </c>
      <c r="G9" s="16" t="n">
        <f aca="false">IF(A9="","",D9+E9-F9)</f>
        <v>51</v>
      </c>
      <c r="H9" s="17" t="n">
        <f aca="false">IF(A9="","",N(Products!E9))</f>
        <v>140</v>
      </c>
      <c r="I9" s="17" t="n">
        <f aca="false">IF(A9="","",G9*H9)</f>
        <v>7140</v>
      </c>
      <c r="J9" s="16" t="n">
        <f aca="false">IF(A9="","",IF(Products!G9="",Settings!$B$8,Products!G9))</f>
        <v>12</v>
      </c>
      <c r="K9" s="16" t="str">
        <f aca="false">IF(A9="","",IF(G9&lt;=0,"OUT",IF(G9&lt;=J9,"LOW","OK")))</f>
        <v>OK</v>
      </c>
      <c r="L9" s="16" t="n">
        <f aca="false">IF(A9="","",F9+ROW()/1000000)</f>
        <v>264.000009</v>
      </c>
      <c r="M9" s="16" t="str">
        <f aca="false">IF(OR(K9="LOW",K9="OUT"),COUNTIF($K$2:K9,"LOW")+COUNTIF($K$2:K9,"OUT"),"")</f>
        <v/>
      </c>
    </row>
    <row r="10" customFormat="false" ht="15" hidden="false" customHeight="true" outlineLevel="0" collapsed="false">
      <c r="A10" s="16" t="str">
        <f aca="false">IF(Products!A10="","",Products!A10)</f>
        <v>BP009</v>
      </c>
      <c r="B10" s="16" t="str">
        <f aca="false">IF($A10="","",INDEX(Products!$B$2:$B$501,ROW()-1))</f>
        <v>Battery 12V 5Ah</v>
      </c>
      <c r="C10" s="16" t="str">
        <f aca="false">IF($A10="","",INDEX(Products!$C$2:$C$501,ROW()-1))</f>
        <v>Electrical</v>
      </c>
      <c r="D10" s="16" t="n">
        <f aca="false">IF(A10="","",N(Products!I10))</f>
        <v>8</v>
      </c>
      <c r="E10" s="16" t="n">
        <f aca="false">IF(A10="","",SUMIFS(Purchases!$D$2:$D$2001,Purchases!$B$2:$B$2001,A10))</f>
        <v>0</v>
      </c>
      <c r="F10" s="16" t="n">
        <f aca="false">IF(A10="","",SUMIFS(Sales_Items!$E$2:$E$3001,Sales_Items!$C$2:$C$3001,A10))</f>
        <v>8</v>
      </c>
      <c r="G10" s="16" t="n">
        <f aca="false">IF(A10="","",D10+E10-F10)</f>
        <v>0</v>
      </c>
      <c r="H10" s="17" t="n">
        <f aca="false">IF(A10="","",N(Products!E10))</f>
        <v>2350</v>
      </c>
      <c r="I10" s="17" t="n">
        <f aca="false">IF(A10="","",G10*H10)</f>
        <v>0</v>
      </c>
      <c r="J10" s="16" t="n">
        <f aca="false">IF(A10="","",IF(Products!G10="",Settings!$B$8,Products!G10))</f>
        <v>3</v>
      </c>
      <c r="K10" s="16" t="str">
        <f aca="false">IF(A10="","",IF(G10&lt;=0,"OUT",IF(G10&lt;=J10,"LOW","OK")))</f>
        <v>OUT</v>
      </c>
      <c r="L10" s="16" t="n">
        <f aca="false">IF(A10="","",F10+ROW()/1000000)</f>
        <v>8.00001</v>
      </c>
      <c r="M10" s="16" t="n">
        <f aca="false">IF(OR(K10="LOW",K10="OUT"),COUNTIF($K$2:K10,"LOW")+COUNTIF($K$2:K10,"OUT"),"")</f>
        <v>2</v>
      </c>
    </row>
    <row r="11" customFormat="false" ht="15" hidden="false" customHeight="true" outlineLevel="0" collapsed="false">
      <c r="A11" s="16" t="str">
        <f aca="false">IF(Products!A11="","",Products!A11)</f>
        <v>BP010</v>
      </c>
      <c r="B11" s="16" t="str">
        <f aca="false">IF($A11="","",INDEX(Products!$B$2:$B$501,ROW()-1))</f>
        <v>Tyre 90/90-17 Rear</v>
      </c>
      <c r="C11" s="16" t="str">
        <f aca="false">IF($A11="","",INDEX(Products!$C$2:$C$501,ROW()-1))</f>
        <v>Tyres &amp; Wheels</v>
      </c>
      <c r="D11" s="16" t="n">
        <f aca="false">IF(A11="","",N(Products!I11))</f>
        <v>14</v>
      </c>
      <c r="E11" s="16" t="n">
        <f aca="false">IF(A11="","",SUMIFS(Purchases!$D$2:$D$2001,Purchases!$B$2:$B$2001,A11))</f>
        <v>9</v>
      </c>
      <c r="F11" s="16" t="n">
        <f aca="false">IF(A11="","",SUMIFS(Sales_Items!$E$2:$E$3001,Sales_Items!$C$2:$C$3001,A11))</f>
        <v>14</v>
      </c>
      <c r="G11" s="16" t="n">
        <f aca="false">IF(A11="","",D11+E11-F11)</f>
        <v>9</v>
      </c>
      <c r="H11" s="17" t="n">
        <f aca="false">IF(A11="","",N(Products!E11))</f>
        <v>2750</v>
      </c>
      <c r="I11" s="17" t="n">
        <f aca="false">IF(A11="","",G11*H11)</f>
        <v>24750</v>
      </c>
      <c r="J11" s="16" t="n">
        <f aca="false">IF(A11="","",IF(Products!G11="",Settings!$B$8,Products!G11))</f>
        <v>4</v>
      </c>
      <c r="K11" s="16" t="str">
        <f aca="false">IF(A11="","",IF(G11&lt;=0,"OUT",IF(G11&lt;=J11,"LOW","OK")))</f>
        <v>OK</v>
      </c>
      <c r="L11" s="16" t="n">
        <f aca="false">IF(A11="","",F11+ROW()/1000000)</f>
        <v>14.000011</v>
      </c>
      <c r="M11" s="16" t="str">
        <f aca="false">IF(OR(K11="LOW",K11="OUT"),COUNTIF($K$2:K11,"LOW")+COUNTIF($K$2:K11,"OUT"),"")</f>
        <v/>
      </c>
    </row>
    <row r="12" customFormat="false" ht="15" hidden="false" customHeight="true" outlineLevel="0" collapsed="false">
      <c r="A12" s="16" t="str">
        <f aca="false">IF(Products!A12="","",Products!A12)</f>
        <v>BP011</v>
      </c>
      <c r="B12" s="16" t="str">
        <f aca="false">IF($A12="","",INDEX(Products!$B$2:$B$501,ROW()-1))</f>
        <v>Tyre 80/100-18 Front</v>
      </c>
      <c r="C12" s="16" t="str">
        <f aca="false">IF($A12="","",INDEX(Products!$C$2:$C$501,ROW()-1))</f>
        <v>Tyres &amp; Wheels</v>
      </c>
      <c r="D12" s="16" t="n">
        <f aca="false">IF(A12="","",N(Products!I12))</f>
        <v>10</v>
      </c>
      <c r="E12" s="16" t="n">
        <f aca="false">IF(A12="","",SUMIFS(Purchases!$D$2:$D$2001,Purchases!$B$2:$B$2001,A12))</f>
        <v>14</v>
      </c>
      <c r="F12" s="16" t="n">
        <f aca="false">IF(A12="","",SUMIFS(Sales_Items!$E$2:$E$3001,Sales_Items!$C$2:$C$3001,A12))</f>
        <v>9</v>
      </c>
      <c r="G12" s="16" t="n">
        <f aca="false">IF(A12="","",D12+E12-F12)</f>
        <v>15</v>
      </c>
      <c r="H12" s="17" t="n">
        <f aca="false">IF(A12="","",N(Products!E12))</f>
        <v>2300</v>
      </c>
      <c r="I12" s="17" t="n">
        <f aca="false">IF(A12="","",G12*H12)</f>
        <v>34500</v>
      </c>
      <c r="J12" s="16" t="n">
        <f aca="false">IF(A12="","",IF(Products!G12="",Settings!$B$8,Products!G12))</f>
        <v>4</v>
      </c>
      <c r="K12" s="16" t="str">
        <f aca="false">IF(A12="","",IF(G12&lt;=0,"OUT",IF(G12&lt;=J12,"LOW","OK")))</f>
        <v>OK</v>
      </c>
      <c r="L12" s="16" t="n">
        <f aca="false">IF(A12="","",F12+ROW()/1000000)</f>
        <v>9.000012</v>
      </c>
      <c r="M12" s="16" t="str">
        <f aca="false">IF(OR(K12="LOW",K12="OUT"),COUNTIF($K$2:K12,"LOW")+COUNTIF($K$2:K12,"OUT"),"")</f>
        <v/>
      </c>
    </row>
    <row r="13" customFormat="false" ht="15" hidden="false" customHeight="true" outlineLevel="0" collapsed="false">
      <c r="A13" s="16" t="str">
        <f aca="false">IF(Products!A13="","",Products!A13)</f>
        <v>BP012</v>
      </c>
      <c r="B13" s="16" t="str">
        <f aca="false">IF($A13="","",INDEX(Products!$B$2:$B$501,ROW()-1))</f>
        <v>Side Mirror (Pair)</v>
      </c>
      <c r="C13" s="16" t="str">
        <f aca="false">IF($A13="","",INDEX(Products!$C$2:$C$501,ROW()-1))</f>
        <v>Accessories &amp; Safety</v>
      </c>
      <c r="D13" s="16" t="n">
        <f aca="false">IF(A13="","",N(Products!I13))</f>
        <v>25</v>
      </c>
      <c r="E13" s="16" t="n">
        <f aca="false">IF(A13="","",SUMIFS(Purchases!$D$2:$D$2001,Purchases!$B$2:$B$2001,A13))</f>
        <v>68</v>
      </c>
      <c r="F13" s="16" t="n">
        <f aca="false">IF(A13="","",SUMIFS(Sales_Items!$E$2:$E$3001,Sales_Items!$C$2:$C$3001,A13))</f>
        <v>80</v>
      </c>
      <c r="G13" s="16" t="n">
        <f aca="false">IF(A13="","",D13+E13-F13)</f>
        <v>13</v>
      </c>
      <c r="H13" s="17" t="n">
        <f aca="false">IF(A13="","",N(Products!E13))</f>
        <v>380</v>
      </c>
      <c r="I13" s="17" t="n">
        <f aca="false">IF(A13="","",G13*H13)</f>
        <v>4940</v>
      </c>
      <c r="J13" s="16" t="n">
        <f aca="false">IF(A13="","",IF(Products!G13="",Settings!$B$8,Products!G13))</f>
        <v>6</v>
      </c>
      <c r="K13" s="16" t="str">
        <f aca="false">IF(A13="","",IF(G13&lt;=0,"OUT",IF(G13&lt;=J13,"LOW","OK")))</f>
        <v>OK</v>
      </c>
      <c r="L13" s="16" t="n">
        <f aca="false">IF(A13="","",F13+ROW()/1000000)</f>
        <v>80.000013</v>
      </c>
      <c r="M13" s="16" t="str">
        <f aca="false">IF(OR(K13="LOW",K13="OUT"),COUNTIF($K$2:K13,"LOW")+COUNTIF($K$2:K13,"OUT"),"")</f>
        <v/>
      </c>
    </row>
    <row r="14" customFormat="false" ht="15" hidden="false" customHeight="true" outlineLevel="0" collapsed="false">
      <c r="A14" s="16" t="str">
        <f aca="false">IF(Products!A14="","",Products!A14)</f>
        <v>BP013</v>
      </c>
      <c r="B14" s="16" t="str">
        <f aca="false">IF($A14="","",INDEX(Products!$B$2:$B$501,ROW()-1))</f>
        <v>Helmet Full Face</v>
      </c>
      <c r="C14" s="16" t="str">
        <f aca="false">IF($A14="","",INDEX(Products!$C$2:$C$501,ROW()-1))</f>
        <v>Accessories &amp; Safety</v>
      </c>
      <c r="D14" s="16" t="n">
        <f aca="false">IF(A14="","",N(Products!I14))</f>
        <v>12</v>
      </c>
      <c r="E14" s="16" t="n">
        <f aca="false">IF(A14="","",SUMIFS(Purchases!$D$2:$D$2001,Purchases!$B$2:$B$2001,A14))</f>
        <v>0</v>
      </c>
      <c r="F14" s="16" t="n">
        <f aca="false">IF(A14="","",SUMIFS(Sales_Items!$E$2:$E$3001,Sales_Items!$C$2:$C$3001,A14))</f>
        <v>12</v>
      </c>
      <c r="G14" s="16" t="n">
        <f aca="false">IF(A14="","",D14+E14-F14)</f>
        <v>0</v>
      </c>
      <c r="H14" s="17" t="n">
        <f aca="false">IF(A14="","",N(Products!E14))</f>
        <v>1250</v>
      </c>
      <c r="I14" s="17" t="n">
        <f aca="false">IF(A14="","",G14*H14)</f>
        <v>0</v>
      </c>
      <c r="J14" s="16" t="n">
        <f aca="false">IF(A14="","",IF(Products!G14="",Settings!$B$8,Products!G14))</f>
        <v>5</v>
      </c>
      <c r="K14" s="16" t="str">
        <f aca="false">IF(A14="","",IF(G14&lt;=0,"OUT",IF(G14&lt;=J14,"LOW","OK")))</f>
        <v>OUT</v>
      </c>
      <c r="L14" s="16" t="n">
        <f aca="false">IF(A14="","",F14+ROW()/1000000)</f>
        <v>12.000014</v>
      </c>
      <c r="M14" s="16" t="n">
        <f aca="false">IF(OR(K14="LOW",K14="OUT"),COUNTIF($K$2:K14,"LOW")+COUNTIF($K$2:K14,"OUT"),"")</f>
        <v>3</v>
      </c>
    </row>
    <row r="15" customFormat="false" ht="15" hidden="false" customHeight="true" outlineLevel="0" collapsed="false">
      <c r="A15" s="16" t="str">
        <f aca="false">IF(Products!A15="","",Products!A15)</f>
        <v>BP014</v>
      </c>
      <c r="B15" s="16" t="str">
        <f aca="false">IF($A15="","",INDEX(Products!$B$2:$B$501,ROW()-1))</f>
        <v>Chain Lube Spray</v>
      </c>
      <c r="C15" s="16" t="str">
        <f aca="false">IF($A15="","",INDEX(Products!$C$2:$C$501,ROW()-1))</f>
        <v>Lubricants</v>
      </c>
      <c r="D15" s="16" t="n">
        <f aca="false">IF(A15="","",N(Products!I15))</f>
        <v>35</v>
      </c>
      <c r="E15" s="16" t="n">
        <f aca="false">IF(A15="","",SUMIFS(Purchases!$D$2:$D$2001,Purchases!$B$2:$B$2001,A15))</f>
        <v>216</v>
      </c>
      <c r="F15" s="16" t="n">
        <f aca="false">IF(A15="","",SUMIFS(Sales_Items!$E$2:$E$3001,Sales_Items!$C$2:$C$3001,A15))</f>
        <v>217</v>
      </c>
      <c r="G15" s="16" t="n">
        <f aca="false">IF(A15="","",D15+E15-F15)</f>
        <v>34</v>
      </c>
      <c r="H15" s="17" t="n">
        <f aca="false">IF(A15="","",N(Products!E15))</f>
        <v>170</v>
      </c>
      <c r="I15" s="17" t="n">
        <f aca="false">IF(A15="","",G15*H15)</f>
        <v>5780</v>
      </c>
      <c r="J15" s="16" t="n">
        <f aca="false">IF(A15="","",IF(Products!G15="",Settings!$B$8,Products!G15))</f>
        <v>10</v>
      </c>
      <c r="K15" s="16" t="str">
        <f aca="false">IF(A15="","",IF(G15&lt;=0,"OUT",IF(G15&lt;=J15,"LOW","OK")))</f>
        <v>OK</v>
      </c>
      <c r="L15" s="16" t="n">
        <f aca="false">IF(A15="","",F15+ROW()/1000000)</f>
        <v>217.000015</v>
      </c>
      <c r="M15" s="16" t="str">
        <f aca="false">IF(OR(K15="LOW",K15="OUT"),COUNTIF($K$2:K15,"LOW")+COUNTIF($K$2:K15,"OUT"),"")</f>
        <v/>
      </c>
    </row>
    <row r="16" customFormat="false" ht="15" hidden="false" customHeight="true" outlineLevel="0" collapsed="false">
      <c r="A16" s="16" t="str">
        <f aca="false">IF(Products!A16="","",Products!A16)</f>
        <v>BP015</v>
      </c>
      <c r="B16" s="16" t="str">
        <f aca="false">IF($A16="","",INDEX(Products!$B$2:$B$501,ROW()-1))</f>
        <v>Handle Grip Set</v>
      </c>
      <c r="C16" s="16" t="str">
        <f aca="false">IF($A16="","",INDEX(Products!$C$2:$C$501,ROW()-1))</f>
        <v>Accessories &amp; Safety</v>
      </c>
      <c r="D16" s="16" t="n">
        <f aca="false">IF(A16="","",N(Products!I16))</f>
        <v>30</v>
      </c>
      <c r="E16" s="16" t="n">
        <f aca="false">IF(A16="","",SUMIFS(Purchases!$D$2:$D$2001,Purchases!$B$2:$B$2001,A16))</f>
        <v>210</v>
      </c>
      <c r="F16" s="16" t="n">
        <f aca="false">IF(A16="","",SUMIFS(Sales_Items!$E$2:$E$3001,Sales_Items!$C$2:$C$3001,A16))</f>
        <v>211</v>
      </c>
      <c r="G16" s="16" t="n">
        <f aca="false">IF(A16="","",D16+E16-F16)</f>
        <v>29</v>
      </c>
      <c r="H16" s="17" t="n">
        <f aca="false">IF(A16="","",N(Products!E16))</f>
        <v>160</v>
      </c>
      <c r="I16" s="17" t="n">
        <f aca="false">IF(A16="","",G16*H16)</f>
        <v>4640</v>
      </c>
      <c r="J16" s="16" t="n">
        <f aca="false">IF(A16="","",IF(Products!G16="",Settings!$B$8,Products!G16))</f>
        <v>8</v>
      </c>
      <c r="K16" s="16" t="str">
        <f aca="false">IF(A16="","",IF(G16&lt;=0,"OUT",IF(G16&lt;=J16,"LOW","OK")))</f>
        <v>OK</v>
      </c>
      <c r="L16" s="16" t="n">
        <f aca="false">IF(A16="","",F16+ROW()/1000000)</f>
        <v>211.000016</v>
      </c>
      <c r="M16" s="16" t="str">
        <f aca="false">IF(OR(K16="LOW",K16="OUT"),COUNTIF($K$2:K16,"LOW")+COUNTIF($K$2:K16,"OUT"),"")</f>
        <v/>
      </c>
    </row>
    <row r="17" customFormat="false" ht="15" hidden="false" customHeight="true" outlineLevel="0" collapsed="false">
      <c r="A17" s="16" t="str">
        <f aca="false">IF(Products!A17="","",Products!A17)</f>
        <v/>
      </c>
      <c r="B17" s="16" t="str">
        <f aca="false">IF($A17="","",INDEX(Products!$B$2:$B$501,ROW()-1))</f>
        <v/>
      </c>
      <c r="C17" s="16" t="str">
        <f aca="false">IF($A17="","",INDEX(Products!$C$2:$C$501,ROW()-1))</f>
        <v/>
      </c>
      <c r="D17" s="16" t="str">
        <f aca="false">IF(A17="","",N(Products!I17))</f>
        <v/>
      </c>
      <c r="E17" s="16" t="str">
        <f aca="false">IF(A17="","",SUMIFS(Purchases!$D$2:$D$2001,Purchases!$B$2:$B$2001,A17))</f>
        <v/>
      </c>
      <c r="F17" s="16" t="str">
        <f aca="false">IF(A17="","",SUMIFS(Sales_Items!$E$2:$E$3001,Sales_Items!$C$2:$C$3001,A17))</f>
        <v/>
      </c>
      <c r="G17" s="16" t="str">
        <f aca="false">IF(A17="","",D17+E17-F17)</f>
        <v/>
      </c>
      <c r="H17" s="17" t="str">
        <f aca="false">IF(A17="","",N(Products!E17))</f>
        <v/>
      </c>
      <c r="I17" s="17" t="str">
        <f aca="false">IF(A17="","",G17*H17)</f>
        <v/>
      </c>
      <c r="J17" s="16" t="str">
        <f aca="false">IF(A17="","",IF(Products!G17="",Settings!$B$8,Products!G17))</f>
        <v/>
      </c>
      <c r="K17" s="16" t="str">
        <f aca="false">IF(A17="","",IF(G17&lt;=0,"OUT",IF(G17&lt;=J17,"LOW","OK")))</f>
        <v/>
      </c>
      <c r="L17" s="16" t="str">
        <f aca="false">IF(A17="","",F17+ROW()/1000000)</f>
        <v/>
      </c>
      <c r="M17" s="16" t="str">
        <f aca="false">IF(OR(K17="LOW",K17="OUT"),COUNTIF($K$2:K17,"LOW")+COUNTIF($K$2:K17,"OUT"),"")</f>
        <v/>
      </c>
    </row>
    <row r="18" customFormat="false" ht="15" hidden="false" customHeight="true" outlineLevel="0" collapsed="false">
      <c r="A18" s="16" t="str">
        <f aca="false">IF(Products!A18="","",Products!A18)</f>
        <v/>
      </c>
      <c r="B18" s="16" t="str">
        <f aca="false">IF($A18="","",INDEX(Products!$B$2:$B$501,ROW()-1))</f>
        <v/>
      </c>
      <c r="C18" s="16" t="str">
        <f aca="false">IF($A18="","",INDEX(Products!$C$2:$C$501,ROW()-1))</f>
        <v/>
      </c>
      <c r="D18" s="16" t="str">
        <f aca="false">IF(A18="","",N(Products!I18))</f>
        <v/>
      </c>
      <c r="E18" s="16" t="str">
        <f aca="false">IF(A18="","",SUMIFS(Purchases!$D$2:$D$2001,Purchases!$B$2:$B$2001,A18))</f>
        <v/>
      </c>
      <c r="F18" s="16" t="str">
        <f aca="false">IF(A18="","",SUMIFS(Sales_Items!$E$2:$E$3001,Sales_Items!$C$2:$C$3001,A18))</f>
        <v/>
      </c>
      <c r="G18" s="16" t="str">
        <f aca="false">IF(A18="","",D18+E18-F18)</f>
        <v/>
      </c>
      <c r="H18" s="17" t="str">
        <f aca="false">IF(A18="","",N(Products!E18))</f>
        <v/>
      </c>
      <c r="I18" s="17" t="str">
        <f aca="false">IF(A18="","",G18*H18)</f>
        <v/>
      </c>
      <c r="J18" s="16" t="str">
        <f aca="false">IF(A18="","",IF(Products!G18="",Settings!$B$8,Products!G18))</f>
        <v/>
      </c>
      <c r="K18" s="16" t="str">
        <f aca="false">IF(A18="","",IF(G18&lt;=0,"OUT",IF(G18&lt;=J18,"LOW","OK")))</f>
        <v/>
      </c>
      <c r="L18" s="16" t="str">
        <f aca="false">IF(A18="","",F18+ROW()/1000000)</f>
        <v/>
      </c>
      <c r="M18" s="16" t="str">
        <f aca="false">IF(OR(K18="LOW",K18="OUT"),COUNTIF($K$2:K18,"LOW")+COUNTIF($K$2:K18,"OUT"),"")</f>
        <v/>
      </c>
    </row>
    <row r="19" customFormat="false" ht="15" hidden="false" customHeight="true" outlineLevel="0" collapsed="false">
      <c r="A19" s="16" t="str">
        <f aca="false">IF(Products!A19="","",Products!A19)</f>
        <v/>
      </c>
      <c r="B19" s="16" t="str">
        <f aca="false">IF($A19="","",INDEX(Products!$B$2:$B$501,ROW()-1))</f>
        <v/>
      </c>
      <c r="C19" s="16" t="str">
        <f aca="false">IF($A19="","",INDEX(Products!$C$2:$C$501,ROW()-1))</f>
        <v/>
      </c>
      <c r="D19" s="16" t="str">
        <f aca="false">IF(A19="","",N(Products!I19))</f>
        <v/>
      </c>
      <c r="E19" s="16" t="str">
        <f aca="false">IF(A19="","",SUMIFS(Purchases!$D$2:$D$2001,Purchases!$B$2:$B$2001,A19))</f>
        <v/>
      </c>
      <c r="F19" s="16" t="str">
        <f aca="false">IF(A19="","",SUMIFS(Sales_Items!$E$2:$E$3001,Sales_Items!$C$2:$C$3001,A19))</f>
        <v/>
      </c>
      <c r="G19" s="16" t="str">
        <f aca="false">IF(A19="","",D19+E19-F19)</f>
        <v/>
      </c>
      <c r="H19" s="17" t="str">
        <f aca="false">IF(A19="","",N(Products!E19))</f>
        <v/>
      </c>
      <c r="I19" s="17" t="str">
        <f aca="false">IF(A19="","",G19*H19)</f>
        <v/>
      </c>
      <c r="J19" s="16" t="str">
        <f aca="false">IF(A19="","",IF(Products!G19="",Settings!$B$8,Products!G19))</f>
        <v/>
      </c>
      <c r="K19" s="16" t="str">
        <f aca="false">IF(A19="","",IF(G19&lt;=0,"OUT",IF(G19&lt;=J19,"LOW","OK")))</f>
        <v/>
      </c>
      <c r="L19" s="16" t="str">
        <f aca="false">IF(A19="","",F19+ROW()/1000000)</f>
        <v/>
      </c>
      <c r="M19" s="16" t="str">
        <f aca="false">IF(OR(K19="LOW",K19="OUT"),COUNTIF($K$2:K19,"LOW")+COUNTIF($K$2:K19,"OUT"),"")</f>
        <v/>
      </c>
    </row>
    <row r="20" customFormat="false" ht="15" hidden="false" customHeight="true" outlineLevel="0" collapsed="false">
      <c r="A20" s="16" t="str">
        <f aca="false">IF(Products!A20="","",Products!A20)</f>
        <v/>
      </c>
      <c r="B20" s="16" t="str">
        <f aca="false">IF($A20="","",INDEX(Products!$B$2:$B$501,ROW()-1))</f>
        <v/>
      </c>
      <c r="C20" s="16" t="str">
        <f aca="false">IF($A20="","",INDEX(Products!$C$2:$C$501,ROW()-1))</f>
        <v/>
      </c>
      <c r="D20" s="16" t="str">
        <f aca="false">IF(A20="","",N(Products!I20))</f>
        <v/>
      </c>
      <c r="E20" s="16" t="str">
        <f aca="false">IF(A20="","",SUMIFS(Purchases!$D$2:$D$2001,Purchases!$B$2:$B$2001,A20))</f>
        <v/>
      </c>
      <c r="F20" s="16" t="str">
        <f aca="false">IF(A20="","",SUMIFS(Sales_Items!$E$2:$E$3001,Sales_Items!$C$2:$C$3001,A20))</f>
        <v/>
      </c>
      <c r="G20" s="16" t="str">
        <f aca="false">IF(A20="","",D20+E20-F20)</f>
        <v/>
      </c>
      <c r="H20" s="17" t="str">
        <f aca="false">IF(A20="","",N(Products!E20))</f>
        <v/>
      </c>
      <c r="I20" s="17" t="str">
        <f aca="false">IF(A20="","",G20*H20)</f>
        <v/>
      </c>
      <c r="J20" s="16" t="str">
        <f aca="false">IF(A20="","",IF(Products!G20="",Settings!$B$8,Products!G20))</f>
        <v/>
      </c>
      <c r="K20" s="16" t="str">
        <f aca="false">IF(A20="","",IF(G20&lt;=0,"OUT",IF(G20&lt;=J20,"LOW","OK")))</f>
        <v/>
      </c>
      <c r="L20" s="16" t="str">
        <f aca="false">IF(A20="","",F20+ROW()/1000000)</f>
        <v/>
      </c>
      <c r="M20" s="16" t="str">
        <f aca="false">IF(OR(K20="LOW",K20="OUT"),COUNTIF($K$2:K20,"LOW")+COUNTIF($K$2:K20,"OUT"),"")</f>
        <v/>
      </c>
    </row>
    <row r="21" customFormat="false" ht="15" hidden="false" customHeight="true" outlineLevel="0" collapsed="false">
      <c r="A21" s="16" t="str">
        <f aca="false">IF(Products!A21="","",Products!A21)</f>
        <v/>
      </c>
      <c r="B21" s="16" t="str">
        <f aca="false">IF($A21="","",INDEX(Products!$B$2:$B$501,ROW()-1))</f>
        <v/>
      </c>
      <c r="C21" s="16" t="str">
        <f aca="false">IF($A21="","",INDEX(Products!$C$2:$C$501,ROW()-1))</f>
        <v/>
      </c>
      <c r="D21" s="16" t="str">
        <f aca="false">IF(A21="","",N(Products!I21))</f>
        <v/>
      </c>
      <c r="E21" s="16" t="str">
        <f aca="false">IF(A21="","",SUMIFS(Purchases!$D$2:$D$2001,Purchases!$B$2:$B$2001,A21))</f>
        <v/>
      </c>
      <c r="F21" s="16" t="str">
        <f aca="false">IF(A21="","",SUMIFS(Sales_Items!$E$2:$E$3001,Sales_Items!$C$2:$C$3001,A21))</f>
        <v/>
      </c>
      <c r="G21" s="16" t="str">
        <f aca="false">IF(A21="","",D21+E21-F21)</f>
        <v/>
      </c>
      <c r="H21" s="17" t="str">
        <f aca="false">IF(A21="","",N(Products!E21))</f>
        <v/>
      </c>
      <c r="I21" s="17" t="str">
        <f aca="false">IF(A21="","",G21*H21)</f>
        <v/>
      </c>
      <c r="J21" s="16" t="str">
        <f aca="false">IF(A21="","",IF(Products!G21="",Settings!$B$8,Products!G21))</f>
        <v/>
      </c>
      <c r="K21" s="16" t="str">
        <f aca="false">IF(A21="","",IF(G21&lt;=0,"OUT",IF(G21&lt;=J21,"LOW","OK")))</f>
        <v/>
      </c>
      <c r="L21" s="16" t="str">
        <f aca="false">IF(A21="","",F21+ROW()/1000000)</f>
        <v/>
      </c>
      <c r="M21" s="16" t="str">
        <f aca="false">IF(OR(K21="LOW",K21="OUT"),COUNTIF($K$2:K21,"LOW")+COUNTIF($K$2:K21,"OUT"),"")</f>
        <v/>
      </c>
    </row>
    <row r="22" customFormat="false" ht="15" hidden="false" customHeight="true" outlineLevel="0" collapsed="false">
      <c r="A22" s="16" t="str">
        <f aca="false">IF(Products!A22="","",Products!A22)</f>
        <v/>
      </c>
      <c r="B22" s="16" t="str">
        <f aca="false">IF($A22="","",INDEX(Products!$B$2:$B$501,ROW()-1))</f>
        <v/>
      </c>
      <c r="C22" s="16" t="str">
        <f aca="false">IF($A22="","",INDEX(Products!$C$2:$C$501,ROW()-1))</f>
        <v/>
      </c>
      <c r="D22" s="16" t="str">
        <f aca="false">IF(A22="","",N(Products!I22))</f>
        <v/>
      </c>
      <c r="E22" s="16" t="str">
        <f aca="false">IF(A22="","",SUMIFS(Purchases!$D$2:$D$2001,Purchases!$B$2:$B$2001,A22))</f>
        <v/>
      </c>
      <c r="F22" s="16" t="str">
        <f aca="false">IF(A22="","",SUMIFS(Sales_Items!$E$2:$E$3001,Sales_Items!$C$2:$C$3001,A22))</f>
        <v/>
      </c>
      <c r="G22" s="16" t="str">
        <f aca="false">IF(A22="","",D22+E22-F22)</f>
        <v/>
      </c>
      <c r="H22" s="17" t="str">
        <f aca="false">IF(A22="","",N(Products!E22))</f>
        <v/>
      </c>
      <c r="I22" s="17" t="str">
        <f aca="false">IF(A22="","",G22*H22)</f>
        <v/>
      </c>
      <c r="J22" s="16" t="str">
        <f aca="false">IF(A22="","",IF(Products!G22="",Settings!$B$8,Products!G22))</f>
        <v/>
      </c>
      <c r="K22" s="16" t="str">
        <f aca="false">IF(A22="","",IF(G22&lt;=0,"OUT",IF(G22&lt;=J22,"LOW","OK")))</f>
        <v/>
      </c>
      <c r="L22" s="16" t="str">
        <f aca="false">IF(A22="","",F22+ROW()/1000000)</f>
        <v/>
      </c>
      <c r="M22" s="16" t="str">
        <f aca="false">IF(OR(K22="LOW",K22="OUT"),COUNTIF($K$2:K22,"LOW")+COUNTIF($K$2:K22,"OUT"),"")</f>
        <v/>
      </c>
    </row>
    <row r="23" customFormat="false" ht="15" hidden="false" customHeight="true" outlineLevel="0" collapsed="false">
      <c r="A23" s="16" t="str">
        <f aca="false">IF(Products!A23="","",Products!A23)</f>
        <v/>
      </c>
      <c r="B23" s="16" t="str">
        <f aca="false">IF($A23="","",INDEX(Products!$B$2:$B$501,ROW()-1))</f>
        <v/>
      </c>
      <c r="C23" s="16" t="str">
        <f aca="false">IF($A23="","",INDEX(Products!$C$2:$C$501,ROW()-1))</f>
        <v/>
      </c>
      <c r="D23" s="16" t="str">
        <f aca="false">IF(A23="","",N(Products!I23))</f>
        <v/>
      </c>
      <c r="E23" s="16" t="str">
        <f aca="false">IF(A23="","",SUMIFS(Purchases!$D$2:$D$2001,Purchases!$B$2:$B$2001,A23))</f>
        <v/>
      </c>
      <c r="F23" s="16" t="str">
        <f aca="false">IF(A23="","",SUMIFS(Sales_Items!$E$2:$E$3001,Sales_Items!$C$2:$C$3001,A23))</f>
        <v/>
      </c>
      <c r="G23" s="16" t="str">
        <f aca="false">IF(A23="","",D23+E23-F23)</f>
        <v/>
      </c>
      <c r="H23" s="17" t="str">
        <f aca="false">IF(A23="","",N(Products!E23))</f>
        <v/>
      </c>
      <c r="I23" s="17" t="str">
        <f aca="false">IF(A23="","",G23*H23)</f>
        <v/>
      </c>
      <c r="J23" s="16" t="str">
        <f aca="false">IF(A23="","",IF(Products!G23="",Settings!$B$8,Products!G23))</f>
        <v/>
      </c>
      <c r="K23" s="16" t="str">
        <f aca="false">IF(A23="","",IF(G23&lt;=0,"OUT",IF(G23&lt;=J23,"LOW","OK")))</f>
        <v/>
      </c>
      <c r="L23" s="16" t="str">
        <f aca="false">IF(A23="","",F23+ROW()/1000000)</f>
        <v/>
      </c>
      <c r="M23" s="16" t="str">
        <f aca="false">IF(OR(K23="LOW",K23="OUT"),COUNTIF($K$2:K23,"LOW")+COUNTIF($K$2:K23,"OUT"),"")</f>
        <v/>
      </c>
    </row>
    <row r="24" customFormat="false" ht="15" hidden="false" customHeight="true" outlineLevel="0" collapsed="false">
      <c r="A24" s="16" t="str">
        <f aca="false">IF(Products!A24="","",Products!A24)</f>
        <v/>
      </c>
      <c r="B24" s="16" t="str">
        <f aca="false">IF($A24="","",INDEX(Products!$B$2:$B$501,ROW()-1))</f>
        <v/>
      </c>
      <c r="C24" s="16" t="str">
        <f aca="false">IF($A24="","",INDEX(Products!$C$2:$C$501,ROW()-1))</f>
        <v/>
      </c>
      <c r="D24" s="16" t="str">
        <f aca="false">IF(A24="","",N(Products!I24))</f>
        <v/>
      </c>
      <c r="E24" s="16" t="str">
        <f aca="false">IF(A24="","",SUMIFS(Purchases!$D$2:$D$2001,Purchases!$B$2:$B$2001,A24))</f>
        <v/>
      </c>
      <c r="F24" s="16" t="str">
        <f aca="false">IF(A24="","",SUMIFS(Sales_Items!$E$2:$E$3001,Sales_Items!$C$2:$C$3001,A24))</f>
        <v/>
      </c>
      <c r="G24" s="16" t="str">
        <f aca="false">IF(A24="","",D24+E24-F24)</f>
        <v/>
      </c>
      <c r="H24" s="17" t="str">
        <f aca="false">IF(A24="","",N(Products!E24))</f>
        <v/>
      </c>
      <c r="I24" s="17" t="str">
        <f aca="false">IF(A24="","",G24*H24)</f>
        <v/>
      </c>
      <c r="J24" s="16" t="str">
        <f aca="false">IF(A24="","",IF(Products!G24="",Settings!$B$8,Products!G24))</f>
        <v/>
      </c>
      <c r="K24" s="16" t="str">
        <f aca="false">IF(A24="","",IF(G24&lt;=0,"OUT",IF(G24&lt;=J24,"LOW","OK")))</f>
        <v/>
      </c>
      <c r="L24" s="16" t="str">
        <f aca="false">IF(A24="","",F24+ROW()/1000000)</f>
        <v/>
      </c>
      <c r="M24" s="16" t="str">
        <f aca="false">IF(OR(K24="LOW",K24="OUT"),COUNTIF($K$2:K24,"LOW")+COUNTIF($K$2:K24,"OUT"),"")</f>
        <v/>
      </c>
    </row>
    <row r="25" customFormat="false" ht="15" hidden="false" customHeight="true" outlineLevel="0" collapsed="false">
      <c r="A25" s="16" t="str">
        <f aca="false">IF(Products!A25="","",Products!A25)</f>
        <v/>
      </c>
      <c r="B25" s="16" t="str">
        <f aca="false">IF($A25="","",INDEX(Products!$B$2:$B$501,ROW()-1))</f>
        <v/>
      </c>
      <c r="C25" s="16" t="str">
        <f aca="false">IF($A25="","",INDEX(Products!$C$2:$C$501,ROW()-1))</f>
        <v/>
      </c>
      <c r="D25" s="16" t="str">
        <f aca="false">IF(A25="","",N(Products!I25))</f>
        <v/>
      </c>
      <c r="E25" s="16" t="str">
        <f aca="false">IF(A25="","",SUMIFS(Purchases!$D$2:$D$2001,Purchases!$B$2:$B$2001,A25))</f>
        <v/>
      </c>
      <c r="F25" s="16" t="str">
        <f aca="false">IF(A25="","",SUMIFS(Sales_Items!$E$2:$E$3001,Sales_Items!$C$2:$C$3001,A25))</f>
        <v/>
      </c>
      <c r="G25" s="16" t="str">
        <f aca="false">IF(A25="","",D25+E25-F25)</f>
        <v/>
      </c>
      <c r="H25" s="17" t="str">
        <f aca="false">IF(A25="","",N(Products!E25))</f>
        <v/>
      </c>
      <c r="I25" s="17" t="str">
        <f aca="false">IF(A25="","",G25*H25)</f>
        <v/>
      </c>
      <c r="J25" s="16" t="str">
        <f aca="false">IF(A25="","",IF(Products!G25="",Settings!$B$8,Products!G25))</f>
        <v/>
      </c>
      <c r="K25" s="16" t="str">
        <f aca="false">IF(A25="","",IF(G25&lt;=0,"OUT",IF(G25&lt;=J25,"LOW","OK")))</f>
        <v/>
      </c>
      <c r="L25" s="16" t="str">
        <f aca="false">IF(A25="","",F25+ROW()/1000000)</f>
        <v/>
      </c>
      <c r="M25" s="16" t="str">
        <f aca="false">IF(OR(K25="LOW",K25="OUT"),COUNTIF($K$2:K25,"LOW")+COUNTIF($K$2:K25,"OUT"),"")</f>
        <v/>
      </c>
    </row>
    <row r="26" customFormat="false" ht="15" hidden="false" customHeight="true" outlineLevel="0" collapsed="false">
      <c r="A26" s="16" t="str">
        <f aca="false">IF(Products!A26="","",Products!A26)</f>
        <v/>
      </c>
      <c r="B26" s="16" t="str">
        <f aca="false">IF($A26="","",INDEX(Products!$B$2:$B$501,ROW()-1))</f>
        <v/>
      </c>
      <c r="C26" s="16" t="str">
        <f aca="false">IF($A26="","",INDEX(Products!$C$2:$C$501,ROW()-1))</f>
        <v/>
      </c>
      <c r="D26" s="16" t="str">
        <f aca="false">IF(A26="","",N(Products!I26))</f>
        <v/>
      </c>
      <c r="E26" s="16" t="str">
        <f aca="false">IF(A26="","",SUMIFS(Purchases!$D$2:$D$2001,Purchases!$B$2:$B$2001,A26))</f>
        <v/>
      </c>
      <c r="F26" s="16" t="str">
        <f aca="false">IF(A26="","",SUMIFS(Sales_Items!$E$2:$E$3001,Sales_Items!$C$2:$C$3001,A26))</f>
        <v/>
      </c>
      <c r="G26" s="16" t="str">
        <f aca="false">IF(A26="","",D26+E26-F26)</f>
        <v/>
      </c>
      <c r="H26" s="17" t="str">
        <f aca="false">IF(A26="","",N(Products!E26))</f>
        <v/>
      </c>
      <c r="I26" s="17" t="str">
        <f aca="false">IF(A26="","",G26*H26)</f>
        <v/>
      </c>
      <c r="J26" s="16" t="str">
        <f aca="false">IF(A26="","",IF(Products!G26="",Settings!$B$8,Products!G26))</f>
        <v/>
      </c>
      <c r="K26" s="16" t="str">
        <f aca="false">IF(A26="","",IF(G26&lt;=0,"OUT",IF(G26&lt;=J26,"LOW","OK")))</f>
        <v/>
      </c>
      <c r="L26" s="16" t="str">
        <f aca="false">IF(A26="","",F26+ROW()/1000000)</f>
        <v/>
      </c>
      <c r="M26" s="16" t="str">
        <f aca="false">IF(OR(K26="LOW",K26="OUT"),COUNTIF($K$2:K26,"LOW")+COUNTIF($K$2:K26,"OUT"),"")</f>
        <v/>
      </c>
    </row>
    <row r="27" customFormat="false" ht="15" hidden="false" customHeight="true" outlineLevel="0" collapsed="false">
      <c r="A27" s="16" t="str">
        <f aca="false">IF(Products!A27="","",Products!A27)</f>
        <v/>
      </c>
      <c r="B27" s="16" t="str">
        <f aca="false">IF($A27="","",INDEX(Products!$B$2:$B$501,ROW()-1))</f>
        <v/>
      </c>
      <c r="C27" s="16" t="str">
        <f aca="false">IF($A27="","",INDEX(Products!$C$2:$C$501,ROW()-1))</f>
        <v/>
      </c>
      <c r="D27" s="16" t="str">
        <f aca="false">IF(A27="","",N(Products!I27))</f>
        <v/>
      </c>
      <c r="E27" s="16" t="str">
        <f aca="false">IF(A27="","",SUMIFS(Purchases!$D$2:$D$2001,Purchases!$B$2:$B$2001,A27))</f>
        <v/>
      </c>
      <c r="F27" s="16" t="str">
        <f aca="false">IF(A27="","",SUMIFS(Sales_Items!$E$2:$E$3001,Sales_Items!$C$2:$C$3001,A27))</f>
        <v/>
      </c>
      <c r="G27" s="16" t="str">
        <f aca="false">IF(A27="","",D27+E27-F27)</f>
        <v/>
      </c>
      <c r="H27" s="17" t="str">
        <f aca="false">IF(A27="","",N(Products!E27))</f>
        <v/>
      </c>
      <c r="I27" s="17" t="str">
        <f aca="false">IF(A27="","",G27*H27)</f>
        <v/>
      </c>
      <c r="J27" s="16" t="str">
        <f aca="false">IF(A27="","",IF(Products!G27="",Settings!$B$8,Products!G27))</f>
        <v/>
      </c>
      <c r="K27" s="16" t="str">
        <f aca="false">IF(A27="","",IF(G27&lt;=0,"OUT",IF(G27&lt;=J27,"LOW","OK")))</f>
        <v/>
      </c>
      <c r="L27" s="16" t="str">
        <f aca="false">IF(A27="","",F27+ROW()/1000000)</f>
        <v/>
      </c>
      <c r="M27" s="16" t="str">
        <f aca="false">IF(OR(K27="LOW",K27="OUT"),COUNTIF($K$2:K27,"LOW")+COUNTIF($K$2:K27,"OUT"),"")</f>
        <v/>
      </c>
    </row>
    <row r="28" customFormat="false" ht="15" hidden="false" customHeight="true" outlineLevel="0" collapsed="false">
      <c r="A28" s="16" t="str">
        <f aca="false">IF(Products!A28="","",Products!A28)</f>
        <v/>
      </c>
      <c r="B28" s="16" t="str">
        <f aca="false">IF($A28="","",INDEX(Products!$B$2:$B$501,ROW()-1))</f>
        <v/>
      </c>
      <c r="C28" s="16" t="str">
        <f aca="false">IF($A28="","",INDEX(Products!$C$2:$C$501,ROW()-1))</f>
        <v/>
      </c>
      <c r="D28" s="16" t="str">
        <f aca="false">IF(A28="","",N(Products!I28))</f>
        <v/>
      </c>
      <c r="E28" s="16" t="str">
        <f aca="false">IF(A28="","",SUMIFS(Purchases!$D$2:$D$2001,Purchases!$B$2:$B$2001,A28))</f>
        <v/>
      </c>
      <c r="F28" s="16" t="str">
        <f aca="false">IF(A28="","",SUMIFS(Sales_Items!$E$2:$E$3001,Sales_Items!$C$2:$C$3001,A28))</f>
        <v/>
      </c>
      <c r="G28" s="16" t="str">
        <f aca="false">IF(A28="","",D28+E28-F28)</f>
        <v/>
      </c>
      <c r="H28" s="17" t="str">
        <f aca="false">IF(A28="","",N(Products!E28))</f>
        <v/>
      </c>
      <c r="I28" s="17" t="str">
        <f aca="false">IF(A28="","",G28*H28)</f>
        <v/>
      </c>
      <c r="J28" s="16" t="str">
        <f aca="false">IF(A28="","",IF(Products!G28="",Settings!$B$8,Products!G28))</f>
        <v/>
      </c>
      <c r="K28" s="16" t="str">
        <f aca="false">IF(A28="","",IF(G28&lt;=0,"OUT",IF(G28&lt;=J28,"LOW","OK")))</f>
        <v/>
      </c>
      <c r="L28" s="16" t="str">
        <f aca="false">IF(A28="","",F28+ROW()/1000000)</f>
        <v/>
      </c>
      <c r="M28" s="16" t="str">
        <f aca="false">IF(OR(K28="LOW",K28="OUT"),COUNTIF($K$2:K28,"LOW")+COUNTIF($K$2:K28,"OUT"),"")</f>
        <v/>
      </c>
    </row>
    <row r="29" customFormat="false" ht="15" hidden="false" customHeight="true" outlineLevel="0" collapsed="false">
      <c r="A29" s="16" t="str">
        <f aca="false">IF(Products!A29="","",Products!A29)</f>
        <v/>
      </c>
      <c r="B29" s="16" t="str">
        <f aca="false">IF($A29="","",INDEX(Products!$B$2:$B$501,ROW()-1))</f>
        <v/>
      </c>
      <c r="C29" s="16" t="str">
        <f aca="false">IF($A29="","",INDEX(Products!$C$2:$C$501,ROW()-1))</f>
        <v/>
      </c>
      <c r="D29" s="16" t="str">
        <f aca="false">IF(A29="","",N(Products!I29))</f>
        <v/>
      </c>
      <c r="E29" s="16" t="str">
        <f aca="false">IF(A29="","",SUMIFS(Purchases!$D$2:$D$2001,Purchases!$B$2:$B$2001,A29))</f>
        <v/>
      </c>
      <c r="F29" s="16" t="str">
        <f aca="false">IF(A29="","",SUMIFS(Sales_Items!$E$2:$E$3001,Sales_Items!$C$2:$C$3001,A29))</f>
        <v/>
      </c>
      <c r="G29" s="16" t="str">
        <f aca="false">IF(A29="","",D29+E29-F29)</f>
        <v/>
      </c>
      <c r="H29" s="17" t="str">
        <f aca="false">IF(A29="","",N(Products!E29))</f>
        <v/>
      </c>
      <c r="I29" s="17" t="str">
        <f aca="false">IF(A29="","",G29*H29)</f>
        <v/>
      </c>
      <c r="J29" s="16" t="str">
        <f aca="false">IF(A29="","",IF(Products!G29="",Settings!$B$8,Products!G29))</f>
        <v/>
      </c>
      <c r="K29" s="16" t="str">
        <f aca="false">IF(A29="","",IF(G29&lt;=0,"OUT",IF(G29&lt;=J29,"LOW","OK")))</f>
        <v/>
      </c>
      <c r="L29" s="16" t="str">
        <f aca="false">IF(A29="","",F29+ROW()/1000000)</f>
        <v/>
      </c>
      <c r="M29" s="16" t="str">
        <f aca="false">IF(OR(K29="LOW",K29="OUT"),COUNTIF($K$2:K29,"LOW")+COUNTIF($K$2:K29,"OUT"),"")</f>
        <v/>
      </c>
    </row>
    <row r="30" customFormat="false" ht="15" hidden="false" customHeight="true" outlineLevel="0" collapsed="false">
      <c r="A30" s="16" t="str">
        <f aca="false">IF(Products!A30="","",Products!A30)</f>
        <v/>
      </c>
      <c r="B30" s="16" t="str">
        <f aca="false">IF($A30="","",INDEX(Products!$B$2:$B$501,ROW()-1))</f>
        <v/>
      </c>
      <c r="C30" s="16" t="str">
        <f aca="false">IF($A30="","",INDEX(Products!$C$2:$C$501,ROW()-1))</f>
        <v/>
      </c>
      <c r="D30" s="16" t="str">
        <f aca="false">IF(A30="","",N(Products!I30))</f>
        <v/>
      </c>
      <c r="E30" s="16" t="str">
        <f aca="false">IF(A30="","",SUMIFS(Purchases!$D$2:$D$2001,Purchases!$B$2:$B$2001,A30))</f>
        <v/>
      </c>
      <c r="F30" s="16" t="str">
        <f aca="false">IF(A30="","",SUMIFS(Sales_Items!$E$2:$E$3001,Sales_Items!$C$2:$C$3001,A30))</f>
        <v/>
      </c>
      <c r="G30" s="16" t="str">
        <f aca="false">IF(A30="","",D30+E30-F30)</f>
        <v/>
      </c>
      <c r="H30" s="17" t="str">
        <f aca="false">IF(A30="","",N(Products!E30))</f>
        <v/>
      </c>
      <c r="I30" s="17" t="str">
        <f aca="false">IF(A30="","",G30*H30)</f>
        <v/>
      </c>
      <c r="J30" s="16" t="str">
        <f aca="false">IF(A30="","",IF(Products!G30="",Settings!$B$8,Products!G30))</f>
        <v/>
      </c>
      <c r="K30" s="16" t="str">
        <f aca="false">IF(A30="","",IF(G30&lt;=0,"OUT",IF(G30&lt;=J30,"LOW","OK")))</f>
        <v/>
      </c>
      <c r="L30" s="16" t="str">
        <f aca="false">IF(A30="","",F30+ROW()/1000000)</f>
        <v/>
      </c>
      <c r="M30" s="16" t="str">
        <f aca="false">IF(OR(K30="LOW",K30="OUT"),COUNTIF($K$2:K30,"LOW")+COUNTIF($K$2:K30,"OUT"),"")</f>
        <v/>
      </c>
    </row>
    <row r="31" customFormat="false" ht="15" hidden="false" customHeight="true" outlineLevel="0" collapsed="false">
      <c r="A31" s="16" t="str">
        <f aca="false">IF(Products!A31="","",Products!A31)</f>
        <v/>
      </c>
      <c r="B31" s="16" t="str">
        <f aca="false">IF($A31="","",INDEX(Products!$B$2:$B$501,ROW()-1))</f>
        <v/>
      </c>
      <c r="C31" s="16" t="str">
        <f aca="false">IF($A31="","",INDEX(Products!$C$2:$C$501,ROW()-1))</f>
        <v/>
      </c>
      <c r="D31" s="16" t="str">
        <f aca="false">IF(A31="","",N(Products!I31))</f>
        <v/>
      </c>
      <c r="E31" s="16" t="str">
        <f aca="false">IF(A31="","",SUMIFS(Purchases!$D$2:$D$2001,Purchases!$B$2:$B$2001,A31))</f>
        <v/>
      </c>
      <c r="F31" s="16" t="str">
        <f aca="false">IF(A31="","",SUMIFS(Sales_Items!$E$2:$E$3001,Sales_Items!$C$2:$C$3001,A31))</f>
        <v/>
      </c>
      <c r="G31" s="16" t="str">
        <f aca="false">IF(A31="","",D31+E31-F31)</f>
        <v/>
      </c>
      <c r="H31" s="17" t="str">
        <f aca="false">IF(A31="","",N(Products!E31))</f>
        <v/>
      </c>
      <c r="I31" s="17" t="str">
        <f aca="false">IF(A31="","",G31*H31)</f>
        <v/>
      </c>
      <c r="J31" s="16" t="str">
        <f aca="false">IF(A31="","",IF(Products!G31="",Settings!$B$8,Products!G31))</f>
        <v/>
      </c>
      <c r="K31" s="16" t="str">
        <f aca="false">IF(A31="","",IF(G31&lt;=0,"OUT",IF(G31&lt;=J31,"LOW","OK")))</f>
        <v/>
      </c>
      <c r="L31" s="16" t="str">
        <f aca="false">IF(A31="","",F31+ROW()/1000000)</f>
        <v/>
      </c>
      <c r="M31" s="16" t="str">
        <f aca="false">IF(OR(K31="LOW",K31="OUT"),COUNTIF($K$2:K31,"LOW")+COUNTIF($K$2:K31,"OUT"),"")</f>
        <v/>
      </c>
    </row>
    <row r="32" customFormat="false" ht="15" hidden="false" customHeight="true" outlineLevel="0" collapsed="false">
      <c r="A32" s="16" t="str">
        <f aca="false">IF(Products!A32="","",Products!A32)</f>
        <v/>
      </c>
      <c r="B32" s="16" t="str">
        <f aca="false">IF($A32="","",INDEX(Products!$B$2:$B$501,ROW()-1))</f>
        <v/>
      </c>
      <c r="C32" s="16" t="str">
        <f aca="false">IF($A32="","",INDEX(Products!$C$2:$C$501,ROW()-1))</f>
        <v/>
      </c>
      <c r="D32" s="16" t="str">
        <f aca="false">IF(A32="","",N(Products!I32))</f>
        <v/>
      </c>
      <c r="E32" s="16" t="str">
        <f aca="false">IF(A32="","",SUMIFS(Purchases!$D$2:$D$2001,Purchases!$B$2:$B$2001,A32))</f>
        <v/>
      </c>
      <c r="F32" s="16" t="str">
        <f aca="false">IF(A32="","",SUMIFS(Sales_Items!$E$2:$E$3001,Sales_Items!$C$2:$C$3001,A32))</f>
        <v/>
      </c>
      <c r="G32" s="16" t="str">
        <f aca="false">IF(A32="","",D32+E32-F32)</f>
        <v/>
      </c>
      <c r="H32" s="17" t="str">
        <f aca="false">IF(A32="","",N(Products!E32))</f>
        <v/>
      </c>
      <c r="I32" s="17" t="str">
        <f aca="false">IF(A32="","",G32*H32)</f>
        <v/>
      </c>
      <c r="J32" s="16" t="str">
        <f aca="false">IF(A32="","",IF(Products!G32="",Settings!$B$8,Products!G32))</f>
        <v/>
      </c>
      <c r="K32" s="16" t="str">
        <f aca="false">IF(A32="","",IF(G32&lt;=0,"OUT",IF(G32&lt;=J32,"LOW","OK")))</f>
        <v/>
      </c>
      <c r="L32" s="16" t="str">
        <f aca="false">IF(A32="","",F32+ROW()/1000000)</f>
        <v/>
      </c>
      <c r="M32" s="16" t="str">
        <f aca="false">IF(OR(K32="LOW",K32="OUT"),COUNTIF($K$2:K32,"LOW")+COUNTIF($K$2:K32,"OUT"),"")</f>
        <v/>
      </c>
    </row>
    <row r="33" customFormat="false" ht="15" hidden="false" customHeight="true" outlineLevel="0" collapsed="false">
      <c r="A33" s="16" t="str">
        <f aca="false">IF(Products!A33="","",Products!A33)</f>
        <v/>
      </c>
      <c r="B33" s="16" t="str">
        <f aca="false">IF($A33="","",INDEX(Products!$B$2:$B$501,ROW()-1))</f>
        <v/>
      </c>
      <c r="C33" s="16" t="str">
        <f aca="false">IF($A33="","",INDEX(Products!$C$2:$C$501,ROW()-1))</f>
        <v/>
      </c>
      <c r="D33" s="16" t="str">
        <f aca="false">IF(A33="","",N(Products!I33))</f>
        <v/>
      </c>
      <c r="E33" s="16" t="str">
        <f aca="false">IF(A33="","",SUMIFS(Purchases!$D$2:$D$2001,Purchases!$B$2:$B$2001,A33))</f>
        <v/>
      </c>
      <c r="F33" s="16" t="str">
        <f aca="false">IF(A33="","",SUMIFS(Sales_Items!$E$2:$E$3001,Sales_Items!$C$2:$C$3001,A33))</f>
        <v/>
      </c>
      <c r="G33" s="16" t="str">
        <f aca="false">IF(A33="","",D33+E33-F33)</f>
        <v/>
      </c>
      <c r="H33" s="17" t="str">
        <f aca="false">IF(A33="","",N(Products!E33))</f>
        <v/>
      </c>
      <c r="I33" s="17" t="str">
        <f aca="false">IF(A33="","",G33*H33)</f>
        <v/>
      </c>
      <c r="J33" s="16" t="str">
        <f aca="false">IF(A33="","",IF(Products!G33="",Settings!$B$8,Products!G33))</f>
        <v/>
      </c>
      <c r="K33" s="16" t="str">
        <f aca="false">IF(A33="","",IF(G33&lt;=0,"OUT",IF(G33&lt;=J33,"LOW","OK")))</f>
        <v/>
      </c>
      <c r="L33" s="16" t="str">
        <f aca="false">IF(A33="","",F33+ROW()/1000000)</f>
        <v/>
      </c>
      <c r="M33" s="16" t="str">
        <f aca="false">IF(OR(K33="LOW",K33="OUT"),COUNTIF($K$2:K33,"LOW")+COUNTIF($K$2:K33,"OUT"),"")</f>
        <v/>
      </c>
    </row>
    <row r="34" customFormat="false" ht="15" hidden="false" customHeight="true" outlineLevel="0" collapsed="false">
      <c r="A34" s="16" t="str">
        <f aca="false">IF(Products!A34="","",Products!A34)</f>
        <v/>
      </c>
      <c r="B34" s="16" t="str">
        <f aca="false">IF($A34="","",INDEX(Products!$B$2:$B$501,ROW()-1))</f>
        <v/>
      </c>
      <c r="C34" s="16" t="str">
        <f aca="false">IF($A34="","",INDEX(Products!$C$2:$C$501,ROW()-1))</f>
        <v/>
      </c>
      <c r="D34" s="16" t="str">
        <f aca="false">IF(A34="","",N(Products!I34))</f>
        <v/>
      </c>
      <c r="E34" s="16" t="str">
        <f aca="false">IF(A34="","",SUMIFS(Purchases!$D$2:$D$2001,Purchases!$B$2:$B$2001,A34))</f>
        <v/>
      </c>
      <c r="F34" s="16" t="str">
        <f aca="false">IF(A34="","",SUMIFS(Sales_Items!$E$2:$E$3001,Sales_Items!$C$2:$C$3001,A34))</f>
        <v/>
      </c>
      <c r="G34" s="16" t="str">
        <f aca="false">IF(A34="","",D34+E34-F34)</f>
        <v/>
      </c>
      <c r="H34" s="17" t="str">
        <f aca="false">IF(A34="","",N(Products!E34))</f>
        <v/>
      </c>
      <c r="I34" s="17" t="str">
        <f aca="false">IF(A34="","",G34*H34)</f>
        <v/>
      </c>
      <c r="J34" s="16" t="str">
        <f aca="false">IF(A34="","",IF(Products!G34="",Settings!$B$8,Products!G34))</f>
        <v/>
      </c>
      <c r="K34" s="16" t="str">
        <f aca="false">IF(A34="","",IF(G34&lt;=0,"OUT",IF(G34&lt;=J34,"LOW","OK")))</f>
        <v/>
      </c>
      <c r="L34" s="16" t="str">
        <f aca="false">IF(A34="","",F34+ROW()/1000000)</f>
        <v/>
      </c>
      <c r="M34" s="16" t="str">
        <f aca="false">IF(OR(K34="LOW",K34="OUT"),COUNTIF($K$2:K34,"LOW")+COUNTIF($K$2:K34,"OUT"),"")</f>
        <v/>
      </c>
    </row>
    <row r="35" customFormat="false" ht="15" hidden="false" customHeight="true" outlineLevel="0" collapsed="false">
      <c r="A35" s="16" t="str">
        <f aca="false">IF(Products!A35="","",Products!A35)</f>
        <v/>
      </c>
      <c r="B35" s="16" t="str">
        <f aca="false">IF($A35="","",INDEX(Products!$B$2:$B$501,ROW()-1))</f>
        <v/>
      </c>
      <c r="C35" s="16" t="str">
        <f aca="false">IF($A35="","",INDEX(Products!$C$2:$C$501,ROW()-1))</f>
        <v/>
      </c>
      <c r="D35" s="16" t="str">
        <f aca="false">IF(A35="","",N(Products!I35))</f>
        <v/>
      </c>
      <c r="E35" s="16" t="str">
        <f aca="false">IF(A35="","",SUMIFS(Purchases!$D$2:$D$2001,Purchases!$B$2:$B$2001,A35))</f>
        <v/>
      </c>
      <c r="F35" s="16" t="str">
        <f aca="false">IF(A35="","",SUMIFS(Sales_Items!$E$2:$E$3001,Sales_Items!$C$2:$C$3001,A35))</f>
        <v/>
      </c>
      <c r="G35" s="16" t="str">
        <f aca="false">IF(A35="","",D35+E35-F35)</f>
        <v/>
      </c>
      <c r="H35" s="17" t="str">
        <f aca="false">IF(A35="","",N(Products!E35))</f>
        <v/>
      </c>
      <c r="I35" s="17" t="str">
        <f aca="false">IF(A35="","",G35*H35)</f>
        <v/>
      </c>
      <c r="J35" s="16" t="str">
        <f aca="false">IF(A35="","",IF(Products!G35="",Settings!$B$8,Products!G35))</f>
        <v/>
      </c>
      <c r="K35" s="16" t="str">
        <f aca="false">IF(A35="","",IF(G35&lt;=0,"OUT",IF(G35&lt;=J35,"LOW","OK")))</f>
        <v/>
      </c>
      <c r="L35" s="16" t="str">
        <f aca="false">IF(A35="","",F35+ROW()/1000000)</f>
        <v/>
      </c>
      <c r="M35" s="16" t="str">
        <f aca="false">IF(OR(K35="LOW",K35="OUT"),COUNTIF($K$2:K35,"LOW")+COUNTIF($K$2:K35,"OUT"),"")</f>
        <v/>
      </c>
    </row>
    <row r="36" customFormat="false" ht="15" hidden="false" customHeight="true" outlineLevel="0" collapsed="false">
      <c r="A36" s="16" t="str">
        <f aca="false">IF(Products!A36="","",Products!A36)</f>
        <v/>
      </c>
      <c r="B36" s="16" t="str">
        <f aca="false">IF($A36="","",INDEX(Products!$B$2:$B$501,ROW()-1))</f>
        <v/>
      </c>
      <c r="C36" s="16" t="str">
        <f aca="false">IF($A36="","",INDEX(Products!$C$2:$C$501,ROW()-1))</f>
        <v/>
      </c>
      <c r="D36" s="16" t="str">
        <f aca="false">IF(A36="","",N(Products!I36))</f>
        <v/>
      </c>
      <c r="E36" s="16" t="str">
        <f aca="false">IF(A36="","",SUMIFS(Purchases!$D$2:$D$2001,Purchases!$B$2:$B$2001,A36))</f>
        <v/>
      </c>
      <c r="F36" s="16" t="str">
        <f aca="false">IF(A36="","",SUMIFS(Sales_Items!$E$2:$E$3001,Sales_Items!$C$2:$C$3001,A36))</f>
        <v/>
      </c>
      <c r="G36" s="16" t="str">
        <f aca="false">IF(A36="","",D36+E36-F36)</f>
        <v/>
      </c>
      <c r="H36" s="17" t="str">
        <f aca="false">IF(A36="","",N(Products!E36))</f>
        <v/>
      </c>
      <c r="I36" s="17" t="str">
        <f aca="false">IF(A36="","",G36*H36)</f>
        <v/>
      </c>
      <c r="J36" s="16" t="str">
        <f aca="false">IF(A36="","",IF(Products!G36="",Settings!$B$8,Products!G36))</f>
        <v/>
      </c>
      <c r="K36" s="16" t="str">
        <f aca="false">IF(A36="","",IF(G36&lt;=0,"OUT",IF(G36&lt;=J36,"LOW","OK")))</f>
        <v/>
      </c>
      <c r="L36" s="16" t="str">
        <f aca="false">IF(A36="","",F36+ROW()/1000000)</f>
        <v/>
      </c>
      <c r="M36" s="16" t="str">
        <f aca="false">IF(OR(K36="LOW",K36="OUT"),COUNTIF($K$2:K36,"LOW")+COUNTIF($K$2:K36,"OUT"),"")</f>
        <v/>
      </c>
    </row>
    <row r="37" customFormat="false" ht="15" hidden="false" customHeight="true" outlineLevel="0" collapsed="false">
      <c r="A37" s="16" t="str">
        <f aca="false">IF(Products!A37="","",Products!A37)</f>
        <v/>
      </c>
      <c r="B37" s="16" t="str">
        <f aca="false">IF($A37="","",INDEX(Products!$B$2:$B$501,ROW()-1))</f>
        <v/>
      </c>
      <c r="C37" s="16" t="str">
        <f aca="false">IF($A37="","",INDEX(Products!$C$2:$C$501,ROW()-1))</f>
        <v/>
      </c>
      <c r="D37" s="16" t="str">
        <f aca="false">IF(A37="","",N(Products!I37))</f>
        <v/>
      </c>
      <c r="E37" s="16" t="str">
        <f aca="false">IF(A37="","",SUMIFS(Purchases!$D$2:$D$2001,Purchases!$B$2:$B$2001,A37))</f>
        <v/>
      </c>
      <c r="F37" s="16" t="str">
        <f aca="false">IF(A37="","",SUMIFS(Sales_Items!$E$2:$E$3001,Sales_Items!$C$2:$C$3001,A37))</f>
        <v/>
      </c>
      <c r="G37" s="16" t="str">
        <f aca="false">IF(A37="","",D37+E37-F37)</f>
        <v/>
      </c>
      <c r="H37" s="17" t="str">
        <f aca="false">IF(A37="","",N(Products!E37))</f>
        <v/>
      </c>
      <c r="I37" s="17" t="str">
        <f aca="false">IF(A37="","",G37*H37)</f>
        <v/>
      </c>
      <c r="J37" s="16" t="str">
        <f aca="false">IF(A37="","",IF(Products!G37="",Settings!$B$8,Products!G37))</f>
        <v/>
      </c>
      <c r="K37" s="16" t="str">
        <f aca="false">IF(A37="","",IF(G37&lt;=0,"OUT",IF(G37&lt;=J37,"LOW","OK")))</f>
        <v/>
      </c>
      <c r="L37" s="16" t="str">
        <f aca="false">IF(A37="","",F37+ROW()/1000000)</f>
        <v/>
      </c>
      <c r="M37" s="16" t="str">
        <f aca="false">IF(OR(K37="LOW",K37="OUT"),COUNTIF($K$2:K37,"LOW")+COUNTIF($K$2:K37,"OUT"),"")</f>
        <v/>
      </c>
    </row>
    <row r="38" customFormat="false" ht="15" hidden="false" customHeight="true" outlineLevel="0" collapsed="false">
      <c r="A38" s="16" t="str">
        <f aca="false">IF(Products!A38="","",Products!A38)</f>
        <v/>
      </c>
      <c r="B38" s="16" t="str">
        <f aca="false">IF($A38="","",INDEX(Products!$B$2:$B$501,ROW()-1))</f>
        <v/>
      </c>
      <c r="C38" s="16" t="str">
        <f aca="false">IF($A38="","",INDEX(Products!$C$2:$C$501,ROW()-1))</f>
        <v/>
      </c>
      <c r="D38" s="16" t="str">
        <f aca="false">IF(A38="","",N(Products!I38))</f>
        <v/>
      </c>
      <c r="E38" s="16" t="str">
        <f aca="false">IF(A38="","",SUMIFS(Purchases!$D$2:$D$2001,Purchases!$B$2:$B$2001,A38))</f>
        <v/>
      </c>
      <c r="F38" s="16" t="str">
        <f aca="false">IF(A38="","",SUMIFS(Sales_Items!$E$2:$E$3001,Sales_Items!$C$2:$C$3001,A38))</f>
        <v/>
      </c>
      <c r="G38" s="16" t="str">
        <f aca="false">IF(A38="","",D38+E38-F38)</f>
        <v/>
      </c>
      <c r="H38" s="17" t="str">
        <f aca="false">IF(A38="","",N(Products!E38))</f>
        <v/>
      </c>
      <c r="I38" s="17" t="str">
        <f aca="false">IF(A38="","",G38*H38)</f>
        <v/>
      </c>
      <c r="J38" s="16" t="str">
        <f aca="false">IF(A38="","",IF(Products!G38="",Settings!$B$8,Products!G38))</f>
        <v/>
      </c>
      <c r="K38" s="16" t="str">
        <f aca="false">IF(A38="","",IF(G38&lt;=0,"OUT",IF(G38&lt;=J38,"LOW","OK")))</f>
        <v/>
      </c>
      <c r="L38" s="16" t="str">
        <f aca="false">IF(A38="","",F38+ROW()/1000000)</f>
        <v/>
      </c>
      <c r="M38" s="16" t="str">
        <f aca="false">IF(OR(K38="LOW",K38="OUT"),COUNTIF($K$2:K38,"LOW")+COUNTIF($K$2:K38,"OUT"),"")</f>
        <v/>
      </c>
    </row>
    <row r="39" customFormat="false" ht="15" hidden="false" customHeight="true" outlineLevel="0" collapsed="false">
      <c r="A39" s="16" t="str">
        <f aca="false">IF(Products!A39="","",Products!A39)</f>
        <v/>
      </c>
      <c r="B39" s="16" t="str">
        <f aca="false">IF($A39="","",INDEX(Products!$B$2:$B$501,ROW()-1))</f>
        <v/>
      </c>
      <c r="C39" s="16" t="str">
        <f aca="false">IF($A39="","",INDEX(Products!$C$2:$C$501,ROW()-1))</f>
        <v/>
      </c>
      <c r="D39" s="16" t="str">
        <f aca="false">IF(A39="","",N(Products!I39))</f>
        <v/>
      </c>
      <c r="E39" s="16" t="str">
        <f aca="false">IF(A39="","",SUMIFS(Purchases!$D$2:$D$2001,Purchases!$B$2:$B$2001,A39))</f>
        <v/>
      </c>
      <c r="F39" s="16" t="str">
        <f aca="false">IF(A39="","",SUMIFS(Sales_Items!$E$2:$E$3001,Sales_Items!$C$2:$C$3001,A39))</f>
        <v/>
      </c>
      <c r="G39" s="16" t="str">
        <f aca="false">IF(A39="","",D39+E39-F39)</f>
        <v/>
      </c>
      <c r="H39" s="17" t="str">
        <f aca="false">IF(A39="","",N(Products!E39))</f>
        <v/>
      </c>
      <c r="I39" s="17" t="str">
        <f aca="false">IF(A39="","",G39*H39)</f>
        <v/>
      </c>
      <c r="J39" s="16" t="str">
        <f aca="false">IF(A39="","",IF(Products!G39="",Settings!$B$8,Products!G39))</f>
        <v/>
      </c>
      <c r="K39" s="16" t="str">
        <f aca="false">IF(A39="","",IF(G39&lt;=0,"OUT",IF(G39&lt;=J39,"LOW","OK")))</f>
        <v/>
      </c>
      <c r="L39" s="16" t="str">
        <f aca="false">IF(A39="","",F39+ROW()/1000000)</f>
        <v/>
      </c>
      <c r="M39" s="16" t="str">
        <f aca="false">IF(OR(K39="LOW",K39="OUT"),COUNTIF($K$2:K39,"LOW")+COUNTIF($K$2:K39,"OUT"),"")</f>
        <v/>
      </c>
    </row>
    <row r="40" customFormat="false" ht="15" hidden="false" customHeight="true" outlineLevel="0" collapsed="false">
      <c r="A40" s="16" t="str">
        <f aca="false">IF(Products!A40="","",Products!A40)</f>
        <v/>
      </c>
      <c r="B40" s="16" t="str">
        <f aca="false">IF($A40="","",INDEX(Products!$B$2:$B$501,ROW()-1))</f>
        <v/>
      </c>
      <c r="C40" s="16" t="str">
        <f aca="false">IF($A40="","",INDEX(Products!$C$2:$C$501,ROW()-1))</f>
        <v/>
      </c>
      <c r="D40" s="16" t="str">
        <f aca="false">IF(A40="","",N(Products!I40))</f>
        <v/>
      </c>
      <c r="E40" s="16" t="str">
        <f aca="false">IF(A40="","",SUMIFS(Purchases!$D$2:$D$2001,Purchases!$B$2:$B$2001,A40))</f>
        <v/>
      </c>
      <c r="F40" s="16" t="str">
        <f aca="false">IF(A40="","",SUMIFS(Sales_Items!$E$2:$E$3001,Sales_Items!$C$2:$C$3001,A40))</f>
        <v/>
      </c>
      <c r="G40" s="16" t="str">
        <f aca="false">IF(A40="","",D40+E40-F40)</f>
        <v/>
      </c>
      <c r="H40" s="17" t="str">
        <f aca="false">IF(A40="","",N(Products!E40))</f>
        <v/>
      </c>
      <c r="I40" s="17" t="str">
        <f aca="false">IF(A40="","",G40*H40)</f>
        <v/>
      </c>
      <c r="J40" s="16" t="str">
        <f aca="false">IF(A40="","",IF(Products!G40="",Settings!$B$8,Products!G40))</f>
        <v/>
      </c>
      <c r="K40" s="16" t="str">
        <f aca="false">IF(A40="","",IF(G40&lt;=0,"OUT",IF(G40&lt;=J40,"LOW","OK")))</f>
        <v/>
      </c>
      <c r="L40" s="16" t="str">
        <f aca="false">IF(A40="","",F40+ROW()/1000000)</f>
        <v/>
      </c>
      <c r="M40" s="16" t="str">
        <f aca="false">IF(OR(K40="LOW",K40="OUT"),COUNTIF($K$2:K40,"LOW")+COUNTIF($K$2:K40,"OUT"),"")</f>
        <v/>
      </c>
    </row>
    <row r="41" customFormat="false" ht="15" hidden="false" customHeight="true" outlineLevel="0" collapsed="false">
      <c r="A41" s="16" t="str">
        <f aca="false">IF(Products!A41="","",Products!A41)</f>
        <v/>
      </c>
      <c r="B41" s="16" t="str">
        <f aca="false">IF($A41="","",INDEX(Products!$B$2:$B$501,ROW()-1))</f>
        <v/>
      </c>
      <c r="C41" s="16" t="str">
        <f aca="false">IF($A41="","",INDEX(Products!$C$2:$C$501,ROW()-1))</f>
        <v/>
      </c>
      <c r="D41" s="16" t="str">
        <f aca="false">IF(A41="","",N(Products!I41))</f>
        <v/>
      </c>
      <c r="E41" s="16" t="str">
        <f aca="false">IF(A41="","",SUMIFS(Purchases!$D$2:$D$2001,Purchases!$B$2:$B$2001,A41))</f>
        <v/>
      </c>
      <c r="F41" s="16" t="str">
        <f aca="false">IF(A41="","",SUMIFS(Sales_Items!$E$2:$E$3001,Sales_Items!$C$2:$C$3001,A41))</f>
        <v/>
      </c>
      <c r="G41" s="16" t="str">
        <f aca="false">IF(A41="","",D41+E41-F41)</f>
        <v/>
      </c>
      <c r="H41" s="17" t="str">
        <f aca="false">IF(A41="","",N(Products!E41))</f>
        <v/>
      </c>
      <c r="I41" s="17" t="str">
        <f aca="false">IF(A41="","",G41*H41)</f>
        <v/>
      </c>
      <c r="J41" s="16" t="str">
        <f aca="false">IF(A41="","",IF(Products!G41="",Settings!$B$8,Products!G41))</f>
        <v/>
      </c>
      <c r="K41" s="16" t="str">
        <f aca="false">IF(A41="","",IF(G41&lt;=0,"OUT",IF(G41&lt;=J41,"LOW","OK")))</f>
        <v/>
      </c>
      <c r="L41" s="16" t="str">
        <f aca="false">IF(A41="","",F41+ROW()/1000000)</f>
        <v/>
      </c>
      <c r="M41" s="16" t="str">
        <f aca="false">IF(OR(K41="LOW",K41="OUT"),COUNTIF($K$2:K41,"LOW")+COUNTIF($K$2:K41,"OUT"),"")</f>
        <v/>
      </c>
    </row>
    <row r="42" customFormat="false" ht="15" hidden="false" customHeight="true" outlineLevel="0" collapsed="false">
      <c r="A42" s="16" t="str">
        <f aca="false">IF(Products!A42="","",Products!A42)</f>
        <v/>
      </c>
      <c r="B42" s="16" t="str">
        <f aca="false">IF($A42="","",INDEX(Products!$B$2:$B$501,ROW()-1))</f>
        <v/>
      </c>
      <c r="C42" s="16" t="str">
        <f aca="false">IF($A42="","",INDEX(Products!$C$2:$C$501,ROW()-1))</f>
        <v/>
      </c>
      <c r="D42" s="16" t="str">
        <f aca="false">IF(A42="","",N(Products!I42))</f>
        <v/>
      </c>
      <c r="E42" s="16" t="str">
        <f aca="false">IF(A42="","",SUMIFS(Purchases!$D$2:$D$2001,Purchases!$B$2:$B$2001,A42))</f>
        <v/>
      </c>
      <c r="F42" s="16" t="str">
        <f aca="false">IF(A42="","",SUMIFS(Sales_Items!$E$2:$E$3001,Sales_Items!$C$2:$C$3001,A42))</f>
        <v/>
      </c>
      <c r="G42" s="16" t="str">
        <f aca="false">IF(A42="","",D42+E42-F42)</f>
        <v/>
      </c>
      <c r="H42" s="17" t="str">
        <f aca="false">IF(A42="","",N(Products!E42))</f>
        <v/>
      </c>
      <c r="I42" s="17" t="str">
        <f aca="false">IF(A42="","",G42*H42)</f>
        <v/>
      </c>
      <c r="J42" s="16" t="str">
        <f aca="false">IF(A42="","",IF(Products!G42="",Settings!$B$8,Products!G42))</f>
        <v/>
      </c>
      <c r="K42" s="16" t="str">
        <f aca="false">IF(A42="","",IF(G42&lt;=0,"OUT",IF(G42&lt;=J42,"LOW","OK")))</f>
        <v/>
      </c>
      <c r="L42" s="16" t="str">
        <f aca="false">IF(A42="","",F42+ROW()/1000000)</f>
        <v/>
      </c>
      <c r="M42" s="16" t="str">
        <f aca="false">IF(OR(K42="LOW",K42="OUT"),COUNTIF($K$2:K42,"LOW")+COUNTIF($K$2:K42,"OUT"),"")</f>
        <v/>
      </c>
    </row>
    <row r="43" customFormat="false" ht="15" hidden="false" customHeight="true" outlineLevel="0" collapsed="false">
      <c r="A43" s="16" t="str">
        <f aca="false">IF(Products!A43="","",Products!A43)</f>
        <v/>
      </c>
      <c r="B43" s="16" t="str">
        <f aca="false">IF($A43="","",INDEX(Products!$B$2:$B$501,ROW()-1))</f>
        <v/>
      </c>
      <c r="C43" s="16" t="str">
        <f aca="false">IF($A43="","",INDEX(Products!$C$2:$C$501,ROW()-1))</f>
        <v/>
      </c>
      <c r="D43" s="16" t="str">
        <f aca="false">IF(A43="","",N(Products!I43))</f>
        <v/>
      </c>
      <c r="E43" s="16" t="str">
        <f aca="false">IF(A43="","",SUMIFS(Purchases!$D$2:$D$2001,Purchases!$B$2:$B$2001,A43))</f>
        <v/>
      </c>
      <c r="F43" s="16" t="str">
        <f aca="false">IF(A43="","",SUMIFS(Sales_Items!$E$2:$E$3001,Sales_Items!$C$2:$C$3001,A43))</f>
        <v/>
      </c>
      <c r="G43" s="16" t="str">
        <f aca="false">IF(A43="","",D43+E43-F43)</f>
        <v/>
      </c>
      <c r="H43" s="17" t="str">
        <f aca="false">IF(A43="","",N(Products!E43))</f>
        <v/>
      </c>
      <c r="I43" s="17" t="str">
        <f aca="false">IF(A43="","",G43*H43)</f>
        <v/>
      </c>
      <c r="J43" s="16" t="str">
        <f aca="false">IF(A43="","",IF(Products!G43="",Settings!$B$8,Products!G43))</f>
        <v/>
      </c>
      <c r="K43" s="16" t="str">
        <f aca="false">IF(A43="","",IF(G43&lt;=0,"OUT",IF(G43&lt;=J43,"LOW","OK")))</f>
        <v/>
      </c>
      <c r="L43" s="16" t="str">
        <f aca="false">IF(A43="","",F43+ROW()/1000000)</f>
        <v/>
      </c>
      <c r="M43" s="16" t="str">
        <f aca="false">IF(OR(K43="LOW",K43="OUT"),COUNTIF($K$2:K43,"LOW")+COUNTIF($K$2:K43,"OUT"),"")</f>
        <v/>
      </c>
    </row>
    <row r="44" customFormat="false" ht="15" hidden="false" customHeight="true" outlineLevel="0" collapsed="false">
      <c r="A44" s="16" t="str">
        <f aca="false">IF(Products!A44="","",Products!A44)</f>
        <v/>
      </c>
      <c r="B44" s="16" t="str">
        <f aca="false">IF($A44="","",INDEX(Products!$B$2:$B$501,ROW()-1))</f>
        <v/>
      </c>
      <c r="C44" s="16" t="str">
        <f aca="false">IF($A44="","",INDEX(Products!$C$2:$C$501,ROW()-1))</f>
        <v/>
      </c>
      <c r="D44" s="16" t="str">
        <f aca="false">IF(A44="","",N(Products!I44))</f>
        <v/>
      </c>
      <c r="E44" s="16" t="str">
        <f aca="false">IF(A44="","",SUMIFS(Purchases!$D$2:$D$2001,Purchases!$B$2:$B$2001,A44))</f>
        <v/>
      </c>
      <c r="F44" s="16" t="str">
        <f aca="false">IF(A44="","",SUMIFS(Sales_Items!$E$2:$E$3001,Sales_Items!$C$2:$C$3001,A44))</f>
        <v/>
      </c>
      <c r="G44" s="16" t="str">
        <f aca="false">IF(A44="","",D44+E44-F44)</f>
        <v/>
      </c>
      <c r="H44" s="17" t="str">
        <f aca="false">IF(A44="","",N(Products!E44))</f>
        <v/>
      </c>
      <c r="I44" s="17" t="str">
        <f aca="false">IF(A44="","",G44*H44)</f>
        <v/>
      </c>
      <c r="J44" s="16" t="str">
        <f aca="false">IF(A44="","",IF(Products!G44="",Settings!$B$8,Products!G44))</f>
        <v/>
      </c>
      <c r="K44" s="16" t="str">
        <f aca="false">IF(A44="","",IF(G44&lt;=0,"OUT",IF(G44&lt;=J44,"LOW","OK")))</f>
        <v/>
      </c>
      <c r="L44" s="16" t="str">
        <f aca="false">IF(A44="","",F44+ROW()/1000000)</f>
        <v/>
      </c>
      <c r="M44" s="16" t="str">
        <f aca="false">IF(OR(K44="LOW",K44="OUT"),COUNTIF($K$2:K44,"LOW")+COUNTIF($K$2:K44,"OUT"),"")</f>
        <v/>
      </c>
    </row>
    <row r="45" customFormat="false" ht="15" hidden="false" customHeight="true" outlineLevel="0" collapsed="false">
      <c r="A45" s="16" t="str">
        <f aca="false">IF(Products!A45="","",Products!A45)</f>
        <v/>
      </c>
      <c r="B45" s="16" t="str">
        <f aca="false">IF($A45="","",INDEX(Products!$B$2:$B$501,ROW()-1))</f>
        <v/>
      </c>
      <c r="C45" s="16" t="str">
        <f aca="false">IF($A45="","",INDEX(Products!$C$2:$C$501,ROW()-1))</f>
        <v/>
      </c>
      <c r="D45" s="16" t="str">
        <f aca="false">IF(A45="","",N(Products!I45))</f>
        <v/>
      </c>
      <c r="E45" s="16" t="str">
        <f aca="false">IF(A45="","",SUMIFS(Purchases!$D$2:$D$2001,Purchases!$B$2:$B$2001,A45))</f>
        <v/>
      </c>
      <c r="F45" s="16" t="str">
        <f aca="false">IF(A45="","",SUMIFS(Sales_Items!$E$2:$E$3001,Sales_Items!$C$2:$C$3001,A45))</f>
        <v/>
      </c>
      <c r="G45" s="16" t="str">
        <f aca="false">IF(A45="","",D45+E45-F45)</f>
        <v/>
      </c>
      <c r="H45" s="17" t="str">
        <f aca="false">IF(A45="","",N(Products!E45))</f>
        <v/>
      </c>
      <c r="I45" s="17" t="str">
        <f aca="false">IF(A45="","",G45*H45)</f>
        <v/>
      </c>
      <c r="J45" s="16" t="str">
        <f aca="false">IF(A45="","",IF(Products!G45="",Settings!$B$8,Products!G45))</f>
        <v/>
      </c>
      <c r="K45" s="16" t="str">
        <f aca="false">IF(A45="","",IF(G45&lt;=0,"OUT",IF(G45&lt;=J45,"LOW","OK")))</f>
        <v/>
      </c>
      <c r="L45" s="16" t="str">
        <f aca="false">IF(A45="","",F45+ROW()/1000000)</f>
        <v/>
      </c>
      <c r="M45" s="16" t="str">
        <f aca="false">IF(OR(K45="LOW",K45="OUT"),COUNTIF($K$2:K45,"LOW")+COUNTIF($K$2:K45,"OUT"),"")</f>
        <v/>
      </c>
    </row>
    <row r="46" customFormat="false" ht="15" hidden="false" customHeight="true" outlineLevel="0" collapsed="false">
      <c r="A46" s="16" t="str">
        <f aca="false">IF(Products!A46="","",Products!A46)</f>
        <v/>
      </c>
      <c r="B46" s="16" t="str">
        <f aca="false">IF($A46="","",INDEX(Products!$B$2:$B$501,ROW()-1))</f>
        <v/>
      </c>
      <c r="C46" s="16" t="str">
        <f aca="false">IF($A46="","",INDEX(Products!$C$2:$C$501,ROW()-1))</f>
        <v/>
      </c>
      <c r="D46" s="16" t="str">
        <f aca="false">IF(A46="","",N(Products!I46))</f>
        <v/>
      </c>
      <c r="E46" s="16" t="str">
        <f aca="false">IF(A46="","",SUMIFS(Purchases!$D$2:$D$2001,Purchases!$B$2:$B$2001,A46))</f>
        <v/>
      </c>
      <c r="F46" s="16" t="str">
        <f aca="false">IF(A46="","",SUMIFS(Sales_Items!$E$2:$E$3001,Sales_Items!$C$2:$C$3001,A46))</f>
        <v/>
      </c>
      <c r="G46" s="16" t="str">
        <f aca="false">IF(A46="","",D46+E46-F46)</f>
        <v/>
      </c>
      <c r="H46" s="17" t="str">
        <f aca="false">IF(A46="","",N(Products!E46))</f>
        <v/>
      </c>
      <c r="I46" s="17" t="str">
        <f aca="false">IF(A46="","",G46*H46)</f>
        <v/>
      </c>
      <c r="J46" s="16" t="str">
        <f aca="false">IF(A46="","",IF(Products!G46="",Settings!$B$8,Products!G46))</f>
        <v/>
      </c>
      <c r="K46" s="16" t="str">
        <f aca="false">IF(A46="","",IF(G46&lt;=0,"OUT",IF(G46&lt;=J46,"LOW","OK")))</f>
        <v/>
      </c>
      <c r="L46" s="16" t="str">
        <f aca="false">IF(A46="","",F46+ROW()/1000000)</f>
        <v/>
      </c>
      <c r="M46" s="16" t="str">
        <f aca="false">IF(OR(K46="LOW",K46="OUT"),COUNTIF($K$2:K46,"LOW")+COUNTIF($K$2:K46,"OUT"),"")</f>
        <v/>
      </c>
    </row>
    <row r="47" customFormat="false" ht="15" hidden="false" customHeight="true" outlineLevel="0" collapsed="false">
      <c r="A47" s="16" t="str">
        <f aca="false">IF(Products!A47="","",Products!A47)</f>
        <v/>
      </c>
      <c r="B47" s="16" t="str">
        <f aca="false">IF($A47="","",INDEX(Products!$B$2:$B$501,ROW()-1))</f>
        <v/>
      </c>
      <c r="C47" s="16" t="str">
        <f aca="false">IF($A47="","",INDEX(Products!$C$2:$C$501,ROW()-1))</f>
        <v/>
      </c>
      <c r="D47" s="16" t="str">
        <f aca="false">IF(A47="","",N(Products!I47))</f>
        <v/>
      </c>
      <c r="E47" s="16" t="str">
        <f aca="false">IF(A47="","",SUMIFS(Purchases!$D$2:$D$2001,Purchases!$B$2:$B$2001,A47))</f>
        <v/>
      </c>
      <c r="F47" s="16" t="str">
        <f aca="false">IF(A47="","",SUMIFS(Sales_Items!$E$2:$E$3001,Sales_Items!$C$2:$C$3001,A47))</f>
        <v/>
      </c>
      <c r="G47" s="16" t="str">
        <f aca="false">IF(A47="","",D47+E47-F47)</f>
        <v/>
      </c>
      <c r="H47" s="17" t="str">
        <f aca="false">IF(A47="","",N(Products!E47))</f>
        <v/>
      </c>
      <c r="I47" s="17" t="str">
        <f aca="false">IF(A47="","",G47*H47)</f>
        <v/>
      </c>
      <c r="J47" s="16" t="str">
        <f aca="false">IF(A47="","",IF(Products!G47="",Settings!$B$8,Products!G47))</f>
        <v/>
      </c>
      <c r="K47" s="16" t="str">
        <f aca="false">IF(A47="","",IF(G47&lt;=0,"OUT",IF(G47&lt;=J47,"LOW","OK")))</f>
        <v/>
      </c>
      <c r="L47" s="16" t="str">
        <f aca="false">IF(A47="","",F47+ROW()/1000000)</f>
        <v/>
      </c>
      <c r="M47" s="16" t="str">
        <f aca="false">IF(OR(K47="LOW",K47="OUT"),COUNTIF($K$2:K47,"LOW")+COUNTIF($K$2:K47,"OUT"),"")</f>
        <v/>
      </c>
    </row>
    <row r="48" customFormat="false" ht="15" hidden="false" customHeight="true" outlineLevel="0" collapsed="false">
      <c r="A48" s="16" t="str">
        <f aca="false">IF(Products!A48="","",Products!A48)</f>
        <v/>
      </c>
      <c r="B48" s="16" t="str">
        <f aca="false">IF($A48="","",INDEX(Products!$B$2:$B$501,ROW()-1))</f>
        <v/>
      </c>
      <c r="C48" s="16" t="str">
        <f aca="false">IF($A48="","",INDEX(Products!$C$2:$C$501,ROW()-1))</f>
        <v/>
      </c>
      <c r="D48" s="16" t="str">
        <f aca="false">IF(A48="","",N(Products!I48))</f>
        <v/>
      </c>
      <c r="E48" s="16" t="str">
        <f aca="false">IF(A48="","",SUMIFS(Purchases!$D$2:$D$2001,Purchases!$B$2:$B$2001,A48))</f>
        <v/>
      </c>
      <c r="F48" s="16" t="str">
        <f aca="false">IF(A48="","",SUMIFS(Sales_Items!$E$2:$E$3001,Sales_Items!$C$2:$C$3001,A48))</f>
        <v/>
      </c>
      <c r="G48" s="16" t="str">
        <f aca="false">IF(A48="","",D48+E48-F48)</f>
        <v/>
      </c>
      <c r="H48" s="17" t="str">
        <f aca="false">IF(A48="","",N(Products!E48))</f>
        <v/>
      </c>
      <c r="I48" s="17" t="str">
        <f aca="false">IF(A48="","",G48*H48)</f>
        <v/>
      </c>
      <c r="J48" s="16" t="str">
        <f aca="false">IF(A48="","",IF(Products!G48="",Settings!$B$8,Products!G48))</f>
        <v/>
      </c>
      <c r="K48" s="16" t="str">
        <f aca="false">IF(A48="","",IF(G48&lt;=0,"OUT",IF(G48&lt;=J48,"LOW","OK")))</f>
        <v/>
      </c>
      <c r="L48" s="16" t="str">
        <f aca="false">IF(A48="","",F48+ROW()/1000000)</f>
        <v/>
      </c>
      <c r="M48" s="16" t="str">
        <f aca="false">IF(OR(K48="LOW",K48="OUT"),COUNTIF($K$2:K48,"LOW")+COUNTIF($K$2:K48,"OUT"),"")</f>
        <v/>
      </c>
    </row>
    <row r="49" customFormat="false" ht="15" hidden="false" customHeight="true" outlineLevel="0" collapsed="false">
      <c r="A49" s="16" t="str">
        <f aca="false">IF(Products!A49="","",Products!A49)</f>
        <v/>
      </c>
      <c r="B49" s="16" t="str">
        <f aca="false">IF($A49="","",INDEX(Products!$B$2:$B$501,ROW()-1))</f>
        <v/>
      </c>
      <c r="C49" s="16" t="str">
        <f aca="false">IF($A49="","",INDEX(Products!$C$2:$C$501,ROW()-1))</f>
        <v/>
      </c>
      <c r="D49" s="16" t="str">
        <f aca="false">IF(A49="","",N(Products!I49))</f>
        <v/>
      </c>
      <c r="E49" s="16" t="str">
        <f aca="false">IF(A49="","",SUMIFS(Purchases!$D$2:$D$2001,Purchases!$B$2:$B$2001,A49))</f>
        <v/>
      </c>
      <c r="F49" s="16" t="str">
        <f aca="false">IF(A49="","",SUMIFS(Sales_Items!$E$2:$E$3001,Sales_Items!$C$2:$C$3001,A49))</f>
        <v/>
      </c>
      <c r="G49" s="16" t="str">
        <f aca="false">IF(A49="","",D49+E49-F49)</f>
        <v/>
      </c>
      <c r="H49" s="17" t="str">
        <f aca="false">IF(A49="","",N(Products!E49))</f>
        <v/>
      </c>
      <c r="I49" s="17" t="str">
        <f aca="false">IF(A49="","",G49*H49)</f>
        <v/>
      </c>
      <c r="J49" s="16" t="str">
        <f aca="false">IF(A49="","",IF(Products!G49="",Settings!$B$8,Products!G49))</f>
        <v/>
      </c>
      <c r="K49" s="16" t="str">
        <f aca="false">IF(A49="","",IF(G49&lt;=0,"OUT",IF(G49&lt;=J49,"LOW","OK")))</f>
        <v/>
      </c>
      <c r="L49" s="16" t="str">
        <f aca="false">IF(A49="","",F49+ROW()/1000000)</f>
        <v/>
      </c>
      <c r="M49" s="16" t="str">
        <f aca="false">IF(OR(K49="LOW",K49="OUT"),COUNTIF($K$2:K49,"LOW")+COUNTIF($K$2:K49,"OUT"),"")</f>
        <v/>
      </c>
    </row>
    <row r="50" customFormat="false" ht="15" hidden="false" customHeight="true" outlineLevel="0" collapsed="false">
      <c r="A50" s="16" t="str">
        <f aca="false">IF(Products!A50="","",Products!A50)</f>
        <v/>
      </c>
      <c r="B50" s="16" t="str">
        <f aca="false">IF($A50="","",INDEX(Products!$B$2:$B$501,ROW()-1))</f>
        <v/>
      </c>
      <c r="C50" s="16" t="str">
        <f aca="false">IF($A50="","",INDEX(Products!$C$2:$C$501,ROW()-1))</f>
        <v/>
      </c>
      <c r="D50" s="16" t="str">
        <f aca="false">IF(A50="","",N(Products!I50))</f>
        <v/>
      </c>
      <c r="E50" s="16" t="str">
        <f aca="false">IF(A50="","",SUMIFS(Purchases!$D$2:$D$2001,Purchases!$B$2:$B$2001,A50))</f>
        <v/>
      </c>
      <c r="F50" s="16" t="str">
        <f aca="false">IF(A50="","",SUMIFS(Sales_Items!$E$2:$E$3001,Sales_Items!$C$2:$C$3001,A50))</f>
        <v/>
      </c>
      <c r="G50" s="16" t="str">
        <f aca="false">IF(A50="","",D50+E50-F50)</f>
        <v/>
      </c>
      <c r="H50" s="17" t="str">
        <f aca="false">IF(A50="","",N(Products!E50))</f>
        <v/>
      </c>
      <c r="I50" s="17" t="str">
        <f aca="false">IF(A50="","",G50*H50)</f>
        <v/>
      </c>
      <c r="J50" s="16" t="str">
        <f aca="false">IF(A50="","",IF(Products!G50="",Settings!$B$8,Products!G50))</f>
        <v/>
      </c>
      <c r="K50" s="16" t="str">
        <f aca="false">IF(A50="","",IF(G50&lt;=0,"OUT",IF(G50&lt;=J50,"LOW","OK")))</f>
        <v/>
      </c>
      <c r="L50" s="16" t="str">
        <f aca="false">IF(A50="","",F50+ROW()/1000000)</f>
        <v/>
      </c>
      <c r="M50" s="16" t="str">
        <f aca="false">IF(OR(K50="LOW",K50="OUT"),COUNTIF($K$2:K50,"LOW")+COUNTIF($K$2:K50,"OUT"),"")</f>
        <v/>
      </c>
    </row>
    <row r="51" customFormat="false" ht="15" hidden="false" customHeight="true" outlineLevel="0" collapsed="false">
      <c r="A51" s="16" t="str">
        <f aca="false">IF(Products!A51="","",Products!A51)</f>
        <v/>
      </c>
      <c r="B51" s="16" t="str">
        <f aca="false">IF($A51="","",INDEX(Products!$B$2:$B$501,ROW()-1))</f>
        <v/>
      </c>
      <c r="C51" s="16" t="str">
        <f aca="false">IF($A51="","",INDEX(Products!$C$2:$C$501,ROW()-1))</f>
        <v/>
      </c>
      <c r="D51" s="16" t="str">
        <f aca="false">IF(A51="","",N(Products!I51))</f>
        <v/>
      </c>
      <c r="E51" s="16" t="str">
        <f aca="false">IF(A51="","",SUMIFS(Purchases!$D$2:$D$2001,Purchases!$B$2:$B$2001,A51))</f>
        <v/>
      </c>
      <c r="F51" s="16" t="str">
        <f aca="false">IF(A51="","",SUMIFS(Sales_Items!$E$2:$E$3001,Sales_Items!$C$2:$C$3001,A51))</f>
        <v/>
      </c>
      <c r="G51" s="16" t="str">
        <f aca="false">IF(A51="","",D51+E51-F51)</f>
        <v/>
      </c>
      <c r="H51" s="17" t="str">
        <f aca="false">IF(A51="","",N(Products!E51))</f>
        <v/>
      </c>
      <c r="I51" s="17" t="str">
        <f aca="false">IF(A51="","",G51*H51)</f>
        <v/>
      </c>
      <c r="J51" s="16" t="str">
        <f aca="false">IF(A51="","",IF(Products!G51="",Settings!$B$8,Products!G51))</f>
        <v/>
      </c>
      <c r="K51" s="16" t="str">
        <f aca="false">IF(A51="","",IF(G51&lt;=0,"OUT",IF(G51&lt;=J51,"LOW","OK")))</f>
        <v/>
      </c>
      <c r="L51" s="16" t="str">
        <f aca="false">IF(A51="","",F51+ROW()/1000000)</f>
        <v/>
      </c>
      <c r="M51" s="16" t="str">
        <f aca="false">IF(OR(K51="LOW",K51="OUT"),COUNTIF($K$2:K51,"LOW")+COUNTIF($K$2:K51,"OUT"),"")</f>
        <v/>
      </c>
    </row>
    <row r="52" customFormat="false" ht="15" hidden="false" customHeight="true" outlineLevel="0" collapsed="false">
      <c r="A52" s="16" t="str">
        <f aca="false">IF(Products!A52="","",Products!A52)</f>
        <v/>
      </c>
      <c r="B52" s="16" t="str">
        <f aca="false">IF($A52="","",INDEX(Products!$B$2:$B$501,ROW()-1))</f>
        <v/>
      </c>
      <c r="C52" s="16" t="str">
        <f aca="false">IF($A52="","",INDEX(Products!$C$2:$C$501,ROW()-1))</f>
        <v/>
      </c>
      <c r="D52" s="16" t="str">
        <f aca="false">IF(A52="","",N(Products!I52))</f>
        <v/>
      </c>
      <c r="E52" s="16" t="str">
        <f aca="false">IF(A52="","",SUMIFS(Purchases!$D$2:$D$2001,Purchases!$B$2:$B$2001,A52))</f>
        <v/>
      </c>
      <c r="F52" s="16" t="str">
        <f aca="false">IF(A52="","",SUMIFS(Sales_Items!$E$2:$E$3001,Sales_Items!$C$2:$C$3001,A52))</f>
        <v/>
      </c>
      <c r="G52" s="16" t="str">
        <f aca="false">IF(A52="","",D52+E52-F52)</f>
        <v/>
      </c>
      <c r="H52" s="17" t="str">
        <f aca="false">IF(A52="","",N(Products!E52))</f>
        <v/>
      </c>
      <c r="I52" s="17" t="str">
        <f aca="false">IF(A52="","",G52*H52)</f>
        <v/>
      </c>
      <c r="J52" s="16" t="str">
        <f aca="false">IF(A52="","",IF(Products!G52="",Settings!$B$8,Products!G52))</f>
        <v/>
      </c>
      <c r="K52" s="16" t="str">
        <f aca="false">IF(A52="","",IF(G52&lt;=0,"OUT",IF(G52&lt;=J52,"LOW","OK")))</f>
        <v/>
      </c>
      <c r="L52" s="16" t="str">
        <f aca="false">IF(A52="","",F52+ROW()/1000000)</f>
        <v/>
      </c>
      <c r="M52" s="16" t="str">
        <f aca="false">IF(OR(K52="LOW",K52="OUT"),COUNTIF($K$2:K52,"LOW")+COUNTIF($K$2:K52,"OUT"),"")</f>
        <v/>
      </c>
    </row>
    <row r="53" customFormat="false" ht="15" hidden="false" customHeight="true" outlineLevel="0" collapsed="false">
      <c r="A53" s="16" t="str">
        <f aca="false">IF(Products!A53="","",Products!A53)</f>
        <v/>
      </c>
      <c r="B53" s="16" t="str">
        <f aca="false">IF($A53="","",INDEX(Products!$B$2:$B$501,ROW()-1))</f>
        <v/>
      </c>
      <c r="C53" s="16" t="str">
        <f aca="false">IF($A53="","",INDEX(Products!$C$2:$C$501,ROW()-1))</f>
        <v/>
      </c>
      <c r="D53" s="16" t="str">
        <f aca="false">IF(A53="","",N(Products!I53))</f>
        <v/>
      </c>
      <c r="E53" s="16" t="str">
        <f aca="false">IF(A53="","",SUMIFS(Purchases!$D$2:$D$2001,Purchases!$B$2:$B$2001,A53))</f>
        <v/>
      </c>
      <c r="F53" s="16" t="str">
        <f aca="false">IF(A53="","",SUMIFS(Sales_Items!$E$2:$E$3001,Sales_Items!$C$2:$C$3001,A53))</f>
        <v/>
      </c>
      <c r="G53" s="16" t="str">
        <f aca="false">IF(A53="","",D53+E53-F53)</f>
        <v/>
      </c>
      <c r="H53" s="17" t="str">
        <f aca="false">IF(A53="","",N(Products!E53))</f>
        <v/>
      </c>
      <c r="I53" s="17" t="str">
        <f aca="false">IF(A53="","",G53*H53)</f>
        <v/>
      </c>
      <c r="J53" s="16" t="str">
        <f aca="false">IF(A53="","",IF(Products!G53="",Settings!$B$8,Products!G53))</f>
        <v/>
      </c>
      <c r="K53" s="16" t="str">
        <f aca="false">IF(A53="","",IF(G53&lt;=0,"OUT",IF(G53&lt;=J53,"LOW","OK")))</f>
        <v/>
      </c>
      <c r="L53" s="16" t="str">
        <f aca="false">IF(A53="","",F53+ROW()/1000000)</f>
        <v/>
      </c>
      <c r="M53" s="16" t="str">
        <f aca="false">IF(OR(K53="LOW",K53="OUT"),COUNTIF($K$2:K53,"LOW")+COUNTIF($K$2:K53,"OUT"),"")</f>
        <v/>
      </c>
    </row>
    <row r="54" customFormat="false" ht="15" hidden="false" customHeight="true" outlineLevel="0" collapsed="false">
      <c r="A54" s="16" t="str">
        <f aca="false">IF(Products!A54="","",Products!A54)</f>
        <v/>
      </c>
      <c r="B54" s="16" t="str">
        <f aca="false">IF($A54="","",INDEX(Products!$B$2:$B$501,ROW()-1))</f>
        <v/>
      </c>
      <c r="C54" s="16" t="str">
        <f aca="false">IF($A54="","",INDEX(Products!$C$2:$C$501,ROW()-1))</f>
        <v/>
      </c>
      <c r="D54" s="16" t="str">
        <f aca="false">IF(A54="","",N(Products!I54))</f>
        <v/>
      </c>
      <c r="E54" s="16" t="str">
        <f aca="false">IF(A54="","",SUMIFS(Purchases!$D$2:$D$2001,Purchases!$B$2:$B$2001,A54))</f>
        <v/>
      </c>
      <c r="F54" s="16" t="str">
        <f aca="false">IF(A54="","",SUMIFS(Sales_Items!$E$2:$E$3001,Sales_Items!$C$2:$C$3001,A54))</f>
        <v/>
      </c>
      <c r="G54" s="16" t="str">
        <f aca="false">IF(A54="","",D54+E54-F54)</f>
        <v/>
      </c>
      <c r="H54" s="17" t="str">
        <f aca="false">IF(A54="","",N(Products!E54))</f>
        <v/>
      </c>
      <c r="I54" s="17" t="str">
        <f aca="false">IF(A54="","",G54*H54)</f>
        <v/>
      </c>
      <c r="J54" s="16" t="str">
        <f aca="false">IF(A54="","",IF(Products!G54="",Settings!$B$8,Products!G54))</f>
        <v/>
      </c>
      <c r="K54" s="16" t="str">
        <f aca="false">IF(A54="","",IF(G54&lt;=0,"OUT",IF(G54&lt;=J54,"LOW","OK")))</f>
        <v/>
      </c>
      <c r="L54" s="16" t="str">
        <f aca="false">IF(A54="","",F54+ROW()/1000000)</f>
        <v/>
      </c>
      <c r="M54" s="16" t="str">
        <f aca="false">IF(OR(K54="LOW",K54="OUT"),COUNTIF($K$2:K54,"LOW")+COUNTIF($K$2:K54,"OUT"),"")</f>
        <v/>
      </c>
    </row>
    <row r="55" customFormat="false" ht="15" hidden="false" customHeight="true" outlineLevel="0" collapsed="false">
      <c r="A55" s="16" t="str">
        <f aca="false">IF(Products!A55="","",Products!A55)</f>
        <v/>
      </c>
      <c r="B55" s="16" t="str">
        <f aca="false">IF($A55="","",INDEX(Products!$B$2:$B$501,ROW()-1))</f>
        <v/>
      </c>
      <c r="C55" s="16" t="str">
        <f aca="false">IF($A55="","",INDEX(Products!$C$2:$C$501,ROW()-1))</f>
        <v/>
      </c>
      <c r="D55" s="16" t="str">
        <f aca="false">IF(A55="","",N(Products!I55))</f>
        <v/>
      </c>
      <c r="E55" s="16" t="str">
        <f aca="false">IF(A55="","",SUMIFS(Purchases!$D$2:$D$2001,Purchases!$B$2:$B$2001,A55))</f>
        <v/>
      </c>
      <c r="F55" s="16" t="str">
        <f aca="false">IF(A55="","",SUMIFS(Sales_Items!$E$2:$E$3001,Sales_Items!$C$2:$C$3001,A55))</f>
        <v/>
      </c>
      <c r="G55" s="16" t="str">
        <f aca="false">IF(A55="","",D55+E55-F55)</f>
        <v/>
      </c>
      <c r="H55" s="17" t="str">
        <f aca="false">IF(A55="","",N(Products!E55))</f>
        <v/>
      </c>
      <c r="I55" s="17" t="str">
        <f aca="false">IF(A55="","",G55*H55)</f>
        <v/>
      </c>
      <c r="J55" s="16" t="str">
        <f aca="false">IF(A55="","",IF(Products!G55="",Settings!$B$8,Products!G55))</f>
        <v/>
      </c>
      <c r="K55" s="16" t="str">
        <f aca="false">IF(A55="","",IF(G55&lt;=0,"OUT",IF(G55&lt;=J55,"LOW","OK")))</f>
        <v/>
      </c>
      <c r="L55" s="16" t="str">
        <f aca="false">IF(A55="","",F55+ROW()/1000000)</f>
        <v/>
      </c>
      <c r="M55" s="16" t="str">
        <f aca="false">IF(OR(K55="LOW",K55="OUT"),COUNTIF($K$2:K55,"LOW")+COUNTIF($K$2:K55,"OUT"),"")</f>
        <v/>
      </c>
    </row>
    <row r="56" customFormat="false" ht="15" hidden="false" customHeight="true" outlineLevel="0" collapsed="false">
      <c r="A56" s="16" t="str">
        <f aca="false">IF(Products!A56="","",Products!A56)</f>
        <v/>
      </c>
      <c r="B56" s="16" t="str">
        <f aca="false">IF($A56="","",INDEX(Products!$B$2:$B$501,ROW()-1))</f>
        <v/>
      </c>
      <c r="C56" s="16" t="str">
        <f aca="false">IF($A56="","",INDEX(Products!$C$2:$C$501,ROW()-1))</f>
        <v/>
      </c>
      <c r="D56" s="16" t="str">
        <f aca="false">IF(A56="","",N(Products!I56))</f>
        <v/>
      </c>
      <c r="E56" s="16" t="str">
        <f aca="false">IF(A56="","",SUMIFS(Purchases!$D$2:$D$2001,Purchases!$B$2:$B$2001,A56))</f>
        <v/>
      </c>
      <c r="F56" s="16" t="str">
        <f aca="false">IF(A56="","",SUMIFS(Sales_Items!$E$2:$E$3001,Sales_Items!$C$2:$C$3001,A56))</f>
        <v/>
      </c>
      <c r="G56" s="16" t="str">
        <f aca="false">IF(A56="","",D56+E56-F56)</f>
        <v/>
      </c>
      <c r="H56" s="17" t="str">
        <f aca="false">IF(A56="","",N(Products!E56))</f>
        <v/>
      </c>
      <c r="I56" s="17" t="str">
        <f aca="false">IF(A56="","",G56*H56)</f>
        <v/>
      </c>
      <c r="J56" s="16" t="str">
        <f aca="false">IF(A56="","",IF(Products!G56="",Settings!$B$8,Products!G56))</f>
        <v/>
      </c>
      <c r="K56" s="16" t="str">
        <f aca="false">IF(A56="","",IF(G56&lt;=0,"OUT",IF(G56&lt;=J56,"LOW","OK")))</f>
        <v/>
      </c>
      <c r="L56" s="16" t="str">
        <f aca="false">IF(A56="","",F56+ROW()/1000000)</f>
        <v/>
      </c>
      <c r="M56" s="16" t="str">
        <f aca="false">IF(OR(K56="LOW",K56="OUT"),COUNTIF($K$2:K56,"LOW")+COUNTIF($K$2:K56,"OUT"),"")</f>
        <v/>
      </c>
    </row>
    <row r="57" customFormat="false" ht="15" hidden="false" customHeight="true" outlineLevel="0" collapsed="false">
      <c r="A57" s="16" t="str">
        <f aca="false">IF(Products!A57="","",Products!A57)</f>
        <v/>
      </c>
      <c r="B57" s="16" t="str">
        <f aca="false">IF($A57="","",INDEX(Products!$B$2:$B$501,ROW()-1))</f>
        <v/>
      </c>
      <c r="C57" s="16" t="str">
        <f aca="false">IF($A57="","",INDEX(Products!$C$2:$C$501,ROW()-1))</f>
        <v/>
      </c>
      <c r="D57" s="16" t="str">
        <f aca="false">IF(A57="","",N(Products!I57))</f>
        <v/>
      </c>
      <c r="E57" s="16" t="str">
        <f aca="false">IF(A57="","",SUMIFS(Purchases!$D$2:$D$2001,Purchases!$B$2:$B$2001,A57))</f>
        <v/>
      </c>
      <c r="F57" s="16" t="str">
        <f aca="false">IF(A57="","",SUMIFS(Sales_Items!$E$2:$E$3001,Sales_Items!$C$2:$C$3001,A57))</f>
        <v/>
      </c>
      <c r="G57" s="16" t="str">
        <f aca="false">IF(A57="","",D57+E57-F57)</f>
        <v/>
      </c>
      <c r="H57" s="17" t="str">
        <f aca="false">IF(A57="","",N(Products!E57))</f>
        <v/>
      </c>
      <c r="I57" s="17" t="str">
        <f aca="false">IF(A57="","",G57*H57)</f>
        <v/>
      </c>
      <c r="J57" s="16" t="str">
        <f aca="false">IF(A57="","",IF(Products!G57="",Settings!$B$8,Products!G57))</f>
        <v/>
      </c>
      <c r="K57" s="16" t="str">
        <f aca="false">IF(A57="","",IF(G57&lt;=0,"OUT",IF(G57&lt;=J57,"LOW","OK")))</f>
        <v/>
      </c>
      <c r="L57" s="16" t="str">
        <f aca="false">IF(A57="","",F57+ROW()/1000000)</f>
        <v/>
      </c>
      <c r="M57" s="16" t="str">
        <f aca="false">IF(OR(K57="LOW",K57="OUT"),COUNTIF($K$2:K57,"LOW")+COUNTIF($K$2:K57,"OUT"),"")</f>
        <v/>
      </c>
    </row>
    <row r="58" customFormat="false" ht="15" hidden="false" customHeight="true" outlineLevel="0" collapsed="false">
      <c r="A58" s="16" t="str">
        <f aca="false">IF(Products!A58="","",Products!A58)</f>
        <v/>
      </c>
      <c r="B58" s="16" t="str">
        <f aca="false">IF($A58="","",INDEX(Products!$B$2:$B$501,ROW()-1))</f>
        <v/>
      </c>
      <c r="C58" s="16" t="str">
        <f aca="false">IF($A58="","",INDEX(Products!$C$2:$C$501,ROW()-1))</f>
        <v/>
      </c>
      <c r="D58" s="16" t="str">
        <f aca="false">IF(A58="","",N(Products!I58))</f>
        <v/>
      </c>
      <c r="E58" s="16" t="str">
        <f aca="false">IF(A58="","",SUMIFS(Purchases!$D$2:$D$2001,Purchases!$B$2:$B$2001,A58))</f>
        <v/>
      </c>
      <c r="F58" s="16" t="str">
        <f aca="false">IF(A58="","",SUMIFS(Sales_Items!$E$2:$E$3001,Sales_Items!$C$2:$C$3001,A58))</f>
        <v/>
      </c>
      <c r="G58" s="16" t="str">
        <f aca="false">IF(A58="","",D58+E58-F58)</f>
        <v/>
      </c>
      <c r="H58" s="17" t="str">
        <f aca="false">IF(A58="","",N(Products!E58))</f>
        <v/>
      </c>
      <c r="I58" s="17" t="str">
        <f aca="false">IF(A58="","",G58*H58)</f>
        <v/>
      </c>
      <c r="J58" s="16" t="str">
        <f aca="false">IF(A58="","",IF(Products!G58="",Settings!$B$8,Products!G58))</f>
        <v/>
      </c>
      <c r="K58" s="16" t="str">
        <f aca="false">IF(A58="","",IF(G58&lt;=0,"OUT",IF(G58&lt;=J58,"LOW","OK")))</f>
        <v/>
      </c>
      <c r="L58" s="16" t="str">
        <f aca="false">IF(A58="","",F58+ROW()/1000000)</f>
        <v/>
      </c>
      <c r="M58" s="16" t="str">
        <f aca="false">IF(OR(K58="LOW",K58="OUT"),COUNTIF($K$2:K58,"LOW")+COUNTIF($K$2:K58,"OUT"),"")</f>
        <v/>
      </c>
    </row>
    <row r="59" customFormat="false" ht="15" hidden="false" customHeight="true" outlineLevel="0" collapsed="false">
      <c r="A59" s="16" t="str">
        <f aca="false">IF(Products!A59="","",Products!A59)</f>
        <v/>
      </c>
      <c r="B59" s="16" t="str">
        <f aca="false">IF($A59="","",INDEX(Products!$B$2:$B$501,ROW()-1))</f>
        <v/>
      </c>
      <c r="C59" s="16" t="str">
        <f aca="false">IF($A59="","",INDEX(Products!$C$2:$C$501,ROW()-1))</f>
        <v/>
      </c>
      <c r="D59" s="16" t="str">
        <f aca="false">IF(A59="","",N(Products!I59))</f>
        <v/>
      </c>
      <c r="E59" s="16" t="str">
        <f aca="false">IF(A59="","",SUMIFS(Purchases!$D$2:$D$2001,Purchases!$B$2:$B$2001,A59))</f>
        <v/>
      </c>
      <c r="F59" s="16" t="str">
        <f aca="false">IF(A59="","",SUMIFS(Sales_Items!$E$2:$E$3001,Sales_Items!$C$2:$C$3001,A59))</f>
        <v/>
      </c>
      <c r="G59" s="16" t="str">
        <f aca="false">IF(A59="","",D59+E59-F59)</f>
        <v/>
      </c>
      <c r="H59" s="17" t="str">
        <f aca="false">IF(A59="","",N(Products!E59))</f>
        <v/>
      </c>
      <c r="I59" s="17" t="str">
        <f aca="false">IF(A59="","",G59*H59)</f>
        <v/>
      </c>
      <c r="J59" s="16" t="str">
        <f aca="false">IF(A59="","",IF(Products!G59="",Settings!$B$8,Products!G59))</f>
        <v/>
      </c>
      <c r="K59" s="16" t="str">
        <f aca="false">IF(A59="","",IF(G59&lt;=0,"OUT",IF(G59&lt;=J59,"LOW","OK")))</f>
        <v/>
      </c>
      <c r="L59" s="16" t="str">
        <f aca="false">IF(A59="","",F59+ROW()/1000000)</f>
        <v/>
      </c>
      <c r="M59" s="16" t="str">
        <f aca="false">IF(OR(K59="LOW",K59="OUT"),COUNTIF($K$2:K59,"LOW")+COUNTIF($K$2:K59,"OUT"),"")</f>
        <v/>
      </c>
    </row>
    <row r="60" customFormat="false" ht="15" hidden="false" customHeight="true" outlineLevel="0" collapsed="false">
      <c r="A60" s="16" t="str">
        <f aca="false">IF(Products!A60="","",Products!A60)</f>
        <v/>
      </c>
      <c r="B60" s="16" t="str">
        <f aca="false">IF($A60="","",INDEX(Products!$B$2:$B$501,ROW()-1))</f>
        <v/>
      </c>
      <c r="C60" s="16" t="str">
        <f aca="false">IF($A60="","",INDEX(Products!$C$2:$C$501,ROW()-1))</f>
        <v/>
      </c>
      <c r="D60" s="16" t="str">
        <f aca="false">IF(A60="","",N(Products!I60))</f>
        <v/>
      </c>
      <c r="E60" s="16" t="str">
        <f aca="false">IF(A60="","",SUMIFS(Purchases!$D$2:$D$2001,Purchases!$B$2:$B$2001,A60))</f>
        <v/>
      </c>
      <c r="F60" s="16" t="str">
        <f aca="false">IF(A60="","",SUMIFS(Sales_Items!$E$2:$E$3001,Sales_Items!$C$2:$C$3001,A60))</f>
        <v/>
      </c>
      <c r="G60" s="16" t="str">
        <f aca="false">IF(A60="","",D60+E60-F60)</f>
        <v/>
      </c>
      <c r="H60" s="17" t="str">
        <f aca="false">IF(A60="","",N(Products!E60))</f>
        <v/>
      </c>
      <c r="I60" s="17" t="str">
        <f aca="false">IF(A60="","",G60*H60)</f>
        <v/>
      </c>
      <c r="J60" s="16" t="str">
        <f aca="false">IF(A60="","",IF(Products!G60="",Settings!$B$8,Products!G60))</f>
        <v/>
      </c>
      <c r="K60" s="16" t="str">
        <f aca="false">IF(A60="","",IF(G60&lt;=0,"OUT",IF(G60&lt;=J60,"LOW","OK")))</f>
        <v/>
      </c>
      <c r="L60" s="16" t="str">
        <f aca="false">IF(A60="","",F60+ROW()/1000000)</f>
        <v/>
      </c>
      <c r="M60" s="16" t="str">
        <f aca="false">IF(OR(K60="LOW",K60="OUT"),COUNTIF($K$2:K60,"LOW")+COUNTIF($K$2:K60,"OUT"),"")</f>
        <v/>
      </c>
    </row>
    <row r="61" customFormat="false" ht="15" hidden="false" customHeight="true" outlineLevel="0" collapsed="false">
      <c r="A61" s="16" t="str">
        <f aca="false">IF(Products!A61="","",Products!A61)</f>
        <v/>
      </c>
      <c r="B61" s="16" t="str">
        <f aca="false">IF($A61="","",INDEX(Products!$B$2:$B$501,ROW()-1))</f>
        <v/>
      </c>
      <c r="C61" s="16" t="str">
        <f aca="false">IF($A61="","",INDEX(Products!$C$2:$C$501,ROW()-1))</f>
        <v/>
      </c>
      <c r="D61" s="16" t="str">
        <f aca="false">IF(A61="","",N(Products!I61))</f>
        <v/>
      </c>
      <c r="E61" s="16" t="str">
        <f aca="false">IF(A61="","",SUMIFS(Purchases!$D$2:$D$2001,Purchases!$B$2:$B$2001,A61))</f>
        <v/>
      </c>
      <c r="F61" s="16" t="str">
        <f aca="false">IF(A61="","",SUMIFS(Sales_Items!$E$2:$E$3001,Sales_Items!$C$2:$C$3001,A61))</f>
        <v/>
      </c>
      <c r="G61" s="16" t="str">
        <f aca="false">IF(A61="","",D61+E61-F61)</f>
        <v/>
      </c>
      <c r="H61" s="17" t="str">
        <f aca="false">IF(A61="","",N(Products!E61))</f>
        <v/>
      </c>
      <c r="I61" s="17" t="str">
        <f aca="false">IF(A61="","",G61*H61)</f>
        <v/>
      </c>
      <c r="J61" s="16" t="str">
        <f aca="false">IF(A61="","",IF(Products!G61="",Settings!$B$8,Products!G61))</f>
        <v/>
      </c>
      <c r="K61" s="16" t="str">
        <f aca="false">IF(A61="","",IF(G61&lt;=0,"OUT",IF(G61&lt;=J61,"LOW","OK")))</f>
        <v/>
      </c>
      <c r="L61" s="16" t="str">
        <f aca="false">IF(A61="","",F61+ROW()/1000000)</f>
        <v/>
      </c>
      <c r="M61" s="16" t="str">
        <f aca="false">IF(OR(K61="LOW",K61="OUT"),COUNTIF($K$2:K61,"LOW")+COUNTIF($K$2:K61,"OUT"),"")</f>
        <v/>
      </c>
    </row>
    <row r="62" customFormat="false" ht="15" hidden="false" customHeight="true" outlineLevel="0" collapsed="false">
      <c r="A62" s="16" t="str">
        <f aca="false">IF(Products!A62="","",Products!A62)</f>
        <v/>
      </c>
      <c r="B62" s="16" t="str">
        <f aca="false">IF($A62="","",INDEX(Products!$B$2:$B$501,ROW()-1))</f>
        <v/>
      </c>
      <c r="C62" s="16" t="str">
        <f aca="false">IF($A62="","",INDEX(Products!$C$2:$C$501,ROW()-1))</f>
        <v/>
      </c>
      <c r="D62" s="16" t="str">
        <f aca="false">IF(A62="","",N(Products!I62))</f>
        <v/>
      </c>
      <c r="E62" s="16" t="str">
        <f aca="false">IF(A62="","",SUMIFS(Purchases!$D$2:$D$2001,Purchases!$B$2:$B$2001,A62))</f>
        <v/>
      </c>
      <c r="F62" s="16" t="str">
        <f aca="false">IF(A62="","",SUMIFS(Sales_Items!$E$2:$E$3001,Sales_Items!$C$2:$C$3001,A62))</f>
        <v/>
      </c>
      <c r="G62" s="16" t="str">
        <f aca="false">IF(A62="","",D62+E62-F62)</f>
        <v/>
      </c>
      <c r="H62" s="17" t="str">
        <f aca="false">IF(A62="","",N(Products!E62))</f>
        <v/>
      </c>
      <c r="I62" s="17" t="str">
        <f aca="false">IF(A62="","",G62*H62)</f>
        <v/>
      </c>
      <c r="J62" s="16" t="str">
        <f aca="false">IF(A62="","",IF(Products!G62="",Settings!$B$8,Products!G62))</f>
        <v/>
      </c>
      <c r="K62" s="16" t="str">
        <f aca="false">IF(A62="","",IF(G62&lt;=0,"OUT",IF(G62&lt;=J62,"LOW","OK")))</f>
        <v/>
      </c>
      <c r="L62" s="16" t="str">
        <f aca="false">IF(A62="","",F62+ROW()/1000000)</f>
        <v/>
      </c>
      <c r="M62" s="16" t="str">
        <f aca="false">IF(OR(K62="LOW",K62="OUT"),COUNTIF($K$2:K62,"LOW")+COUNTIF($K$2:K62,"OUT"),"")</f>
        <v/>
      </c>
    </row>
    <row r="63" customFormat="false" ht="15" hidden="false" customHeight="true" outlineLevel="0" collapsed="false">
      <c r="A63" s="16" t="str">
        <f aca="false">IF(Products!A63="","",Products!A63)</f>
        <v/>
      </c>
      <c r="B63" s="16" t="str">
        <f aca="false">IF($A63="","",INDEX(Products!$B$2:$B$501,ROW()-1))</f>
        <v/>
      </c>
      <c r="C63" s="16" t="str">
        <f aca="false">IF($A63="","",INDEX(Products!$C$2:$C$501,ROW()-1))</f>
        <v/>
      </c>
      <c r="D63" s="16" t="str">
        <f aca="false">IF(A63="","",N(Products!I63))</f>
        <v/>
      </c>
      <c r="E63" s="16" t="str">
        <f aca="false">IF(A63="","",SUMIFS(Purchases!$D$2:$D$2001,Purchases!$B$2:$B$2001,A63))</f>
        <v/>
      </c>
      <c r="F63" s="16" t="str">
        <f aca="false">IF(A63="","",SUMIFS(Sales_Items!$E$2:$E$3001,Sales_Items!$C$2:$C$3001,A63))</f>
        <v/>
      </c>
      <c r="G63" s="16" t="str">
        <f aca="false">IF(A63="","",D63+E63-F63)</f>
        <v/>
      </c>
      <c r="H63" s="17" t="str">
        <f aca="false">IF(A63="","",N(Products!E63))</f>
        <v/>
      </c>
      <c r="I63" s="17" t="str">
        <f aca="false">IF(A63="","",G63*H63)</f>
        <v/>
      </c>
      <c r="J63" s="16" t="str">
        <f aca="false">IF(A63="","",IF(Products!G63="",Settings!$B$8,Products!G63))</f>
        <v/>
      </c>
      <c r="K63" s="16" t="str">
        <f aca="false">IF(A63="","",IF(G63&lt;=0,"OUT",IF(G63&lt;=J63,"LOW","OK")))</f>
        <v/>
      </c>
      <c r="L63" s="16" t="str">
        <f aca="false">IF(A63="","",F63+ROW()/1000000)</f>
        <v/>
      </c>
      <c r="M63" s="16" t="str">
        <f aca="false">IF(OR(K63="LOW",K63="OUT"),COUNTIF($K$2:K63,"LOW")+COUNTIF($K$2:K63,"OUT"),"")</f>
        <v/>
      </c>
    </row>
    <row r="64" customFormat="false" ht="15" hidden="false" customHeight="true" outlineLevel="0" collapsed="false">
      <c r="A64" s="16" t="str">
        <f aca="false">IF(Products!A64="","",Products!A64)</f>
        <v/>
      </c>
      <c r="B64" s="16" t="str">
        <f aca="false">IF($A64="","",INDEX(Products!$B$2:$B$501,ROW()-1))</f>
        <v/>
      </c>
      <c r="C64" s="16" t="str">
        <f aca="false">IF($A64="","",INDEX(Products!$C$2:$C$501,ROW()-1))</f>
        <v/>
      </c>
      <c r="D64" s="16" t="str">
        <f aca="false">IF(A64="","",N(Products!I64))</f>
        <v/>
      </c>
      <c r="E64" s="16" t="str">
        <f aca="false">IF(A64="","",SUMIFS(Purchases!$D$2:$D$2001,Purchases!$B$2:$B$2001,A64))</f>
        <v/>
      </c>
      <c r="F64" s="16" t="str">
        <f aca="false">IF(A64="","",SUMIFS(Sales_Items!$E$2:$E$3001,Sales_Items!$C$2:$C$3001,A64))</f>
        <v/>
      </c>
      <c r="G64" s="16" t="str">
        <f aca="false">IF(A64="","",D64+E64-F64)</f>
        <v/>
      </c>
      <c r="H64" s="17" t="str">
        <f aca="false">IF(A64="","",N(Products!E64))</f>
        <v/>
      </c>
      <c r="I64" s="17" t="str">
        <f aca="false">IF(A64="","",G64*H64)</f>
        <v/>
      </c>
      <c r="J64" s="16" t="str">
        <f aca="false">IF(A64="","",IF(Products!G64="",Settings!$B$8,Products!G64))</f>
        <v/>
      </c>
      <c r="K64" s="16" t="str">
        <f aca="false">IF(A64="","",IF(G64&lt;=0,"OUT",IF(G64&lt;=J64,"LOW","OK")))</f>
        <v/>
      </c>
      <c r="L64" s="16" t="str">
        <f aca="false">IF(A64="","",F64+ROW()/1000000)</f>
        <v/>
      </c>
      <c r="M64" s="16" t="str">
        <f aca="false">IF(OR(K64="LOW",K64="OUT"),COUNTIF($K$2:K64,"LOW")+COUNTIF($K$2:K64,"OUT"),"")</f>
        <v/>
      </c>
    </row>
    <row r="65" customFormat="false" ht="15" hidden="false" customHeight="true" outlineLevel="0" collapsed="false">
      <c r="A65" s="16" t="str">
        <f aca="false">IF(Products!A65="","",Products!A65)</f>
        <v/>
      </c>
      <c r="B65" s="16" t="str">
        <f aca="false">IF($A65="","",INDEX(Products!$B$2:$B$501,ROW()-1))</f>
        <v/>
      </c>
      <c r="C65" s="16" t="str">
        <f aca="false">IF($A65="","",INDEX(Products!$C$2:$C$501,ROW()-1))</f>
        <v/>
      </c>
      <c r="D65" s="16" t="str">
        <f aca="false">IF(A65="","",N(Products!I65))</f>
        <v/>
      </c>
      <c r="E65" s="16" t="str">
        <f aca="false">IF(A65="","",SUMIFS(Purchases!$D$2:$D$2001,Purchases!$B$2:$B$2001,A65))</f>
        <v/>
      </c>
      <c r="F65" s="16" t="str">
        <f aca="false">IF(A65="","",SUMIFS(Sales_Items!$E$2:$E$3001,Sales_Items!$C$2:$C$3001,A65))</f>
        <v/>
      </c>
      <c r="G65" s="16" t="str">
        <f aca="false">IF(A65="","",D65+E65-F65)</f>
        <v/>
      </c>
      <c r="H65" s="17" t="str">
        <f aca="false">IF(A65="","",N(Products!E65))</f>
        <v/>
      </c>
      <c r="I65" s="17" t="str">
        <f aca="false">IF(A65="","",G65*H65)</f>
        <v/>
      </c>
      <c r="J65" s="16" t="str">
        <f aca="false">IF(A65="","",IF(Products!G65="",Settings!$B$8,Products!G65))</f>
        <v/>
      </c>
      <c r="K65" s="16" t="str">
        <f aca="false">IF(A65="","",IF(G65&lt;=0,"OUT",IF(G65&lt;=J65,"LOW","OK")))</f>
        <v/>
      </c>
      <c r="L65" s="16" t="str">
        <f aca="false">IF(A65="","",F65+ROW()/1000000)</f>
        <v/>
      </c>
      <c r="M65" s="16" t="str">
        <f aca="false">IF(OR(K65="LOW",K65="OUT"),COUNTIF($K$2:K65,"LOW")+COUNTIF($K$2:K65,"OUT"),"")</f>
        <v/>
      </c>
    </row>
    <row r="66" customFormat="false" ht="15" hidden="false" customHeight="true" outlineLevel="0" collapsed="false">
      <c r="A66" s="16" t="str">
        <f aca="false">IF(Products!A66="","",Products!A66)</f>
        <v/>
      </c>
      <c r="B66" s="16" t="str">
        <f aca="false">IF($A66="","",INDEX(Products!$B$2:$B$501,ROW()-1))</f>
        <v/>
      </c>
      <c r="C66" s="16" t="str">
        <f aca="false">IF($A66="","",INDEX(Products!$C$2:$C$501,ROW()-1))</f>
        <v/>
      </c>
      <c r="D66" s="16" t="str">
        <f aca="false">IF(A66="","",N(Products!I66))</f>
        <v/>
      </c>
      <c r="E66" s="16" t="str">
        <f aca="false">IF(A66="","",SUMIFS(Purchases!$D$2:$D$2001,Purchases!$B$2:$B$2001,A66))</f>
        <v/>
      </c>
      <c r="F66" s="16" t="str">
        <f aca="false">IF(A66="","",SUMIFS(Sales_Items!$E$2:$E$3001,Sales_Items!$C$2:$C$3001,A66))</f>
        <v/>
      </c>
      <c r="G66" s="16" t="str">
        <f aca="false">IF(A66="","",D66+E66-F66)</f>
        <v/>
      </c>
      <c r="H66" s="17" t="str">
        <f aca="false">IF(A66="","",N(Products!E66))</f>
        <v/>
      </c>
      <c r="I66" s="17" t="str">
        <f aca="false">IF(A66="","",G66*H66)</f>
        <v/>
      </c>
      <c r="J66" s="16" t="str">
        <f aca="false">IF(A66="","",IF(Products!G66="",Settings!$B$8,Products!G66))</f>
        <v/>
      </c>
      <c r="K66" s="16" t="str">
        <f aca="false">IF(A66="","",IF(G66&lt;=0,"OUT",IF(G66&lt;=J66,"LOW","OK")))</f>
        <v/>
      </c>
      <c r="L66" s="16" t="str">
        <f aca="false">IF(A66="","",F66+ROW()/1000000)</f>
        <v/>
      </c>
      <c r="M66" s="16" t="str">
        <f aca="false">IF(OR(K66="LOW",K66="OUT"),COUNTIF($K$2:K66,"LOW")+COUNTIF($K$2:K66,"OUT"),"")</f>
        <v/>
      </c>
    </row>
    <row r="67" customFormat="false" ht="15" hidden="false" customHeight="true" outlineLevel="0" collapsed="false">
      <c r="A67" s="16" t="str">
        <f aca="false">IF(Products!A67="","",Products!A67)</f>
        <v/>
      </c>
      <c r="B67" s="16" t="str">
        <f aca="false">IF($A67="","",INDEX(Products!$B$2:$B$501,ROW()-1))</f>
        <v/>
      </c>
      <c r="C67" s="16" t="str">
        <f aca="false">IF($A67="","",INDEX(Products!$C$2:$C$501,ROW()-1))</f>
        <v/>
      </c>
      <c r="D67" s="16" t="str">
        <f aca="false">IF(A67="","",N(Products!I67))</f>
        <v/>
      </c>
      <c r="E67" s="16" t="str">
        <f aca="false">IF(A67="","",SUMIFS(Purchases!$D$2:$D$2001,Purchases!$B$2:$B$2001,A67))</f>
        <v/>
      </c>
      <c r="F67" s="16" t="str">
        <f aca="false">IF(A67="","",SUMIFS(Sales_Items!$E$2:$E$3001,Sales_Items!$C$2:$C$3001,A67))</f>
        <v/>
      </c>
      <c r="G67" s="16" t="str">
        <f aca="false">IF(A67="","",D67+E67-F67)</f>
        <v/>
      </c>
      <c r="H67" s="17" t="str">
        <f aca="false">IF(A67="","",N(Products!E67))</f>
        <v/>
      </c>
      <c r="I67" s="17" t="str">
        <f aca="false">IF(A67="","",G67*H67)</f>
        <v/>
      </c>
      <c r="J67" s="16" t="str">
        <f aca="false">IF(A67="","",IF(Products!G67="",Settings!$B$8,Products!G67))</f>
        <v/>
      </c>
      <c r="K67" s="16" t="str">
        <f aca="false">IF(A67="","",IF(G67&lt;=0,"OUT",IF(G67&lt;=J67,"LOW","OK")))</f>
        <v/>
      </c>
      <c r="L67" s="16" t="str">
        <f aca="false">IF(A67="","",F67+ROW()/1000000)</f>
        <v/>
      </c>
      <c r="M67" s="16" t="str">
        <f aca="false">IF(OR(K67="LOW",K67="OUT"),COUNTIF($K$2:K67,"LOW")+COUNTIF($K$2:K67,"OUT"),"")</f>
        <v/>
      </c>
    </row>
    <row r="68" customFormat="false" ht="15" hidden="false" customHeight="true" outlineLevel="0" collapsed="false">
      <c r="A68" s="16" t="str">
        <f aca="false">IF(Products!A68="","",Products!A68)</f>
        <v/>
      </c>
      <c r="B68" s="16" t="str">
        <f aca="false">IF($A68="","",INDEX(Products!$B$2:$B$501,ROW()-1))</f>
        <v/>
      </c>
      <c r="C68" s="16" t="str">
        <f aca="false">IF($A68="","",INDEX(Products!$C$2:$C$501,ROW()-1))</f>
        <v/>
      </c>
      <c r="D68" s="16" t="str">
        <f aca="false">IF(A68="","",N(Products!I68))</f>
        <v/>
      </c>
      <c r="E68" s="16" t="str">
        <f aca="false">IF(A68="","",SUMIFS(Purchases!$D$2:$D$2001,Purchases!$B$2:$B$2001,A68))</f>
        <v/>
      </c>
      <c r="F68" s="16" t="str">
        <f aca="false">IF(A68="","",SUMIFS(Sales_Items!$E$2:$E$3001,Sales_Items!$C$2:$C$3001,A68))</f>
        <v/>
      </c>
      <c r="G68" s="16" t="str">
        <f aca="false">IF(A68="","",D68+E68-F68)</f>
        <v/>
      </c>
      <c r="H68" s="17" t="str">
        <f aca="false">IF(A68="","",N(Products!E68))</f>
        <v/>
      </c>
      <c r="I68" s="17" t="str">
        <f aca="false">IF(A68="","",G68*H68)</f>
        <v/>
      </c>
      <c r="J68" s="16" t="str">
        <f aca="false">IF(A68="","",IF(Products!G68="",Settings!$B$8,Products!G68))</f>
        <v/>
      </c>
      <c r="K68" s="16" t="str">
        <f aca="false">IF(A68="","",IF(G68&lt;=0,"OUT",IF(G68&lt;=J68,"LOW","OK")))</f>
        <v/>
      </c>
      <c r="L68" s="16" t="str">
        <f aca="false">IF(A68="","",F68+ROW()/1000000)</f>
        <v/>
      </c>
      <c r="M68" s="16" t="str">
        <f aca="false">IF(OR(K68="LOW",K68="OUT"),COUNTIF($K$2:K68,"LOW")+COUNTIF($K$2:K68,"OUT"),"")</f>
        <v/>
      </c>
    </row>
    <row r="69" customFormat="false" ht="15" hidden="false" customHeight="true" outlineLevel="0" collapsed="false">
      <c r="A69" s="16" t="str">
        <f aca="false">IF(Products!A69="","",Products!A69)</f>
        <v/>
      </c>
      <c r="B69" s="16" t="str">
        <f aca="false">IF($A69="","",INDEX(Products!$B$2:$B$501,ROW()-1))</f>
        <v/>
      </c>
      <c r="C69" s="16" t="str">
        <f aca="false">IF($A69="","",INDEX(Products!$C$2:$C$501,ROW()-1))</f>
        <v/>
      </c>
      <c r="D69" s="16" t="str">
        <f aca="false">IF(A69="","",N(Products!I69))</f>
        <v/>
      </c>
      <c r="E69" s="16" t="str">
        <f aca="false">IF(A69="","",SUMIFS(Purchases!$D$2:$D$2001,Purchases!$B$2:$B$2001,A69))</f>
        <v/>
      </c>
      <c r="F69" s="16" t="str">
        <f aca="false">IF(A69="","",SUMIFS(Sales_Items!$E$2:$E$3001,Sales_Items!$C$2:$C$3001,A69))</f>
        <v/>
      </c>
      <c r="G69" s="16" t="str">
        <f aca="false">IF(A69="","",D69+E69-F69)</f>
        <v/>
      </c>
      <c r="H69" s="17" t="str">
        <f aca="false">IF(A69="","",N(Products!E69))</f>
        <v/>
      </c>
      <c r="I69" s="17" t="str">
        <f aca="false">IF(A69="","",G69*H69)</f>
        <v/>
      </c>
      <c r="J69" s="16" t="str">
        <f aca="false">IF(A69="","",IF(Products!G69="",Settings!$B$8,Products!G69))</f>
        <v/>
      </c>
      <c r="K69" s="16" t="str">
        <f aca="false">IF(A69="","",IF(G69&lt;=0,"OUT",IF(G69&lt;=J69,"LOW","OK")))</f>
        <v/>
      </c>
      <c r="L69" s="16" t="str">
        <f aca="false">IF(A69="","",F69+ROW()/1000000)</f>
        <v/>
      </c>
      <c r="M69" s="16" t="str">
        <f aca="false">IF(OR(K69="LOW",K69="OUT"),COUNTIF($K$2:K69,"LOW")+COUNTIF($K$2:K69,"OUT"),"")</f>
        <v/>
      </c>
    </row>
    <row r="70" customFormat="false" ht="15" hidden="false" customHeight="true" outlineLevel="0" collapsed="false">
      <c r="A70" s="16" t="str">
        <f aca="false">IF(Products!A70="","",Products!A70)</f>
        <v/>
      </c>
      <c r="B70" s="16" t="str">
        <f aca="false">IF($A70="","",INDEX(Products!$B$2:$B$501,ROW()-1))</f>
        <v/>
      </c>
      <c r="C70" s="16" t="str">
        <f aca="false">IF($A70="","",INDEX(Products!$C$2:$C$501,ROW()-1))</f>
        <v/>
      </c>
      <c r="D70" s="16" t="str">
        <f aca="false">IF(A70="","",N(Products!I70))</f>
        <v/>
      </c>
      <c r="E70" s="16" t="str">
        <f aca="false">IF(A70="","",SUMIFS(Purchases!$D$2:$D$2001,Purchases!$B$2:$B$2001,A70))</f>
        <v/>
      </c>
      <c r="F70" s="16" t="str">
        <f aca="false">IF(A70="","",SUMIFS(Sales_Items!$E$2:$E$3001,Sales_Items!$C$2:$C$3001,A70))</f>
        <v/>
      </c>
      <c r="G70" s="16" t="str">
        <f aca="false">IF(A70="","",D70+E70-F70)</f>
        <v/>
      </c>
      <c r="H70" s="17" t="str">
        <f aca="false">IF(A70="","",N(Products!E70))</f>
        <v/>
      </c>
      <c r="I70" s="17" t="str">
        <f aca="false">IF(A70="","",G70*H70)</f>
        <v/>
      </c>
      <c r="J70" s="16" t="str">
        <f aca="false">IF(A70="","",IF(Products!G70="",Settings!$B$8,Products!G70))</f>
        <v/>
      </c>
      <c r="K70" s="16" t="str">
        <f aca="false">IF(A70="","",IF(G70&lt;=0,"OUT",IF(G70&lt;=J70,"LOW","OK")))</f>
        <v/>
      </c>
      <c r="L70" s="16" t="str">
        <f aca="false">IF(A70="","",F70+ROW()/1000000)</f>
        <v/>
      </c>
      <c r="M70" s="16" t="str">
        <f aca="false">IF(OR(K70="LOW",K70="OUT"),COUNTIF($K$2:K70,"LOW")+COUNTIF($K$2:K70,"OUT"),"")</f>
        <v/>
      </c>
    </row>
    <row r="71" customFormat="false" ht="15" hidden="false" customHeight="true" outlineLevel="0" collapsed="false">
      <c r="A71" s="16" t="str">
        <f aca="false">IF(Products!A71="","",Products!A71)</f>
        <v/>
      </c>
      <c r="B71" s="16" t="str">
        <f aca="false">IF($A71="","",INDEX(Products!$B$2:$B$501,ROW()-1))</f>
        <v/>
      </c>
      <c r="C71" s="16" t="str">
        <f aca="false">IF($A71="","",INDEX(Products!$C$2:$C$501,ROW()-1))</f>
        <v/>
      </c>
      <c r="D71" s="16" t="str">
        <f aca="false">IF(A71="","",N(Products!I71))</f>
        <v/>
      </c>
      <c r="E71" s="16" t="str">
        <f aca="false">IF(A71="","",SUMIFS(Purchases!$D$2:$D$2001,Purchases!$B$2:$B$2001,A71))</f>
        <v/>
      </c>
      <c r="F71" s="16" t="str">
        <f aca="false">IF(A71="","",SUMIFS(Sales_Items!$E$2:$E$3001,Sales_Items!$C$2:$C$3001,A71))</f>
        <v/>
      </c>
      <c r="G71" s="16" t="str">
        <f aca="false">IF(A71="","",D71+E71-F71)</f>
        <v/>
      </c>
      <c r="H71" s="17" t="str">
        <f aca="false">IF(A71="","",N(Products!E71))</f>
        <v/>
      </c>
      <c r="I71" s="17" t="str">
        <f aca="false">IF(A71="","",G71*H71)</f>
        <v/>
      </c>
      <c r="J71" s="16" t="str">
        <f aca="false">IF(A71="","",IF(Products!G71="",Settings!$B$8,Products!G71))</f>
        <v/>
      </c>
      <c r="K71" s="16" t="str">
        <f aca="false">IF(A71="","",IF(G71&lt;=0,"OUT",IF(G71&lt;=J71,"LOW","OK")))</f>
        <v/>
      </c>
      <c r="L71" s="16" t="str">
        <f aca="false">IF(A71="","",F71+ROW()/1000000)</f>
        <v/>
      </c>
      <c r="M71" s="16" t="str">
        <f aca="false">IF(OR(K71="LOW",K71="OUT"),COUNTIF($K$2:K71,"LOW")+COUNTIF($K$2:K71,"OUT"),"")</f>
        <v/>
      </c>
    </row>
    <row r="72" customFormat="false" ht="15" hidden="false" customHeight="true" outlineLevel="0" collapsed="false">
      <c r="A72" s="16" t="str">
        <f aca="false">IF(Products!A72="","",Products!A72)</f>
        <v/>
      </c>
      <c r="B72" s="16" t="str">
        <f aca="false">IF($A72="","",INDEX(Products!$B$2:$B$501,ROW()-1))</f>
        <v/>
      </c>
      <c r="C72" s="16" t="str">
        <f aca="false">IF($A72="","",INDEX(Products!$C$2:$C$501,ROW()-1))</f>
        <v/>
      </c>
      <c r="D72" s="16" t="str">
        <f aca="false">IF(A72="","",N(Products!I72))</f>
        <v/>
      </c>
      <c r="E72" s="16" t="str">
        <f aca="false">IF(A72="","",SUMIFS(Purchases!$D$2:$D$2001,Purchases!$B$2:$B$2001,A72))</f>
        <v/>
      </c>
      <c r="F72" s="16" t="str">
        <f aca="false">IF(A72="","",SUMIFS(Sales_Items!$E$2:$E$3001,Sales_Items!$C$2:$C$3001,A72))</f>
        <v/>
      </c>
      <c r="G72" s="16" t="str">
        <f aca="false">IF(A72="","",D72+E72-F72)</f>
        <v/>
      </c>
      <c r="H72" s="17" t="str">
        <f aca="false">IF(A72="","",N(Products!E72))</f>
        <v/>
      </c>
      <c r="I72" s="17" t="str">
        <f aca="false">IF(A72="","",G72*H72)</f>
        <v/>
      </c>
      <c r="J72" s="16" t="str">
        <f aca="false">IF(A72="","",IF(Products!G72="",Settings!$B$8,Products!G72))</f>
        <v/>
      </c>
      <c r="K72" s="16" t="str">
        <f aca="false">IF(A72="","",IF(G72&lt;=0,"OUT",IF(G72&lt;=J72,"LOW","OK")))</f>
        <v/>
      </c>
      <c r="L72" s="16" t="str">
        <f aca="false">IF(A72="","",F72+ROW()/1000000)</f>
        <v/>
      </c>
      <c r="M72" s="16" t="str">
        <f aca="false">IF(OR(K72="LOW",K72="OUT"),COUNTIF($K$2:K72,"LOW")+COUNTIF($K$2:K72,"OUT"),"")</f>
        <v/>
      </c>
    </row>
    <row r="73" customFormat="false" ht="15" hidden="false" customHeight="true" outlineLevel="0" collapsed="false">
      <c r="A73" s="16" t="str">
        <f aca="false">IF(Products!A73="","",Products!A73)</f>
        <v/>
      </c>
      <c r="B73" s="16" t="str">
        <f aca="false">IF($A73="","",INDEX(Products!$B$2:$B$501,ROW()-1))</f>
        <v/>
      </c>
      <c r="C73" s="16" t="str">
        <f aca="false">IF($A73="","",INDEX(Products!$C$2:$C$501,ROW()-1))</f>
        <v/>
      </c>
      <c r="D73" s="16" t="str">
        <f aca="false">IF(A73="","",N(Products!I73))</f>
        <v/>
      </c>
      <c r="E73" s="16" t="str">
        <f aca="false">IF(A73="","",SUMIFS(Purchases!$D$2:$D$2001,Purchases!$B$2:$B$2001,A73))</f>
        <v/>
      </c>
      <c r="F73" s="16" t="str">
        <f aca="false">IF(A73="","",SUMIFS(Sales_Items!$E$2:$E$3001,Sales_Items!$C$2:$C$3001,A73))</f>
        <v/>
      </c>
      <c r="G73" s="16" t="str">
        <f aca="false">IF(A73="","",D73+E73-F73)</f>
        <v/>
      </c>
      <c r="H73" s="17" t="str">
        <f aca="false">IF(A73="","",N(Products!E73))</f>
        <v/>
      </c>
      <c r="I73" s="17" t="str">
        <f aca="false">IF(A73="","",G73*H73)</f>
        <v/>
      </c>
      <c r="J73" s="16" t="str">
        <f aca="false">IF(A73="","",IF(Products!G73="",Settings!$B$8,Products!G73))</f>
        <v/>
      </c>
      <c r="K73" s="16" t="str">
        <f aca="false">IF(A73="","",IF(G73&lt;=0,"OUT",IF(G73&lt;=J73,"LOW","OK")))</f>
        <v/>
      </c>
      <c r="L73" s="16" t="str">
        <f aca="false">IF(A73="","",F73+ROW()/1000000)</f>
        <v/>
      </c>
      <c r="M73" s="16" t="str">
        <f aca="false">IF(OR(K73="LOW",K73="OUT"),COUNTIF($K$2:K73,"LOW")+COUNTIF($K$2:K73,"OUT"),"")</f>
        <v/>
      </c>
    </row>
    <row r="74" customFormat="false" ht="15" hidden="false" customHeight="true" outlineLevel="0" collapsed="false">
      <c r="A74" s="16" t="str">
        <f aca="false">IF(Products!A74="","",Products!A74)</f>
        <v/>
      </c>
      <c r="B74" s="16" t="str">
        <f aca="false">IF($A74="","",INDEX(Products!$B$2:$B$501,ROW()-1))</f>
        <v/>
      </c>
      <c r="C74" s="16" t="str">
        <f aca="false">IF($A74="","",INDEX(Products!$C$2:$C$501,ROW()-1))</f>
        <v/>
      </c>
      <c r="D74" s="16" t="str">
        <f aca="false">IF(A74="","",N(Products!I74))</f>
        <v/>
      </c>
      <c r="E74" s="16" t="str">
        <f aca="false">IF(A74="","",SUMIFS(Purchases!$D$2:$D$2001,Purchases!$B$2:$B$2001,A74))</f>
        <v/>
      </c>
      <c r="F74" s="16" t="str">
        <f aca="false">IF(A74="","",SUMIFS(Sales_Items!$E$2:$E$3001,Sales_Items!$C$2:$C$3001,A74))</f>
        <v/>
      </c>
      <c r="G74" s="16" t="str">
        <f aca="false">IF(A74="","",D74+E74-F74)</f>
        <v/>
      </c>
      <c r="H74" s="17" t="str">
        <f aca="false">IF(A74="","",N(Products!E74))</f>
        <v/>
      </c>
      <c r="I74" s="17" t="str">
        <f aca="false">IF(A74="","",G74*H74)</f>
        <v/>
      </c>
      <c r="J74" s="16" t="str">
        <f aca="false">IF(A74="","",IF(Products!G74="",Settings!$B$8,Products!G74))</f>
        <v/>
      </c>
      <c r="K74" s="16" t="str">
        <f aca="false">IF(A74="","",IF(G74&lt;=0,"OUT",IF(G74&lt;=J74,"LOW","OK")))</f>
        <v/>
      </c>
      <c r="L74" s="16" t="str">
        <f aca="false">IF(A74="","",F74+ROW()/1000000)</f>
        <v/>
      </c>
      <c r="M74" s="16" t="str">
        <f aca="false">IF(OR(K74="LOW",K74="OUT"),COUNTIF($K$2:K74,"LOW")+COUNTIF($K$2:K74,"OUT"),"")</f>
        <v/>
      </c>
    </row>
    <row r="75" customFormat="false" ht="15" hidden="false" customHeight="true" outlineLevel="0" collapsed="false">
      <c r="A75" s="16" t="str">
        <f aca="false">IF(Products!A75="","",Products!A75)</f>
        <v/>
      </c>
      <c r="B75" s="16" t="str">
        <f aca="false">IF($A75="","",INDEX(Products!$B$2:$B$501,ROW()-1))</f>
        <v/>
      </c>
      <c r="C75" s="16" t="str">
        <f aca="false">IF($A75="","",INDEX(Products!$C$2:$C$501,ROW()-1))</f>
        <v/>
      </c>
      <c r="D75" s="16" t="str">
        <f aca="false">IF(A75="","",N(Products!I75))</f>
        <v/>
      </c>
      <c r="E75" s="16" t="str">
        <f aca="false">IF(A75="","",SUMIFS(Purchases!$D$2:$D$2001,Purchases!$B$2:$B$2001,A75))</f>
        <v/>
      </c>
      <c r="F75" s="16" t="str">
        <f aca="false">IF(A75="","",SUMIFS(Sales_Items!$E$2:$E$3001,Sales_Items!$C$2:$C$3001,A75))</f>
        <v/>
      </c>
      <c r="G75" s="16" t="str">
        <f aca="false">IF(A75="","",D75+E75-F75)</f>
        <v/>
      </c>
      <c r="H75" s="17" t="str">
        <f aca="false">IF(A75="","",N(Products!E75))</f>
        <v/>
      </c>
      <c r="I75" s="17" t="str">
        <f aca="false">IF(A75="","",G75*H75)</f>
        <v/>
      </c>
      <c r="J75" s="16" t="str">
        <f aca="false">IF(A75="","",IF(Products!G75="",Settings!$B$8,Products!G75))</f>
        <v/>
      </c>
      <c r="K75" s="16" t="str">
        <f aca="false">IF(A75="","",IF(G75&lt;=0,"OUT",IF(G75&lt;=J75,"LOW","OK")))</f>
        <v/>
      </c>
      <c r="L75" s="16" t="str">
        <f aca="false">IF(A75="","",F75+ROW()/1000000)</f>
        <v/>
      </c>
      <c r="M75" s="16" t="str">
        <f aca="false">IF(OR(K75="LOW",K75="OUT"),COUNTIF($K$2:K75,"LOW")+COUNTIF($K$2:K75,"OUT"),"")</f>
        <v/>
      </c>
    </row>
    <row r="76" customFormat="false" ht="15" hidden="false" customHeight="true" outlineLevel="0" collapsed="false">
      <c r="A76" s="16" t="str">
        <f aca="false">IF(Products!A76="","",Products!A76)</f>
        <v/>
      </c>
      <c r="B76" s="16" t="str">
        <f aca="false">IF($A76="","",INDEX(Products!$B$2:$B$501,ROW()-1))</f>
        <v/>
      </c>
      <c r="C76" s="16" t="str">
        <f aca="false">IF($A76="","",INDEX(Products!$C$2:$C$501,ROW()-1))</f>
        <v/>
      </c>
      <c r="D76" s="16" t="str">
        <f aca="false">IF(A76="","",N(Products!I76))</f>
        <v/>
      </c>
      <c r="E76" s="16" t="str">
        <f aca="false">IF(A76="","",SUMIFS(Purchases!$D$2:$D$2001,Purchases!$B$2:$B$2001,A76))</f>
        <v/>
      </c>
      <c r="F76" s="16" t="str">
        <f aca="false">IF(A76="","",SUMIFS(Sales_Items!$E$2:$E$3001,Sales_Items!$C$2:$C$3001,A76))</f>
        <v/>
      </c>
      <c r="G76" s="16" t="str">
        <f aca="false">IF(A76="","",D76+E76-F76)</f>
        <v/>
      </c>
      <c r="H76" s="17" t="str">
        <f aca="false">IF(A76="","",N(Products!E76))</f>
        <v/>
      </c>
      <c r="I76" s="17" t="str">
        <f aca="false">IF(A76="","",G76*H76)</f>
        <v/>
      </c>
      <c r="J76" s="16" t="str">
        <f aca="false">IF(A76="","",IF(Products!G76="",Settings!$B$8,Products!G76))</f>
        <v/>
      </c>
      <c r="K76" s="16" t="str">
        <f aca="false">IF(A76="","",IF(G76&lt;=0,"OUT",IF(G76&lt;=J76,"LOW","OK")))</f>
        <v/>
      </c>
      <c r="L76" s="16" t="str">
        <f aca="false">IF(A76="","",F76+ROW()/1000000)</f>
        <v/>
      </c>
      <c r="M76" s="16" t="str">
        <f aca="false">IF(OR(K76="LOW",K76="OUT"),COUNTIF($K$2:K76,"LOW")+COUNTIF($K$2:K76,"OUT"),"")</f>
        <v/>
      </c>
    </row>
    <row r="77" customFormat="false" ht="15" hidden="false" customHeight="true" outlineLevel="0" collapsed="false">
      <c r="A77" s="16" t="str">
        <f aca="false">IF(Products!A77="","",Products!A77)</f>
        <v/>
      </c>
      <c r="B77" s="16" t="str">
        <f aca="false">IF($A77="","",INDEX(Products!$B$2:$B$501,ROW()-1))</f>
        <v/>
      </c>
      <c r="C77" s="16" t="str">
        <f aca="false">IF($A77="","",INDEX(Products!$C$2:$C$501,ROW()-1))</f>
        <v/>
      </c>
      <c r="D77" s="16" t="str">
        <f aca="false">IF(A77="","",N(Products!I77))</f>
        <v/>
      </c>
      <c r="E77" s="16" t="str">
        <f aca="false">IF(A77="","",SUMIFS(Purchases!$D$2:$D$2001,Purchases!$B$2:$B$2001,A77))</f>
        <v/>
      </c>
      <c r="F77" s="16" t="str">
        <f aca="false">IF(A77="","",SUMIFS(Sales_Items!$E$2:$E$3001,Sales_Items!$C$2:$C$3001,A77))</f>
        <v/>
      </c>
      <c r="G77" s="16" t="str">
        <f aca="false">IF(A77="","",D77+E77-F77)</f>
        <v/>
      </c>
      <c r="H77" s="17" t="str">
        <f aca="false">IF(A77="","",N(Products!E77))</f>
        <v/>
      </c>
      <c r="I77" s="17" t="str">
        <f aca="false">IF(A77="","",G77*H77)</f>
        <v/>
      </c>
      <c r="J77" s="16" t="str">
        <f aca="false">IF(A77="","",IF(Products!G77="",Settings!$B$8,Products!G77))</f>
        <v/>
      </c>
      <c r="K77" s="16" t="str">
        <f aca="false">IF(A77="","",IF(G77&lt;=0,"OUT",IF(G77&lt;=J77,"LOW","OK")))</f>
        <v/>
      </c>
      <c r="L77" s="16" t="str">
        <f aca="false">IF(A77="","",F77+ROW()/1000000)</f>
        <v/>
      </c>
      <c r="M77" s="16" t="str">
        <f aca="false">IF(OR(K77="LOW",K77="OUT"),COUNTIF($K$2:K77,"LOW")+COUNTIF($K$2:K77,"OUT"),"")</f>
        <v/>
      </c>
    </row>
    <row r="78" customFormat="false" ht="15" hidden="false" customHeight="true" outlineLevel="0" collapsed="false">
      <c r="A78" s="16" t="str">
        <f aca="false">IF(Products!A78="","",Products!A78)</f>
        <v/>
      </c>
      <c r="B78" s="16" t="str">
        <f aca="false">IF($A78="","",INDEX(Products!$B$2:$B$501,ROW()-1))</f>
        <v/>
      </c>
      <c r="C78" s="16" t="str">
        <f aca="false">IF($A78="","",INDEX(Products!$C$2:$C$501,ROW()-1))</f>
        <v/>
      </c>
      <c r="D78" s="16" t="str">
        <f aca="false">IF(A78="","",N(Products!I78))</f>
        <v/>
      </c>
      <c r="E78" s="16" t="str">
        <f aca="false">IF(A78="","",SUMIFS(Purchases!$D$2:$D$2001,Purchases!$B$2:$B$2001,A78))</f>
        <v/>
      </c>
      <c r="F78" s="16" t="str">
        <f aca="false">IF(A78="","",SUMIFS(Sales_Items!$E$2:$E$3001,Sales_Items!$C$2:$C$3001,A78))</f>
        <v/>
      </c>
      <c r="G78" s="16" t="str">
        <f aca="false">IF(A78="","",D78+E78-F78)</f>
        <v/>
      </c>
      <c r="H78" s="17" t="str">
        <f aca="false">IF(A78="","",N(Products!E78))</f>
        <v/>
      </c>
      <c r="I78" s="17" t="str">
        <f aca="false">IF(A78="","",G78*H78)</f>
        <v/>
      </c>
      <c r="J78" s="16" t="str">
        <f aca="false">IF(A78="","",IF(Products!G78="",Settings!$B$8,Products!G78))</f>
        <v/>
      </c>
      <c r="K78" s="16" t="str">
        <f aca="false">IF(A78="","",IF(G78&lt;=0,"OUT",IF(G78&lt;=J78,"LOW","OK")))</f>
        <v/>
      </c>
      <c r="L78" s="16" t="str">
        <f aca="false">IF(A78="","",F78+ROW()/1000000)</f>
        <v/>
      </c>
      <c r="M78" s="16" t="str">
        <f aca="false">IF(OR(K78="LOW",K78="OUT"),COUNTIF($K$2:K78,"LOW")+COUNTIF($K$2:K78,"OUT"),"")</f>
        <v/>
      </c>
    </row>
    <row r="79" customFormat="false" ht="15" hidden="false" customHeight="true" outlineLevel="0" collapsed="false">
      <c r="A79" s="16" t="str">
        <f aca="false">IF(Products!A79="","",Products!A79)</f>
        <v/>
      </c>
      <c r="B79" s="16" t="str">
        <f aca="false">IF($A79="","",INDEX(Products!$B$2:$B$501,ROW()-1))</f>
        <v/>
      </c>
      <c r="C79" s="16" t="str">
        <f aca="false">IF($A79="","",INDEX(Products!$C$2:$C$501,ROW()-1))</f>
        <v/>
      </c>
      <c r="D79" s="16" t="str">
        <f aca="false">IF(A79="","",N(Products!I79))</f>
        <v/>
      </c>
      <c r="E79" s="16" t="str">
        <f aca="false">IF(A79="","",SUMIFS(Purchases!$D$2:$D$2001,Purchases!$B$2:$B$2001,A79))</f>
        <v/>
      </c>
      <c r="F79" s="16" t="str">
        <f aca="false">IF(A79="","",SUMIFS(Sales_Items!$E$2:$E$3001,Sales_Items!$C$2:$C$3001,A79))</f>
        <v/>
      </c>
      <c r="G79" s="16" t="str">
        <f aca="false">IF(A79="","",D79+E79-F79)</f>
        <v/>
      </c>
      <c r="H79" s="17" t="str">
        <f aca="false">IF(A79="","",N(Products!E79))</f>
        <v/>
      </c>
      <c r="I79" s="17" t="str">
        <f aca="false">IF(A79="","",G79*H79)</f>
        <v/>
      </c>
      <c r="J79" s="16" t="str">
        <f aca="false">IF(A79="","",IF(Products!G79="",Settings!$B$8,Products!G79))</f>
        <v/>
      </c>
      <c r="K79" s="16" t="str">
        <f aca="false">IF(A79="","",IF(G79&lt;=0,"OUT",IF(G79&lt;=J79,"LOW","OK")))</f>
        <v/>
      </c>
      <c r="L79" s="16" t="str">
        <f aca="false">IF(A79="","",F79+ROW()/1000000)</f>
        <v/>
      </c>
      <c r="M79" s="16" t="str">
        <f aca="false">IF(OR(K79="LOW",K79="OUT"),COUNTIF($K$2:K79,"LOW")+COUNTIF($K$2:K79,"OUT"),"")</f>
        <v/>
      </c>
    </row>
    <row r="80" customFormat="false" ht="15" hidden="false" customHeight="true" outlineLevel="0" collapsed="false">
      <c r="A80" s="16" t="str">
        <f aca="false">IF(Products!A80="","",Products!A80)</f>
        <v/>
      </c>
      <c r="B80" s="16" t="str">
        <f aca="false">IF($A80="","",INDEX(Products!$B$2:$B$501,ROW()-1))</f>
        <v/>
      </c>
      <c r="C80" s="16" t="str">
        <f aca="false">IF($A80="","",INDEX(Products!$C$2:$C$501,ROW()-1))</f>
        <v/>
      </c>
      <c r="D80" s="16" t="str">
        <f aca="false">IF(A80="","",N(Products!I80))</f>
        <v/>
      </c>
      <c r="E80" s="16" t="str">
        <f aca="false">IF(A80="","",SUMIFS(Purchases!$D$2:$D$2001,Purchases!$B$2:$B$2001,A80))</f>
        <v/>
      </c>
      <c r="F80" s="16" t="str">
        <f aca="false">IF(A80="","",SUMIFS(Sales_Items!$E$2:$E$3001,Sales_Items!$C$2:$C$3001,A80))</f>
        <v/>
      </c>
      <c r="G80" s="16" t="str">
        <f aca="false">IF(A80="","",D80+E80-F80)</f>
        <v/>
      </c>
      <c r="H80" s="17" t="str">
        <f aca="false">IF(A80="","",N(Products!E80))</f>
        <v/>
      </c>
      <c r="I80" s="17" t="str">
        <f aca="false">IF(A80="","",G80*H80)</f>
        <v/>
      </c>
      <c r="J80" s="16" t="str">
        <f aca="false">IF(A80="","",IF(Products!G80="",Settings!$B$8,Products!G80))</f>
        <v/>
      </c>
      <c r="K80" s="16" t="str">
        <f aca="false">IF(A80="","",IF(G80&lt;=0,"OUT",IF(G80&lt;=J80,"LOW","OK")))</f>
        <v/>
      </c>
      <c r="L80" s="16" t="str">
        <f aca="false">IF(A80="","",F80+ROW()/1000000)</f>
        <v/>
      </c>
      <c r="M80" s="16" t="str">
        <f aca="false">IF(OR(K80="LOW",K80="OUT"),COUNTIF($K$2:K80,"LOW")+COUNTIF($K$2:K80,"OUT"),"")</f>
        <v/>
      </c>
    </row>
    <row r="81" customFormat="false" ht="15" hidden="false" customHeight="true" outlineLevel="0" collapsed="false">
      <c r="A81" s="16" t="str">
        <f aca="false">IF(Products!A81="","",Products!A81)</f>
        <v/>
      </c>
      <c r="B81" s="16" t="str">
        <f aca="false">IF($A81="","",INDEX(Products!$B$2:$B$501,ROW()-1))</f>
        <v/>
      </c>
      <c r="C81" s="16" t="str">
        <f aca="false">IF($A81="","",INDEX(Products!$C$2:$C$501,ROW()-1))</f>
        <v/>
      </c>
      <c r="D81" s="16" t="str">
        <f aca="false">IF(A81="","",N(Products!I81))</f>
        <v/>
      </c>
      <c r="E81" s="16" t="str">
        <f aca="false">IF(A81="","",SUMIFS(Purchases!$D$2:$D$2001,Purchases!$B$2:$B$2001,A81))</f>
        <v/>
      </c>
      <c r="F81" s="16" t="str">
        <f aca="false">IF(A81="","",SUMIFS(Sales_Items!$E$2:$E$3001,Sales_Items!$C$2:$C$3001,A81))</f>
        <v/>
      </c>
      <c r="G81" s="16" t="str">
        <f aca="false">IF(A81="","",D81+E81-F81)</f>
        <v/>
      </c>
      <c r="H81" s="17" t="str">
        <f aca="false">IF(A81="","",N(Products!E81))</f>
        <v/>
      </c>
      <c r="I81" s="17" t="str">
        <f aca="false">IF(A81="","",G81*H81)</f>
        <v/>
      </c>
      <c r="J81" s="16" t="str">
        <f aca="false">IF(A81="","",IF(Products!G81="",Settings!$B$8,Products!G81))</f>
        <v/>
      </c>
      <c r="K81" s="16" t="str">
        <f aca="false">IF(A81="","",IF(G81&lt;=0,"OUT",IF(G81&lt;=J81,"LOW","OK")))</f>
        <v/>
      </c>
      <c r="L81" s="16" t="str">
        <f aca="false">IF(A81="","",F81+ROW()/1000000)</f>
        <v/>
      </c>
      <c r="M81" s="16" t="str">
        <f aca="false">IF(OR(K81="LOW",K81="OUT"),COUNTIF($K$2:K81,"LOW")+COUNTIF($K$2:K81,"OUT"),"")</f>
        <v/>
      </c>
    </row>
    <row r="82" customFormat="false" ht="15" hidden="false" customHeight="true" outlineLevel="0" collapsed="false">
      <c r="A82" s="16" t="str">
        <f aca="false">IF(Products!A82="","",Products!A82)</f>
        <v/>
      </c>
      <c r="B82" s="16" t="str">
        <f aca="false">IF($A82="","",INDEX(Products!$B$2:$B$501,ROW()-1))</f>
        <v/>
      </c>
      <c r="C82" s="16" t="str">
        <f aca="false">IF($A82="","",INDEX(Products!$C$2:$C$501,ROW()-1))</f>
        <v/>
      </c>
      <c r="D82" s="16" t="str">
        <f aca="false">IF(A82="","",N(Products!I82))</f>
        <v/>
      </c>
      <c r="E82" s="16" t="str">
        <f aca="false">IF(A82="","",SUMIFS(Purchases!$D$2:$D$2001,Purchases!$B$2:$B$2001,A82))</f>
        <v/>
      </c>
      <c r="F82" s="16" t="str">
        <f aca="false">IF(A82="","",SUMIFS(Sales_Items!$E$2:$E$3001,Sales_Items!$C$2:$C$3001,A82))</f>
        <v/>
      </c>
      <c r="G82" s="16" t="str">
        <f aca="false">IF(A82="","",D82+E82-F82)</f>
        <v/>
      </c>
      <c r="H82" s="17" t="str">
        <f aca="false">IF(A82="","",N(Products!E82))</f>
        <v/>
      </c>
      <c r="I82" s="17" t="str">
        <f aca="false">IF(A82="","",G82*H82)</f>
        <v/>
      </c>
      <c r="J82" s="16" t="str">
        <f aca="false">IF(A82="","",IF(Products!G82="",Settings!$B$8,Products!G82))</f>
        <v/>
      </c>
      <c r="K82" s="16" t="str">
        <f aca="false">IF(A82="","",IF(G82&lt;=0,"OUT",IF(G82&lt;=J82,"LOW","OK")))</f>
        <v/>
      </c>
      <c r="L82" s="16" t="str">
        <f aca="false">IF(A82="","",F82+ROW()/1000000)</f>
        <v/>
      </c>
      <c r="M82" s="16" t="str">
        <f aca="false">IF(OR(K82="LOW",K82="OUT"),COUNTIF($K$2:K82,"LOW")+COUNTIF($K$2:K82,"OUT"),"")</f>
        <v/>
      </c>
    </row>
    <row r="83" customFormat="false" ht="15" hidden="false" customHeight="true" outlineLevel="0" collapsed="false">
      <c r="A83" s="16" t="str">
        <f aca="false">IF(Products!A83="","",Products!A83)</f>
        <v/>
      </c>
      <c r="B83" s="16" t="str">
        <f aca="false">IF($A83="","",INDEX(Products!$B$2:$B$501,ROW()-1))</f>
        <v/>
      </c>
      <c r="C83" s="16" t="str">
        <f aca="false">IF($A83="","",INDEX(Products!$C$2:$C$501,ROW()-1))</f>
        <v/>
      </c>
      <c r="D83" s="16" t="str">
        <f aca="false">IF(A83="","",N(Products!I83))</f>
        <v/>
      </c>
      <c r="E83" s="16" t="str">
        <f aca="false">IF(A83="","",SUMIFS(Purchases!$D$2:$D$2001,Purchases!$B$2:$B$2001,A83))</f>
        <v/>
      </c>
      <c r="F83" s="16" t="str">
        <f aca="false">IF(A83="","",SUMIFS(Sales_Items!$E$2:$E$3001,Sales_Items!$C$2:$C$3001,A83))</f>
        <v/>
      </c>
      <c r="G83" s="16" t="str">
        <f aca="false">IF(A83="","",D83+E83-F83)</f>
        <v/>
      </c>
      <c r="H83" s="17" t="str">
        <f aca="false">IF(A83="","",N(Products!E83))</f>
        <v/>
      </c>
      <c r="I83" s="17" t="str">
        <f aca="false">IF(A83="","",G83*H83)</f>
        <v/>
      </c>
      <c r="J83" s="16" t="str">
        <f aca="false">IF(A83="","",IF(Products!G83="",Settings!$B$8,Products!G83))</f>
        <v/>
      </c>
      <c r="K83" s="16" t="str">
        <f aca="false">IF(A83="","",IF(G83&lt;=0,"OUT",IF(G83&lt;=J83,"LOW","OK")))</f>
        <v/>
      </c>
      <c r="L83" s="16" t="str">
        <f aca="false">IF(A83="","",F83+ROW()/1000000)</f>
        <v/>
      </c>
      <c r="M83" s="16" t="str">
        <f aca="false">IF(OR(K83="LOW",K83="OUT"),COUNTIF($K$2:K83,"LOW")+COUNTIF($K$2:K83,"OUT"),"")</f>
        <v/>
      </c>
    </row>
    <row r="84" customFormat="false" ht="15" hidden="false" customHeight="true" outlineLevel="0" collapsed="false">
      <c r="A84" s="16" t="str">
        <f aca="false">IF(Products!A84="","",Products!A84)</f>
        <v/>
      </c>
      <c r="B84" s="16" t="str">
        <f aca="false">IF($A84="","",INDEX(Products!$B$2:$B$501,ROW()-1))</f>
        <v/>
      </c>
      <c r="C84" s="16" t="str">
        <f aca="false">IF($A84="","",INDEX(Products!$C$2:$C$501,ROW()-1))</f>
        <v/>
      </c>
      <c r="D84" s="16" t="str">
        <f aca="false">IF(A84="","",N(Products!I84))</f>
        <v/>
      </c>
      <c r="E84" s="16" t="str">
        <f aca="false">IF(A84="","",SUMIFS(Purchases!$D$2:$D$2001,Purchases!$B$2:$B$2001,A84))</f>
        <v/>
      </c>
      <c r="F84" s="16" t="str">
        <f aca="false">IF(A84="","",SUMIFS(Sales_Items!$E$2:$E$3001,Sales_Items!$C$2:$C$3001,A84))</f>
        <v/>
      </c>
      <c r="G84" s="16" t="str">
        <f aca="false">IF(A84="","",D84+E84-F84)</f>
        <v/>
      </c>
      <c r="H84" s="17" t="str">
        <f aca="false">IF(A84="","",N(Products!E84))</f>
        <v/>
      </c>
      <c r="I84" s="17" t="str">
        <f aca="false">IF(A84="","",G84*H84)</f>
        <v/>
      </c>
      <c r="J84" s="16" t="str">
        <f aca="false">IF(A84="","",IF(Products!G84="",Settings!$B$8,Products!G84))</f>
        <v/>
      </c>
      <c r="K84" s="16" t="str">
        <f aca="false">IF(A84="","",IF(G84&lt;=0,"OUT",IF(G84&lt;=J84,"LOW","OK")))</f>
        <v/>
      </c>
      <c r="L84" s="16" t="str">
        <f aca="false">IF(A84="","",F84+ROW()/1000000)</f>
        <v/>
      </c>
      <c r="M84" s="16" t="str">
        <f aca="false">IF(OR(K84="LOW",K84="OUT"),COUNTIF($K$2:K84,"LOW")+COUNTIF($K$2:K84,"OUT"),"")</f>
        <v/>
      </c>
    </row>
    <row r="85" customFormat="false" ht="15" hidden="false" customHeight="true" outlineLevel="0" collapsed="false">
      <c r="A85" s="16" t="str">
        <f aca="false">IF(Products!A85="","",Products!A85)</f>
        <v/>
      </c>
      <c r="B85" s="16" t="str">
        <f aca="false">IF($A85="","",INDEX(Products!$B$2:$B$501,ROW()-1))</f>
        <v/>
      </c>
      <c r="C85" s="16" t="str">
        <f aca="false">IF($A85="","",INDEX(Products!$C$2:$C$501,ROW()-1))</f>
        <v/>
      </c>
      <c r="D85" s="16" t="str">
        <f aca="false">IF(A85="","",N(Products!I85))</f>
        <v/>
      </c>
      <c r="E85" s="16" t="str">
        <f aca="false">IF(A85="","",SUMIFS(Purchases!$D$2:$D$2001,Purchases!$B$2:$B$2001,A85))</f>
        <v/>
      </c>
      <c r="F85" s="16" t="str">
        <f aca="false">IF(A85="","",SUMIFS(Sales_Items!$E$2:$E$3001,Sales_Items!$C$2:$C$3001,A85))</f>
        <v/>
      </c>
      <c r="G85" s="16" t="str">
        <f aca="false">IF(A85="","",D85+E85-F85)</f>
        <v/>
      </c>
      <c r="H85" s="17" t="str">
        <f aca="false">IF(A85="","",N(Products!E85))</f>
        <v/>
      </c>
      <c r="I85" s="17" t="str">
        <f aca="false">IF(A85="","",G85*H85)</f>
        <v/>
      </c>
      <c r="J85" s="16" t="str">
        <f aca="false">IF(A85="","",IF(Products!G85="",Settings!$B$8,Products!G85))</f>
        <v/>
      </c>
      <c r="K85" s="16" t="str">
        <f aca="false">IF(A85="","",IF(G85&lt;=0,"OUT",IF(G85&lt;=J85,"LOW","OK")))</f>
        <v/>
      </c>
      <c r="L85" s="16" t="str">
        <f aca="false">IF(A85="","",F85+ROW()/1000000)</f>
        <v/>
      </c>
      <c r="M85" s="16" t="str">
        <f aca="false">IF(OR(K85="LOW",K85="OUT"),COUNTIF($K$2:K85,"LOW")+COUNTIF($K$2:K85,"OUT"),"")</f>
        <v/>
      </c>
    </row>
    <row r="86" customFormat="false" ht="15" hidden="false" customHeight="true" outlineLevel="0" collapsed="false">
      <c r="A86" s="16" t="str">
        <f aca="false">IF(Products!A86="","",Products!A86)</f>
        <v/>
      </c>
      <c r="B86" s="16" t="str">
        <f aca="false">IF($A86="","",INDEX(Products!$B$2:$B$501,ROW()-1))</f>
        <v/>
      </c>
      <c r="C86" s="16" t="str">
        <f aca="false">IF($A86="","",INDEX(Products!$C$2:$C$501,ROW()-1))</f>
        <v/>
      </c>
      <c r="D86" s="16" t="str">
        <f aca="false">IF(A86="","",N(Products!I86))</f>
        <v/>
      </c>
      <c r="E86" s="16" t="str">
        <f aca="false">IF(A86="","",SUMIFS(Purchases!$D$2:$D$2001,Purchases!$B$2:$B$2001,A86))</f>
        <v/>
      </c>
      <c r="F86" s="16" t="str">
        <f aca="false">IF(A86="","",SUMIFS(Sales_Items!$E$2:$E$3001,Sales_Items!$C$2:$C$3001,A86))</f>
        <v/>
      </c>
      <c r="G86" s="16" t="str">
        <f aca="false">IF(A86="","",D86+E86-F86)</f>
        <v/>
      </c>
      <c r="H86" s="17" t="str">
        <f aca="false">IF(A86="","",N(Products!E86))</f>
        <v/>
      </c>
      <c r="I86" s="17" t="str">
        <f aca="false">IF(A86="","",G86*H86)</f>
        <v/>
      </c>
      <c r="J86" s="16" t="str">
        <f aca="false">IF(A86="","",IF(Products!G86="",Settings!$B$8,Products!G86))</f>
        <v/>
      </c>
      <c r="K86" s="16" t="str">
        <f aca="false">IF(A86="","",IF(G86&lt;=0,"OUT",IF(G86&lt;=J86,"LOW","OK")))</f>
        <v/>
      </c>
      <c r="L86" s="16" t="str">
        <f aca="false">IF(A86="","",F86+ROW()/1000000)</f>
        <v/>
      </c>
      <c r="M86" s="16" t="str">
        <f aca="false">IF(OR(K86="LOW",K86="OUT"),COUNTIF($K$2:K86,"LOW")+COUNTIF($K$2:K86,"OUT"),"")</f>
        <v/>
      </c>
    </row>
    <row r="87" customFormat="false" ht="15" hidden="false" customHeight="true" outlineLevel="0" collapsed="false">
      <c r="A87" s="16" t="str">
        <f aca="false">IF(Products!A87="","",Products!A87)</f>
        <v/>
      </c>
      <c r="B87" s="16" t="str">
        <f aca="false">IF($A87="","",INDEX(Products!$B$2:$B$501,ROW()-1))</f>
        <v/>
      </c>
      <c r="C87" s="16" t="str">
        <f aca="false">IF($A87="","",INDEX(Products!$C$2:$C$501,ROW()-1))</f>
        <v/>
      </c>
      <c r="D87" s="16" t="str">
        <f aca="false">IF(A87="","",N(Products!I87))</f>
        <v/>
      </c>
      <c r="E87" s="16" t="str">
        <f aca="false">IF(A87="","",SUMIFS(Purchases!$D$2:$D$2001,Purchases!$B$2:$B$2001,A87))</f>
        <v/>
      </c>
      <c r="F87" s="16" t="str">
        <f aca="false">IF(A87="","",SUMIFS(Sales_Items!$E$2:$E$3001,Sales_Items!$C$2:$C$3001,A87))</f>
        <v/>
      </c>
      <c r="G87" s="16" t="str">
        <f aca="false">IF(A87="","",D87+E87-F87)</f>
        <v/>
      </c>
      <c r="H87" s="17" t="str">
        <f aca="false">IF(A87="","",N(Products!E87))</f>
        <v/>
      </c>
      <c r="I87" s="17" t="str">
        <f aca="false">IF(A87="","",G87*H87)</f>
        <v/>
      </c>
      <c r="J87" s="16" t="str">
        <f aca="false">IF(A87="","",IF(Products!G87="",Settings!$B$8,Products!G87))</f>
        <v/>
      </c>
      <c r="K87" s="16" t="str">
        <f aca="false">IF(A87="","",IF(G87&lt;=0,"OUT",IF(G87&lt;=J87,"LOW","OK")))</f>
        <v/>
      </c>
      <c r="L87" s="16" t="str">
        <f aca="false">IF(A87="","",F87+ROW()/1000000)</f>
        <v/>
      </c>
      <c r="M87" s="16" t="str">
        <f aca="false">IF(OR(K87="LOW",K87="OUT"),COUNTIF($K$2:K87,"LOW")+COUNTIF($K$2:K87,"OUT"),"")</f>
        <v/>
      </c>
    </row>
    <row r="88" customFormat="false" ht="15" hidden="false" customHeight="true" outlineLevel="0" collapsed="false">
      <c r="A88" s="16" t="str">
        <f aca="false">IF(Products!A88="","",Products!A88)</f>
        <v/>
      </c>
      <c r="B88" s="16" t="str">
        <f aca="false">IF($A88="","",INDEX(Products!$B$2:$B$501,ROW()-1))</f>
        <v/>
      </c>
      <c r="C88" s="16" t="str">
        <f aca="false">IF($A88="","",INDEX(Products!$C$2:$C$501,ROW()-1))</f>
        <v/>
      </c>
      <c r="D88" s="16" t="str">
        <f aca="false">IF(A88="","",N(Products!I88))</f>
        <v/>
      </c>
      <c r="E88" s="16" t="str">
        <f aca="false">IF(A88="","",SUMIFS(Purchases!$D$2:$D$2001,Purchases!$B$2:$B$2001,A88))</f>
        <v/>
      </c>
      <c r="F88" s="16" t="str">
        <f aca="false">IF(A88="","",SUMIFS(Sales_Items!$E$2:$E$3001,Sales_Items!$C$2:$C$3001,A88))</f>
        <v/>
      </c>
      <c r="G88" s="16" t="str">
        <f aca="false">IF(A88="","",D88+E88-F88)</f>
        <v/>
      </c>
      <c r="H88" s="17" t="str">
        <f aca="false">IF(A88="","",N(Products!E88))</f>
        <v/>
      </c>
      <c r="I88" s="17" t="str">
        <f aca="false">IF(A88="","",G88*H88)</f>
        <v/>
      </c>
      <c r="J88" s="16" t="str">
        <f aca="false">IF(A88="","",IF(Products!G88="",Settings!$B$8,Products!G88))</f>
        <v/>
      </c>
      <c r="K88" s="16" t="str">
        <f aca="false">IF(A88="","",IF(G88&lt;=0,"OUT",IF(G88&lt;=J88,"LOW","OK")))</f>
        <v/>
      </c>
      <c r="L88" s="16" t="str">
        <f aca="false">IF(A88="","",F88+ROW()/1000000)</f>
        <v/>
      </c>
      <c r="M88" s="16" t="str">
        <f aca="false">IF(OR(K88="LOW",K88="OUT"),COUNTIF($K$2:K88,"LOW")+COUNTIF($K$2:K88,"OUT"),"")</f>
        <v/>
      </c>
    </row>
    <row r="89" customFormat="false" ht="15" hidden="false" customHeight="true" outlineLevel="0" collapsed="false">
      <c r="A89" s="16" t="str">
        <f aca="false">IF(Products!A89="","",Products!A89)</f>
        <v/>
      </c>
      <c r="B89" s="16" t="str">
        <f aca="false">IF($A89="","",INDEX(Products!$B$2:$B$501,ROW()-1))</f>
        <v/>
      </c>
      <c r="C89" s="16" t="str">
        <f aca="false">IF($A89="","",INDEX(Products!$C$2:$C$501,ROW()-1))</f>
        <v/>
      </c>
      <c r="D89" s="16" t="str">
        <f aca="false">IF(A89="","",N(Products!I89))</f>
        <v/>
      </c>
      <c r="E89" s="16" t="str">
        <f aca="false">IF(A89="","",SUMIFS(Purchases!$D$2:$D$2001,Purchases!$B$2:$B$2001,A89))</f>
        <v/>
      </c>
      <c r="F89" s="16" t="str">
        <f aca="false">IF(A89="","",SUMIFS(Sales_Items!$E$2:$E$3001,Sales_Items!$C$2:$C$3001,A89))</f>
        <v/>
      </c>
      <c r="G89" s="16" t="str">
        <f aca="false">IF(A89="","",D89+E89-F89)</f>
        <v/>
      </c>
      <c r="H89" s="17" t="str">
        <f aca="false">IF(A89="","",N(Products!E89))</f>
        <v/>
      </c>
      <c r="I89" s="17" t="str">
        <f aca="false">IF(A89="","",G89*H89)</f>
        <v/>
      </c>
      <c r="J89" s="16" t="str">
        <f aca="false">IF(A89="","",IF(Products!G89="",Settings!$B$8,Products!G89))</f>
        <v/>
      </c>
      <c r="K89" s="16" t="str">
        <f aca="false">IF(A89="","",IF(G89&lt;=0,"OUT",IF(G89&lt;=J89,"LOW","OK")))</f>
        <v/>
      </c>
      <c r="L89" s="16" t="str">
        <f aca="false">IF(A89="","",F89+ROW()/1000000)</f>
        <v/>
      </c>
      <c r="M89" s="16" t="str">
        <f aca="false">IF(OR(K89="LOW",K89="OUT"),COUNTIF($K$2:K89,"LOW")+COUNTIF($K$2:K89,"OUT"),"")</f>
        <v/>
      </c>
    </row>
    <row r="90" customFormat="false" ht="15" hidden="false" customHeight="true" outlineLevel="0" collapsed="false">
      <c r="A90" s="16" t="str">
        <f aca="false">IF(Products!A90="","",Products!A90)</f>
        <v/>
      </c>
      <c r="B90" s="16" t="str">
        <f aca="false">IF($A90="","",INDEX(Products!$B$2:$B$501,ROW()-1))</f>
        <v/>
      </c>
      <c r="C90" s="16" t="str">
        <f aca="false">IF($A90="","",INDEX(Products!$C$2:$C$501,ROW()-1))</f>
        <v/>
      </c>
      <c r="D90" s="16" t="str">
        <f aca="false">IF(A90="","",N(Products!I90))</f>
        <v/>
      </c>
      <c r="E90" s="16" t="str">
        <f aca="false">IF(A90="","",SUMIFS(Purchases!$D$2:$D$2001,Purchases!$B$2:$B$2001,A90))</f>
        <v/>
      </c>
      <c r="F90" s="16" t="str">
        <f aca="false">IF(A90="","",SUMIFS(Sales_Items!$E$2:$E$3001,Sales_Items!$C$2:$C$3001,A90))</f>
        <v/>
      </c>
      <c r="G90" s="16" t="str">
        <f aca="false">IF(A90="","",D90+E90-F90)</f>
        <v/>
      </c>
      <c r="H90" s="17" t="str">
        <f aca="false">IF(A90="","",N(Products!E90))</f>
        <v/>
      </c>
      <c r="I90" s="17" t="str">
        <f aca="false">IF(A90="","",G90*H90)</f>
        <v/>
      </c>
      <c r="J90" s="16" t="str">
        <f aca="false">IF(A90="","",IF(Products!G90="",Settings!$B$8,Products!G90))</f>
        <v/>
      </c>
      <c r="K90" s="16" t="str">
        <f aca="false">IF(A90="","",IF(G90&lt;=0,"OUT",IF(G90&lt;=J90,"LOW","OK")))</f>
        <v/>
      </c>
      <c r="L90" s="16" t="str">
        <f aca="false">IF(A90="","",F90+ROW()/1000000)</f>
        <v/>
      </c>
      <c r="M90" s="16" t="str">
        <f aca="false">IF(OR(K90="LOW",K90="OUT"),COUNTIF($K$2:K90,"LOW")+COUNTIF($K$2:K90,"OUT"),"")</f>
        <v/>
      </c>
    </row>
    <row r="91" customFormat="false" ht="15" hidden="false" customHeight="true" outlineLevel="0" collapsed="false">
      <c r="A91" s="16" t="str">
        <f aca="false">IF(Products!A91="","",Products!A91)</f>
        <v/>
      </c>
      <c r="B91" s="16" t="str">
        <f aca="false">IF($A91="","",INDEX(Products!$B$2:$B$501,ROW()-1))</f>
        <v/>
      </c>
      <c r="C91" s="16" t="str">
        <f aca="false">IF($A91="","",INDEX(Products!$C$2:$C$501,ROW()-1))</f>
        <v/>
      </c>
      <c r="D91" s="16" t="str">
        <f aca="false">IF(A91="","",N(Products!I91))</f>
        <v/>
      </c>
      <c r="E91" s="16" t="str">
        <f aca="false">IF(A91="","",SUMIFS(Purchases!$D$2:$D$2001,Purchases!$B$2:$B$2001,A91))</f>
        <v/>
      </c>
      <c r="F91" s="16" t="str">
        <f aca="false">IF(A91="","",SUMIFS(Sales_Items!$E$2:$E$3001,Sales_Items!$C$2:$C$3001,A91))</f>
        <v/>
      </c>
      <c r="G91" s="16" t="str">
        <f aca="false">IF(A91="","",D91+E91-F91)</f>
        <v/>
      </c>
      <c r="H91" s="17" t="str">
        <f aca="false">IF(A91="","",N(Products!E91))</f>
        <v/>
      </c>
      <c r="I91" s="17" t="str">
        <f aca="false">IF(A91="","",G91*H91)</f>
        <v/>
      </c>
      <c r="J91" s="16" t="str">
        <f aca="false">IF(A91="","",IF(Products!G91="",Settings!$B$8,Products!G91))</f>
        <v/>
      </c>
      <c r="K91" s="16" t="str">
        <f aca="false">IF(A91="","",IF(G91&lt;=0,"OUT",IF(G91&lt;=J91,"LOW","OK")))</f>
        <v/>
      </c>
      <c r="L91" s="16" t="str">
        <f aca="false">IF(A91="","",F91+ROW()/1000000)</f>
        <v/>
      </c>
      <c r="M91" s="16" t="str">
        <f aca="false">IF(OR(K91="LOW",K91="OUT"),COUNTIF($K$2:K91,"LOW")+COUNTIF($K$2:K91,"OUT"),"")</f>
        <v/>
      </c>
    </row>
    <row r="92" customFormat="false" ht="15" hidden="false" customHeight="true" outlineLevel="0" collapsed="false">
      <c r="A92" s="16" t="str">
        <f aca="false">IF(Products!A92="","",Products!A92)</f>
        <v/>
      </c>
      <c r="B92" s="16" t="str">
        <f aca="false">IF($A92="","",INDEX(Products!$B$2:$B$501,ROW()-1))</f>
        <v/>
      </c>
      <c r="C92" s="16" t="str">
        <f aca="false">IF($A92="","",INDEX(Products!$C$2:$C$501,ROW()-1))</f>
        <v/>
      </c>
      <c r="D92" s="16" t="str">
        <f aca="false">IF(A92="","",N(Products!I92))</f>
        <v/>
      </c>
      <c r="E92" s="16" t="str">
        <f aca="false">IF(A92="","",SUMIFS(Purchases!$D$2:$D$2001,Purchases!$B$2:$B$2001,A92))</f>
        <v/>
      </c>
      <c r="F92" s="16" t="str">
        <f aca="false">IF(A92="","",SUMIFS(Sales_Items!$E$2:$E$3001,Sales_Items!$C$2:$C$3001,A92))</f>
        <v/>
      </c>
      <c r="G92" s="16" t="str">
        <f aca="false">IF(A92="","",D92+E92-F92)</f>
        <v/>
      </c>
      <c r="H92" s="17" t="str">
        <f aca="false">IF(A92="","",N(Products!E92))</f>
        <v/>
      </c>
      <c r="I92" s="17" t="str">
        <f aca="false">IF(A92="","",G92*H92)</f>
        <v/>
      </c>
      <c r="J92" s="16" t="str">
        <f aca="false">IF(A92="","",IF(Products!G92="",Settings!$B$8,Products!G92))</f>
        <v/>
      </c>
      <c r="K92" s="16" t="str">
        <f aca="false">IF(A92="","",IF(G92&lt;=0,"OUT",IF(G92&lt;=J92,"LOW","OK")))</f>
        <v/>
      </c>
      <c r="L92" s="16" t="str">
        <f aca="false">IF(A92="","",F92+ROW()/1000000)</f>
        <v/>
      </c>
      <c r="M92" s="16" t="str">
        <f aca="false">IF(OR(K92="LOW",K92="OUT"),COUNTIF($K$2:K92,"LOW")+COUNTIF($K$2:K92,"OUT"),"")</f>
        <v/>
      </c>
    </row>
    <row r="93" customFormat="false" ht="15" hidden="false" customHeight="true" outlineLevel="0" collapsed="false">
      <c r="A93" s="16" t="str">
        <f aca="false">IF(Products!A93="","",Products!A93)</f>
        <v/>
      </c>
      <c r="B93" s="16" t="str">
        <f aca="false">IF($A93="","",INDEX(Products!$B$2:$B$501,ROW()-1))</f>
        <v/>
      </c>
      <c r="C93" s="16" t="str">
        <f aca="false">IF($A93="","",INDEX(Products!$C$2:$C$501,ROW()-1))</f>
        <v/>
      </c>
      <c r="D93" s="16" t="str">
        <f aca="false">IF(A93="","",N(Products!I93))</f>
        <v/>
      </c>
      <c r="E93" s="16" t="str">
        <f aca="false">IF(A93="","",SUMIFS(Purchases!$D$2:$D$2001,Purchases!$B$2:$B$2001,A93))</f>
        <v/>
      </c>
      <c r="F93" s="16" t="str">
        <f aca="false">IF(A93="","",SUMIFS(Sales_Items!$E$2:$E$3001,Sales_Items!$C$2:$C$3001,A93))</f>
        <v/>
      </c>
      <c r="G93" s="16" t="str">
        <f aca="false">IF(A93="","",D93+E93-F93)</f>
        <v/>
      </c>
      <c r="H93" s="17" t="str">
        <f aca="false">IF(A93="","",N(Products!E93))</f>
        <v/>
      </c>
      <c r="I93" s="17" t="str">
        <f aca="false">IF(A93="","",G93*H93)</f>
        <v/>
      </c>
      <c r="J93" s="16" t="str">
        <f aca="false">IF(A93="","",IF(Products!G93="",Settings!$B$8,Products!G93))</f>
        <v/>
      </c>
      <c r="K93" s="16" t="str">
        <f aca="false">IF(A93="","",IF(G93&lt;=0,"OUT",IF(G93&lt;=J93,"LOW","OK")))</f>
        <v/>
      </c>
      <c r="L93" s="16" t="str">
        <f aca="false">IF(A93="","",F93+ROW()/1000000)</f>
        <v/>
      </c>
      <c r="M93" s="16" t="str">
        <f aca="false">IF(OR(K93="LOW",K93="OUT"),COUNTIF($K$2:K93,"LOW")+COUNTIF($K$2:K93,"OUT"),"")</f>
        <v/>
      </c>
    </row>
    <row r="94" customFormat="false" ht="15" hidden="false" customHeight="true" outlineLevel="0" collapsed="false">
      <c r="A94" s="16" t="str">
        <f aca="false">IF(Products!A94="","",Products!A94)</f>
        <v/>
      </c>
      <c r="B94" s="16" t="str">
        <f aca="false">IF($A94="","",INDEX(Products!$B$2:$B$501,ROW()-1))</f>
        <v/>
      </c>
      <c r="C94" s="16" t="str">
        <f aca="false">IF($A94="","",INDEX(Products!$C$2:$C$501,ROW()-1))</f>
        <v/>
      </c>
      <c r="D94" s="16" t="str">
        <f aca="false">IF(A94="","",N(Products!I94))</f>
        <v/>
      </c>
      <c r="E94" s="16" t="str">
        <f aca="false">IF(A94="","",SUMIFS(Purchases!$D$2:$D$2001,Purchases!$B$2:$B$2001,A94))</f>
        <v/>
      </c>
      <c r="F94" s="16" t="str">
        <f aca="false">IF(A94="","",SUMIFS(Sales_Items!$E$2:$E$3001,Sales_Items!$C$2:$C$3001,A94))</f>
        <v/>
      </c>
      <c r="G94" s="16" t="str">
        <f aca="false">IF(A94="","",D94+E94-F94)</f>
        <v/>
      </c>
      <c r="H94" s="17" t="str">
        <f aca="false">IF(A94="","",N(Products!E94))</f>
        <v/>
      </c>
      <c r="I94" s="17" t="str">
        <f aca="false">IF(A94="","",G94*H94)</f>
        <v/>
      </c>
      <c r="J94" s="16" t="str">
        <f aca="false">IF(A94="","",IF(Products!G94="",Settings!$B$8,Products!G94))</f>
        <v/>
      </c>
      <c r="K94" s="16" t="str">
        <f aca="false">IF(A94="","",IF(G94&lt;=0,"OUT",IF(G94&lt;=J94,"LOW","OK")))</f>
        <v/>
      </c>
      <c r="L94" s="16" t="str">
        <f aca="false">IF(A94="","",F94+ROW()/1000000)</f>
        <v/>
      </c>
      <c r="M94" s="16" t="str">
        <f aca="false">IF(OR(K94="LOW",K94="OUT"),COUNTIF($K$2:K94,"LOW")+COUNTIF($K$2:K94,"OUT"),"")</f>
        <v/>
      </c>
    </row>
    <row r="95" customFormat="false" ht="15" hidden="false" customHeight="true" outlineLevel="0" collapsed="false">
      <c r="A95" s="16" t="str">
        <f aca="false">IF(Products!A95="","",Products!A95)</f>
        <v/>
      </c>
      <c r="B95" s="16" t="str">
        <f aca="false">IF($A95="","",INDEX(Products!$B$2:$B$501,ROW()-1))</f>
        <v/>
      </c>
      <c r="C95" s="16" t="str">
        <f aca="false">IF($A95="","",INDEX(Products!$C$2:$C$501,ROW()-1))</f>
        <v/>
      </c>
      <c r="D95" s="16" t="str">
        <f aca="false">IF(A95="","",N(Products!I95))</f>
        <v/>
      </c>
      <c r="E95" s="16" t="str">
        <f aca="false">IF(A95="","",SUMIFS(Purchases!$D$2:$D$2001,Purchases!$B$2:$B$2001,A95))</f>
        <v/>
      </c>
      <c r="F95" s="16" t="str">
        <f aca="false">IF(A95="","",SUMIFS(Sales_Items!$E$2:$E$3001,Sales_Items!$C$2:$C$3001,A95))</f>
        <v/>
      </c>
      <c r="G95" s="16" t="str">
        <f aca="false">IF(A95="","",D95+E95-F95)</f>
        <v/>
      </c>
      <c r="H95" s="17" t="str">
        <f aca="false">IF(A95="","",N(Products!E95))</f>
        <v/>
      </c>
      <c r="I95" s="17" t="str">
        <f aca="false">IF(A95="","",G95*H95)</f>
        <v/>
      </c>
      <c r="J95" s="16" t="str">
        <f aca="false">IF(A95="","",IF(Products!G95="",Settings!$B$8,Products!G95))</f>
        <v/>
      </c>
      <c r="K95" s="16" t="str">
        <f aca="false">IF(A95="","",IF(G95&lt;=0,"OUT",IF(G95&lt;=J95,"LOW","OK")))</f>
        <v/>
      </c>
      <c r="L95" s="16" t="str">
        <f aca="false">IF(A95="","",F95+ROW()/1000000)</f>
        <v/>
      </c>
      <c r="M95" s="16" t="str">
        <f aca="false">IF(OR(K95="LOW",K95="OUT"),COUNTIF($K$2:K95,"LOW")+COUNTIF($K$2:K95,"OUT"),"")</f>
        <v/>
      </c>
    </row>
    <row r="96" customFormat="false" ht="15" hidden="false" customHeight="true" outlineLevel="0" collapsed="false">
      <c r="A96" s="16" t="str">
        <f aca="false">IF(Products!A96="","",Products!A96)</f>
        <v/>
      </c>
      <c r="B96" s="16" t="str">
        <f aca="false">IF($A96="","",INDEX(Products!$B$2:$B$501,ROW()-1))</f>
        <v/>
      </c>
      <c r="C96" s="16" t="str">
        <f aca="false">IF($A96="","",INDEX(Products!$C$2:$C$501,ROW()-1))</f>
        <v/>
      </c>
      <c r="D96" s="16" t="str">
        <f aca="false">IF(A96="","",N(Products!I96))</f>
        <v/>
      </c>
      <c r="E96" s="16" t="str">
        <f aca="false">IF(A96="","",SUMIFS(Purchases!$D$2:$D$2001,Purchases!$B$2:$B$2001,A96))</f>
        <v/>
      </c>
      <c r="F96" s="16" t="str">
        <f aca="false">IF(A96="","",SUMIFS(Sales_Items!$E$2:$E$3001,Sales_Items!$C$2:$C$3001,A96))</f>
        <v/>
      </c>
      <c r="G96" s="16" t="str">
        <f aca="false">IF(A96="","",D96+E96-F96)</f>
        <v/>
      </c>
      <c r="H96" s="17" t="str">
        <f aca="false">IF(A96="","",N(Products!E96))</f>
        <v/>
      </c>
      <c r="I96" s="17" t="str">
        <f aca="false">IF(A96="","",G96*H96)</f>
        <v/>
      </c>
      <c r="J96" s="16" t="str">
        <f aca="false">IF(A96="","",IF(Products!G96="",Settings!$B$8,Products!G96))</f>
        <v/>
      </c>
      <c r="K96" s="16" t="str">
        <f aca="false">IF(A96="","",IF(G96&lt;=0,"OUT",IF(G96&lt;=J96,"LOW","OK")))</f>
        <v/>
      </c>
      <c r="L96" s="16" t="str">
        <f aca="false">IF(A96="","",F96+ROW()/1000000)</f>
        <v/>
      </c>
      <c r="M96" s="16" t="str">
        <f aca="false">IF(OR(K96="LOW",K96="OUT"),COUNTIF($K$2:K96,"LOW")+COUNTIF($K$2:K96,"OUT"),"")</f>
        <v/>
      </c>
    </row>
    <row r="97" customFormat="false" ht="15" hidden="false" customHeight="true" outlineLevel="0" collapsed="false">
      <c r="A97" s="16" t="str">
        <f aca="false">IF(Products!A97="","",Products!A97)</f>
        <v/>
      </c>
      <c r="B97" s="16" t="str">
        <f aca="false">IF($A97="","",INDEX(Products!$B$2:$B$501,ROW()-1))</f>
        <v/>
      </c>
      <c r="C97" s="16" t="str">
        <f aca="false">IF($A97="","",INDEX(Products!$C$2:$C$501,ROW()-1))</f>
        <v/>
      </c>
      <c r="D97" s="16" t="str">
        <f aca="false">IF(A97="","",N(Products!I97))</f>
        <v/>
      </c>
      <c r="E97" s="16" t="str">
        <f aca="false">IF(A97="","",SUMIFS(Purchases!$D$2:$D$2001,Purchases!$B$2:$B$2001,A97))</f>
        <v/>
      </c>
      <c r="F97" s="16" t="str">
        <f aca="false">IF(A97="","",SUMIFS(Sales_Items!$E$2:$E$3001,Sales_Items!$C$2:$C$3001,A97))</f>
        <v/>
      </c>
      <c r="G97" s="16" t="str">
        <f aca="false">IF(A97="","",D97+E97-F97)</f>
        <v/>
      </c>
      <c r="H97" s="17" t="str">
        <f aca="false">IF(A97="","",N(Products!E97))</f>
        <v/>
      </c>
      <c r="I97" s="17" t="str">
        <f aca="false">IF(A97="","",G97*H97)</f>
        <v/>
      </c>
      <c r="J97" s="16" t="str">
        <f aca="false">IF(A97="","",IF(Products!G97="",Settings!$B$8,Products!G97))</f>
        <v/>
      </c>
      <c r="K97" s="16" t="str">
        <f aca="false">IF(A97="","",IF(G97&lt;=0,"OUT",IF(G97&lt;=J97,"LOW","OK")))</f>
        <v/>
      </c>
      <c r="L97" s="16" t="str">
        <f aca="false">IF(A97="","",F97+ROW()/1000000)</f>
        <v/>
      </c>
      <c r="M97" s="16" t="str">
        <f aca="false">IF(OR(K97="LOW",K97="OUT"),COUNTIF($K$2:K97,"LOW")+COUNTIF($K$2:K97,"OUT"),"")</f>
        <v/>
      </c>
    </row>
    <row r="98" customFormat="false" ht="15" hidden="false" customHeight="true" outlineLevel="0" collapsed="false">
      <c r="A98" s="16" t="str">
        <f aca="false">IF(Products!A98="","",Products!A98)</f>
        <v/>
      </c>
      <c r="B98" s="16" t="str">
        <f aca="false">IF($A98="","",INDEX(Products!$B$2:$B$501,ROW()-1))</f>
        <v/>
      </c>
      <c r="C98" s="16" t="str">
        <f aca="false">IF($A98="","",INDEX(Products!$C$2:$C$501,ROW()-1))</f>
        <v/>
      </c>
      <c r="D98" s="16" t="str">
        <f aca="false">IF(A98="","",N(Products!I98))</f>
        <v/>
      </c>
      <c r="E98" s="16" t="str">
        <f aca="false">IF(A98="","",SUMIFS(Purchases!$D$2:$D$2001,Purchases!$B$2:$B$2001,A98))</f>
        <v/>
      </c>
      <c r="F98" s="16" t="str">
        <f aca="false">IF(A98="","",SUMIFS(Sales_Items!$E$2:$E$3001,Sales_Items!$C$2:$C$3001,A98))</f>
        <v/>
      </c>
      <c r="G98" s="16" t="str">
        <f aca="false">IF(A98="","",D98+E98-F98)</f>
        <v/>
      </c>
      <c r="H98" s="17" t="str">
        <f aca="false">IF(A98="","",N(Products!E98))</f>
        <v/>
      </c>
      <c r="I98" s="17" t="str">
        <f aca="false">IF(A98="","",G98*H98)</f>
        <v/>
      </c>
      <c r="J98" s="16" t="str">
        <f aca="false">IF(A98="","",IF(Products!G98="",Settings!$B$8,Products!G98))</f>
        <v/>
      </c>
      <c r="K98" s="16" t="str">
        <f aca="false">IF(A98="","",IF(G98&lt;=0,"OUT",IF(G98&lt;=J98,"LOW","OK")))</f>
        <v/>
      </c>
      <c r="L98" s="16" t="str">
        <f aca="false">IF(A98="","",F98+ROW()/1000000)</f>
        <v/>
      </c>
      <c r="M98" s="16" t="str">
        <f aca="false">IF(OR(K98="LOW",K98="OUT"),COUNTIF($K$2:K98,"LOW")+COUNTIF($K$2:K98,"OUT"),"")</f>
        <v/>
      </c>
    </row>
    <row r="99" customFormat="false" ht="15" hidden="false" customHeight="true" outlineLevel="0" collapsed="false">
      <c r="A99" s="16" t="str">
        <f aca="false">IF(Products!A99="","",Products!A99)</f>
        <v/>
      </c>
      <c r="B99" s="16" t="str">
        <f aca="false">IF($A99="","",INDEX(Products!$B$2:$B$501,ROW()-1))</f>
        <v/>
      </c>
      <c r="C99" s="16" t="str">
        <f aca="false">IF($A99="","",INDEX(Products!$C$2:$C$501,ROW()-1))</f>
        <v/>
      </c>
      <c r="D99" s="16" t="str">
        <f aca="false">IF(A99="","",N(Products!I99))</f>
        <v/>
      </c>
      <c r="E99" s="16" t="str">
        <f aca="false">IF(A99="","",SUMIFS(Purchases!$D$2:$D$2001,Purchases!$B$2:$B$2001,A99))</f>
        <v/>
      </c>
      <c r="F99" s="16" t="str">
        <f aca="false">IF(A99="","",SUMIFS(Sales_Items!$E$2:$E$3001,Sales_Items!$C$2:$C$3001,A99))</f>
        <v/>
      </c>
      <c r="G99" s="16" t="str">
        <f aca="false">IF(A99="","",D99+E99-F99)</f>
        <v/>
      </c>
      <c r="H99" s="17" t="str">
        <f aca="false">IF(A99="","",N(Products!E99))</f>
        <v/>
      </c>
      <c r="I99" s="17" t="str">
        <f aca="false">IF(A99="","",G99*H99)</f>
        <v/>
      </c>
      <c r="J99" s="16" t="str">
        <f aca="false">IF(A99="","",IF(Products!G99="",Settings!$B$8,Products!G99))</f>
        <v/>
      </c>
      <c r="K99" s="16" t="str">
        <f aca="false">IF(A99="","",IF(G99&lt;=0,"OUT",IF(G99&lt;=J99,"LOW","OK")))</f>
        <v/>
      </c>
      <c r="L99" s="16" t="str">
        <f aca="false">IF(A99="","",F99+ROW()/1000000)</f>
        <v/>
      </c>
      <c r="M99" s="16" t="str">
        <f aca="false">IF(OR(K99="LOW",K99="OUT"),COUNTIF($K$2:K99,"LOW")+COUNTIF($K$2:K99,"OUT"),"")</f>
        <v/>
      </c>
    </row>
    <row r="100" customFormat="false" ht="15" hidden="false" customHeight="true" outlineLevel="0" collapsed="false">
      <c r="A100" s="16" t="str">
        <f aca="false">IF(Products!A100="","",Products!A100)</f>
        <v/>
      </c>
      <c r="B100" s="16" t="str">
        <f aca="false">IF($A100="","",INDEX(Products!$B$2:$B$501,ROW()-1))</f>
        <v/>
      </c>
      <c r="C100" s="16" t="str">
        <f aca="false">IF($A100="","",INDEX(Products!$C$2:$C$501,ROW()-1))</f>
        <v/>
      </c>
      <c r="D100" s="16" t="str">
        <f aca="false">IF(A100="","",N(Products!I100))</f>
        <v/>
      </c>
      <c r="E100" s="16" t="str">
        <f aca="false">IF(A100="","",SUMIFS(Purchases!$D$2:$D$2001,Purchases!$B$2:$B$2001,A100))</f>
        <v/>
      </c>
      <c r="F100" s="16" t="str">
        <f aca="false">IF(A100="","",SUMIFS(Sales_Items!$E$2:$E$3001,Sales_Items!$C$2:$C$3001,A100))</f>
        <v/>
      </c>
      <c r="G100" s="16" t="str">
        <f aca="false">IF(A100="","",D100+E100-F100)</f>
        <v/>
      </c>
      <c r="H100" s="17" t="str">
        <f aca="false">IF(A100="","",N(Products!E100))</f>
        <v/>
      </c>
      <c r="I100" s="17" t="str">
        <f aca="false">IF(A100="","",G100*H100)</f>
        <v/>
      </c>
      <c r="J100" s="16" t="str">
        <f aca="false">IF(A100="","",IF(Products!G100="",Settings!$B$8,Products!G100))</f>
        <v/>
      </c>
      <c r="K100" s="16" t="str">
        <f aca="false">IF(A100="","",IF(G100&lt;=0,"OUT",IF(G100&lt;=J100,"LOW","OK")))</f>
        <v/>
      </c>
      <c r="L100" s="16" t="str">
        <f aca="false">IF(A100="","",F100+ROW()/1000000)</f>
        <v/>
      </c>
      <c r="M100" s="16" t="str">
        <f aca="false">IF(OR(K100="LOW",K100="OUT"),COUNTIF($K$2:K100,"LOW")+COUNTIF($K$2:K100,"OUT"),"")</f>
        <v/>
      </c>
    </row>
    <row r="101" customFormat="false" ht="15" hidden="false" customHeight="true" outlineLevel="0" collapsed="false">
      <c r="A101" s="16" t="str">
        <f aca="false">IF(Products!A101="","",Products!A101)</f>
        <v/>
      </c>
      <c r="B101" s="16" t="str">
        <f aca="false">IF($A101="","",INDEX(Products!$B$2:$B$501,ROW()-1))</f>
        <v/>
      </c>
      <c r="C101" s="16" t="str">
        <f aca="false">IF($A101="","",INDEX(Products!$C$2:$C$501,ROW()-1))</f>
        <v/>
      </c>
      <c r="D101" s="16" t="str">
        <f aca="false">IF(A101="","",N(Products!I101))</f>
        <v/>
      </c>
      <c r="E101" s="16" t="str">
        <f aca="false">IF(A101="","",SUMIFS(Purchases!$D$2:$D$2001,Purchases!$B$2:$B$2001,A101))</f>
        <v/>
      </c>
      <c r="F101" s="16" t="str">
        <f aca="false">IF(A101="","",SUMIFS(Sales_Items!$E$2:$E$3001,Sales_Items!$C$2:$C$3001,A101))</f>
        <v/>
      </c>
      <c r="G101" s="16" t="str">
        <f aca="false">IF(A101="","",D101+E101-F101)</f>
        <v/>
      </c>
      <c r="H101" s="17" t="str">
        <f aca="false">IF(A101="","",N(Products!E101))</f>
        <v/>
      </c>
      <c r="I101" s="17" t="str">
        <f aca="false">IF(A101="","",G101*H101)</f>
        <v/>
      </c>
      <c r="J101" s="16" t="str">
        <f aca="false">IF(A101="","",IF(Products!G101="",Settings!$B$8,Products!G101))</f>
        <v/>
      </c>
      <c r="K101" s="16" t="str">
        <f aca="false">IF(A101="","",IF(G101&lt;=0,"OUT",IF(G101&lt;=J101,"LOW","OK")))</f>
        <v/>
      </c>
      <c r="L101" s="16" t="str">
        <f aca="false">IF(A101="","",F101+ROW()/1000000)</f>
        <v/>
      </c>
      <c r="M101" s="16" t="str">
        <f aca="false">IF(OR(K101="LOW",K101="OUT"),COUNTIF($K$2:K101,"LOW")+COUNTIF($K$2:K101,"OUT"),"")</f>
        <v/>
      </c>
    </row>
    <row r="102" customFormat="false" ht="15" hidden="false" customHeight="true" outlineLevel="0" collapsed="false">
      <c r="A102" s="16" t="str">
        <f aca="false">IF(Products!A102="","",Products!A102)</f>
        <v/>
      </c>
      <c r="B102" s="16" t="str">
        <f aca="false">IF($A102="","",INDEX(Products!$B$2:$B$501,ROW()-1))</f>
        <v/>
      </c>
      <c r="C102" s="16" t="str">
        <f aca="false">IF($A102="","",INDEX(Products!$C$2:$C$501,ROW()-1))</f>
        <v/>
      </c>
      <c r="D102" s="16" t="str">
        <f aca="false">IF(A102="","",N(Products!I102))</f>
        <v/>
      </c>
      <c r="E102" s="16" t="str">
        <f aca="false">IF(A102="","",SUMIFS(Purchases!$D$2:$D$2001,Purchases!$B$2:$B$2001,A102))</f>
        <v/>
      </c>
      <c r="F102" s="16" t="str">
        <f aca="false">IF(A102="","",SUMIFS(Sales_Items!$E$2:$E$3001,Sales_Items!$C$2:$C$3001,A102))</f>
        <v/>
      </c>
      <c r="G102" s="16" t="str">
        <f aca="false">IF(A102="","",D102+E102-F102)</f>
        <v/>
      </c>
      <c r="H102" s="17" t="str">
        <f aca="false">IF(A102="","",N(Products!E102))</f>
        <v/>
      </c>
      <c r="I102" s="17" t="str">
        <f aca="false">IF(A102="","",G102*H102)</f>
        <v/>
      </c>
      <c r="J102" s="16" t="str">
        <f aca="false">IF(A102="","",IF(Products!G102="",Settings!$B$8,Products!G102))</f>
        <v/>
      </c>
      <c r="K102" s="16" t="str">
        <f aca="false">IF(A102="","",IF(G102&lt;=0,"OUT",IF(G102&lt;=J102,"LOW","OK")))</f>
        <v/>
      </c>
      <c r="L102" s="16" t="str">
        <f aca="false">IF(A102="","",F102+ROW()/1000000)</f>
        <v/>
      </c>
      <c r="M102" s="16" t="str">
        <f aca="false">IF(OR(K102="LOW",K102="OUT"),COUNTIF($K$2:K102,"LOW")+COUNTIF($K$2:K102,"OUT"),"")</f>
        <v/>
      </c>
    </row>
    <row r="103" customFormat="false" ht="15" hidden="false" customHeight="true" outlineLevel="0" collapsed="false">
      <c r="A103" s="16" t="str">
        <f aca="false">IF(Products!A103="","",Products!A103)</f>
        <v/>
      </c>
      <c r="B103" s="16" t="str">
        <f aca="false">IF($A103="","",INDEX(Products!$B$2:$B$501,ROW()-1))</f>
        <v/>
      </c>
      <c r="C103" s="16" t="str">
        <f aca="false">IF($A103="","",INDEX(Products!$C$2:$C$501,ROW()-1))</f>
        <v/>
      </c>
      <c r="D103" s="16" t="str">
        <f aca="false">IF(A103="","",N(Products!I103))</f>
        <v/>
      </c>
      <c r="E103" s="16" t="str">
        <f aca="false">IF(A103="","",SUMIFS(Purchases!$D$2:$D$2001,Purchases!$B$2:$B$2001,A103))</f>
        <v/>
      </c>
      <c r="F103" s="16" t="str">
        <f aca="false">IF(A103="","",SUMIFS(Sales_Items!$E$2:$E$3001,Sales_Items!$C$2:$C$3001,A103))</f>
        <v/>
      </c>
      <c r="G103" s="16" t="str">
        <f aca="false">IF(A103="","",D103+E103-F103)</f>
        <v/>
      </c>
      <c r="H103" s="17" t="str">
        <f aca="false">IF(A103="","",N(Products!E103))</f>
        <v/>
      </c>
      <c r="I103" s="17" t="str">
        <f aca="false">IF(A103="","",G103*H103)</f>
        <v/>
      </c>
      <c r="J103" s="16" t="str">
        <f aca="false">IF(A103="","",IF(Products!G103="",Settings!$B$8,Products!G103))</f>
        <v/>
      </c>
      <c r="K103" s="16" t="str">
        <f aca="false">IF(A103="","",IF(G103&lt;=0,"OUT",IF(G103&lt;=J103,"LOW","OK")))</f>
        <v/>
      </c>
      <c r="L103" s="16" t="str">
        <f aca="false">IF(A103="","",F103+ROW()/1000000)</f>
        <v/>
      </c>
      <c r="M103" s="16" t="str">
        <f aca="false">IF(OR(K103="LOW",K103="OUT"),COUNTIF($K$2:K103,"LOW")+COUNTIF($K$2:K103,"OUT"),"")</f>
        <v/>
      </c>
    </row>
    <row r="104" customFormat="false" ht="15" hidden="false" customHeight="true" outlineLevel="0" collapsed="false">
      <c r="A104" s="16" t="str">
        <f aca="false">IF(Products!A104="","",Products!A104)</f>
        <v/>
      </c>
      <c r="B104" s="16" t="str">
        <f aca="false">IF($A104="","",INDEX(Products!$B$2:$B$501,ROW()-1))</f>
        <v/>
      </c>
      <c r="C104" s="16" t="str">
        <f aca="false">IF($A104="","",INDEX(Products!$C$2:$C$501,ROW()-1))</f>
        <v/>
      </c>
      <c r="D104" s="16" t="str">
        <f aca="false">IF(A104="","",N(Products!I104))</f>
        <v/>
      </c>
      <c r="E104" s="16" t="str">
        <f aca="false">IF(A104="","",SUMIFS(Purchases!$D$2:$D$2001,Purchases!$B$2:$B$2001,A104))</f>
        <v/>
      </c>
      <c r="F104" s="16" t="str">
        <f aca="false">IF(A104="","",SUMIFS(Sales_Items!$E$2:$E$3001,Sales_Items!$C$2:$C$3001,A104))</f>
        <v/>
      </c>
      <c r="G104" s="16" t="str">
        <f aca="false">IF(A104="","",D104+E104-F104)</f>
        <v/>
      </c>
      <c r="H104" s="17" t="str">
        <f aca="false">IF(A104="","",N(Products!E104))</f>
        <v/>
      </c>
      <c r="I104" s="17" t="str">
        <f aca="false">IF(A104="","",G104*H104)</f>
        <v/>
      </c>
      <c r="J104" s="16" t="str">
        <f aca="false">IF(A104="","",IF(Products!G104="",Settings!$B$8,Products!G104))</f>
        <v/>
      </c>
      <c r="K104" s="16" t="str">
        <f aca="false">IF(A104="","",IF(G104&lt;=0,"OUT",IF(G104&lt;=J104,"LOW","OK")))</f>
        <v/>
      </c>
      <c r="L104" s="16" t="str">
        <f aca="false">IF(A104="","",F104+ROW()/1000000)</f>
        <v/>
      </c>
      <c r="M104" s="16" t="str">
        <f aca="false">IF(OR(K104="LOW",K104="OUT"),COUNTIF($K$2:K104,"LOW")+COUNTIF($K$2:K104,"OUT"),"")</f>
        <v/>
      </c>
    </row>
    <row r="105" customFormat="false" ht="15" hidden="false" customHeight="true" outlineLevel="0" collapsed="false">
      <c r="A105" s="16" t="str">
        <f aca="false">IF(Products!A105="","",Products!A105)</f>
        <v/>
      </c>
      <c r="B105" s="16" t="str">
        <f aca="false">IF($A105="","",INDEX(Products!$B$2:$B$501,ROW()-1))</f>
        <v/>
      </c>
      <c r="C105" s="16" t="str">
        <f aca="false">IF($A105="","",INDEX(Products!$C$2:$C$501,ROW()-1))</f>
        <v/>
      </c>
      <c r="D105" s="16" t="str">
        <f aca="false">IF(A105="","",N(Products!I105))</f>
        <v/>
      </c>
      <c r="E105" s="16" t="str">
        <f aca="false">IF(A105="","",SUMIFS(Purchases!$D$2:$D$2001,Purchases!$B$2:$B$2001,A105))</f>
        <v/>
      </c>
      <c r="F105" s="16" t="str">
        <f aca="false">IF(A105="","",SUMIFS(Sales_Items!$E$2:$E$3001,Sales_Items!$C$2:$C$3001,A105))</f>
        <v/>
      </c>
      <c r="G105" s="16" t="str">
        <f aca="false">IF(A105="","",D105+E105-F105)</f>
        <v/>
      </c>
      <c r="H105" s="17" t="str">
        <f aca="false">IF(A105="","",N(Products!E105))</f>
        <v/>
      </c>
      <c r="I105" s="17" t="str">
        <f aca="false">IF(A105="","",G105*H105)</f>
        <v/>
      </c>
      <c r="J105" s="16" t="str">
        <f aca="false">IF(A105="","",IF(Products!G105="",Settings!$B$8,Products!G105))</f>
        <v/>
      </c>
      <c r="K105" s="16" t="str">
        <f aca="false">IF(A105="","",IF(G105&lt;=0,"OUT",IF(G105&lt;=J105,"LOW","OK")))</f>
        <v/>
      </c>
      <c r="L105" s="16" t="str">
        <f aca="false">IF(A105="","",F105+ROW()/1000000)</f>
        <v/>
      </c>
      <c r="M105" s="16" t="str">
        <f aca="false">IF(OR(K105="LOW",K105="OUT"),COUNTIF($K$2:K105,"LOW")+COUNTIF($K$2:K105,"OUT"),"")</f>
        <v/>
      </c>
    </row>
    <row r="106" customFormat="false" ht="15" hidden="false" customHeight="true" outlineLevel="0" collapsed="false">
      <c r="A106" s="16" t="str">
        <f aca="false">IF(Products!A106="","",Products!A106)</f>
        <v/>
      </c>
      <c r="B106" s="16" t="str">
        <f aca="false">IF($A106="","",INDEX(Products!$B$2:$B$501,ROW()-1))</f>
        <v/>
      </c>
      <c r="C106" s="16" t="str">
        <f aca="false">IF($A106="","",INDEX(Products!$C$2:$C$501,ROW()-1))</f>
        <v/>
      </c>
      <c r="D106" s="16" t="str">
        <f aca="false">IF(A106="","",N(Products!I106))</f>
        <v/>
      </c>
      <c r="E106" s="16" t="str">
        <f aca="false">IF(A106="","",SUMIFS(Purchases!$D$2:$D$2001,Purchases!$B$2:$B$2001,A106))</f>
        <v/>
      </c>
      <c r="F106" s="16" t="str">
        <f aca="false">IF(A106="","",SUMIFS(Sales_Items!$E$2:$E$3001,Sales_Items!$C$2:$C$3001,A106))</f>
        <v/>
      </c>
      <c r="G106" s="16" t="str">
        <f aca="false">IF(A106="","",D106+E106-F106)</f>
        <v/>
      </c>
      <c r="H106" s="17" t="str">
        <f aca="false">IF(A106="","",N(Products!E106))</f>
        <v/>
      </c>
      <c r="I106" s="17" t="str">
        <f aca="false">IF(A106="","",G106*H106)</f>
        <v/>
      </c>
      <c r="J106" s="16" t="str">
        <f aca="false">IF(A106="","",IF(Products!G106="",Settings!$B$8,Products!G106))</f>
        <v/>
      </c>
      <c r="K106" s="16" t="str">
        <f aca="false">IF(A106="","",IF(G106&lt;=0,"OUT",IF(G106&lt;=J106,"LOW","OK")))</f>
        <v/>
      </c>
      <c r="L106" s="16" t="str">
        <f aca="false">IF(A106="","",F106+ROW()/1000000)</f>
        <v/>
      </c>
      <c r="M106" s="16" t="str">
        <f aca="false">IF(OR(K106="LOW",K106="OUT"),COUNTIF($K$2:K106,"LOW")+COUNTIF($K$2:K106,"OUT"),"")</f>
        <v/>
      </c>
    </row>
    <row r="107" customFormat="false" ht="15" hidden="false" customHeight="true" outlineLevel="0" collapsed="false">
      <c r="A107" s="16" t="str">
        <f aca="false">IF(Products!A107="","",Products!A107)</f>
        <v/>
      </c>
      <c r="B107" s="16" t="str">
        <f aca="false">IF($A107="","",INDEX(Products!$B$2:$B$501,ROW()-1))</f>
        <v/>
      </c>
      <c r="C107" s="16" t="str">
        <f aca="false">IF($A107="","",INDEX(Products!$C$2:$C$501,ROW()-1))</f>
        <v/>
      </c>
      <c r="D107" s="16" t="str">
        <f aca="false">IF(A107="","",N(Products!I107))</f>
        <v/>
      </c>
      <c r="E107" s="16" t="str">
        <f aca="false">IF(A107="","",SUMIFS(Purchases!$D$2:$D$2001,Purchases!$B$2:$B$2001,A107))</f>
        <v/>
      </c>
      <c r="F107" s="16" t="str">
        <f aca="false">IF(A107="","",SUMIFS(Sales_Items!$E$2:$E$3001,Sales_Items!$C$2:$C$3001,A107))</f>
        <v/>
      </c>
      <c r="G107" s="16" t="str">
        <f aca="false">IF(A107="","",D107+E107-F107)</f>
        <v/>
      </c>
      <c r="H107" s="17" t="str">
        <f aca="false">IF(A107="","",N(Products!E107))</f>
        <v/>
      </c>
      <c r="I107" s="17" t="str">
        <f aca="false">IF(A107="","",G107*H107)</f>
        <v/>
      </c>
      <c r="J107" s="16" t="str">
        <f aca="false">IF(A107="","",IF(Products!G107="",Settings!$B$8,Products!G107))</f>
        <v/>
      </c>
      <c r="K107" s="16" t="str">
        <f aca="false">IF(A107="","",IF(G107&lt;=0,"OUT",IF(G107&lt;=J107,"LOW","OK")))</f>
        <v/>
      </c>
      <c r="L107" s="16" t="str">
        <f aca="false">IF(A107="","",F107+ROW()/1000000)</f>
        <v/>
      </c>
      <c r="M107" s="16" t="str">
        <f aca="false">IF(OR(K107="LOW",K107="OUT"),COUNTIF($K$2:K107,"LOW")+COUNTIF($K$2:K107,"OUT"),"")</f>
        <v/>
      </c>
    </row>
    <row r="108" customFormat="false" ht="15" hidden="false" customHeight="true" outlineLevel="0" collapsed="false">
      <c r="A108" s="16" t="str">
        <f aca="false">IF(Products!A108="","",Products!A108)</f>
        <v/>
      </c>
      <c r="B108" s="16" t="str">
        <f aca="false">IF($A108="","",INDEX(Products!$B$2:$B$501,ROW()-1))</f>
        <v/>
      </c>
      <c r="C108" s="16" t="str">
        <f aca="false">IF($A108="","",INDEX(Products!$C$2:$C$501,ROW()-1))</f>
        <v/>
      </c>
      <c r="D108" s="16" t="str">
        <f aca="false">IF(A108="","",N(Products!I108))</f>
        <v/>
      </c>
      <c r="E108" s="16" t="str">
        <f aca="false">IF(A108="","",SUMIFS(Purchases!$D$2:$D$2001,Purchases!$B$2:$B$2001,A108))</f>
        <v/>
      </c>
      <c r="F108" s="16" t="str">
        <f aca="false">IF(A108="","",SUMIFS(Sales_Items!$E$2:$E$3001,Sales_Items!$C$2:$C$3001,A108))</f>
        <v/>
      </c>
      <c r="G108" s="16" t="str">
        <f aca="false">IF(A108="","",D108+E108-F108)</f>
        <v/>
      </c>
      <c r="H108" s="17" t="str">
        <f aca="false">IF(A108="","",N(Products!E108))</f>
        <v/>
      </c>
      <c r="I108" s="17" t="str">
        <f aca="false">IF(A108="","",G108*H108)</f>
        <v/>
      </c>
      <c r="J108" s="16" t="str">
        <f aca="false">IF(A108="","",IF(Products!G108="",Settings!$B$8,Products!G108))</f>
        <v/>
      </c>
      <c r="K108" s="16" t="str">
        <f aca="false">IF(A108="","",IF(G108&lt;=0,"OUT",IF(G108&lt;=J108,"LOW","OK")))</f>
        <v/>
      </c>
      <c r="L108" s="16" t="str">
        <f aca="false">IF(A108="","",F108+ROW()/1000000)</f>
        <v/>
      </c>
      <c r="M108" s="16" t="str">
        <f aca="false">IF(OR(K108="LOW",K108="OUT"),COUNTIF($K$2:K108,"LOW")+COUNTIF($K$2:K108,"OUT"),"")</f>
        <v/>
      </c>
    </row>
    <row r="109" customFormat="false" ht="15" hidden="false" customHeight="true" outlineLevel="0" collapsed="false">
      <c r="A109" s="16" t="str">
        <f aca="false">IF(Products!A109="","",Products!A109)</f>
        <v/>
      </c>
      <c r="B109" s="16" t="str">
        <f aca="false">IF($A109="","",INDEX(Products!$B$2:$B$501,ROW()-1))</f>
        <v/>
      </c>
      <c r="C109" s="16" t="str">
        <f aca="false">IF($A109="","",INDEX(Products!$C$2:$C$501,ROW()-1))</f>
        <v/>
      </c>
      <c r="D109" s="16" t="str">
        <f aca="false">IF(A109="","",N(Products!I109))</f>
        <v/>
      </c>
      <c r="E109" s="16" t="str">
        <f aca="false">IF(A109="","",SUMIFS(Purchases!$D$2:$D$2001,Purchases!$B$2:$B$2001,A109))</f>
        <v/>
      </c>
      <c r="F109" s="16" t="str">
        <f aca="false">IF(A109="","",SUMIFS(Sales_Items!$E$2:$E$3001,Sales_Items!$C$2:$C$3001,A109))</f>
        <v/>
      </c>
      <c r="G109" s="16" t="str">
        <f aca="false">IF(A109="","",D109+E109-F109)</f>
        <v/>
      </c>
      <c r="H109" s="17" t="str">
        <f aca="false">IF(A109="","",N(Products!E109))</f>
        <v/>
      </c>
      <c r="I109" s="17" t="str">
        <f aca="false">IF(A109="","",G109*H109)</f>
        <v/>
      </c>
      <c r="J109" s="16" t="str">
        <f aca="false">IF(A109="","",IF(Products!G109="",Settings!$B$8,Products!G109))</f>
        <v/>
      </c>
      <c r="K109" s="16" t="str">
        <f aca="false">IF(A109="","",IF(G109&lt;=0,"OUT",IF(G109&lt;=J109,"LOW","OK")))</f>
        <v/>
      </c>
      <c r="L109" s="16" t="str">
        <f aca="false">IF(A109="","",F109+ROW()/1000000)</f>
        <v/>
      </c>
      <c r="M109" s="16" t="str">
        <f aca="false">IF(OR(K109="LOW",K109="OUT"),COUNTIF($K$2:K109,"LOW")+COUNTIF($K$2:K109,"OUT"),"")</f>
        <v/>
      </c>
    </row>
    <row r="110" customFormat="false" ht="15" hidden="false" customHeight="true" outlineLevel="0" collapsed="false">
      <c r="A110" s="16" t="str">
        <f aca="false">IF(Products!A110="","",Products!A110)</f>
        <v/>
      </c>
      <c r="B110" s="16" t="str">
        <f aca="false">IF($A110="","",INDEX(Products!$B$2:$B$501,ROW()-1))</f>
        <v/>
      </c>
      <c r="C110" s="16" t="str">
        <f aca="false">IF($A110="","",INDEX(Products!$C$2:$C$501,ROW()-1))</f>
        <v/>
      </c>
      <c r="D110" s="16" t="str">
        <f aca="false">IF(A110="","",N(Products!I110))</f>
        <v/>
      </c>
      <c r="E110" s="16" t="str">
        <f aca="false">IF(A110="","",SUMIFS(Purchases!$D$2:$D$2001,Purchases!$B$2:$B$2001,A110))</f>
        <v/>
      </c>
      <c r="F110" s="16" t="str">
        <f aca="false">IF(A110="","",SUMIFS(Sales_Items!$E$2:$E$3001,Sales_Items!$C$2:$C$3001,A110))</f>
        <v/>
      </c>
      <c r="G110" s="16" t="str">
        <f aca="false">IF(A110="","",D110+E110-F110)</f>
        <v/>
      </c>
      <c r="H110" s="17" t="str">
        <f aca="false">IF(A110="","",N(Products!E110))</f>
        <v/>
      </c>
      <c r="I110" s="17" t="str">
        <f aca="false">IF(A110="","",G110*H110)</f>
        <v/>
      </c>
      <c r="J110" s="16" t="str">
        <f aca="false">IF(A110="","",IF(Products!G110="",Settings!$B$8,Products!G110))</f>
        <v/>
      </c>
      <c r="K110" s="16" t="str">
        <f aca="false">IF(A110="","",IF(G110&lt;=0,"OUT",IF(G110&lt;=J110,"LOW","OK")))</f>
        <v/>
      </c>
      <c r="L110" s="16" t="str">
        <f aca="false">IF(A110="","",F110+ROW()/1000000)</f>
        <v/>
      </c>
      <c r="M110" s="16" t="str">
        <f aca="false">IF(OR(K110="LOW",K110="OUT"),COUNTIF($K$2:K110,"LOW")+COUNTIF($K$2:K110,"OUT"),"")</f>
        <v/>
      </c>
    </row>
    <row r="111" customFormat="false" ht="15" hidden="false" customHeight="true" outlineLevel="0" collapsed="false">
      <c r="A111" s="16" t="str">
        <f aca="false">IF(Products!A111="","",Products!A111)</f>
        <v/>
      </c>
      <c r="B111" s="16" t="str">
        <f aca="false">IF($A111="","",INDEX(Products!$B$2:$B$501,ROW()-1))</f>
        <v/>
      </c>
      <c r="C111" s="16" t="str">
        <f aca="false">IF($A111="","",INDEX(Products!$C$2:$C$501,ROW()-1))</f>
        <v/>
      </c>
      <c r="D111" s="16" t="str">
        <f aca="false">IF(A111="","",N(Products!I111))</f>
        <v/>
      </c>
      <c r="E111" s="16" t="str">
        <f aca="false">IF(A111="","",SUMIFS(Purchases!$D$2:$D$2001,Purchases!$B$2:$B$2001,A111))</f>
        <v/>
      </c>
      <c r="F111" s="16" t="str">
        <f aca="false">IF(A111="","",SUMIFS(Sales_Items!$E$2:$E$3001,Sales_Items!$C$2:$C$3001,A111))</f>
        <v/>
      </c>
      <c r="G111" s="16" t="str">
        <f aca="false">IF(A111="","",D111+E111-F111)</f>
        <v/>
      </c>
      <c r="H111" s="17" t="str">
        <f aca="false">IF(A111="","",N(Products!E111))</f>
        <v/>
      </c>
      <c r="I111" s="17" t="str">
        <f aca="false">IF(A111="","",G111*H111)</f>
        <v/>
      </c>
      <c r="J111" s="16" t="str">
        <f aca="false">IF(A111="","",IF(Products!G111="",Settings!$B$8,Products!G111))</f>
        <v/>
      </c>
      <c r="K111" s="16" t="str">
        <f aca="false">IF(A111="","",IF(G111&lt;=0,"OUT",IF(G111&lt;=J111,"LOW","OK")))</f>
        <v/>
      </c>
      <c r="L111" s="16" t="str">
        <f aca="false">IF(A111="","",F111+ROW()/1000000)</f>
        <v/>
      </c>
      <c r="M111" s="16" t="str">
        <f aca="false">IF(OR(K111="LOW",K111="OUT"),COUNTIF($K$2:K111,"LOW")+COUNTIF($K$2:K111,"OUT"),"")</f>
        <v/>
      </c>
    </row>
    <row r="112" customFormat="false" ht="15" hidden="false" customHeight="true" outlineLevel="0" collapsed="false">
      <c r="A112" s="16" t="str">
        <f aca="false">IF(Products!A112="","",Products!A112)</f>
        <v/>
      </c>
      <c r="B112" s="16" t="str">
        <f aca="false">IF($A112="","",INDEX(Products!$B$2:$B$501,ROW()-1))</f>
        <v/>
      </c>
      <c r="C112" s="16" t="str">
        <f aca="false">IF($A112="","",INDEX(Products!$C$2:$C$501,ROW()-1))</f>
        <v/>
      </c>
      <c r="D112" s="16" t="str">
        <f aca="false">IF(A112="","",N(Products!I112))</f>
        <v/>
      </c>
      <c r="E112" s="16" t="str">
        <f aca="false">IF(A112="","",SUMIFS(Purchases!$D$2:$D$2001,Purchases!$B$2:$B$2001,A112))</f>
        <v/>
      </c>
      <c r="F112" s="16" t="str">
        <f aca="false">IF(A112="","",SUMIFS(Sales_Items!$E$2:$E$3001,Sales_Items!$C$2:$C$3001,A112))</f>
        <v/>
      </c>
      <c r="G112" s="16" t="str">
        <f aca="false">IF(A112="","",D112+E112-F112)</f>
        <v/>
      </c>
      <c r="H112" s="17" t="str">
        <f aca="false">IF(A112="","",N(Products!E112))</f>
        <v/>
      </c>
      <c r="I112" s="17" t="str">
        <f aca="false">IF(A112="","",G112*H112)</f>
        <v/>
      </c>
      <c r="J112" s="16" t="str">
        <f aca="false">IF(A112="","",IF(Products!G112="",Settings!$B$8,Products!G112))</f>
        <v/>
      </c>
      <c r="K112" s="16" t="str">
        <f aca="false">IF(A112="","",IF(G112&lt;=0,"OUT",IF(G112&lt;=J112,"LOW","OK")))</f>
        <v/>
      </c>
      <c r="L112" s="16" t="str">
        <f aca="false">IF(A112="","",F112+ROW()/1000000)</f>
        <v/>
      </c>
      <c r="M112" s="16" t="str">
        <f aca="false">IF(OR(K112="LOW",K112="OUT"),COUNTIF($K$2:K112,"LOW")+COUNTIF($K$2:K112,"OUT"),"")</f>
        <v/>
      </c>
    </row>
    <row r="113" customFormat="false" ht="15" hidden="false" customHeight="true" outlineLevel="0" collapsed="false">
      <c r="A113" s="16" t="str">
        <f aca="false">IF(Products!A113="","",Products!A113)</f>
        <v/>
      </c>
      <c r="B113" s="16" t="str">
        <f aca="false">IF($A113="","",INDEX(Products!$B$2:$B$501,ROW()-1))</f>
        <v/>
      </c>
      <c r="C113" s="16" t="str">
        <f aca="false">IF($A113="","",INDEX(Products!$C$2:$C$501,ROW()-1))</f>
        <v/>
      </c>
      <c r="D113" s="16" t="str">
        <f aca="false">IF(A113="","",N(Products!I113))</f>
        <v/>
      </c>
      <c r="E113" s="16" t="str">
        <f aca="false">IF(A113="","",SUMIFS(Purchases!$D$2:$D$2001,Purchases!$B$2:$B$2001,A113))</f>
        <v/>
      </c>
      <c r="F113" s="16" t="str">
        <f aca="false">IF(A113="","",SUMIFS(Sales_Items!$E$2:$E$3001,Sales_Items!$C$2:$C$3001,A113))</f>
        <v/>
      </c>
      <c r="G113" s="16" t="str">
        <f aca="false">IF(A113="","",D113+E113-F113)</f>
        <v/>
      </c>
      <c r="H113" s="17" t="str">
        <f aca="false">IF(A113="","",N(Products!E113))</f>
        <v/>
      </c>
      <c r="I113" s="17" t="str">
        <f aca="false">IF(A113="","",G113*H113)</f>
        <v/>
      </c>
      <c r="J113" s="16" t="str">
        <f aca="false">IF(A113="","",IF(Products!G113="",Settings!$B$8,Products!G113))</f>
        <v/>
      </c>
      <c r="K113" s="16" t="str">
        <f aca="false">IF(A113="","",IF(G113&lt;=0,"OUT",IF(G113&lt;=J113,"LOW","OK")))</f>
        <v/>
      </c>
      <c r="L113" s="16" t="str">
        <f aca="false">IF(A113="","",F113+ROW()/1000000)</f>
        <v/>
      </c>
      <c r="M113" s="16" t="str">
        <f aca="false">IF(OR(K113="LOW",K113="OUT"),COUNTIF($K$2:K113,"LOW")+COUNTIF($K$2:K113,"OUT"),"")</f>
        <v/>
      </c>
    </row>
    <row r="114" customFormat="false" ht="15" hidden="false" customHeight="true" outlineLevel="0" collapsed="false">
      <c r="A114" s="16" t="str">
        <f aca="false">IF(Products!A114="","",Products!A114)</f>
        <v/>
      </c>
      <c r="B114" s="16" t="str">
        <f aca="false">IF($A114="","",INDEX(Products!$B$2:$B$501,ROW()-1))</f>
        <v/>
      </c>
      <c r="C114" s="16" t="str">
        <f aca="false">IF($A114="","",INDEX(Products!$C$2:$C$501,ROW()-1))</f>
        <v/>
      </c>
      <c r="D114" s="16" t="str">
        <f aca="false">IF(A114="","",N(Products!I114))</f>
        <v/>
      </c>
      <c r="E114" s="16" t="str">
        <f aca="false">IF(A114="","",SUMIFS(Purchases!$D$2:$D$2001,Purchases!$B$2:$B$2001,A114))</f>
        <v/>
      </c>
      <c r="F114" s="16" t="str">
        <f aca="false">IF(A114="","",SUMIFS(Sales_Items!$E$2:$E$3001,Sales_Items!$C$2:$C$3001,A114))</f>
        <v/>
      </c>
      <c r="G114" s="16" t="str">
        <f aca="false">IF(A114="","",D114+E114-F114)</f>
        <v/>
      </c>
      <c r="H114" s="17" t="str">
        <f aca="false">IF(A114="","",N(Products!E114))</f>
        <v/>
      </c>
      <c r="I114" s="17" t="str">
        <f aca="false">IF(A114="","",G114*H114)</f>
        <v/>
      </c>
      <c r="J114" s="16" t="str">
        <f aca="false">IF(A114="","",IF(Products!G114="",Settings!$B$8,Products!G114))</f>
        <v/>
      </c>
      <c r="K114" s="16" t="str">
        <f aca="false">IF(A114="","",IF(G114&lt;=0,"OUT",IF(G114&lt;=J114,"LOW","OK")))</f>
        <v/>
      </c>
      <c r="L114" s="16" t="str">
        <f aca="false">IF(A114="","",F114+ROW()/1000000)</f>
        <v/>
      </c>
      <c r="M114" s="16" t="str">
        <f aca="false">IF(OR(K114="LOW",K114="OUT"),COUNTIF($K$2:K114,"LOW")+COUNTIF($K$2:K114,"OUT"),"")</f>
        <v/>
      </c>
    </row>
    <row r="115" customFormat="false" ht="15" hidden="false" customHeight="true" outlineLevel="0" collapsed="false">
      <c r="A115" s="16" t="str">
        <f aca="false">IF(Products!A115="","",Products!A115)</f>
        <v/>
      </c>
      <c r="B115" s="16" t="str">
        <f aca="false">IF($A115="","",INDEX(Products!$B$2:$B$501,ROW()-1))</f>
        <v/>
      </c>
      <c r="C115" s="16" t="str">
        <f aca="false">IF($A115="","",INDEX(Products!$C$2:$C$501,ROW()-1))</f>
        <v/>
      </c>
      <c r="D115" s="16" t="str">
        <f aca="false">IF(A115="","",N(Products!I115))</f>
        <v/>
      </c>
      <c r="E115" s="16" t="str">
        <f aca="false">IF(A115="","",SUMIFS(Purchases!$D$2:$D$2001,Purchases!$B$2:$B$2001,A115))</f>
        <v/>
      </c>
      <c r="F115" s="16" t="str">
        <f aca="false">IF(A115="","",SUMIFS(Sales_Items!$E$2:$E$3001,Sales_Items!$C$2:$C$3001,A115))</f>
        <v/>
      </c>
      <c r="G115" s="16" t="str">
        <f aca="false">IF(A115="","",D115+E115-F115)</f>
        <v/>
      </c>
      <c r="H115" s="17" t="str">
        <f aca="false">IF(A115="","",N(Products!E115))</f>
        <v/>
      </c>
      <c r="I115" s="17" t="str">
        <f aca="false">IF(A115="","",G115*H115)</f>
        <v/>
      </c>
      <c r="J115" s="16" t="str">
        <f aca="false">IF(A115="","",IF(Products!G115="",Settings!$B$8,Products!G115))</f>
        <v/>
      </c>
      <c r="K115" s="16" t="str">
        <f aca="false">IF(A115="","",IF(G115&lt;=0,"OUT",IF(G115&lt;=J115,"LOW","OK")))</f>
        <v/>
      </c>
      <c r="L115" s="16" t="str">
        <f aca="false">IF(A115="","",F115+ROW()/1000000)</f>
        <v/>
      </c>
      <c r="M115" s="16" t="str">
        <f aca="false">IF(OR(K115="LOW",K115="OUT"),COUNTIF($K$2:K115,"LOW")+COUNTIF($K$2:K115,"OUT"),"")</f>
        <v/>
      </c>
    </row>
    <row r="116" customFormat="false" ht="15" hidden="false" customHeight="true" outlineLevel="0" collapsed="false">
      <c r="A116" s="16" t="str">
        <f aca="false">IF(Products!A116="","",Products!A116)</f>
        <v/>
      </c>
      <c r="B116" s="16" t="str">
        <f aca="false">IF($A116="","",INDEX(Products!$B$2:$B$501,ROW()-1))</f>
        <v/>
      </c>
      <c r="C116" s="16" t="str">
        <f aca="false">IF($A116="","",INDEX(Products!$C$2:$C$501,ROW()-1))</f>
        <v/>
      </c>
      <c r="D116" s="16" t="str">
        <f aca="false">IF(A116="","",N(Products!I116))</f>
        <v/>
      </c>
      <c r="E116" s="16" t="str">
        <f aca="false">IF(A116="","",SUMIFS(Purchases!$D$2:$D$2001,Purchases!$B$2:$B$2001,A116))</f>
        <v/>
      </c>
      <c r="F116" s="16" t="str">
        <f aca="false">IF(A116="","",SUMIFS(Sales_Items!$E$2:$E$3001,Sales_Items!$C$2:$C$3001,A116))</f>
        <v/>
      </c>
      <c r="G116" s="16" t="str">
        <f aca="false">IF(A116="","",D116+E116-F116)</f>
        <v/>
      </c>
      <c r="H116" s="17" t="str">
        <f aca="false">IF(A116="","",N(Products!E116))</f>
        <v/>
      </c>
      <c r="I116" s="17" t="str">
        <f aca="false">IF(A116="","",G116*H116)</f>
        <v/>
      </c>
      <c r="J116" s="16" t="str">
        <f aca="false">IF(A116="","",IF(Products!G116="",Settings!$B$8,Products!G116))</f>
        <v/>
      </c>
      <c r="K116" s="16" t="str">
        <f aca="false">IF(A116="","",IF(G116&lt;=0,"OUT",IF(G116&lt;=J116,"LOW","OK")))</f>
        <v/>
      </c>
      <c r="L116" s="16" t="str">
        <f aca="false">IF(A116="","",F116+ROW()/1000000)</f>
        <v/>
      </c>
      <c r="M116" s="16" t="str">
        <f aca="false">IF(OR(K116="LOW",K116="OUT"),COUNTIF($K$2:K116,"LOW")+COUNTIF($K$2:K116,"OUT"),"")</f>
        <v/>
      </c>
    </row>
    <row r="117" customFormat="false" ht="15" hidden="false" customHeight="true" outlineLevel="0" collapsed="false">
      <c r="A117" s="16" t="str">
        <f aca="false">IF(Products!A117="","",Products!A117)</f>
        <v/>
      </c>
      <c r="B117" s="16" t="str">
        <f aca="false">IF($A117="","",INDEX(Products!$B$2:$B$501,ROW()-1))</f>
        <v/>
      </c>
      <c r="C117" s="16" t="str">
        <f aca="false">IF($A117="","",INDEX(Products!$C$2:$C$501,ROW()-1))</f>
        <v/>
      </c>
      <c r="D117" s="16" t="str">
        <f aca="false">IF(A117="","",N(Products!I117))</f>
        <v/>
      </c>
      <c r="E117" s="16" t="str">
        <f aca="false">IF(A117="","",SUMIFS(Purchases!$D$2:$D$2001,Purchases!$B$2:$B$2001,A117))</f>
        <v/>
      </c>
      <c r="F117" s="16" t="str">
        <f aca="false">IF(A117="","",SUMIFS(Sales_Items!$E$2:$E$3001,Sales_Items!$C$2:$C$3001,A117))</f>
        <v/>
      </c>
      <c r="G117" s="16" t="str">
        <f aca="false">IF(A117="","",D117+E117-F117)</f>
        <v/>
      </c>
      <c r="H117" s="17" t="str">
        <f aca="false">IF(A117="","",N(Products!E117))</f>
        <v/>
      </c>
      <c r="I117" s="17" t="str">
        <f aca="false">IF(A117="","",G117*H117)</f>
        <v/>
      </c>
      <c r="J117" s="16" t="str">
        <f aca="false">IF(A117="","",IF(Products!G117="",Settings!$B$8,Products!G117))</f>
        <v/>
      </c>
      <c r="K117" s="16" t="str">
        <f aca="false">IF(A117="","",IF(G117&lt;=0,"OUT",IF(G117&lt;=J117,"LOW","OK")))</f>
        <v/>
      </c>
      <c r="L117" s="16" t="str">
        <f aca="false">IF(A117="","",F117+ROW()/1000000)</f>
        <v/>
      </c>
      <c r="M117" s="16" t="str">
        <f aca="false">IF(OR(K117="LOW",K117="OUT"),COUNTIF($K$2:K117,"LOW")+COUNTIF($K$2:K117,"OUT"),"")</f>
        <v/>
      </c>
    </row>
    <row r="118" customFormat="false" ht="15" hidden="false" customHeight="true" outlineLevel="0" collapsed="false">
      <c r="A118" s="16" t="str">
        <f aca="false">IF(Products!A118="","",Products!A118)</f>
        <v/>
      </c>
      <c r="B118" s="16" t="str">
        <f aca="false">IF($A118="","",INDEX(Products!$B$2:$B$501,ROW()-1))</f>
        <v/>
      </c>
      <c r="C118" s="16" t="str">
        <f aca="false">IF($A118="","",INDEX(Products!$C$2:$C$501,ROW()-1))</f>
        <v/>
      </c>
      <c r="D118" s="16" t="str">
        <f aca="false">IF(A118="","",N(Products!I118))</f>
        <v/>
      </c>
      <c r="E118" s="16" t="str">
        <f aca="false">IF(A118="","",SUMIFS(Purchases!$D$2:$D$2001,Purchases!$B$2:$B$2001,A118))</f>
        <v/>
      </c>
      <c r="F118" s="16" t="str">
        <f aca="false">IF(A118="","",SUMIFS(Sales_Items!$E$2:$E$3001,Sales_Items!$C$2:$C$3001,A118))</f>
        <v/>
      </c>
      <c r="G118" s="16" t="str">
        <f aca="false">IF(A118="","",D118+E118-F118)</f>
        <v/>
      </c>
      <c r="H118" s="17" t="str">
        <f aca="false">IF(A118="","",N(Products!E118))</f>
        <v/>
      </c>
      <c r="I118" s="17" t="str">
        <f aca="false">IF(A118="","",G118*H118)</f>
        <v/>
      </c>
      <c r="J118" s="16" t="str">
        <f aca="false">IF(A118="","",IF(Products!G118="",Settings!$B$8,Products!G118))</f>
        <v/>
      </c>
      <c r="K118" s="16" t="str">
        <f aca="false">IF(A118="","",IF(G118&lt;=0,"OUT",IF(G118&lt;=J118,"LOW","OK")))</f>
        <v/>
      </c>
      <c r="L118" s="16" t="str">
        <f aca="false">IF(A118="","",F118+ROW()/1000000)</f>
        <v/>
      </c>
      <c r="M118" s="16" t="str">
        <f aca="false">IF(OR(K118="LOW",K118="OUT"),COUNTIF($K$2:K118,"LOW")+COUNTIF($K$2:K118,"OUT"),"")</f>
        <v/>
      </c>
    </row>
    <row r="119" customFormat="false" ht="15" hidden="false" customHeight="true" outlineLevel="0" collapsed="false">
      <c r="A119" s="16" t="str">
        <f aca="false">IF(Products!A119="","",Products!A119)</f>
        <v/>
      </c>
      <c r="B119" s="16" t="str">
        <f aca="false">IF($A119="","",INDEX(Products!$B$2:$B$501,ROW()-1))</f>
        <v/>
      </c>
      <c r="C119" s="16" t="str">
        <f aca="false">IF($A119="","",INDEX(Products!$C$2:$C$501,ROW()-1))</f>
        <v/>
      </c>
      <c r="D119" s="16" t="str">
        <f aca="false">IF(A119="","",N(Products!I119))</f>
        <v/>
      </c>
      <c r="E119" s="16" t="str">
        <f aca="false">IF(A119="","",SUMIFS(Purchases!$D$2:$D$2001,Purchases!$B$2:$B$2001,A119))</f>
        <v/>
      </c>
      <c r="F119" s="16" t="str">
        <f aca="false">IF(A119="","",SUMIFS(Sales_Items!$E$2:$E$3001,Sales_Items!$C$2:$C$3001,A119))</f>
        <v/>
      </c>
      <c r="G119" s="16" t="str">
        <f aca="false">IF(A119="","",D119+E119-F119)</f>
        <v/>
      </c>
      <c r="H119" s="17" t="str">
        <f aca="false">IF(A119="","",N(Products!E119))</f>
        <v/>
      </c>
      <c r="I119" s="17" t="str">
        <f aca="false">IF(A119="","",G119*H119)</f>
        <v/>
      </c>
      <c r="J119" s="16" t="str">
        <f aca="false">IF(A119="","",IF(Products!G119="",Settings!$B$8,Products!G119))</f>
        <v/>
      </c>
      <c r="K119" s="16" t="str">
        <f aca="false">IF(A119="","",IF(G119&lt;=0,"OUT",IF(G119&lt;=J119,"LOW","OK")))</f>
        <v/>
      </c>
      <c r="L119" s="16" t="str">
        <f aca="false">IF(A119="","",F119+ROW()/1000000)</f>
        <v/>
      </c>
      <c r="M119" s="16" t="str">
        <f aca="false">IF(OR(K119="LOW",K119="OUT"),COUNTIF($K$2:K119,"LOW")+COUNTIF($K$2:K119,"OUT"),"")</f>
        <v/>
      </c>
    </row>
    <row r="120" customFormat="false" ht="15" hidden="false" customHeight="true" outlineLevel="0" collapsed="false">
      <c r="A120" s="16" t="str">
        <f aca="false">IF(Products!A120="","",Products!A120)</f>
        <v/>
      </c>
      <c r="B120" s="16" t="str">
        <f aca="false">IF($A120="","",INDEX(Products!$B$2:$B$501,ROW()-1))</f>
        <v/>
      </c>
      <c r="C120" s="16" t="str">
        <f aca="false">IF($A120="","",INDEX(Products!$C$2:$C$501,ROW()-1))</f>
        <v/>
      </c>
      <c r="D120" s="16" t="str">
        <f aca="false">IF(A120="","",N(Products!I120))</f>
        <v/>
      </c>
      <c r="E120" s="16" t="str">
        <f aca="false">IF(A120="","",SUMIFS(Purchases!$D$2:$D$2001,Purchases!$B$2:$B$2001,A120))</f>
        <v/>
      </c>
      <c r="F120" s="16" t="str">
        <f aca="false">IF(A120="","",SUMIFS(Sales_Items!$E$2:$E$3001,Sales_Items!$C$2:$C$3001,A120))</f>
        <v/>
      </c>
      <c r="G120" s="16" t="str">
        <f aca="false">IF(A120="","",D120+E120-F120)</f>
        <v/>
      </c>
      <c r="H120" s="17" t="str">
        <f aca="false">IF(A120="","",N(Products!E120))</f>
        <v/>
      </c>
      <c r="I120" s="17" t="str">
        <f aca="false">IF(A120="","",G120*H120)</f>
        <v/>
      </c>
      <c r="J120" s="16" t="str">
        <f aca="false">IF(A120="","",IF(Products!G120="",Settings!$B$8,Products!G120))</f>
        <v/>
      </c>
      <c r="K120" s="16" t="str">
        <f aca="false">IF(A120="","",IF(G120&lt;=0,"OUT",IF(G120&lt;=J120,"LOW","OK")))</f>
        <v/>
      </c>
      <c r="L120" s="16" t="str">
        <f aca="false">IF(A120="","",F120+ROW()/1000000)</f>
        <v/>
      </c>
      <c r="M120" s="16" t="str">
        <f aca="false">IF(OR(K120="LOW",K120="OUT"),COUNTIF($K$2:K120,"LOW")+COUNTIF($K$2:K120,"OUT"),"")</f>
        <v/>
      </c>
    </row>
    <row r="121" customFormat="false" ht="15" hidden="false" customHeight="true" outlineLevel="0" collapsed="false">
      <c r="A121" s="16" t="str">
        <f aca="false">IF(Products!A121="","",Products!A121)</f>
        <v/>
      </c>
      <c r="B121" s="16" t="str">
        <f aca="false">IF($A121="","",INDEX(Products!$B$2:$B$501,ROW()-1))</f>
        <v/>
      </c>
      <c r="C121" s="16" t="str">
        <f aca="false">IF($A121="","",INDEX(Products!$C$2:$C$501,ROW()-1))</f>
        <v/>
      </c>
      <c r="D121" s="16" t="str">
        <f aca="false">IF(A121="","",N(Products!I121))</f>
        <v/>
      </c>
      <c r="E121" s="16" t="str">
        <f aca="false">IF(A121="","",SUMIFS(Purchases!$D$2:$D$2001,Purchases!$B$2:$B$2001,A121))</f>
        <v/>
      </c>
      <c r="F121" s="16" t="str">
        <f aca="false">IF(A121="","",SUMIFS(Sales_Items!$E$2:$E$3001,Sales_Items!$C$2:$C$3001,A121))</f>
        <v/>
      </c>
      <c r="G121" s="16" t="str">
        <f aca="false">IF(A121="","",D121+E121-F121)</f>
        <v/>
      </c>
      <c r="H121" s="17" t="str">
        <f aca="false">IF(A121="","",N(Products!E121))</f>
        <v/>
      </c>
      <c r="I121" s="17" t="str">
        <f aca="false">IF(A121="","",G121*H121)</f>
        <v/>
      </c>
      <c r="J121" s="16" t="str">
        <f aca="false">IF(A121="","",IF(Products!G121="",Settings!$B$8,Products!G121))</f>
        <v/>
      </c>
      <c r="K121" s="16" t="str">
        <f aca="false">IF(A121="","",IF(G121&lt;=0,"OUT",IF(G121&lt;=J121,"LOW","OK")))</f>
        <v/>
      </c>
      <c r="L121" s="16" t="str">
        <f aca="false">IF(A121="","",F121+ROW()/1000000)</f>
        <v/>
      </c>
      <c r="M121" s="16" t="str">
        <f aca="false">IF(OR(K121="LOW",K121="OUT"),COUNTIF($K$2:K121,"LOW")+COUNTIF($K$2:K121,"OUT"),"")</f>
        <v/>
      </c>
    </row>
    <row r="122" customFormat="false" ht="15" hidden="false" customHeight="true" outlineLevel="0" collapsed="false">
      <c r="A122" s="16" t="str">
        <f aca="false">IF(Products!A122="","",Products!A122)</f>
        <v/>
      </c>
      <c r="B122" s="16" t="str">
        <f aca="false">IF($A122="","",INDEX(Products!$B$2:$B$501,ROW()-1))</f>
        <v/>
      </c>
      <c r="C122" s="16" t="str">
        <f aca="false">IF($A122="","",INDEX(Products!$C$2:$C$501,ROW()-1))</f>
        <v/>
      </c>
      <c r="D122" s="16" t="str">
        <f aca="false">IF(A122="","",N(Products!I122))</f>
        <v/>
      </c>
      <c r="E122" s="16" t="str">
        <f aca="false">IF(A122="","",SUMIFS(Purchases!$D$2:$D$2001,Purchases!$B$2:$B$2001,A122))</f>
        <v/>
      </c>
      <c r="F122" s="16" t="str">
        <f aca="false">IF(A122="","",SUMIFS(Sales_Items!$E$2:$E$3001,Sales_Items!$C$2:$C$3001,A122))</f>
        <v/>
      </c>
      <c r="G122" s="16" t="str">
        <f aca="false">IF(A122="","",D122+E122-F122)</f>
        <v/>
      </c>
      <c r="H122" s="17" t="str">
        <f aca="false">IF(A122="","",N(Products!E122))</f>
        <v/>
      </c>
      <c r="I122" s="17" t="str">
        <f aca="false">IF(A122="","",G122*H122)</f>
        <v/>
      </c>
      <c r="J122" s="16" t="str">
        <f aca="false">IF(A122="","",IF(Products!G122="",Settings!$B$8,Products!G122))</f>
        <v/>
      </c>
      <c r="K122" s="16" t="str">
        <f aca="false">IF(A122="","",IF(G122&lt;=0,"OUT",IF(G122&lt;=J122,"LOW","OK")))</f>
        <v/>
      </c>
      <c r="L122" s="16" t="str">
        <f aca="false">IF(A122="","",F122+ROW()/1000000)</f>
        <v/>
      </c>
      <c r="M122" s="16" t="str">
        <f aca="false">IF(OR(K122="LOW",K122="OUT"),COUNTIF($K$2:K122,"LOW")+COUNTIF($K$2:K122,"OUT"),"")</f>
        <v/>
      </c>
    </row>
    <row r="123" customFormat="false" ht="15" hidden="false" customHeight="true" outlineLevel="0" collapsed="false">
      <c r="A123" s="16" t="str">
        <f aca="false">IF(Products!A123="","",Products!A123)</f>
        <v/>
      </c>
      <c r="B123" s="16" t="str">
        <f aca="false">IF($A123="","",INDEX(Products!$B$2:$B$501,ROW()-1))</f>
        <v/>
      </c>
      <c r="C123" s="16" t="str">
        <f aca="false">IF($A123="","",INDEX(Products!$C$2:$C$501,ROW()-1))</f>
        <v/>
      </c>
      <c r="D123" s="16" t="str">
        <f aca="false">IF(A123="","",N(Products!I123))</f>
        <v/>
      </c>
      <c r="E123" s="16" t="str">
        <f aca="false">IF(A123="","",SUMIFS(Purchases!$D$2:$D$2001,Purchases!$B$2:$B$2001,A123))</f>
        <v/>
      </c>
      <c r="F123" s="16" t="str">
        <f aca="false">IF(A123="","",SUMIFS(Sales_Items!$E$2:$E$3001,Sales_Items!$C$2:$C$3001,A123))</f>
        <v/>
      </c>
      <c r="G123" s="16" t="str">
        <f aca="false">IF(A123="","",D123+E123-F123)</f>
        <v/>
      </c>
      <c r="H123" s="17" t="str">
        <f aca="false">IF(A123="","",N(Products!E123))</f>
        <v/>
      </c>
      <c r="I123" s="17" t="str">
        <f aca="false">IF(A123="","",G123*H123)</f>
        <v/>
      </c>
      <c r="J123" s="16" t="str">
        <f aca="false">IF(A123="","",IF(Products!G123="",Settings!$B$8,Products!G123))</f>
        <v/>
      </c>
      <c r="K123" s="16" t="str">
        <f aca="false">IF(A123="","",IF(G123&lt;=0,"OUT",IF(G123&lt;=J123,"LOW","OK")))</f>
        <v/>
      </c>
      <c r="L123" s="16" t="str">
        <f aca="false">IF(A123="","",F123+ROW()/1000000)</f>
        <v/>
      </c>
      <c r="M123" s="16" t="str">
        <f aca="false">IF(OR(K123="LOW",K123="OUT"),COUNTIF($K$2:K123,"LOW")+COUNTIF($K$2:K123,"OUT"),"")</f>
        <v/>
      </c>
    </row>
    <row r="124" customFormat="false" ht="15" hidden="false" customHeight="true" outlineLevel="0" collapsed="false">
      <c r="A124" s="16" t="str">
        <f aca="false">IF(Products!A124="","",Products!A124)</f>
        <v/>
      </c>
      <c r="B124" s="16" t="str">
        <f aca="false">IF($A124="","",INDEX(Products!$B$2:$B$501,ROW()-1))</f>
        <v/>
      </c>
      <c r="C124" s="16" t="str">
        <f aca="false">IF($A124="","",INDEX(Products!$C$2:$C$501,ROW()-1))</f>
        <v/>
      </c>
      <c r="D124" s="16" t="str">
        <f aca="false">IF(A124="","",N(Products!I124))</f>
        <v/>
      </c>
      <c r="E124" s="16" t="str">
        <f aca="false">IF(A124="","",SUMIFS(Purchases!$D$2:$D$2001,Purchases!$B$2:$B$2001,A124))</f>
        <v/>
      </c>
      <c r="F124" s="16" t="str">
        <f aca="false">IF(A124="","",SUMIFS(Sales_Items!$E$2:$E$3001,Sales_Items!$C$2:$C$3001,A124))</f>
        <v/>
      </c>
      <c r="G124" s="16" t="str">
        <f aca="false">IF(A124="","",D124+E124-F124)</f>
        <v/>
      </c>
      <c r="H124" s="17" t="str">
        <f aca="false">IF(A124="","",N(Products!E124))</f>
        <v/>
      </c>
      <c r="I124" s="17" t="str">
        <f aca="false">IF(A124="","",G124*H124)</f>
        <v/>
      </c>
      <c r="J124" s="16" t="str">
        <f aca="false">IF(A124="","",IF(Products!G124="",Settings!$B$8,Products!G124))</f>
        <v/>
      </c>
      <c r="K124" s="16" t="str">
        <f aca="false">IF(A124="","",IF(G124&lt;=0,"OUT",IF(G124&lt;=J124,"LOW","OK")))</f>
        <v/>
      </c>
      <c r="L124" s="16" t="str">
        <f aca="false">IF(A124="","",F124+ROW()/1000000)</f>
        <v/>
      </c>
      <c r="M124" s="16" t="str">
        <f aca="false">IF(OR(K124="LOW",K124="OUT"),COUNTIF($K$2:K124,"LOW")+COUNTIF($K$2:K124,"OUT"),"")</f>
        <v/>
      </c>
    </row>
    <row r="125" customFormat="false" ht="15" hidden="false" customHeight="true" outlineLevel="0" collapsed="false">
      <c r="A125" s="16" t="str">
        <f aca="false">IF(Products!A125="","",Products!A125)</f>
        <v/>
      </c>
      <c r="B125" s="16" t="str">
        <f aca="false">IF($A125="","",INDEX(Products!$B$2:$B$501,ROW()-1))</f>
        <v/>
      </c>
      <c r="C125" s="16" t="str">
        <f aca="false">IF($A125="","",INDEX(Products!$C$2:$C$501,ROW()-1))</f>
        <v/>
      </c>
      <c r="D125" s="16" t="str">
        <f aca="false">IF(A125="","",N(Products!I125))</f>
        <v/>
      </c>
      <c r="E125" s="16" t="str">
        <f aca="false">IF(A125="","",SUMIFS(Purchases!$D$2:$D$2001,Purchases!$B$2:$B$2001,A125))</f>
        <v/>
      </c>
      <c r="F125" s="16" t="str">
        <f aca="false">IF(A125="","",SUMIFS(Sales_Items!$E$2:$E$3001,Sales_Items!$C$2:$C$3001,A125))</f>
        <v/>
      </c>
      <c r="G125" s="16" t="str">
        <f aca="false">IF(A125="","",D125+E125-F125)</f>
        <v/>
      </c>
      <c r="H125" s="17" t="str">
        <f aca="false">IF(A125="","",N(Products!E125))</f>
        <v/>
      </c>
      <c r="I125" s="17" t="str">
        <f aca="false">IF(A125="","",G125*H125)</f>
        <v/>
      </c>
      <c r="J125" s="16" t="str">
        <f aca="false">IF(A125="","",IF(Products!G125="",Settings!$B$8,Products!G125))</f>
        <v/>
      </c>
      <c r="K125" s="16" t="str">
        <f aca="false">IF(A125="","",IF(G125&lt;=0,"OUT",IF(G125&lt;=J125,"LOW","OK")))</f>
        <v/>
      </c>
      <c r="L125" s="16" t="str">
        <f aca="false">IF(A125="","",F125+ROW()/1000000)</f>
        <v/>
      </c>
      <c r="M125" s="16" t="str">
        <f aca="false">IF(OR(K125="LOW",K125="OUT"),COUNTIF($K$2:K125,"LOW")+COUNTIF($K$2:K125,"OUT"),"")</f>
        <v/>
      </c>
    </row>
    <row r="126" customFormat="false" ht="15" hidden="false" customHeight="true" outlineLevel="0" collapsed="false">
      <c r="A126" s="16" t="str">
        <f aca="false">IF(Products!A126="","",Products!A126)</f>
        <v/>
      </c>
      <c r="B126" s="16" t="str">
        <f aca="false">IF($A126="","",INDEX(Products!$B$2:$B$501,ROW()-1))</f>
        <v/>
      </c>
      <c r="C126" s="16" t="str">
        <f aca="false">IF($A126="","",INDEX(Products!$C$2:$C$501,ROW()-1))</f>
        <v/>
      </c>
      <c r="D126" s="16" t="str">
        <f aca="false">IF(A126="","",N(Products!I126))</f>
        <v/>
      </c>
      <c r="E126" s="16" t="str">
        <f aca="false">IF(A126="","",SUMIFS(Purchases!$D$2:$D$2001,Purchases!$B$2:$B$2001,A126))</f>
        <v/>
      </c>
      <c r="F126" s="16" t="str">
        <f aca="false">IF(A126="","",SUMIFS(Sales_Items!$E$2:$E$3001,Sales_Items!$C$2:$C$3001,A126))</f>
        <v/>
      </c>
      <c r="G126" s="16" t="str">
        <f aca="false">IF(A126="","",D126+E126-F126)</f>
        <v/>
      </c>
      <c r="H126" s="17" t="str">
        <f aca="false">IF(A126="","",N(Products!E126))</f>
        <v/>
      </c>
      <c r="I126" s="17" t="str">
        <f aca="false">IF(A126="","",G126*H126)</f>
        <v/>
      </c>
      <c r="J126" s="16" t="str">
        <f aca="false">IF(A126="","",IF(Products!G126="",Settings!$B$8,Products!G126))</f>
        <v/>
      </c>
      <c r="K126" s="16" t="str">
        <f aca="false">IF(A126="","",IF(G126&lt;=0,"OUT",IF(G126&lt;=J126,"LOW","OK")))</f>
        <v/>
      </c>
      <c r="L126" s="16" t="str">
        <f aca="false">IF(A126="","",F126+ROW()/1000000)</f>
        <v/>
      </c>
      <c r="M126" s="16" t="str">
        <f aca="false">IF(OR(K126="LOW",K126="OUT"),COUNTIF($K$2:K126,"LOW")+COUNTIF($K$2:K126,"OUT"),"")</f>
        <v/>
      </c>
    </row>
    <row r="127" customFormat="false" ht="15" hidden="false" customHeight="true" outlineLevel="0" collapsed="false">
      <c r="A127" s="16" t="str">
        <f aca="false">IF(Products!A127="","",Products!A127)</f>
        <v/>
      </c>
      <c r="B127" s="16" t="str">
        <f aca="false">IF($A127="","",INDEX(Products!$B$2:$B$501,ROW()-1))</f>
        <v/>
      </c>
      <c r="C127" s="16" t="str">
        <f aca="false">IF($A127="","",INDEX(Products!$C$2:$C$501,ROW()-1))</f>
        <v/>
      </c>
      <c r="D127" s="16" t="str">
        <f aca="false">IF(A127="","",N(Products!I127))</f>
        <v/>
      </c>
      <c r="E127" s="16" t="str">
        <f aca="false">IF(A127="","",SUMIFS(Purchases!$D$2:$D$2001,Purchases!$B$2:$B$2001,A127))</f>
        <v/>
      </c>
      <c r="F127" s="16" t="str">
        <f aca="false">IF(A127="","",SUMIFS(Sales_Items!$E$2:$E$3001,Sales_Items!$C$2:$C$3001,A127))</f>
        <v/>
      </c>
      <c r="G127" s="16" t="str">
        <f aca="false">IF(A127="","",D127+E127-F127)</f>
        <v/>
      </c>
      <c r="H127" s="17" t="str">
        <f aca="false">IF(A127="","",N(Products!E127))</f>
        <v/>
      </c>
      <c r="I127" s="17" t="str">
        <f aca="false">IF(A127="","",G127*H127)</f>
        <v/>
      </c>
      <c r="J127" s="16" t="str">
        <f aca="false">IF(A127="","",IF(Products!G127="",Settings!$B$8,Products!G127))</f>
        <v/>
      </c>
      <c r="K127" s="16" t="str">
        <f aca="false">IF(A127="","",IF(G127&lt;=0,"OUT",IF(G127&lt;=J127,"LOW","OK")))</f>
        <v/>
      </c>
      <c r="L127" s="16" t="str">
        <f aca="false">IF(A127="","",F127+ROW()/1000000)</f>
        <v/>
      </c>
      <c r="M127" s="16" t="str">
        <f aca="false">IF(OR(K127="LOW",K127="OUT"),COUNTIF($K$2:K127,"LOW")+COUNTIF($K$2:K127,"OUT"),"")</f>
        <v/>
      </c>
    </row>
    <row r="128" customFormat="false" ht="15" hidden="false" customHeight="true" outlineLevel="0" collapsed="false">
      <c r="A128" s="16" t="str">
        <f aca="false">IF(Products!A128="","",Products!A128)</f>
        <v/>
      </c>
      <c r="B128" s="16" t="str">
        <f aca="false">IF($A128="","",INDEX(Products!$B$2:$B$501,ROW()-1))</f>
        <v/>
      </c>
      <c r="C128" s="16" t="str">
        <f aca="false">IF($A128="","",INDEX(Products!$C$2:$C$501,ROW()-1))</f>
        <v/>
      </c>
      <c r="D128" s="16" t="str">
        <f aca="false">IF(A128="","",N(Products!I128))</f>
        <v/>
      </c>
      <c r="E128" s="16" t="str">
        <f aca="false">IF(A128="","",SUMIFS(Purchases!$D$2:$D$2001,Purchases!$B$2:$B$2001,A128))</f>
        <v/>
      </c>
      <c r="F128" s="16" t="str">
        <f aca="false">IF(A128="","",SUMIFS(Sales_Items!$E$2:$E$3001,Sales_Items!$C$2:$C$3001,A128))</f>
        <v/>
      </c>
      <c r="G128" s="16" t="str">
        <f aca="false">IF(A128="","",D128+E128-F128)</f>
        <v/>
      </c>
      <c r="H128" s="17" t="str">
        <f aca="false">IF(A128="","",N(Products!E128))</f>
        <v/>
      </c>
      <c r="I128" s="17" t="str">
        <f aca="false">IF(A128="","",G128*H128)</f>
        <v/>
      </c>
      <c r="J128" s="16" t="str">
        <f aca="false">IF(A128="","",IF(Products!G128="",Settings!$B$8,Products!G128))</f>
        <v/>
      </c>
      <c r="K128" s="16" t="str">
        <f aca="false">IF(A128="","",IF(G128&lt;=0,"OUT",IF(G128&lt;=J128,"LOW","OK")))</f>
        <v/>
      </c>
      <c r="L128" s="16" t="str">
        <f aca="false">IF(A128="","",F128+ROW()/1000000)</f>
        <v/>
      </c>
      <c r="M128" s="16" t="str">
        <f aca="false">IF(OR(K128="LOW",K128="OUT"),COUNTIF($K$2:K128,"LOW")+COUNTIF($K$2:K128,"OUT"),"")</f>
        <v/>
      </c>
    </row>
    <row r="129" customFormat="false" ht="15" hidden="false" customHeight="true" outlineLevel="0" collapsed="false">
      <c r="A129" s="16" t="str">
        <f aca="false">IF(Products!A129="","",Products!A129)</f>
        <v/>
      </c>
      <c r="B129" s="16" t="str">
        <f aca="false">IF($A129="","",INDEX(Products!$B$2:$B$501,ROW()-1))</f>
        <v/>
      </c>
      <c r="C129" s="16" t="str">
        <f aca="false">IF($A129="","",INDEX(Products!$C$2:$C$501,ROW()-1))</f>
        <v/>
      </c>
      <c r="D129" s="16" t="str">
        <f aca="false">IF(A129="","",N(Products!I129))</f>
        <v/>
      </c>
      <c r="E129" s="16" t="str">
        <f aca="false">IF(A129="","",SUMIFS(Purchases!$D$2:$D$2001,Purchases!$B$2:$B$2001,A129))</f>
        <v/>
      </c>
      <c r="F129" s="16" t="str">
        <f aca="false">IF(A129="","",SUMIFS(Sales_Items!$E$2:$E$3001,Sales_Items!$C$2:$C$3001,A129))</f>
        <v/>
      </c>
      <c r="G129" s="16" t="str">
        <f aca="false">IF(A129="","",D129+E129-F129)</f>
        <v/>
      </c>
      <c r="H129" s="17" t="str">
        <f aca="false">IF(A129="","",N(Products!E129))</f>
        <v/>
      </c>
      <c r="I129" s="17" t="str">
        <f aca="false">IF(A129="","",G129*H129)</f>
        <v/>
      </c>
      <c r="J129" s="16" t="str">
        <f aca="false">IF(A129="","",IF(Products!G129="",Settings!$B$8,Products!G129))</f>
        <v/>
      </c>
      <c r="K129" s="16" t="str">
        <f aca="false">IF(A129="","",IF(G129&lt;=0,"OUT",IF(G129&lt;=J129,"LOW","OK")))</f>
        <v/>
      </c>
      <c r="L129" s="16" t="str">
        <f aca="false">IF(A129="","",F129+ROW()/1000000)</f>
        <v/>
      </c>
      <c r="M129" s="16" t="str">
        <f aca="false">IF(OR(K129="LOW",K129="OUT"),COUNTIF($K$2:K129,"LOW")+COUNTIF($K$2:K129,"OUT"),"")</f>
        <v/>
      </c>
    </row>
    <row r="130" customFormat="false" ht="15" hidden="false" customHeight="true" outlineLevel="0" collapsed="false">
      <c r="A130" s="16" t="str">
        <f aca="false">IF(Products!A130="","",Products!A130)</f>
        <v/>
      </c>
      <c r="B130" s="16" t="str">
        <f aca="false">IF($A130="","",INDEX(Products!$B$2:$B$501,ROW()-1))</f>
        <v/>
      </c>
      <c r="C130" s="16" t="str">
        <f aca="false">IF($A130="","",INDEX(Products!$C$2:$C$501,ROW()-1))</f>
        <v/>
      </c>
      <c r="D130" s="16" t="str">
        <f aca="false">IF(A130="","",N(Products!I130))</f>
        <v/>
      </c>
      <c r="E130" s="16" t="str">
        <f aca="false">IF(A130="","",SUMIFS(Purchases!$D$2:$D$2001,Purchases!$B$2:$B$2001,A130))</f>
        <v/>
      </c>
      <c r="F130" s="16" t="str">
        <f aca="false">IF(A130="","",SUMIFS(Sales_Items!$E$2:$E$3001,Sales_Items!$C$2:$C$3001,A130))</f>
        <v/>
      </c>
      <c r="G130" s="16" t="str">
        <f aca="false">IF(A130="","",D130+E130-F130)</f>
        <v/>
      </c>
      <c r="H130" s="17" t="str">
        <f aca="false">IF(A130="","",N(Products!E130))</f>
        <v/>
      </c>
      <c r="I130" s="17" t="str">
        <f aca="false">IF(A130="","",G130*H130)</f>
        <v/>
      </c>
      <c r="J130" s="16" t="str">
        <f aca="false">IF(A130="","",IF(Products!G130="",Settings!$B$8,Products!G130))</f>
        <v/>
      </c>
      <c r="K130" s="16" t="str">
        <f aca="false">IF(A130="","",IF(G130&lt;=0,"OUT",IF(G130&lt;=J130,"LOW","OK")))</f>
        <v/>
      </c>
      <c r="L130" s="16" t="str">
        <f aca="false">IF(A130="","",F130+ROW()/1000000)</f>
        <v/>
      </c>
      <c r="M130" s="16" t="str">
        <f aca="false">IF(OR(K130="LOW",K130="OUT"),COUNTIF($K$2:K130,"LOW")+COUNTIF($K$2:K130,"OUT"),"")</f>
        <v/>
      </c>
    </row>
    <row r="131" customFormat="false" ht="15" hidden="false" customHeight="true" outlineLevel="0" collapsed="false">
      <c r="A131" s="16" t="str">
        <f aca="false">IF(Products!A131="","",Products!A131)</f>
        <v/>
      </c>
      <c r="B131" s="16" t="str">
        <f aca="false">IF($A131="","",INDEX(Products!$B$2:$B$501,ROW()-1))</f>
        <v/>
      </c>
      <c r="C131" s="16" t="str">
        <f aca="false">IF($A131="","",INDEX(Products!$C$2:$C$501,ROW()-1))</f>
        <v/>
      </c>
      <c r="D131" s="16" t="str">
        <f aca="false">IF(A131="","",N(Products!I131))</f>
        <v/>
      </c>
      <c r="E131" s="16" t="str">
        <f aca="false">IF(A131="","",SUMIFS(Purchases!$D$2:$D$2001,Purchases!$B$2:$B$2001,A131))</f>
        <v/>
      </c>
      <c r="F131" s="16" t="str">
        <f aca="false">IF(A131="","",SUMIFS(Sales_Items!$E$2:$E$3001,Sales_Items!$C$2:$C$3001,A131))</f>
        <v/>
      </c>
      <c r="G131" s="16" t="str">
        <f aca="false">IF(A131="","",D131+E131-F131)</f>
        <v/>
      </c>
      <c r="H131" s="17" t="str">
        <f aca="false">IF(A131="","",N(Products!E131))</f>
        <v/>
      </c>
      <c r="I131" s="17" t="str">
        <f aca="false">IF(A131="","",G131*H131)</f>
        <v/>
      </c>
      <c r="J131" s="16" t="str">
        <f aca="false">IF(A131="","",IF(Products!G131="",Settings!$B$8,Products!G131))</f>
        <v/>
      </c>
      <c r="K131" s="16" t="str">
        <f aca="false">IF(A131="","",IF(G131&lt;=0,"OUT",IF(G131&lt;=J131,"LOW","OK")))</f>
        <v/>
      </c>
      <c r="L131" s="16" t="str">
        <f aca="false">IF(A131="","",F131+ROW()/1000000)</f>
        <v/>
      </c>
      <c r="M131" s="16" t="str">
        <f aca="false">IF(OR(K131="LOW",K131="OUT"),COUNTIF($K$2:K131,"LOW")+COUNTIF($K$2:K131,"OUT"),"")</f>
        <v/>
      </c>
    </row>
    <row r="132" customFormat="false" ht="15" hidden="false" customHeight="true" outlineLevel="0" collapsed="false">
      <c r="A132" s="16" t="str">
        <f aca="false">IF(Products!A132="","",Products!A132)</f>
        <v/>
      </c>
      <c r="B132" s="16" t="str">
        <f aca="false">IF($A132="","",INDEX(Products!$B$2:$B$501,ROW()-1))</f>
        <v/>
      </c>
      <c r="C132" s="16" t="str">
        <f aca="false">IF($A132="","",INDEX(Products!$C$2:$C$501,ROW()-1))</f>
        <v/>
      </c>
      <c r="D132" s="16" t="str">
        <f aca="false">IF(A132="","",N(Products!I132))</f>
        <v/>
      </c>
      <c r="E132" s="16" t="str">
        <f aca="false">IF(A132="","",SUMIFS(Purchases!$D$2:$D$2001,Purchases!$B$2:$B$2001,A132))</f>
        <v/>
      </c>
      <c r="F132" s="16" t="str">
        <f aca="false">IF(A132="","",SUMIFS(Sales_Items!$E$2:$E$3001,Sales_Items!$C$2:$C$3001,A132))</f>
        <v/>
      </c>
      <c r="G132" s="16" t="str">
        <f aca="false">IF(A132="","",D132+E132-F132)</f>
        <v/>
      </c>
      <c r="H132" s="17" t="str">
        <f aca="false">IF(A132="","",N(Products!E132))</f>
        <v/>
      </c>
      <c r="I132" s="17" t="str">
        <f aca="false">IF(A132="","",G132*H132)</f>
        <v/>
      </c>
      <c r="J132" s="16" t="str">
        <f aca="false">IF(A132="","",IF(Products!G132="",Settings!$B$8,Products!G132))</f>
        <v/>
      </c>
      <c r="K132" s="16" t="str">
        <f aca="false">IF(A132="","",IF(G132&lt;=0,"OUT",IF(G132&lt;=J132,"LOW","OK")))</f>
        <v/>
      </c>
      <c r="L132" s="16" t="str">
        <f aca="false">IF(A132="","",F132+ROW()/1000000)</f>
        <v/>
      </c>
      <c r="M132" s="16" t="str">
        <f aca="false">IF(OR(K132="LOW",K132="OUT"),COUNTIF($K$2:K132,"LOW")+COUNTIF($K$2:K132,"OUT"),"")</f>
        <v/>
      </c>
    </row>
    <row r="133" customFormat="false" ht="15" hidden="false" customHeight="true" outlineLevel="0" collapsed="false">
      <c r="A133" s="16" t="str">
        <f aca="false">IF(Products!A133="","",Products!A133)</f>
        <v/>
      </c>
      <c r="B133" s="16" t="str">
        <f aca="false">IF($A133="","",INDEX(Products!$B$2:$B$501,ROW()-1))</f>
        <v/>
      </c>
      <c r="C133" s="16" t="str">
        <f aca="false">IF($A133="","",INDEX(Products!$C$2:$C$501,ROW()-1))</f>
        <v/>
      </c>
      <c r="D133" s="16" t="str">
        <f aca="false">IF(A133="","",N(Products!I133))</f>
        <v/>
      </c>
      <c r="E133" s="16" t="str">
        <f aca="false">IF(A133="","",SUMIFS(Purchases!$D$2:$D$2001,Purchases!$B$2:$B$2001,A133))</f>
        <v/>
      </c>
      <c r="F133" s="16" t="str">
        <f aca="false">IF(A133="","",SUMIFS(Sales_Items!$E$2:$E$3001,Sales_Items!$C$2:$C$3001,A133))</f>
        <v/>
      </c>
      <c r="G133" s="16" t="str">
        <f aca="false">IF(A133="","",D133+E133-F133)</f>
        <v/>
      </c>
      <c r="H133" s="17" t="str">
        <f aca="false">IF(A133="","",N(Products!E133))</f>
        <v/>
      </c>
      <c r="I133" s="17" t="str">
        <f aca="false">IF(A133="","",G133*H133)</f>
        <v/>
      </c>
      <c r="J133" s="16" t="str">
        <f aca="false">IF(A133="","",IF(Products!G133="",Settings!$B$8,Products!G133))</f>
        <v/>
      </c>
      <c r="K133" s="16" t="str">
        <f aca="false">IF(A133="","",IF(G133&lt;=0,"OUT",IF(G133&lt;=J133,"LOW","OK")))</f>
        <v/>
      </c>
      <c r="L133" s="16" t="str">
        <f aca="false">IF(A133="","",F133+ROW()/1000000)</f>
        <v/>
      </c>
      <c r="M133" s="16" t="str">
        <f aca="false">IF(OR(K133="LOW",K133="OUT"),COUNTIF($K$2:K133,"LOW")+COUNTIF($K$2:K133,"OUT"),"")</f>
        <v/>
      </c>
    </row>
    <row r="134" customFormat="false" ht="15" hidden="false" customHeight="true" outlineLevel="0" collapsed="false">
      <c r="A134" s="16" t="str">
        <f aca="false">IF(Products!A134="","",Products!A134)</f>
        <v/>
      </c>
      <c r="B134" s="16" t="str">
        <f aca="false">IF($A134="","",INDEX(Products!$B$2:$B$501,ROW()-1))</f>
        <v/>
      </c>
      <c r="C134" s="16" t="str">
        <f aca="false">IF($A134="","",INDEX(Products!$C$2:$C$501,ROW()-1))</f>
        <v/>
      </c>
      <c r="D134" s="16" t="str">
        <f aca="false">IF(A134="","",N(Products!I134))</f>
        <v/>
      </c>
      <c r="E134" s="16" t="str">
        <f aca="false">IF(A134="","",SUMIFS(Purchases!$D$2:$D$2001,Purchases!$B$2:$B$2001,A134))</f>
        <v/>
      </c>
      <c r="F134" s="16" t="str">
        <f aca="false">IF(A134="","",SUMIFS(Sales_Items!$E$2:$E$3001,Sales_Items!$C$2:$C$3001,A134))</f>
        <v/>
      </c>
      <c r="G134" s="16" t="str">
        <f aca="false">IF(A134="","",D134+E134-F134)</f>
        <v/>
      </c>
      <c r="H134" s="17" t="str">
        <f aca="false">IF(A134="","",N(Products!E134))</f>
        <v/>
      </c>
      <c r="I134" s="17" t="str">
        <f aca="false">IF(A134="","",G134*H134)</f>
        <v/>
      </c>
      <c r="J134" s="16" t="str">
        <f aca="false">IF(A134="","",IF(Products!G134="",Settings!$B$8,Products!G134))</f>
        <v/>
      </c>
      <c r="K134" s="16" t="str">
        <f aca="false">IF(A134="","",IF(G134&lt;=0,"OUT",IF(G134&lt;=J134,"LOW","OK")))</f>
        <v/>
      </c>
      <c r="L134" s="16" t="str">
        <f aca="false">IF(A134="","",F134+ROW()/1000000)</f>
        <v/>
      </c>
      <c r="M134" s="16" t="str">
        <f aca="false">IF(OR(K134="LOW",K134="OUT"),COUNTIF($K$2:K134,"LOW")+COUNTIF($K$2:K134,"OUT"),"")</f>
        <v/>
      </c>
    </row>
    <row r="135" customFormat="false" ht="15" hidden="false" customHeight="true" outlineLevel="0" collapsed="false">
      <c r="A135" s="16" t="str">
        <f aca="false">IF(Products!A135="","",Products!A135)</f>
        <v/>
      </c>
      <c r="B135" s="16" t="str">
        <f aca="false">IF($A135="","",INDEX(Products!$B$2:$B$501,ROW()-1))</f>
        <v/>
      </c>
      <c r="C135" s="16" t="str">
        <f aca="false">IF($A135="","",INDEX(Products!$C$2:$C$501,ROW()-1))</f>
        <v/>
      </c>
      <c r="D135" s="16" t="str">
        <f aca="false">IF(A135="","",N(Products!I135))</f>
        <v/>
      </c>
      <c r="E135" s="16" t="str">
        <f aca="false">IF(A135="","",SUMIFS(Purchases!$D$2:$D$2001,Purchases!$B$2:$B$2001,A135))</f>
        <v/>
      </c>
      <c r="F135" s="16" t="str">
        <f aca="false">IF(A135="","",SUMIFS(Sales_Items!$E$2:$E$3001,Sales_Items!$C$2:$C$3001,A135))</f>
        <v/>
      </c>
      <c r="G135" s="16" t="str">
        <f aca="false">IF(A135="","",D135+E135-F135)</f>
        <v/>
      </c>
      <c r="H135" s="17" t="str">
        <f aca="false">IF(A135="","",N(Products!E135))</f>
        <v/>
      </c>
      <c r="I135" s="17" t="str">
        <f aca="false">IF(A135="","",G135*H135)</f>
        <v/>
      </c>
      <c r="J135" s="16" t="str">
        <f aca="false">IF(A135="","",IF(Products!G135="",Settings!$B$8,Products!G135))</f>
        <v/>
      </c>
      <c r="K135" s="16" t="str">
        <f aca="false">IF(A135="","",IF(G135&lt;=0,"OUT",IF(G135&lt;=J135,"LOW","OK")))</f>
        <v/>
      </c>
      <c r="L135" s="16" t="str">
        <f aca="false">IF(A135="","",F135+ROW()/1000000)</f>
        <v/>
      </c>
      <c r="M135" s="16" t="str">
        <f aca="false">IF(OR(K135="LOW",K135="OUT"),COUNTIF($K$2:K135,"LOW")+COUNTIF($K$2:K135,"OUT"),"")</f>
        <v/>
      </c>
    </row>
    <row r="136" customFormat="false" ht="15" hidden="false" customHeight="true" outlineLevel="0" collapsed="false">
      <c r="A136" s="16" t="str">
        <f aca="false">IF(Products!A136="","",Products!A136)</f>
        <v/>
      </c>
      <c r="B136" s="16" t="str">
        <f aca="false">IF($A136="","",INDEX(Products!$B$2:$B$501,ROW()-1))</f>
        <v/>
      </c>
      <c r="C136" s="16" t="str">
        <f aca="false">IF($A136="","",INDEX(Products!$C$2:$C$501,ROW()-1))</f>
        <v/>
      </c>
      <c r="D136" s="16" t="str">
        <f aca="false">IF(A136="","",N(Products!I136))</f>
        <v/>
      </c>
      <c r="E136" s="16" t="str">
        <f aca="false">IF(A136="","",SUMIFS(Purchases!$D$2:$D$2001,Purchases!$B$2:$B$2001,A136))</f>
        <v/>
      </c>
      <c r="F136" s="16" t="str">
        <f aca="false">IF(A136="","",SUMIFS(Sales_Items!$E$2:$E$3001,Sales_Items!$C$2:$C$3001,A136))</f>
        <v/>
      </c>
      <c r="G136" s="16" t="str">
        <f aca="false">IF(A136="","",D136+E136-F136)</f>
        <v/>
      </c>
      <c r="H136" s="17" t="str">
        <f aca="false">IF(A136="","",N(Products!E136))</f>
        <v/>
      </c>
      <c r="I136" s="17" t="str">
        <f aca="false">IF(A136="","",G136*H136)</f>
        <v/>
      </c>
      <c r="J136" s="16" t="str">
        <f aca="false">IF(A136="","",IF(Products!G136="",Settings!$B$8,Products!G136))</f>
        <v/>
      </c>
      <c r="K136" s="16" t="str">
        <f aca="false">IF(A136="","",IF(G136&lt;=0,"OUT",IF(G136&lt;=J136,"LOW","OK")))</f>
        <v/>
      </c>
      <c r="L136" s="16" t="str">
        <f aca="false">IF(A136="","",F136+ROW()/1000000)</f>
        <v/>
      </c>
      <c r="M136" s="16" t="str">
        <f aca="false">IF(OR(K136="LOW",K136="OUT"),COUNTIF($K$2:K136,"LOW")+COUNTIF($K$2:K136,"OUT"),"")</f>
        <v/>
      </c>
    </row>
    <row r="137" customFormat="false" ht="15" hidden="false" customHeight="true" outlineLevel="0" collapsed="false">
      <c r="A137" s="16" t="str">
        <f aca="false">IF(Products!A137="","",Products!A137)</f>
        <v/>
      </c>
      <c r="B137" s="16" t="str">
        <f aca="false">IF($A137="","",INDEX(Products!$B$2:$B$501,ROW()-1))</f>
        <v/>
      </c>
      <c r="C137" s="16" t="str">
        <f aca="false">IF($A137="","",INDEX(Products!$C$2:$C$501,ROW()-1))</f>
        <v/>
      </c>
      <c r="D137" s="16" t="str">
        <f aca="false">IF(A137="","",N(Products!I137))</f>
        <v/>
      </c>
      <c r="E137" s="16" t="str">
        <f aca="false">IF(A137="","",SUMIFS(Purchases!$D$2:$D$2001,Purchases!$B$2:$B$2001,A137))</f>
        <v/>
      </c>
      <c r="F137" s="16" t="str">
        <f aca="false">IF(A137="","",SUMIFS(Sales_Items!$E$2:$E$3001,Sales_Items!$C$2:$C$3001,A137))</f>
        <v/>
      </c>
      <c r="G137" s="16" t="str">
        <f aca="false">IF(A137="","",D137+E137-F137)</f>
        <v/>
      </c>
      <c r="H137" s="17" t="str">
        <f aca="false">IF(A137="","",N(Products!E137))</f>
        <v/>
      </c>
      <c r="I137" s="17" t="str">
        <f aca="false">IF(A137="","",G137*H137)</f>
        <v/>
      </c>
      <c r="J137" s="16" t="str">
        <f aca="false">IF(A137="","",IF(Products!G137="",Settings!$B$8,Products!G137))</f>
        <v/>
      </c>
      <c r="K137" s="16" t="str">
        <f aca="false">IF(A137="","",IF(G137&lt;=0,"OUT",IF(G137&lt;=J137,"LOW","OK")))</f>
        <v/>
      </c>
      <c r="L137" s="16" t="str">
        <f aca="false">IF(A137="","",F137+ROW()/1000000)</f>
        <v/>
      </c>
      <c r="M137" s="16" t="str">
        <f aca="false">IF(OR(K137="LOW",K137="OUT"),COUNTIF($K$2:K137,"LOW")+COUNTIF($K$2:K137,"OUT"),"")</f>
        <v/>
      </c>
    </row>
    <row r="138" customFormat="false" ht="15" hidden="false" customHeight="true" outlineLevel="0" collapsed="false">
      <c r="A138" s="16" t="str">
        <f aca="false">IF(Products!A138="","",Products!A138)</f>
        <v/>
      </c>
      <c r="B138" s="16" t="str">
        <f aca="false">IF($A138="","",INDEX(Products!$B$2:$B$501,ROW()-1))</f>
        <v/>
      </c>
      <c r="C138" s="16" t="str">
        <f aca="false">IF($A138="","",INDEX(Products!$C$2:$C$501,ROW()-1))</f>
        <v/>
      </c>
      <c r="D138" s="16" t="str">
        <f aca="false">IF(A138="","",N(Products!I138))</f>
        <v/>
      </c>
      <c r="E138" s="16" t="str">
        <f aca="false">IF(A138="","",SUMIFS(Purchases!$D$2:$D$2001,Purchases!$B$2:$B$2001,A138))</f>
        <v/>
      </c>
      <c r="F138" s="16" t="str">
        <f aca="false">IF(A138="","",SUMIFS(Sales_Items!$E$2:$E$3001,Sales_Items!$C$2:$C$3001,A138))</f>
        <v/>
      </c>
      <c r="G138" s="16" t="str">
        <f aca="false">IF(A138="","",D138+E138-F138)</f>
        <v/>
      </c>
      <c r="H138" s="17" t="str">
        <f aca="false">IF(A138="","",N(Products!E138))</f>
        <v/>
      </c>
      <c r="I138" s="17" t="str">
        <f aca="false">IF(A138="","",G138*H138)</f>
        <v/>
      </c>
      <c r="J138" s="16" t="str">
        <f aca="false">IF(A138="","",IF(Products!G138="",Settings!$B$8,Products!G138))</f>
        <v/>
      </c>
      <c r="K138" s="16" t="str">
        <f aca="false">IF(A138="","",IF(G138&lt;=0,"OUT",IF(G138&lt;=J138,"LOW","OK")))</f>
        <v/>
      </c>
      <c r="L138" s="16" t="str">
        <f aca="false">IF(A138="","",F138+ROW()/1000000)</f>
        <v/>
      </c>
      <c r="M138" s="16" t="str">
        <f aca="false">IF(OR(K138="LOW",K138="OUT"),COUNTIF($K$2:K138,"LOW")+COUNTIF($K$2:K138,"OUT"),"")</f>
        <v/>
      </c>
    </row>
    <row r="139" customFormat="false" ht="15" hidden="false" customHeight="true" outlineLevel="0" collapsed="false">
      <c r="A139" s="16" t="str">
        <f aca="false">IF(Products!A139="","",Products!A139)</f>
        <v/>
      </c>
      <c r="B139" s="16" t="str">
        <f aca="false">IF($A139="","",INDEX(Products!$B$2:$B$501,ROW()-1))</f>
        <v/>
      </c>
      <c r="C139" s="16" t="str">
        <f aca="false">IF($A139="","",INDEX(Products!$C$2:$C$501,ROW()-1))</f>
        <v/>
      </c>
      <c r="D139" s="16" t="str">
        <f aca="false">IF(A139="","",N(Products!I139))</f>
        <v/>
      </c>
      <c r="E139" s="16" t="str">
        <f aca="false">IF(A139="","",SUMIFS(Purchases!$D$2:$D$2001,Purchases!$B$2:$B$2001,A139))</f>
        <v/>
      </c>
      <c r="F139" s="16" t="str">
        <f aca="false">IF(A139="","",SUMIFS(Sales_Items!$E$2:$E$3001,Sales_Items!$C$2:$C$3001,A139))</f>
        <v/>
      </c>
      <c r="G139" s="16" t="str">
        <f aca="false">IF(A139="","",D139+E139-F139)</f>
        <v/>
      </c>
      <c r="H139" s="17" t="str">
        <f aca="false">IF(A139="","",N(Products!E139))</f>
        <v/>
      </c>
      <c r="I139" s="17" t="str">
        <f aca="false">IF(A139="","",G139*H139)</f>
        <v/>
      </c>
      <c r="J139" s="16" t="str">
        <f aca="false">IF(A139="","",IF(Products!G139="",Settings!$B$8,Products!G139))</f>
        <v/>
      </c>
      <c r="K139" s="16" t="str">
        <f aca="false">IF(A139="","",IF(G139&lt;=0,"OUT",IF(G139&lt;=J139,"LOW","OK")))</f>
        <v/>
      </c>
      <c r="L139" s="16" t="str">
        <f aca="false">IF(A139="","",F139+ROW()/1000000)</f>
        <v/>
      </c>
      <c r="M139" s="16" t="str">
        <f aca="false">IF(OR(K139="LOW",K139="OUT"),COUNTIF($K$2:K139,"LOW")+COUNTIF($K$2:K139,"OUT"),"")</f>
        <v/>
      </c>
    </row>
    <row r="140" customFormat="false" ht="15" hidden="false" customHeight="true" outlineLevel="0" collapsed="false">
      <c r="A140" s="16" t="str">
        <f aca="false">IF(Products!A140="","",Products!A140)</f>
        <v/>
      </c>
      <c r="B140" s="16" t="str">
        <f aca="false">IF($A140="","",INDEX(Products!$B$2:$B$501,ROW()-1))</f>
        <v/>
      </c>
      <c r="C140" s="16" t="str">
        <f aca="false">IF($A140="","",INDEX(Products!$C$2:$C$501,ROW()-1))</f>
        <v/>
      </c>
      <c r="D140" s="16" t="str">
        <f aca="false">IF(A140="","",N(Products!I140))</f>
        <v/>
      </c>
      <c r="E140" s="16" t="str">
        <f aca="false">IF(A140="","",SUMIFS(Purchases!$D$2:$D$2001,Purchases!$B$2:$B$2001,A140))</f>
        <v/>
      </c>
      <c r="F140" s="16" t="str">
        <f aca="false">IF(A140="","",SUMIFS(Sales_Items!$E$2:$E$3001,Sales_Items!$C$2:$C$3001,A140))</f>
        <v/>
      </c>
      <c r="G140" s="16" t="str">
        <f aca="false">IF(A140="","",D140+E140-F140)</f>
        <v/>
      </c>
      <c r="H140" s="17" t="str">
        <f aca="false">IF(A140="","",N(Products!E140))</f>
        <v/>
      </c>
      <c r="I140" s="17" t="str">
        <f aca="false">IF(A140="","",G140*H140)</f>
        <v/>
      </c>
      <c r="J140" s="16" t="str">
        <f aca="false">IF(A140="","",IF(Products!G140="",Settings!$B$8,Products!G140))</f>
        <v/>
      </c>
      <c r="K140" s="16" t="str">
        <f aca="false">IF(A140="","",IF(G140&lt;=0,"OUT",IF(G140&lt;=J140,"LOW","OK")))</f>
        <v/>
      </c>
      <c r="L140" s="16" t="str">
        <f aca="false">IF(A140="","",F140+ROW()/1000000)</f>
        <v/>
      </c>
      <c r="M140" s="16" t="str">
        <f aca="false">IF(OR(K140="LOW",K140="OUT"),COUNTIF($K$2:K140,"LOW")+COUNTIF($K$2:K140,"OUT"),"")</f>
        <v/>
      </c>
    </row>
    <row r="141" customFormat="false" ht="15" hidden="false" customHeight="true" outlineLevel="0" collapsed="false">
      <c r="A141" s="16" t="str">
        <f aca="false">IF(Products!A141="","",Products!A141)</f>
        <v/>
      </c>
      <c r="B141" s="16" t="str">
        <f aca="false">IF($A141="","",INDEX(Products!$B$2:$B$501,ROW()-1))</f>
        <v/>
      </c>
      <c r="C141" s="16" t="str">
        <f aca="false">IF($A141="","",INDEX(Products!$C$2:$C$501,ROW()-1))</f>
        <v/>
      </c>
      <c r="D141" s="16" t="str">
        <f aca="false">IF(A141="","",N(Products!I141))</f>
        <v/>
      </c>
      <c r="E141" s="16" t="str">
        <f aca="false">IF(A141="","",SUMIFS(Purchases!$D$2:$D$2001,Purchases!$B$2:$B$2001,A141))</f>
        <v/>
      </c>
      <c r="F141" s="16" t="str">
        <f aca="false">IF(A141="","",SUMIFS(Sales_Items!$E$2:$E$3001,Sales_Items!$C$2:$C$3001,A141))</f>
        <v/>
      </c>
      <c r="G141" s="16" t="str">
        <f aca="false">IF(A141="","",D141+E141-F141)</f>
        <v/>
      </c>
      <c r="H141" s="17" t="str">
        <f aca="false">IF(A141="","",N(Products!E141))</f>
        <v/>
      </c>
      <c r="I141" s="17" t="str">
        <f aca="false">IF(A141="","",G141*H141)</f>
        <v/>
      </c>
      <c r="J141" s="16" t="str">
        <f aca="false">IF(A141="","",IF(Products!G141="",Settings!$B$8,Products!G141))</f>
        <v/>
      </c>
      <c r="K141" s="16" t="str">
        <f aca="false">IF(A141="","",IF(G141&lt;=0,"OUT",IF(G141&lt;=J141,"LOW","OK")))</f>
        <v/>
      </c>
      <c r="L141" s="16" t="str">
        <f aca="false">IF(A141="","",F141+ROW()/1000000)</f>
        <v/>
      </c>
      <c r="M141" s="16" t="str">
        <f aca="false">IF(OR(K141="LOW",K141="OUT"),COUNTIF($K$2:K141,"LOW")+COUNTIF($K$2:K141,"OUT"),"")</f>
        <v/>
      </c>
    </row>
    <row r="142" customFormat="false" ht="15" hidden="false" customHeight="true" outlineLevel="0" collapsed="false">
      <c r="A142" s="16" t="str">
        <f aca="false">IF(Products!A142="","",Products!A142)</f>
        <v/>
      </c>
      <c r="B142" s="16" t="str">
        <f aca="false">IF($A142="","",INDEX(Products!$B$2:$B$501,ROW()-1))</f>
        <v/>
      </c>
      <c r="C142" s="16" t="str">
        <f aca="false">IF($A142="","",INDEX(Products!$C$2:$C$501,ROW()-1))</f>
        <v/>
      </c>
      <c r="D142" s="16" t="str">
        <f aca="false">IF(A142="","",N(Products!I142))</f>
        <v/>
      </c>
      <c r="E142" s="16" t="str">
        <f aca="false">IF(A142="","",SUMIFS(Purchases!$D$2:$D$2001,Purchases!$B$2:$B$2001,A142))</f>
        <v/>
      </c>
      <c r="F142" s="16" t="str">
        <f aca="false">IF(A142="","",SUMIFS(Sales_Items!$E$2:$E$3001,Sales_Items!$C$2:$C$3001,A142))</f>
        <v/>
      </c>
      <c r="G142" s="16" t="str">
        <f aca="false">IF(A142="","",D142+E142-F142)</f>
        <v/>
      </c>
      <c r="H142" s="17" t="str">
        <f aca="false">IF(A142="","",N(Products!E142))</f>
        <v/>
      </c>
      <c r="I142" s="17" t="str">
        <f aca="false">IF(A142="","",G142*H142)</f>
        <v/>
      </c>
      <c r="J142" s="16" t="str">
        <f aca="false">IF(A142="","",IF(Products!G142="",Settings!$B$8,Products!G142))</f>
        <v/>
      </c>
      <c r="K142" s="16" t="str">
        <f aca="false">IF(A142="","",IF(G142&lt;=0,"OUT",IF(G142&lt;=J142,"LOW","OK")))</f>
        <v/>
      </c>
      <c r="L142" s="16" t="str">
        <f aca="false">IF(A142="","",F142+ROW()/1000000)</f>
        <v/>
      </c>
      <c r="M142" s="16" t="str">
        <f aca="false">IF(OR(K142="LOW",K142="OUT"),COUNTIF($K$2:K142,"LOW")+COUNTIF($K$2:K142,"OUT"),"")</f>
        <v/>
      </c>
    </row>
    <row r="143" customFormat="false" ht="15" hidden="false" customHeight="true" outlineLevel="0" collapsed="false">
      <c r="A143" s="16" t="str">
        <f aca="false">IF(Products!A143="","",Products!A143)</f>
        <v/>
      </c>
      <c r="B143" s="16" t="str">
        <f aca="false">IF($A143="","",INDEX(Products!$B$2:$B$501,ROW()-1))</f>
        <v/>
      </c>
      <c r="C143" s="16" t="str">
        <f aca="false">IF($A143="","",INDEX(Products!$C$2:$C$501,ROW()-1))</f>
        <v/>
      </c>
      <c r="D143" s="16" t="str">
        <f aca="false">IF(A143="","",N(Products!I143))</f>
        <v/>
      </c>
      <c r="E143" s="16" t="str">
        <f aca="false">IF(A143="","",SUMIFS(Purchases!$D$2:$D$2001,Purchases!$B$2:$B$2001,A143))</f>
        <v/>
      </c>
      <c r="F143" s="16" t="str">
        <f aca="false">IF(A143="","",SUMIFS(Sales_Items!$E$2:$E$3001,Sales_Items!$C$2:$C$3001,A143))</f>
        <v/>
      </c>
      <c r="G143" s="16" t="str">
        <f aca="false">IF(A143="","",D143+E143-F143)</f>
        <v/>
      </c>
      <c r="H143" s="17" t="str">
        <f aca="false">IF(A143="","",N(Products!E143))</f>
        <v/>
      </c>
      <c r="I143" s="17" t="str">
        <f aca="false">IF(A143="","",G143*H143)</f>
        <v/>
      </c>
      <c r="J143" s="16" t="str">
        <f aca="false">IF(A143="","",IF(Products!G143="",Settings!$B$8,Products!G143))</f>
        <v/>
      </c>
      <c r="K143" s="16" t="str">
        <f aca="false">IF(A143="","",IF(G143&lt;=0,"OUT",IF(G143&lt;=J143,"LOW","OK")))</f>
        <v/>
      </c>
      <c r="L143" s="16" t="str">
        <f aca="false">IF(A143="","",F143+ROW()/1000000)</f>
        <v/>
      </c>
      <c r="M143" s="16" t="str">
        <f aca="false">IF(OR(K143="LOW",K143="OUT"),COUNTIF($K$2:K143,"LOW")+COUNTIF($K$2:K143,"OUT"),"")</f>
        <v/>
      </c>
    </row>
    <row r="144" customFormat="false" ht="15" hidden="false" customHeight="true" outlineLevel="0" collapsed="false">
      <c r="A144" s="16" t="str">
        <f aca="false">IF(Products!A144="","",Products!A144)</f>
        <v/>
      </c>
      <c r="B144" s="16" t="str">
        <f aca="false">IF($A144="","",INDEX(Products!$B$2:$B$501,ROW()-1))</f>
        <v/>
      </c>
      <c r="C144" s="16" t="str">
        <f aca="false">IF($A144="","",INDEX(Products!$C$2:$C$501,ROW()-1))</f>
        <v/>
      </c>
      <c r="D144" s="16" t="str">
        <f aca="false">IF(A144="","",N(Products!I144))</f>
        <v/>
      </c>
      <c r="E144" s="16" t="str">
        <f aca="false">IF(A144="","",SUMIFS(Purchases!$D$2:$D$2001,Purchases!$B$2:$B$2001,A144))</f>
        <v/>
      </c>
      <c r="F144" s="16" t="str">
        <f aca="false">IF(A144="","",SUMIFS(Sales_Items!$E$2:$E$3001,Sales_Items!$C$2:$C$3001,A144))</f>
        <v/>
      </c>
      <c r="G144" s="16" t="str">
        <f aca="false">IF(A144="","",D144+E144-F144)</f>
        <v/>
      </c>
      <c r="H144" s="17" t="str">
        <f aca="false">IF(A144="","",N(Products!E144))</f>
        <v/>
      </c>
      <c r="I144" s="17" t="str">
        <f aca="false">IF(A144="","",G144*H144)</f>
        <v/>
      </c>
      <c r="J144" s="16" t="str">
        <f aca="false">IF(A144="","",IF(Products!G144="",Settings!$B$8,Products!G144))</f>
        <v/>
      </c>
      <c r="K144" s="16" t="str">
        <f aca="false">IF(A144="","",IF(G144&lt;=0,"OUT",IF(G144&lt;=J144,"LOW","OK")))</f>
        <v/>
      </c>
      <c r="L144" s="16" t="str">
        <f aca="false">IF(A144="","",F144+ROW()/1000000)</f>
        <v/>
      </c>
      <c r="M144" s="16" t="str">
        <f aca="false">IF(OR(K144="LOW",K144="OUT"),COUNTIF($K$2:K144,"LOW")+COUNTIF($K$2:K144,"OUT"),"")</f>
        <v/>
      </c>
    </row>
    <row r="145" customFormat="false" ht="15" hidden="false" customHeight="true" outlineLevel="0" collapsed="false">
      <c r="A145" s="16" t="str">
        <f aca="false">IF(Products!A145="","",Products!A145)</f>
        <v/>
      </c>
      <c r="B145" s="16" t="str">
        <f aca="false">IF($A145="","",INDEX(Products!$B$2:$B$501,ROW()-1))</f>
        <v/>
      </c>
      <c r="C145" s="16" t="str">
        <f aca="false">IF($A145="","",INDEX(Products!$C$2:$C$501,ROW()-1))</f>
        <v/>
      </c>
      <c r="D145" s="16" t="str">
        <f aca="false">IF(A145="","",N(Products!I145))</f>
        <v/>
      </c>
      <c r="E145" s="16" t="str">
        <f aca="false">IF(A145="","",SUMIFS(Purchases!$D$2:$D$2001,Purchases!$B$2:$B$2001,A145))</f>
        <v/>
      </c>
      <c r="F145" s="16" t="str">
        <f aca="false">IF(A145="","",SUMIFS(Sales_Items!$E$2:$E$3001,Sales_Items!$C$2:$C$3001,A145))</f>
        <v/>
      </c>
      <c r="G145" s="16" t="str">
        <f aca="false">IF(A145="","",D145+E145-F145)</f>
        <v/>
      </c>
      <c r="H145" s="17" t="str">
        <f aca="false">IF(A145="","",N(Products!E145))</f>
        <v/>
      </c>
      <c r="I145" s="17" t="str">
        <f aca="false">IF(A145="","",G145*H145)</f>
        <v/>
      </c>
      <c r="J145" s="16" t="str">
        <f aca="false">IF(A145="","",IF(Products!G145="",Settings!$B$8,Products!G145))</f>
        <v/>
      </c>
      <c r="K145" s="16" t="str">
        <f aca="false">IF(A145="","",IF(G145&lt;=0,"OUT",IF(G145&lt;=J145,"LOW","OK")))</f>
        <v/>
      </c>
      <c r="L145" s="16" t="str">
        <f aca="false">IF(A145="","",F145+ROW()/1000000)</f>
        <v/>
      </c>
      <c r="M145" s="16" t="str">
        <f aca="false">IF(OR(K145="LOW",K145="OUT"),COUNTIF($K$2:K145,"LOW")+COUNTIF($K$2:K145,"OUT"),"")</f>
        <v/>
      </c>
    </row>
    <row r="146" customFormat="false" ht="15" hidden="false" customHeight="true" outlineLevel="0" collapsed="false">
      <c r="A146" s="16" t="str">
        <f aca="false">IF(Products!A146="","",Products!A146)</f>
        <v/>
      </c>
      <c r="B146" s="16" t="str">
        <f aca="false">IF($A146="","",INDEX(Products!$B$2:$B$501,ROW()-1))</f>
        <v/>
      </c>
      <c r="C146" s="16" t="str">
        <f aca="false">IF($A146="","",INDEX(Products!$C$2:$C$501,ROW()-1))</f>
        <v/>
      </c>
      <c r="D146" s="16" t="str">
        <f aca="false">IF(A146="","",N(Products!I146))</f>
        <v/>
      </c>
      <c r="E146" s="16" t="str">
        <f aca="false">IF(A146="","",SUMIFS(Purchases!$D$2:$D$2001,Purchases!$B$2:$B$2001,A146))</f>
        <v/>
      </c>
      <c r="F146" s="16" t="str">
        <f aca="false">IF(A146="","",SUMIFS(Sales_Items!$E$2:$E$3001,Sales_Items!$C$2:$C$3001,A146))</f>
        <v/>
      </c>
      <c r="G146" s="16" t="str">
        <f aca="false">IF(A146="","",D146+E146-F146)</f>
        <v/>
      </c>
      <c r="H146" s="17" t="str">
        <f aca="false">IF(A146="","",N(Products!E146))</f>
        <v/>
      </c>
      <c r="I146" s="17" t="str">
        <f aca="false">IF(A146="","",G146*H146)</f>
        <v/>
      </c>
      <c r="J146" s="16" t="str">
        <f aca="false">IF(A146="","",IF(Products!G146="",Settings!$B$8,Products!G146))</f>
        <v/>
      </c>
      <c r="K146" s="16" t="str">
        <f aca="false">IF(A146="","",IF(G146&lt;=0,"OUT",IF(G146&lt;=J146,"LOW","OK")))</f>
        <v/>
      </c>
      <c r="L146" s="16" t="str">
        <f aca="false">IF(A146="","",F146+ROW()/1000000)</f>
        <v/>
      </c>
      <c r="M146" s="16" t="str">
        <f aca="false">IF(OR(K146="LOW",K146="OUT"),COUNTIF($K$2:K146,"LOW")+COUNTIF($K$2:K146,"OUT"),"")</f>
        <v/>
      </c>
    </row>
    <row r="147" customFormat="false" ht="15" hidden="false" customHeight="true" outlineLevel="0" collapsed="false">
      <c r="A147" s="16" t="str">
        <f aca="false">IF(Products!A147="","",Products!A147)</f>
        <v/>
      </c>
      <c r="B147" s="16" t="str">
        <f aca="false">IF($A147="","",INDEX(Products!$B$2:$B$501,ROW()-1))</f>
        <v/>
      </c>
      <c r="C147" s="16" t="str">
        <f aca="false">IF($A147="","",INDEX(Products!$C$2:$C$501,ROW()-1))</f>
        <v/>
      </c>
      <c r="D147" s="16" t="str">
        <f aca="false">IF(A147="","",N(Products!I147))</f>
        <v/>
      </c>
      <c r="E147" s="16" t="str">
        <f aca="false">IF(A147="","",SUMIFS(Purchases!$D$2:$D$2001,Purchases!$B$2:$B$2001,A147))</f>
        <v/>
      </c>
      <c r="F147" s="16" t="str">
        <f aca="false">IF(A147="","",SUMIFS(Sales_Items!$E$2:$E$3001,Sales_Items!$C$2:$C$3001,A147))</f>
        <v/>
      </c>
      <c r="G147" s="16" t="str">
        <f aca="false">IF(A147="","",D147+E147-F147)</f>
        <v/>
      </c>
      <c r="H147" s="17" t="str">
        <f aca="false">IF(A147="","",N(Products!E147))</f>
        <v/>
      </c>
      <c r="I147" s="17" t="str">
        <f aca="false">IF(A147="","",G147*H147)</f>
        <v/>
      </c>
      <c r="J147" s="16" t="str">
        <f aca="false">IF(A147="","",IF(Products!G147="",Settings!$B$8,Products!G147))</f>
        <v/>
      </c>
      <c r="K147" s="16" t="str">
        <f aca="false">IF(A147="","",IF(G147&lt;=0,"OUT",IF(G147&lt;=J147,"LOW","OK")))</f>
        <v/>
      </c>
      <c r="L147" s="16" t="str">
        <f aca="false">IF(A147="","",F147+ROW()/1000000)</f>
        <v/>
      </c>
      <c r="M147" s="16" t="str">
        <f aca="false">IF(OR(K147="LOW",K147="OUT"),COUNTIF($K$2:K147,"LOW")+COUNTIF($K$2:K147,"OUT"),"")</f>
        <v/>
      </c>
    </row>
    <row r="148" customFormat="false" ht="15" hidden="false" customHeight="true" outlineLevel="0" collapsed="false">
      <c r="A148" s="16" t="str">
        <f aca="false">IF(Products!A148="","",Products!A148)</f>
        <v/>
      </c>
      <c r="B148" s="16" t="str">
        <f aca="false">IF($A148="","",INDEX(Products!$B$2:$B$501,ROW()-1))</f>
        <v/>
      </c>
      <c r="C148" s="16" t="str">
        <f aca="false">IF($A148="","",INDEX(Products!$C$2:$C$501,ROW()-1))</f>
        <v/>
      </c>
      <c r="D148" s="16" t="str">
        <f aca="false">IF(A148="","",N(Products!I148))</f>
        <v/>
      </c>
      <c r="E148" s="16" t="str">
        <f aca="false">IF(A148="","",SUMIFS(Purchases!$D$2:$D$2001,Purchases!$B$2:$B$2001,A148))</f>
        <v/>
      </c>
      <c r="F148" s="16" t="str">
        <f aca="false">IF(A148="","",SUMIFS(Sales_Items!$E$2:$E$3001,Sales_Items!$C$2:$C$3001,A148))</f>
        <v/>
      </c>
      <c r="G148" s="16" t="str">
        <f aca="false">IF(A148="","",D148+E148-F148)</f>
        <v/>
      </c>
      <c r="H148" s="17" t="str">
        <f aca="false">IF(A148="","",N(Products!E148))</f>
        <v/>
      </c>
      <c r="I148" s="17" t="str">
        <f aca="false">IF(A148="","",G148*H148)</f>
        <v/>
      </c>
      <c r="J148" s="16" t="str">
        <f aca="false">IF(A148="","",IF(Products!G148="",Settings!$B$8,Products!G148))</f>
        <v/>
      </c>
      <c r="K148" s="16" t="str">
        <f aca="false">IF(A148="","",IF(G148&lt;=0,"OUT",IF(G148&lt;=J148,"LOW","OK")))</f>
        <v/>
      </c>
      <c r="L148" s="16" t="str">
        <f aca="false">IF(A148="","",F148+ROW()/1000000)</f>
        <v/>
      </c>
      <c r="M148" s="16" t="str">
        <f aca="false">IF(OR(K148="LOW",K148="OUT"),COUNTIF($K$2:K148,"LOW")+COUNTIF($K$2:K148,"OUT"),"")</f>
        <v/>
      </c>
    </row>
    <row r="149" customFormat="false" ht="15" hidden="false" customHeight="true" outlineLevel="0" collapsed="false">
      <c r="A149" s="16" t="str">
        <f aca="false">IF(Products!A149="","",Products!A149)</f>
        <v/>
      </c>
      <c r="B149" s="16" t="str">
        <f aca="false">IF($A149="","",INDEX(Products!$B$2:$B$501,ROW()-1))</f>
        <v/>
      </c>
      <c r="C149" s="16" t="str">
        <f aca="false">IF($A149="","",INDEX(Products!$C$2:$C$501,ROW()-1))</f>
        <v/>
      </c>
      <c r="D149" s="16" t="str">
        <f aca="false">IF(A149="","",N(Products!I149))</f>
        <v/>
      </c>
      <c r="E149" s="16" t="str">
        <f aca="false">IF(A149="","",SUMIFS(Purchases!$D$2:$D$2001,Purchases!$B$2:$B$2001,A149))</f>
        <v/>
      </c>
      <c r="F149" s="16" t="str">
        <f aca="false">IF(A149="","",SUMIFS(Sales_Items!$E$2:$E$3001,Sales_Items!$C$2:$C$3001,A149))</f>
        <v/>
      </c>
      <c r="G149" s="16" t="str">
        <f aca="false">IF(A149="","",D149+E149-F149)</f>
        <v/>
      </c>
      <c r="H149" s="17" t="str">
        <f aca="false">IF(A149="","",N(Products!E149))</f>
        <v/>
      </c>
      <c r="I149" s="17" t="str">
        <f aca="false">IF(A149="","",G149*H149)</f>
        <v/>
      </c>
      <c r="J149" s="16" t="str">
        <f aca="false">IF(A149="","",IF(Products!G149="",Settings!$B$8,Products!G149))</f>
        <v/>
      </c>
      <c r="K149" s="16" t="str">
        <f aca="false">IF(A149="","",IF(G149&lt;=0,"OUT",IF(G149&lt;=J149,"LOW","OK")))</f>
        <v/>
      </c>
      <c r="L149" s="16" t="str">
        <f aca="false">IF(A149="","",F149+ROW()/1000000)</f>
        <v/>
      </c>
      <c r="M149" s="16" t="str">
        <f aca="false">IF(OR(K149="LOW",K149="OUT"),COUNTIF($K$2:K149,"LOW")+COUNTIF($K$2:K149,"OUT"),"")</f>
        <v/>
      </c>
    </row>
    <row r="150" customFormat="false" ht="15" hidden="false" customHeight="true" outlineLevel="0" collapsed="false">
      <c r="A150" s="16" t="str">
        <f aca="false">IF(Products!A150="","",Products!A150)</f>
        <v/>
      </c>
      <c r="B150" s="16" t="str">
        <f aca="false">IF($A150="","",INDEX(Products!$B$2:$B$501,ROW()-1))</f>
        <v/>
      </c>
      <c r="C150" s="16" t="str">
        <f aca="false">IF($A150="","",INDEX(Products!$C$2:$C$501,ROW()-1))</f>
        <v/>
      </c>
      <c r="D150" s="16" t="str">
        <f aca="false">IF(A150="","",N(Products!I150))</f>
        <v/>
      </c>
      <c r="E150" s="16" t="str">
        <f aca="false">IF(A150="","",SUMIFS(Purchases!$D$2:$D$2001,Purchases!$B$2:$B$2001,A150))</f>
        <v/>
      </c>
      <c r="F150" s="16" t="str">
        <f aca="false">IF(A150="","",SUMIFS(Sales_Items!$E$2:$E$3001,Sales_Items!$C$2:$C$3001,A150))</f>
        <v/>
      </c>
      <c r="G150" s="16" t="str">
        <f aca="false">IF(A150="","",D150+E150-F150)</f>
        <v/>
      </c>
      <c r="H150" s="17" t="str">
        <f aca="false">IF(A150="","",N(Products!E150))</f>
        <v/>
      </c>
      <c r="I150" s="17" t="str">
        <f aca="false">IF(A150="","",G150*H150)</f>
        <v/>
      </c>
      <c r="J150" s="16" t="str">
        <f aca="false">IF(A150="","",IF(Products!G150="",Settings!$B$8,Products!G150))</f>
        <v/>
      </c>
      <c r="K150" s="16" t="str">
        <f aca="false">IF(A150="","",IF(G150&lt;=0,"OUT",IF(G150&lt;=J150,"LOW","OK")))</f>
        <v/>
      </c>
      <c r="L150" s="16" t="str">
        <f aca="false">IF(A150="","",F150+ROW()/1000000)</f>
        <v/>
      </c>
      <c r="M150" s="16" t="str">
        <f aca="false">IF(OR(K150="LOW",K150="OUT"),COUNTIF($K$2:K150,"LOW")+COUNTIF($K$2:K150,"OUT"),"")</f>
        <v/>
      </c>
    </row>
    <row r="151" customFormat="false" ht="15" hidden="false" customHeight="true" outlineLevel="0" collapsed="false">
      <c r="A151" s="16" t="str">
        <f aca="false">IF(Products!A151="","",Products!A151)</f>
        <v/>
      </c>
      <c r="B151" s="16" t="str">
        <f aca="false">IF($A151="","",INDEX(Products!$B$2:$B$501,ROW()-1))</f>
        <v/>
      </c>
      <c r="C151" s="16" t="str">
        <f aca="false">IF($A151="","",INDEX(Products!$C$2:$C$501,ROW()-1))</f>
        <v/>
      </c>
      <c r="D151" s="16" t="str">
        <f aca="false">IF(A151="","",N(Products!I151))</f>
        <v/>
      </c>
      <c r="E151" s="16" t="str">
        <f aca="false">IF(A151="","",SUMIFS(Purchases!$D$2:$D$2001,Purchases!$B$2:$B$2001,A151))</f>
        <v/>
      </c>
      <c r="F151" s="16" t="str">
        <f aca="false">IF(A151="","",SUMIFS(Sales_Items!$E$2:$E$3001,Sales_Items!$C$2:$C$3001,A151))</f>
        <v/>
      </c>
      <c r="G151" s="16" t="str">
        <f aca="false">IF(A151="","",D151+E151-F151)</f>
        <v/>
      </c>
      <c r="H151" s="17" t="str">
        <f aca="false">IF(A151="","",N(Products!E151))</f>
        <v/>
      </c>
      <c r="I151" s="17" t="str">
        <f aca="false">IF(A151="","",G151*H151)</f>
        <v/>
      </c>
      <c r="J151" s="16" t="str">
        <f aca="false">IF(A151="","",IF(Products!G151="",Settings!$B$8,Products!G151))</f>
        <v/>
      </c>
      <c r="K151" s="16" t="str">
        <f aca="false">IF(A151="","",IF(G151&lt;=0,"OUT",IF(G151&lt;=J151,"LOW","OK")))</f>
        <v/>
      </c>
      <c r="L151" s="16" t="str">
        <f aca="false">IF(A151="","",F151+ROW()/1000000)</f>
        <v/>
      </c>
      <c r="M151" s="16" t="str">
        <f aca="false">IF(OR(K151="LOW",K151="OUT"),COUNTIF($K$2:K151,"LOW")+COUNTIF($K$2:K151,"OUT"),"")</f>
        <v/>
      </c>
    </row>
    <row r="152" customFormat="false" ht="15" hidden="false" customHeight="true" outlineLevel="0" collapsed="false">
      <c r="A152" s="16" t="str">
        <f aca="false">IF(Products!A152="","",Products!A152)</f>
        <v/>
      </c>
      <c r="B152" s="16" t="str">
        <f aca="false">IF($A152="","",INDEX(Products!$B$2:$B$501,ROW()-1))</f>
        <v/>
      </c>
      <c r="C152" s="16" t="str">
        <f aca="false">IF($A152="","",INDEX(Products!$C$2:$C$501,ROW()-1))</f>
        <v/>
      </c>
      <c r="D152" s="16" t="str">
        <f aca="false">IF(A152="","",N(Products!I152))</f>
        <v/>
      </c>
      <c r="E152" s="16" t="str">
        <f aca="false">IF(A152="","",SUMIFS(Purchases!$D$2:$D$2001,Purchases!$B$2:$B$2001,A152))</f>
        <v/>
      </c>
      <c r="F152" s="16" t="str">
        <f aca="false">IF(A152="","",SUMIFS(Sales_Items!$E$2:$E$3001,Sales_Items!$C$2:$C$3001,A152))</f>
        <v/>
      </c>
      <c r="G152" s="16" t="str">
        <f aca="false">IF(A152="","",D152+E152-F152)</f>
        <v/>
      </c>
      <c r="H152" s="17" t="str">
        <f aca="false">IF(A152="","",N(Products!E152))</f>
        <v/>
      </c>
      <c r="I152" s="17" t="str">
        <f aca="false">IF(A152="","",G152*H152)</f>
        <v/>
      </c>
      <c r="J152" s="16" t="str">
        <f aca="false">IF(A152="","",IF(Products!G152="",Settings!$B$8,Products!G152))</f>
        <v/>
      </c>
      <c r="K152" s="16" t="str">
        <f aca="false">IF(A152="","",IF(G152&lt;=0,"OUT",IF(G152&lt;=J152,"LOW","OK")))</f>
        <v/>
      </c>
      <c r="L152" s="16" t="str">
        <f aca="false">IF(A152="","",F152+ROW()/1000000)</f>
        <v/>
      </c>
      <c r="M152" s="16" t="str">
        <f aca="false">IF(OR(K152="LOW",K152="OUT"),COUNTIF($K$2:K152,"LOW")+COUNTIF($K$2:K152,"OUT"),"")</f>
        <v/>
      </c>
    </row>
    <row r="153" customFormat="false" ht="15" hidden="false" customHeight="true" outlineLevel="0" collapsed="false">
      <c r="A153" s="16" t="str">
        <f aca="false">IF(Products!A153="","",Products!A153)</f>
        <v/>
      </c>
      <c r="B153" s="16" t="str">
        <f aca="false">IF($A153="","",INDEX(Products!$B$2:$B$501,ROW()-1))</f>
        <v/>
      </c>
      <c r="C153" s="16" t="str">
        <f aca="false">IF($A153="","",INDEX(Products!$C$2:$C$501,ROW()-1))</f>
        <v/>
      </c>
      <c r="D153" s="16" t="str">
        <f aca="false">IF(A153="","",N(Products!I153))</f>
        <v/>
      </c>
      <c r="E153" s="16" t="str">
        <f aca="false">IF(A153="","",SUMIFS(Purchases!$D$2:$D$2001,Purchases!$B$2:$B$2001,A153))</f>
        <v/>
      </c>
      <c r="F153" s="16" t="str">
        <f aca="false">IF(A153="","",SUMIFS(Sales_Items!$E$2:$E$3001,Sales_Items!$C$2:$C$3001,A153))</f>
        <v/>
      </c>
      <c r="G153" s="16" t="str">
        <f aca="false">IF(A153="","",D153+E153-F153)</f>
        <v/>
      </c>
      <c r="H153" s="17" t="str">
        <f aca="false">IF(A153="","",N(Products!E153))</f>
        <v/>
      </c>
      <c r="I153" s="17" t="str">
        <f aca="false">IF(A153="","",G153*H153)</f>
        <v/>
      </c>
      <c r="J153" s="16" t="str">
        <f aca="false">IF(A153="","",IF(Products!G153="",Settings!$B$8,Products!G153))</f>
        <v/>
      </c>
      <c r="K153" s="16" t="str">
        <f aca="false">IF(A153="","",IF(G153&lt;=0,"OUT",IF(G153&lt;=J153,"LOW","OK")))</f>
        <v/>
      </c>
      <c r="L153" s="16" t="str">
        <f aca="false">IF(A153="","",F153+ROW()/1000000)</f>
        <v/>
      </c>
      <c r="M153" s="16" t="str">
        <f aca="false">IF(OR(K153="LOW",K153="OUT"),COUNTIF($K$2:K153,"LOW")+COUNTIF($K$2:K153,"OUT"),"")</f>
        <v/>
      </c>
    </row>
    <row r="154" customFormat="false" ht="15" hidden="false" customHeight="true" outlineLevel="0" collapsed="false">
      <c r="A154" s="16" t="str">
        <f aca="false">IF(Products!A154="","",Products!A154)</f>
        <v/>
      </c>
      <c r="B154" s="16" t="str">
        <f aca="false">IF($A154="","",INDEX(Products!$B$2:$B$501,ROW()-1))</f>
        <v/>
      </c>
      <c r="C154" s="16" t="str">
        <f aca="false">IF($A154="","",INDEX(Products!$C$2:$C$501,ROW()-1))</f>
        <v/>
      </c>
      <c r="D154" s="16" t="str">
        <f aca="false">IF(A154="","",N(Products!I154))</f>
        <v/>
      </c>
      <c r="E154" s="16" t="str">
        <f aca="false">IF(A154="","",SUMIFS(Purchases!$D$2:$D$2001,Purchases!$B$2:$B$2001,A154))</f>
        <v/>
      </c>
      <c r="F154" s="16" t="str">
        <f aca="false">IF(A154="","",SUMIFS(Sales_Items!$E$2:$E$3001,Sales_Items!$C$2:$C$3001,A154))</f>
        <v/>
      </c>
      <c r="G154" s="16" t="str">
        <f aca="false">IF(A154="","",D154+E154-F154)</f>
        <v/>
      </c>
      <c r="H154" s="17" t="str">
        <f aca="false">IF(A154="","",N(Products!E154))</f>
        <v/>
      </c>
      <c r="I154" s="17" t="str">
        <f aca="false">IF(A154="","",G154*H154)</f>
        <v/>
      </c>
      <c r="J154" s="16" t="str">
        <f aca="false">IF(A154="","",IF(Products!G154="",Settings!$B$8,Products!G154))</f>
        <v/>
      </c>
      <c r="K154" s="16" t="str">
        <f aca="false">IF(A154="","",IF(G154&lt;=0,"OUT",IF(G154&lt;=J154,"LOW","OK")))</f>
        <v/>
      </c>
      <c r="L154" s="16" t="str">
        <f aca="false">IF(A154="","",F154+ROW()/1000000)</f>
        <v/>
      </c>
      <c r="M154" s="16" t="str">
        <f aca="false">IF(OR(K154="LOW",K154="OUT"),COUNTIF($K$2:K154,"LOW")+COUNTIF($K$2:K154,"OUT"),"")</f>
        <v/>
      </c>
    </row>
    <row r="155" customFormat="false" ht="15" hidden="false" customHeight="true" outlineLevel="0" collapsed="false">
      <c r="A155" s="16" t="str">
        <f aca="false">IF(Products!A155="","",Products!A155)</f>
        <v/>
      </c>
      <c r="B155" s="16" t="str">
        <f aca="false">IF($A155="","",INDEX(Products!$B$2:$B$501,ROW()-1))</f>
        <v/>
      </c>
      <c r="C155" s="16" t="str">
        <f aca="false">IF($A155="","",INDEX(Products!$C$2:$C$501,ROW()-1))</f>
        <v/>
      </c>
      <c r="D155" s="16" t="str">
        <f aca="false">IF(A155="","",N(Products!I155))</f>
        <v/>
      </c>
      <c r="E155" s="16" t="str">
        <f aca="false">IF(A155="","",SUMIFS(Purchases!$D$2:$D$2001,Purchases!$B$2:$B$2001,A155))</f>
        <v/>
      </c>
      <c r="F155" s="16" t="str">
        <f aca="false">IF(A155="","",SUMIFS(Sales_Items!$E$2:$E$3001,Sales_Items!$C$2:$C$3001,A155))</f>
        <v/>
      </c>
      <c r="G155" s="16" t="str">
        <f aca="false">IF(A155="","",D155+E155-F155)</f>
        <v/>
      </c>
      <c r="H155" s="17" t="str">
        <f aca="false">IF(A155="","",N(Products!E155))</f>
        <v/>
      </c>
      <c r="I155" s="17" t="str">
        <f aca="false">IF(A155="","",G155*H155)</f>
        <v/>
      </c>
      <c r="J155" s="16" t="str">
        <f aca="false">IF(A155="","",IF(Products!G155="",Settings!$B$8,Products!G155))</f>
        <v/>
      </c>
      <c r="K155" s="16" t="str">
        <f aca="false">IF(A155="","",IF(G155&lt;=0,"OUT",IF(G155&lt;=J155,"LOW","OK")))</f>
        <v/>
      </c>
      <c r="L155" s="16" t="str">
        <f aca="false">IF(A155="","",F155+ROW()/1000000)</f>
        <v/>
      </c>
      <c r="M155" s="16" t="str">
        <f aca="false">IF(OR(K155="LOW",K155="OUT"),COUNTIF($K$2:K155,"LOW")+COUNTIF($K$2:K155,"OUT"),"")</f>
        <v/>
      </c>
    </row>
    <row r="156" customFormat="false" ht="15" hidden="false" customHeight="true" outlineLevel="0" collapsed="false">
      <c r="A156" s="16" t="str">
        <f aca="false">IF(Products!A156="","",Products!A156)</f>
        <v/>
      </c>
      <c r="B156" s="16" t="str">
        <f aca="false">IF($A156="","",INDEX(Products!$B$2:$B$501,ROW()-1))</f>
        <v/>
      </c>
      <c r="C156" s="16" t="str">
        <f aca="false">IF($A156="","",INDEX(Products!$C$2:$C$501,ROW()-1))</f>
        <v/>
      </c>
      <c r="D156" s="16" t="str">
        <f aca="false">IF(A156="","",N(Products!I156))</f>
        <v/>
      </c>
      <c r="E156" s="16" t="str">
        <f aca="false">IF(A156="","",SUMIFS(Purchases!$D$2:$D$2001,Purchases!$B$2:$B$2001,A156))</f>
        <v/>
      </c>
      <c r="F156" s="16" t="str">
        <f aca="false">IF(A156="","",SUMIFS(Sales_Items!$E$2:$E$3001,Sales_Items!$C$2:$C$3001,A156))</f>
        <v/>
      </c>
      <c r="G156" s="16" t="str">
        <f aca="false">IF(A156="","",D156+E156-F156)</f>
        <v/>
      </c>
      <c r="H156" s="17" t="str">
        <f aca="false">IF(A156="","",N(Products!E156))</f>
        <v/>
      </c>
      <c r="I156" s="17" t="str">
        <f aca="false">IF(A156="","",G156*H156)</f>
        <v/>
      </c>
      <c r="J156" s="16" t="str">
        <f aca="false">IF(A156="","",IF(Products!G156="",Settings!$B$8,Products!G156))</f>
        <v/>
      </c>
      <c r="K156" s="16" t="str">
        <f aca="false">IF(A156="","",IF(G156&lt;=0,"OUT",IF(G156&lt;=J156,"LOW","OK")))</f>
        <v/>
      </c>
      <c r="L156" s="16" t="str">
        <f aca="false">IF(A156="","",F156+ROW()/1000000)</f>
        <v/>
      </c>
      <c r="M156" s="16" t="str">
        <f aca="false">IF(OR(K156="LOW",K156="OUT"),COUNTIF($K$2:K156,"LOW")+COUNTIF($K$2:K156,"OUT"),"")</f>
        <v/>
      </c>
    </row>
    <row r="157" customFormat="false" ht="15" hidden="false" customHeight="true" outlineLevel="0" collapsed="false">
      <c r="A157" s="16" t="str">
        <f aca="false">IF(Products!A157="","",Products!A157)</f>
        <v/>
      </c>
      <c r="B157" s="16" t="str">
        <f aca="false">IF($A157="","",INDEX(Products!$B$2:$B$501,ROW()-1))</f>
        <v/>
      </c>
      <c r="C157" s="16" t="str">
        <f aca="false">IF($A157="","",INDEX(Products!$C$2:$C$501,ROW()-1))</f>
        <v/>
      </c>
      <c r="D157" s="16" t="str">
        <f aca="false">IF(A157="","",N(Products!I157))</f>
        <v/>
      </c>
      <c r="E157" s="16" t="str">
        <f aca="false">IF(A157="","",SUMIFS(Purchases!$D$2:$D$2001,Purchases!$B$2:$B$2001,A157))</f>
        <v/>
      </c>
      <c r="F157" s="16" t="str">
        <f aca="false">IF(A157="","",SUMIFS(Sales_Items!$E$2:$E$3001,Sales_Items!$C$2:$C$3001,A157))</f>
        <v/>
      </c>
      <c r="G157" s="16" t="str">
        <f aca="false">IF(A157="","",D157+E157-F157)</f>
        <v/>
      </c>
      <c r="H157" s="17" t="str">
        <f aca="false">IF(A157="","",N(Products!E157))</f>
        <v/>
      </c>
      <c r="I157" s="17" t="str">
        <f aca="false">IF(A157="","",G157*H157)</f>
        <v/>
      </c>
      <c r="J157" s="16" t="str">
        <f aca="false">IF(A157="","",IF(Products!G157="",Settings!$B$8,Products!G157))</f>
        <v/>
      </c>
      <c r="K157" s="16" t="str">
        <f aca="false">IF(A157="","",IF(G157&lt;=0,"OUT",IF(G157&lt;=J157,"LOW","OK")))</f>
        <v/>
      </c>
      <c r="L157" s="16" t="str">
        <f aca="false">IF(A157="","",F157+ROW()/1000000)</f>
        <v/>
      </c>
      <c r="M157" s="16" t="str">
        <f aca="false">IF(OR(K157="LOW",K157="OUT"),COUNTIF($K$2:K157,"LOW")+COUNTIF($K$2:K157,"OUT"),"")</f>
        <v/>
      </c>
    </row>
    <row r="158" customFormat="false" ht="15" hidden="false" customHeight="true" outlineLevel="0" collapsed="false">
      <c r="A158" s="16" t="str">
        <f aca="false">IF(Products!A158="","",Products!A158)</f>
        <v/>
      </c>
      <c r="B158" s="16" t="str">
        <f aca="false">IF($A158="","",INDEX(Products!$B$2:$B$501,ROW()-1))</f>
        <v/>
      </c>
      <c r="C158" s="16" t="str">
        <f aca="false">IF($A158="","",INDEX(Products!$C$2:$C$501,ROW()-1))</f>
        <v/>
      </c>
      <c r="D158" s="16" t="str">
        <f aca="false">IF(A158="","",N(Products!I158))</f>
        <v/>
      </c>
      <c r="E158" s="16" t="str">
        <f aca="false">IF(A158="","",SUMIFS(Purchases!$D$2:$D$2001,Purchases!$B$2:$B$2001,A158))</f>
        <v/>
      </c>
      <c r="F158" s="16" t="str">
        <f aca="false">IF(A158="","",SUMIFS(Sales_Items!$E$2:$E$3001,Sales_Items!$C$2:$C$3001,A158))</f>
        <v/>
      </c>
      <c r="G158" s="16" t="str">
        <f aca="false">IF(A158="","",D158+E158-F158)</f>
        <v/>
      </c>
      <c r="H158" s="17" t="str">
        <f aca="false">IF(A158="","",N(Products!E158))</f>
        <v/>
      </c>
      <c r="I158" s="17" t="str">
        <f aca="false">IF(A158="","",G158*H158)</f>
        <v/>
      </c>
      <c r="J158" s="16" t="str">
        <f aca="false">IF(A158="","",IF(Products!G158="",Settings!$B$8,Products!G158))</f>
        <v/>
      </c>
      <c r="K158" s="16" t="str">
        <f aca="false">IF(A158="","",IF(G158&lt;=0,"OUT",IF(G158&lt;=J158,"LOW","OK")))</f>
        <v/>
      </c>
      <c r="L158" s="16" t="str">
        <f aca="false">IF(A158="","",F158+ROW()/1000000)</f>
        <v/>
      </c>
      <c r="M158" s="16" t="str">
        <f aca="false">IF(OR(K158="LOW",K158="OUT"),COUNTIF($K$2:K158,"LOW")+COUNTIF($K$2:K158,"OUT"),"")</f>
        <v/>
      </c>
    </row>
    <row r="159" customFormat="false" ht="15" hidden="false" customHeight="true" outlineLevel="0" collapsed="false">
      <c r="A159" s="16" t="str">
        <f aca="false">IF(Products!A159="","",Products!A159)</f>
        <v/>
      </c>
      <c r="B159" s="16" t="str">
        <f aca="false">IF($A159="","",INDEX(Products!$B$2:$B$501,ROW()-1))</f>
        <v/>
      </c>
      <c r="C159" s="16" t="str">
        <f aca="false">IF($A159="","",INDEX(Products!$C$2:$C$501,ROW()-1))</f>
        <v/>
      </c>
      <c r="D159" s="16" t="str">
        <f aca="false">IF(A159="","",N(Products!I159))</f>
        <v/>
      </c>
      <c r="E159" s="16" t="str">
        <f aca="false">IF(A159="","",SUMIFS(Purchases!$D$2:$D$2001,Purchases!$B$2:$B$2001,A159))</f>
        <v/>
      </c>
      <c r="F159" s="16" t="str">
        <f aca="false">IF(A159="","",SUMIFS(Sales_Items!$E$2:$E$3001,Sales_Items!$C$2:$C$3001,A159))</f>
        <v/>
      </c>
      <c r="G159" s="16" t="str">
        <f aca="false">IF(A159="","",D159+E159-F159)</f>
        <v/>
      </c>
      <c r="H159" s="17" t="str">
        <f aca="false">IF(A159="","",N(Products!E159))</f>
        <v/>
      </c>
      <c r="I159" s="17" t="str">
        <f aca="false">IF(A159="","",G159*H159)</f>
        <v/>
      </c>
      <c r="J159" s="16" t="str">
        <f aca="false">IF(A159="","",IF(Products!G159="",Settings!$B$8,Products!G159))</f>
        <v/>
      </c>
      <c r="K159" s="16" t="str">
        <f aca="false">IF(A159="","",IF(G159&lt;=0,"OUT",IF(G159&lt;=J159,"LOW","OK")))</f>
        <v/>
      </c>
      <c r="L159" s="16" t="str">
        <f aca="false">IF(A159="","",F159+ROW()/1000000)</f>
        <v/>
      </c>
      <c r="M159" s="16" t="str">
        <f aca="false">IF(OR(K159="LOW",K159="OUT"),COUNTIF($K$2:K159,"LOW")+COUNTIF($K$2:K159,"OUT"),"")</f>
        <v/>
      </c>
    </row>
    <row r="160" customFormat="false" ht="15" hidden="false" customHeight="true" outlineLevel="0" collapsed="false">
      <c r="A160" s="16" t="str">
        <f aca="false">IF(Products!A160="","",Products!A160)</f>
        <v/>
      </c>
      <c r="B160" s="16" t="str">
        <f aca="false">IF($A160="","",INDEX(Products!$B$2:$B$501,ROW()-1))</f>
        <v/>
      </c>
      <c r="C160" s="16" t="str">
        <f aca="false">IF($A160="","",INDEX(Products!$C$2:$C$501,ROW()-1))</f>
        <v/>
      </c>
      <c r="D160" s="16" t="str">
        <f aca="false">IF(A160="","",N(Products!I160))</f>
        <v/>
      </c>
      <c r="E160" s="16" t="str">
        <f aca="false">IF(A160="","",SUMIFS(Purchases!$D$2:$D$2001,Purchases!$B$2:$B$2001,A160))</f>
        <v/>
      </c>
      <c r="F160" s="16" t="str">
        <f aca="false">IF(A160="","",SUMIFS(Sales_Items!$E$2:$E$3001,Sales_Items!$C$2:$C$3001,A160))</f>
        <v/>
      </c>
      <c r="G160" s="16" t="str">
        <f aca="false">IF(A160="","",D160+E160-F160)</f>
        <v/>
      </c>
      <c r="H160" s="17" t="str">
        <f aca="false">IF(A160="","",N(Products!E160))</f>
        <v/>
      </c>
      <c r="I160" s="17" t="str">
        <f aca="false">IF(A160="","",G160*H160)</f>
        <v/>
      </c>
      <c r="J160" s="16" t="str">
        <f aca="false">IF(A160="","",IF(Products!G160="",Settings!$B$8,Products!G160))</f>
        <v/>
      </c>
      <c r="K160" s="16" t="str">
        <f aca="false">IF(A160="","",IF(G160&lt;=0,"OUT",IF(G160&lt;=J160,"LOW","OK")))</f>
        <v/>
      </c>
      <c r="L160" s="16" t="str">
        <f aca="false">IF(A160="","",F160+ROW()/1000000)</f>
        <v/>
      </c>
      <c r="M160" s="16" t="str">
        <f aca="false">IF(OR(K160="LOW",K160="OUT"),COUNTIF($K$2:K160,"LOW")+COUNTIF($K$2:K160,"OUT"),"")</f>
        <v/>
      </c>
    </row>
    <row r="161" customFormat="false" ht="15" hidden="false" customHeight="true" outlineLevel="0" collapsed="false">
      <c r="A161" s="16" t="str">
        <f aca="false">IF(Products!A161="","",Products!A161)</f>
        <v/>
      </c>
      <c r="B161" s="16" t="str">
        <f aca="false">IF($A161="","",INDEX(Products!$B$2:$B$501,ROW()-1))</f>
        <v/>
      </c>
      <c r="C161" s="16" t="str">
        <f aca="false">IF($A161="","",INDEX(Products!$C$2:$C$501,ROW()-1))</f>
        <v/>
      </c>
      <c r="D161" s="16" t="str">
        <f aca="false">IF(A161="","",N(Products!I161))</f>
        <v/>
      </c>
      <c r="E161" s="16" t="str">
        <f aca="false">IF(A161="","",SUMIFS(Purchases!$D$2:$D$2001,Purchases!$B$2:$B$2001,A161))</f>
        <v/>
      </c>
      <c r="F161" s="16" t="str">
        <f aca="false">IF(A161="","",SUMIFS(Sales_Items!$E$2:$E$3001,Sales_Items!$C$2:$C$3001,A161))</f>
        <v/>
      </c>
      <c r="G161" s="16" t="str">
        <f aca="false">IF(A161="","",D161+E161-F161)</f>
        <v/>
      </c>
      <c r="H161" s="17" t="str">
        <f aca="false">IF(A161="","",N(Products!E161))</f>
        <v/>
      </c>
      <c r="I161" s="17" t="str">
        <f aca="false">IF(A161="","",G161*H161)</f>
        <v/>
      </c>
      <c r="J161" s="16" t="str">
        <f aca="false">IF(A161="","",IF(Products!G161="",Settings!$B$8,Products!G161))</f>
        <v/>
      </c>
      <c r="K161" s="16" t="str">
        <f aca="false">IF(A161="","",IF(G161&lt;=0,"OUT",IF(G161&lt;=J161,"LOW","OK")))</f>
        <v/>
      </c>
      <c r="L161" s="16" t="str">
        <f aca="false">IF(A161="","",F161+ROW()/1000000)</f>
        <v/>
      </c>
      <c r="M161" s="16" t="str">
        <f aca="false">IF(OR(K161="LOW",K161="OUT"),COUNTIF($K$2:K161,"LOW")+COUNTIF($K$2:K161,"OUT"),"")</f>
        <v/>
      </c>
    </row>
    <row r="162" customFormat="false" ht="15" hidden="false" customHeight="true" outlineLevel="0" collapsed="false">
      <c r="A162" s="16" t="str">
        <f aca="false">IF(Products!A162="","",Products!A162)</f>
        <v/>
      </c>
      <c r="B162" s="16" t="str">
        <f aca="false">IF($A162="","",INDEX(Products!$B$2:$B$501,ROW()-1))</f>
        <v/>
      </c>
      <c r="C162" s="16" t="str">
        <f aca="false">IF($A162="","",INDEX(Products!$C$2:$C$501,ROW()-1))</f>
        <v/>
      </c>
      <c r="D162" s="16" t="str">
        <f aca="false">IF(A162="","",N(Products!I162))</f>
        <v/>
      </c>
      <c r="E162" s="16" t="str">
        <f aca="false">IF(A162="","",SUMIFS(Purchases!$D$2:$D$2001,Purchases!$B$2:$B$2001,A162))</f>
        <v/>
      </c>
      <c r="F162" s="16" t="str">
        <f aca="false">IF(A162="","",SUMIFS(Sales_Items!$E$2:$E$3001,Sales_Items!$C$2:$C$3001,A162))</f>
        <v/>
      </c>
      <c r="G162" s="16" t="str">
        <f aca="false">IF(A162="","",D162+E162-F162)</f>
        <v/>
      </c>
      <c r="H162" s="17" t="str">
        <f aca="false">IF(A162="","",N(Products!E162))</f>
        <v/>
      </c>
      <c r="I162" s="17" t="str">
        <f aca="false">IF(A162="","",G162*H162)</f>
        <v/>
      </c>
      <c r="J162" s="16" t="str">
        <f aca="false">IF(A162="","",IF(Products!G162="",Settings!$B$8,Products!G162))</f>
        <v/>
      </c>
      <c r="K162" s="16" t="str">
        <f aca="false">IF(A162="","",IF(G162&lt;=0,"OUT",IF(G162&lt;=J162,"LOW","OK")))</f>
        <v/>
      </c>
      <c r="L162" s="16" t="str">
        <f aca="false">IF(A162="","",F162+ROW()/1000000)</f>
        <v/>
      </c>
      <c r="M162" s="16" t="str">
        <f aca="false">IF(OR(K162="LOW",K162="OUT"),COUNTIF($K$2:K162,"LOW")+COUNTIF($K$2:K162,"OUT"),"")</f>
        <v/>
      </c>
    </row>
    <row r="163" customFormat="false" ht="15" hidden="false" customHeight="true" outlineLevel="0" collapsed="false">
      <c r="A163" s="16" t="str">
        <f aca="false">IF(Products!A163="","",Products!A163)</f>
        <v/>
      </c>
      <c r="B163" s="16" t="str">
        <f aca="false">IF($A163="","",INDEX(Products!$B$2:$B$501,ROW()-1))</f>
        <v/>
      </c>
      <c r="C163" s="16" t="str">
        <f aca="false">IF($A163="","",INDEX(Products!$C$2:$C$501,ROW()-1))</f>
        <v/>
      </c>
      <c r="D163" s="16" t="str">
        <f aca="false">IF(A163="","",N(Products!I163))</f>
        <v/>
      </c>
      <c r="E163" s="16" t="str">
        <f aca="false">IF(A163="","",SUMIFS(Purchases!$D$2:$D$2001,Purchases!$B$2:$B$2001,A163))</f>
        <v/>
      </c>
      <c r="F163" s="16" t="str">
        <f aca="false">IF(A163="","",SUMIFS(Sales_Items!$E$2:$E$3001,Sales_Items!$C$2:$C$3001,A163))</f>
        <v/>
      </c>
      <c r="G163" s="16" t="str">
        <f aca="false">IF(A163="","",D163+E163-F163)</f>
        <v/>
      </c>
      <c r="H163" s="17" t="str">
        <f aca="false">IF(A163="","",N(Products!E163))</f>
        <v/>
      </c>
      <c r="I163" s="17" t="str">
        <f aca="false">IF(A163="","",G163*H163)</f>
        <v/>
      </c>
      <c r="J163" s="16" t="str">
        <f aca="false">IF(A163="","",IF(Products!G163="",Settings!$B$8,Products!G163))</f>
        <v/>
      </c>
      <c r="K163" s="16" t="str">
        <f aca="false">IF(A163="","",IF(G163&lt;=0,"OUT",IF(G163&lt;=J163,"LOW","OK")))</f>
        <v/>
      </c>
      <c r="L163" s="16" t="str">
        <f aca="false">IF(A163="","",F163+ROW()/1000000)</f>
        <v/>
      </c>
      <c r="M163" s="16" t="str">
        <f aca="false">IF(OR(K163="LOW",K163="OUT"),COUNTIF($K$2:K163,"LOW")+COUNTIF($K$2:K163,"OUT"),"")</f>
        <v/>
      </c>
    </row>
    <row r="164" customFormat="false" ht="15" hidden="false" customHeight="true" outlineLevel="0" collapsed="false">
      <c r="A164" s="16" t="str">
        <f aca="false">IF(Products!A164="","",Products!A164)</f>
        <v/>
      </c>
      <c r="B164" s="16" t="str">
        <f aca="false">IF($A164="","",INDEX(Products!$B$2:$B$501,ROW()-1))</f>
        <v/>
      </c>
      <c r="C164" s="16" t="str">
        <f aca="false">IF($A164="","",INDEX(Products!$C$2:$C$501,ROW()-1))</f>
        <v/>
      </c>
      <c r="D164" s="16" t="str">
        <f aca="false">IF(A164="","",N(Products!I164))</f>
        <v/>
      </c>
      <c r="E164" s="16" t="str">
        <f aca="false">IF(A164="","",SUMIFS(Purchases!$D$2:$D$2001,Purchases!$B$2:$B$2001,A164))</f>
        <v/>
      </c>
      <c r="F164" s="16" t="str">
        <f aca="false">IF(A164="","",SUMIFS(Sales_Items!$E$2:$E$3001,Sales_Items!$C$2:$C$3001,A164))</f>
        <v/>
      </c>
      <c r="G164" s="16" t="str">
        <f aca="false">IF(A164="","",D164+E164-F164)</f>
        <v/>
      </c>
      <c r="H164" s="17" t="str">
        <f aca="false">IF(A164="","",N(Products!E164))</f>
        <v/>
      </c>
      <c r="I164" s="17" t="str">
        <f aca="false">IF(A164="","",G164*H164)</f>
        <v/>
      </c>
      <c r="J164" s="16" t="str">
        <f aca="false">IF(A164="","",IF(Products!G164="",Settings!$B$8,Products!G164))</f>
        <v/>
      </c>
      <c r="K164" s="16" t="str">
        <f aca="false">IF(A164="","",IF(G164&lt;=0,"OUT",IF(G164&lt;=J164,"LOW","OK")))</f>
        <v/>
      </c>
      <c r="L164" s="16" t="str">
        <f aca="false">IF(A164="","",F164+ROW()/1000000)</f>
        <v/>
      </c>
      <c r="M164" s="16" t="str">
        <f aca="false">IF(OR(K164="LOW",K164="OUT"),COUNTIF($K$2:K164,"LOW")+COUNTIF($K$2:K164,"OUT"),"")</f>
        <v/>
      </c>
    </row>
    <row r="165" customFormat="false" ht="15" hidden="false" customHeight="true" outlineLevel="0" collapsed="false">
      <c r="A165" s="16" t="str">
        <f aca="false">IF(Products!A165="","",Products!A165)</f>
        <v/>
      </c>
      <c r="B165" s="16" t="str">
        <f aca="false">IF($A165="","",INDEX(Products!$B$2:$B$501,ROW()-1))</f>
        <v/>
      </c>
      <c r="C165" s="16" t="str">
        <f aca="false">IF($A165="","",INDEX(Products!$C$2:$C$501,ROW()-1))</f>
        <v/>
      </c>
      <c r="D165" s="16" t="str">
        <f aca="false">IF(A165="","",N(Products!I165))</f>
        <v/>
      </c>
      <c r="E165" s="16" t="str">
        <f aca="false">IF(A165="","",SUMIFS(Purchases!$D$2:$D$2001,Purchases!$B$2:$B$2001,A165))</f>
        <v/>
      </c>
      <c r="F165" s="16" t="str">
        <f aca="false">IF(A165="","",SUMIFS(Sales_Items!$E$2:$E$3001,Sales_Items!$C$2:$C$3001,A165))</f>
        <v/>
      </c>
      <c r="G165" s="16" t="str">
        <f aca="false">IF(A165="","",D165+E165-F165)</f>
        <v/>
      </c>
      <c r="H165" s="17" t="str">
        <f aca="false">IF(A165="","",N(Products!E165))</f>
        <v/>
      </c>
      <c r="I165" s="17" t="str">
        <f aca="false">IF(A165="","",G165*H165)</f>
        <v/>
      </c>
      <c r="J165" s="16" t="str">
        <f aca="false">IF(A165="","",IF(Products!G165="",Settings!$B$8,Products!G165))</f>
        <v/>
      </c>
      <c r="K165" s="16" t="str">
        <f aca="false">IF(A165="","",IF(G165&lt;=0,"OUT",IF(G165&lt;=J165,"LOW","OK")))</f>
        <v/>
      </c>
      <c r="L165" s="16" t="str">
        <f aca="false">IF(A165="","",F165+ROW()/1000000)</f>
        <v/>
      </c>
      <c r="M165" s="16" t="str">
        <f aca="false">IF(OR(K165="LOW",K165="OUT"),COUNTIF($K$2:K165,"LOW")+COUNTIF($K$2:K165,"OUT"),"")</f>
        <v/>
      </c>
    </row>
    <row r="166" customFormat="false" ht="15" hidden="false" customHeight="true" outlineLevel="0" collapsed="false">
      <c r="A166" s="16" t="str">
        <f aca="false">IF(Products!A166="","",Products!A166)</f>
        <v/>
      </c>
      <c r="B166" s="16" t="str">
        <f aca="false">IF($A166="","",INDEX(Products!$B$2:$B$501,ROW()-1))</f>
        <v/>
      </c>
      <c r="C166" s="16" t="str">
        <f aca="false">IF($A166="","",INDEX(Products!$C$2:$C$501,ROW()-1))</f>
        <v/>
      </c>
      <c r="D166" s="16" t="str">
        <f aca="false">IF(A166="","",N(Products!I166))</f>
        <v/>
      </c>
      <c r="E166" s="16" t="str">
        <f aca="false">IF(A166="","",SUMIFS(Purchases!$D$2:$D$2001,Purchases!$B$2:$B$2001,A166))</f>
        <v/>
      </c>
      <c r="F166" s="16" t="str">
        <f aca="false">IF(A166="","",SUMIFS(Sales_Items!$E$2:$E$3001,Sales_Items!$C$2:$C$3001,A166))</f>
        <v/>
      </c>
      <c r="G166" s="16" t="str">
        <f aca="false">IF(A166="","",D166+E166-F166)</f>
        <v/>
      </c>
      <c r="H166" s="17" t="str">
        <f aca="false">IF(A166="","",N(Products!E166))</f>
        <v/>
      </c>
      <c r="I166" s="17" t="str">
        <f aca="false">IF(A166="","",G166*H166)</f>
        <v/>
      </c>
      <c r="J166" s="16" t="str">
        <f aca="false">IF(A166="","",IF(Products!G166="",Settings!$B$8,Products!G166))</f>
        <v/>
      </c>
      <c r="K166" s="16" t="str">
        <f aca="false">IF(A166="","",IF(G166&lt;=0,"OUT",IF(G166&lt;=J166,"LOW","OK")))</f>
        <v/>
      </c>
      <c r="L166" s="16" t="str">
        <f aca="false">IF(A166="","",F166+ROW()/1000000)</f>
        <v/>
      </c>
      <c r="M166" s="16" t="str">
        <f aca="false">IF(OR(K166="LOW",K166="OUT"),COUNTIF($K$2:K166,"LOW")+COUNTIF($K$2:K166,"OUT"),"")</f>
        <v/>
      </c>
    </row>
    <row r="167" customFormat="false" ht="15" hidden="false" customHeight="true" outlineLevel="0" collapsed="false">
      <c r="A167" s="16" t="str">
        <f aca="false">IF(Products!A167="","",Products!A167)</f>
        <v/>
      </c>
      <c r="B167" s="16" t="str">
        <f aca="false">IF($A167="","",INDEX(Products!$B$2:$B$501,ROW()-1))</f>
        <v/>
      </c>
      <c r="C167" s="16" t="str">
        <f aca="false">IF($A167="","",INDEX(Products!$C$2:$C$501,ROW()-1))</f>
        <v/>
      </c>
      <c r="D167" s="16" t="str">
        <f aca="false">IF(A167="","",N(Products!I167))</f>
        <v/>
      </c>
      <c r="E167" s="16" t="str">
        <f aca="false">IF(A167="","",SUMIFS(Purchases!$D$2:$D$2001,Purchases!$B$2:$B$2001,A167))</f>
        <v/>
      </c>
      <c r="F167" s="16" t="str">
        <f aca="false">IF(A167="","",SUMIFS(Sales_Items!$E$2:$E$3001,Sales_Items!$C$2:$C$3001,A167))</f>
        <v/>
      </c>
      <c r="G167" s="16" t="str">
        <f aca="false">IF(A167="","",D167+E167-F167)</f>
        <v/>
      </c>
      <c r="H167" s="17" t="str">
        <f aca="false">IF(A167="","",N(Products!E167))</f>
        <v/>
      </c>
      <c r="I167" s="17" t="str">
        <f aca="false">IF(A167="","",G167*H167)</f>
        <v/>
      </c>
      <c r="J167" s="16" t="str">
        <f aca="false">IF(A167="","",IF(Products!G167="",Settings!$B$8,Products!G167))</f>
        <v/>
      </c>
      <c r="K167" s="16" t="str">
        <f aca="false">IF(A167="","",IF(G167&lt;=0,"OUT",IF(G167&lt;=J167,"LOW","OK")))</f>
        <v/>
      </c>
      <c r="L167" s="16" t="str">
        <f aca="false">IF(A167="","",F167+ROW()/1000000)</f>
        <v/>
      </c>
      <c r="M167" s="16" t="str">
        <f aca="false">IF(OR(K167="LOW",K167="OUT"),COUNTIF($K$2:K167,"LOW")+COUNTIF($K$2:K167,"OUT"),"")</f>
        <v/>
      </c>
    </row>
    <row r="168" customFormat="false" ht="15" hidden="false" customHeight="true" outlineLevel="0" collapsed="false">
      <c r="A168" s="16" t="str">
        <f aca="false">IF(Products!A168="","",Products!A168)</f>
        <v/>
      </c>
      <c r="B168" s="16" t="str">
        <f aca="false">IF($A168="","",INDEX(Products!$B$2:$B$501,ROW()-1))</f>
        <v/>
      </c>
      <c r="C168" s="16" t="str">
        <f aca="false">IF($A168="","",INDEX(Products!$C$2:$C$501,ROW()-1))</f>
        <v/>
      </c>
      <c r="D168" s="16" t="str">
        <f aca="false">IF(A168="","",N(Products!I168))</f>
        <v/>
      </c>
      <c r="E168" s="16" t="str">
        <f aca="false">IF(A168="","",SUMIFS(Purchases!$D$2:$D$2001,Purchases!$B$2:$B$2001,A168))</f>
        <v/>
      </c>
      <c r="F168" s="16" t="str">
        <f aca="false">IF(A168="","",SUMIFS(Sales_Items!$E$2:$E$3001,Sales_Items!$C$2:$C$3001,A168))</f>
        <v/>
      </c>
      <c r="G168" s="16" t="str">
        <f aca="false">IF(A168="","",D168+E168-F168)</f>
        <v/>
      </c>
      <c r="H168" s="17" t="str">
        <f aca="false">IF(A168="","",N(Products!E168))</f>
        <v/>
      </c>
      <c r="I168" s="17" t="str">
        <f aca="false">IF(A168="","",G168*H168)</f>
        <v/>
      </c>
      <c r="J168" s="16" t="str">
        <f aca="false">IF(A168="","",IF(Products!G168="",Settings!$B$8,Products!G168))</f>
        <v/>
      </c>
      <c r="K168" s="16" t="str">
        <f aca="false">IF(A168="","",IF(G168&lt;=0,"OUT",IF(G168&lt;=J168,"LOW","OK")))</f>
        <v/>
      </c>
      <c r="L168" s="16" t="str">
        <f aca="false">IF(A168="","",F168+ROW()/1000000)</f>
        <v/>
      </c>
      <c r="M168" s="16" t="str">
        <f aca="false">IF(OR(K168="LOW",K168="OUT"),COUNTIF($K$2:K168,"LOW")+COUNTIF($K$2:K168,"OUT"),"")</f>
        <v/>
      </c>
    </row>
    <row r="169" customFormat="false" ht="15" hidden="false" customHeight="true" outlineLevel="0" collapsed="false">
      <c r="A169" s="16" t="str">
        <f aca="false">IF(Products!A169="","",Products!A169)</f>
        <v/>
      </c>
      <c r="B169" s="16" t="str">
        <f aca="false">IF($A169="","",INDEX(Products!$B$2:$B$501,ROW()-1))</f>
        <v/>
      </c>
      <c r="C169" s="16" t="str">
        <f aca="false">IF($A169="","",INDEX(Products!$C$2:$C$501,ROW()-1))</f>
        <v/>
      </c>
      <c r="D169" s="16" t="str">
        <f aca="false">IF(A169="","",N(Products!I169))</f>
        <v/>
      </c>
      <c r="E169" s="16" t="str">
        <f aca="false">IF(A169="","",SUMIFS(Purchases!$D$2:$D$2001,Purchases!$B$2:$B$2001,A169))</f>
        <v/>
      </c>
      <c r="F169" s="16" t="str">
        <f aca="false">IF(A169="","",SUMIFS(Sales_Items!$E$2:$E$3001,Sales_Items!$C$2:$C$3001,A169))</f>
        <v/>
      </c>
      <c r="G169" s="16" t="str">
        <f aca="false">IF(A169="","",D169+E169-F169)</f>
        <v/>
      </c>
      <c r="H169" s="17" t="str">
        <f aca="false">IF(A169="","",N(Products!E169))</f>
        <v/>
      </c>
      <c r="I169" s="17" t="str">
        <f aca="false">IF(A169="","",G169*H169)</f>
        <v/>
      </c>
      <c r="J169" s="16" t="str">
        <f aca="false">IF(A169="","",IF(Products!G169="",Settings!$B$8,Products!G169))</f>
        <v/>
      </c>
      <c r="K169" s="16" t="str">
        <f aca="false">IF(A169="","",IF(G169&lt;=0,"OUT",IF(G169&lt;=J169,"LOW","OK")))</f>
        <v/>
      </c>
      <c r="L169" s="16" t="str">
        <f aca="false">IF(A169="","",F169+ROW()/1000000)</f>
        <v/>
      </c>
      <c r="M169" s="16" t="str">
        <f aca="false">IF(OR(K169="LOW",K169="OUT"),COUNTIF($K$2:K169,"LOW")+COUNTIF($K$2:K169,"OUT"),"")</f>
        <v/>
      </c>
    </row>
    <row r="170" customFormat="false" ht="15" hidden="false" customHeight="true" outlineLevel="0" collapsed="false">
      <c r="A170" s="16" t="str">
        <f aca="false">IF(Products!A170="","",Products!A170)</f>
        <v/>
      </c>
      <c r="B170" s="16" t="str">
        <f aca="false">IF($A170="","",INDEX(Products!$B$2:$B$501,ROW()-1))</f>
        <v/>
      </c>
      <c r="C170" s="16" t="str">
        <f aca="false">IF($A170="","",INDEX(Products!$C$2:$C$501,ROW()-1))</f>
        <v/>
      </c>
      <c r="D170" s="16" t="str">
        <f aca="false">IF(A170="","",N(Products!I170))</f>
        <v/>
      </c>
      <c r="E170" s="16" t="str">
        <f aca="false">IF(A170="","",SUMIFS(Purchases!$D$2:$D$2001,Purchases!$B$2:$B$2001,A170))</f>
        <v/>
      </c>
      <c r="F170" s="16" t="str">
        <f aca="false">IF(A170="","",SUMIFS(Sales_Items!$E$2:$E$3001,Sales_Items!$C$2:$C$3001,A170))</f>
        <v/>
      </c>
      <c r="G170" s="16" t="str">
        <f aca="false">IF(A170="","",D170+E170-F170)</f>
        <v/>
      </c>
      <c r="H170" s="17" t="str">
        <f aca="false">IF(A170="","",N(Products!E170))</f>
        <v/>
      </c>
      <c r="I170" s="17" t="str">
        <f aca="false">IF(A170="","",G170*H170)</f>
        <v/>
      </c>
      <c r="J170" s="16" t="str">
        <f aca="false">IF(A170="","",IF(Products!G170="",Settings!$B$8,Products!G170))</f>
        <v/>
      </c>
      <c r="K170" s="16" t="str">
        <f aca="false">IF(A170="","",IF(G170&lt;=0,"OUT",IF(G170&lt;=J170,"LOW","OK")))</f>
        <v/>
      </c>
      <c r="L170" s="16" t="str">
        <f aca="false">IF(A170="","",F170+ROW()/1000000)</f>
        <v/>
      </c>
      <c r="M170" s="16" t="str">
        <f aca="false">IF(OR(K170="LOW",K170="OUT"),COUNTIF($K$2:K170,"LOW")+COUNTIF($K$2:K170,"OUT"),"")</f>
        <v/>
      </c>
    </row>
    <row r="171" customFormat="false" ht="15" hidden="false" customHeight="true" outlineLevel="0" collapsed="false">
      <c r="A171" s="16" t="str">
        <f aca="false">IF(Products!A171="","",Products!A171)</f>
        <v/>
      </c>
      <c r="B171" s="16" t="str">
        <f aca="false">IF($A171="","",INDEX(Products!$B$2:$B$501,ROW()-1))</f>
        <v/>
      </c>
      <c r="C171" s="16" t="str">
        <f aca="false">IF($A171="","",INDEX(Products!$C$2:$C$501,ROW()-1))</f>
        <v/>
      </c>
      <c r="D171" s="16" t="str">
        <f aca="false">IF(A171="","",N(Products!I171))</f>
        <v/>
      </c>
      <c r="E171" s="16" t="str">
        <f aca="false">IF(A171="","",SUMIFS(Purchases!$D$2:$D$2001,Purchases!$B$2:$B$2001,A171))</f>
        <v/>
      </c>
      <c r="F171" s="16" t="str">
        <f aca="false">IF(A171="","",SUMIFS(Sales_Items!$E$2:$E$3001,Sales_Items!$C$2:$C$3001,A171))</f>
        <v/>
      </c>
      <c r="G171" s="16" t="str">
        <f aca="false">IF(A171="","",D171+E171-F171)</f>
        <v/>
      </c>
      <c r="H171" s="17" t="str">
        <f aca="false">IF(A171="","",N(Products!E171))</f>
        <v/>
      </c>
      <c r="I171" s="17" t="str">
        <f aca="false">IF(A171="","",G171*H171)</f>
        <v/>
      </c>
      <c r="J171" s="16" t="str">
        <f aca="false">IF(A171="","",IF(Products!G171="",Settings!$B$8,Products!G171))</f>
        <v/>
      </c>
      <c r="K171" s="16" t="str">
        <f aca="false">IF(A171="","",IF(G171&lt;=0,"OUT",IF(G171&lt;=J171,"LOW","OK")))</f>
        <v/>
      </c>
      <c r="L171" s="16" t="str">
        <f aca="false">IF(A171="","",F171+ROW()/1000000)</f>
        <v/>
      </c>
      <c r="M171" s="16" t="str">
        <f aca="false">IF(OR(K171="LOW",K171="OUT"),COUNTIF($K$2:K171,"LOW")+COUNTIF($K$2:K171,"OUT"),"")</f>
        <v/>
      </c>
    </row>
    <row r="172" customFormat="false" ht="15" hidden="false" customHeight="true" outlineLevel="0" collapsed="false">
      <c r="A172" s="16" t="str">
        <f aca="false">IF(Products!A172="","",Products!A172)</f>
        <v/>
      </c>
      <c r="B172" s="16" t="str">
        <f aca="false">IF($A172="","",INDEX(Products!$B$2:$B$501,ROW()-1))</f>
        <v/>
      </c>
      <c r="C172" s="16" t="str">
        <f aca="false">IF($A172="","",INDEX(Products!$C$2:$C$501,ROW()-1))</f>
        <v/>
      </c>
      <c r="D172" s="16" t="str">
        <f aca="false">IF(A172="","",N(Products!I172))</f>
        <v/>
      </c>
      <c r="E172" s="16" t="str">
        <f aca="false">IF(A172="","",SUMIFS(Purchases!$D$2:$D$2001,Purchases!$B$2:$B$2001,A172))</f>
        <v/>
      </c>
      <c r="F172" s="16" t="str">
        <f aca="false">IF(A172="","",SUMIFS(Sales_Items!$E$2:$E$3001,Sales_Items!$C$2:$C$3001,A172))</f>
        <v/>
      </c>
      <c r="G172" s="16" t="str">
        <f aca="false">IF(A172="","",D172+E172-F172)</f>
        <v/>
      </c>
      <c r="H172" s="17" t="str">
        <f aca="false">IF(A172="","",N(Products!E172))</f>
        <v/>
      </c>
      <c r="I172" s="17" t="str">
        <f aca="false">IF(A172="","",G172*H172)</f>
        <v/>
      </c>
      <c r="J172" s="16" t="str">
        <f aca="false">IF(A172="","",IF(Products!G172="",Settings!$B$8,Products!G172))</f>
        <v/>
      </c>
      <c r="K172" s="16" t="str">
        <f aca="false">IF(A172="","",IF(G172&lt;=0,"OUT",IF(G172&lt;=J172,"LOW","OK")))</f>
        <v/>
      </c>
      <c r="L172" s="16" t="str">
        <f aca="false">IF(A172="","",F172+ROW()/1000000)</f>
        <v/>
      </c>
      <c r="M172" s="16" t="str">
        <f aca="false">IF(OR(K172="LOW",K172="OUT"),COUNTIF($K$2:K172,"LOW")+COUNTIF($K$2:K172,"OUT"),"")</f>
        <v/>
      </c>
    </row>
    <row r="173" customFormat="false" ht="15" hidden="false" customHeight="true" outlineLevel="0" collapsed="false">
      <c r="A173" s="16" t="str">
        <f aca="false">IF(Products!A173="","",Products!A173)</f>
        <v/>
      </c>
      <c r="B173" s="16" t="str">
        <f aca="false">IF($A173="","",INDEX(Products!$B$2:$B$501,ROW()-1))</f>
        <v/>
      </c>
      <c r="C173" s="16" t="str">
        <f aca="false">IF($A173="","",INDEX(Products!$C$2:$C$501,ROW()-1))</f>
        <v/>
      </c>
      <c r="D173" s="16" t="str">
        <f aca="false">IF(A173="","",N(Products!I173))</f>
        <v/>
      </c>
      <c r="E173" s="16" t="str">
        <f aca="false">IF(A173="","",SUMIFS(Purchases!$D$2:$D$2001,Purchases!$B$2:$B$2001,A173))</f>
        <v/>
      </c>
      <c r="F173" s="16" t="str">
        <f aca="false">IF(A173="","",SUMIFS(Sales_Items!$E$2:$E$3001,Sales_Items!$C$2:$C$3001,A173))</f>
        <v/>
      </c>
      <c r="G173" s="16" t="str">
        <f aca="false">IF(A173="","",D173+E173-F173)</f>
        <v/>
      </c>
      <c r="H173" s="17" t="str">
        <f aca="false">IF(A173="","",N(Products!E173))</f>
        <v/>
      </c>
      <c r="I173" s="17" t="str">
        <f aca="false">IF(A173="","",G173*H173)</f>
        <v/>
      </c>
      <c r="J173" s="16" t="str">
        <f aca="false">IF(A173="","",IF(Products!G173="",Settings!$B$8,Products!G173))</f>
        <v/>
      </c>
      <c r="K173" s="16" t="str">
        <f aca="false">IF(A173="","",IF(G173&lt;=0,"OUT",IF(G173&lt;=J173,"LOW","OK")))</f>
        <v/>
      </c>
      <c r="L173" s="16" t="str">
        <f aca="false">IF(A173="","",F173+ROW()/1000000)</f>
        <v/>
      </c>
      <c r="M173" s="16" t="str">
        <f aca="false">IF(OR(K173="LOW",K173="OUT"),COUNTIF($K$2:K173,"LOW")+COUNTIF($K$2:K173,"OUT"),"")</f>
        <v/>
      </c>
    </row>
    <row r="174" customFormat="false" ht="15" hidden="false" customHeight="true" outlineLevel="0" collapsed="false">
      <c r="A174" s="16" t="str">
        <f aca="false">IF(Products!A174="","",Products!A174)</f>
        <v/>
      </c>
      <c r="B174" s="16" t="str">
        <f aca="false">IF($A174="","",INDEX(Products!$B$2:$B$501,ROW()-1))</f>
        <v/>
      </c>
      <c r="C174" s="16" t="str">
        <f aca="false">IF($A174="","",INDEX(Products!$C$2:$C$501,ROW()-1))</f>
        <v/>
      </c>
      <c r="D174" s="16" t="str">
        <f aca="false">IF(A174="","",N(Products!I174))</f>
        <v/>
      </c>
      <c r="E174" s="16" t="str">
        <f aca="false">IF(A174="","",SUMIFS(Purchases!$D$2:$D$2001,Purchases!$B$2:$B$2001,A174))</f>
        <v/>
      </c>
      <c r="F174" s="16" t="str">
        <f aca="false">IF(A174="","",SUMIFS(Sales_Items!$E$2:$E$3001,Sales_Items!$C$2:$C$3001,A174))</f>
        <v/>
      </c>
      <c r="G174" s="16" t="str">
        <f aca="false">IF(A174="","",D174+E174-F174)</f>
        <v/>
      </c>
      <c r="H174" s="17" t="str">
        <f aca="false">IF(A174="","",N(Products!E174))</f>
        <v/>
      </c>
      <c r="I174" s="17" t="str">
        <f aca="false">IF(A174="","",G174*H174)</f>
        <v/>
      </c>
      <c r="J174" s="16" t="str">
        <f aca="false">IF(A174="","",IF(Products!G174="",Settings!$B$8,Products!G174))</f>
        <v/>
      </c>
      <c r="K174" s="16" t="str">
        <f aca="false">IF(A174="","",IF(G174&lt;=0,"OUT",IF(G174&lt;=J174,"LOW","OK")))</f>
        <v/>
      </c>
      <c r="L174" s="16" t="str">
        <f aca="false">IF(A174="","",F174+ROW()/1000000)</f>
        <v/>
      </c>
      <c r="M174" s="16" t="str">
        <f aca="false">IF(OR(K174="LOW",K174="OUT"),COUNTIF($K$2:K174,"LOW")+COUNTIF($K$2:K174,"OUT"),"")</f>
        <v/>
      </c>
    </row>
    <row r="175" customFormat="false" ht="15" hidden="false" customHeight="true" outlineLevel="0" collapsed="false">
      <c r="A175" s="16" t="str">
        <f aca="false">IF(Products!A175="","",Products!A175)</f>
        <v/>
      </c>
      <c r="B175" s="16" t="str">
        <f aca="false">IF($A175="","",INDEX(Products!$B$2:$B$501,ROW()-1))</f>
        <v/>
      </c>
      <c r="C175" s="16" t="str">
        <f aca="false">IF($A175="","",INDEX(Products!$C$2:$C$501,ROW()-1))</f>
        <v/>
      </c>
      <c r="D175" s="16" t="str">
        <f aca="false">IF(A175="","",N(Products!I175))</f>
        <v/>
      </c>
      <c r="E175" s="16" t="str">
        <f aca="false">IF(A175="","",SUMIFS(Purchases!$D$2:$D$2001,Purchases!$B$2:$B$2001,A175))</f>
        <v/>
      </c>
      <c r="F175" s="16" t="str">
        <f aca="false">IF(A175="","",SUMIFS(Sales_Items!$E$2:$E$3001,Sales_Items!$C$2:$C$3001,A175))</f>
        <v/>
      </c>
      <c r="G175" s="16" t="str">
        <f aca="false">IF(A175="","",D175+E175-F175)</f>
        <v/>
      </c>
      <c r="H175" s="17" t="str">
        <f aca="false">IF(A175="","",N(Products!E175))</f>
        <v/>
      </c>
      <c r="I175" s="17" t="str">
        <f aca="false">IF(A175="","",G175*H175)</f>
        <v/>
      </c>
      <c r="J175" s="16" t="str">
        <f aca="false">IF(A175="","",IF(Products!G175="",Settings!$B$8,Products!G175))</f>
        <v/>
      </c>
      <c r="K175" s="16" t="str">
        <f aca="false">IF(A175="","",IF(G175&lt;=0,"OUT",IF(G175&lt;=J175,"LOW","OK")))</f>
        <v/>
      </c>
      <c r="L175" s="16" t="str">
        <f aca="false">IF(A175="","",F175+ROW()/1000000)</f>
        <v/>
      </c>
      <c r="M175" s="16" t="str">
        <f aca="false">IF(OR(K175="LOW",K175="OUT"),COUNTIF($K$2:K175,"LOW")+COUNTIF($K$2:K175,"OUT"),"")</f>
        <v/>
      </c>
    </row>
    <row r="176" customFormat="false" ht="15" hidden="false" customHeight="true" outlineLevel="0" collapsed="false">
      <c r="A176" s="16" t="str">
        <f aca="false">IF(Products!A176="","",Products!A176)</f>
        <v/>
      </c>
      <c r="B176" s="16" t="str">
        <f aca="false">IF($A176="","",INDEX(Products!$B$2:$B$501,ROW()-1))</f>
        <v/>
      </c>
      <c r="C176" s="16" t="str">
        <f aca="false">IF($A176="","",INDEX(Products!$C$2:$C$501,ROW()-1))</f>
        <v/>
      </c>
      <c r="D176" s="16" t="str">
        <f aca="false">IF(A176="","",N(Products!I176))</f>
        <v/>
      </c>
      <c r="E176" s="16" t="str">
        <f aca="false">IF(A176="","",SUMIFS(Purchases!$D$2:$D$2001,Purchases!$B$2:$B$2001,A176))</f>
        <v/>
      </c>
      <c r="F176" s="16" t="str">
        <f aca="false">IF(A176="","",SUMIFS(Sales_Items!$E$2:$E$3001,Sales_Items!$C$2:$C$3001,A176))</f>
        <v/>
      </c>
      <c r="G176" s="16" t="str">
        <f aca="false">IF(A176="","",D176+E176-F176)</f>
        <v/>
      </c>
      <c r="H176" s="17" t="str">
        <f aca="false">IF(A176="","",N(Products!E176))</f>
        <v/>
      </c>
      <c r="I176" s="17" t="str">
        <f aca="false">IF(A176="","",G176*H176)</f>
        <v/>
      </c>
      <c r="J176" s="16" t="str">
        <f aca="false">IF(A176="","",IF(Products!G176="",Settings!$B$8,Products!G176))</f>
        <v/>
      </c>
      <c r="K176" s="16" t="str">
        <f aca="false">IF(A176="","",IF(G176&lt;=0,"OUT",IF(G176&lt;=J176,"LOW","OK")))</f>
        <v/>
      </c>
      <c r="L176" s="16" t="str">
        <f aca="false">IF(A176="","",F176+ROW()/1000000)</f>
        <v/>
      </c>
      <c r="M176" s="16" t="str">
        <f aca="false">IF(OR(K176="LOW",K176="OUT"),COUNTIF($K$2:K176,"LOW")+COUNTIF($K$2:K176,"OUT"),"")</f>
        <v/>
      </c>
    </row>
    <row r="177" customFormat="false" ht="15" hidden="false" customHeight="true" outlineLevel="0" collapsed="false">
      <c r="A177" s="16" t="str">
        <f aca="false">IF(Products!A177="","",Products!A177)</f>
        <v/>
      </c>
      <c r="B177" s="16" t="str">
        <f aca="false">IF($A177="","",INDEX(Products!$B$2:$B$501,ROW()-1))</f>
        <v/>
      </c>
      <c r="C177" s="16" t="str">
        <f aca="false">IF($A177="","",INDEX(Products!$C$2:$C$501,ROW()-1))</f>
        <v/>
      </c>
      <c r="D177" s="16" t="str">
        <f aca="false">IF(A177="","",N(Products!I177))</f>
        <v/>
      </c>
      <c r="E177" s="16" t="str">
        <f aca="false">IF(A177="","",SUMIFS(Purchases!$D$2:$D$2001,Purchases!$B$2:$B$2001,A177))</f>
        <v/>
      </c>
      <c r="F177" s="16" t="str">
        <f aca="false">IF(A177="","",SUMIFS(Sales_Items!$E$2:$E$3001,Sales_Items!$C$2:$C$3001,A177))</f>
        <v/>
      </c>
      <c r="G177" s="16" t="str">
        <f aca="false">IF(A177="","",D177+E177-F177)</f>
        <v/>
      </c>
      <c r="H177" s="17" t="str">
        <f aca="false">IF(A177="","",N(Products!E177))</f>
        <v/>
      </c>
      <c r="I177" s="17" t="str">
        <f aca="false">IF(A177="","",G177*H177)</f>
        <v/>
      </c>
      <c r="J177" s="16" t="str">
        <f aca="false">IF(A177="","",IF(Products!G177="",Settings!$B$8,Products!G177))</f>
        <v/>
      </c>
      <c r="K177" s="16" t="str">
        <f aca="false">IF(A177="","",IF(G177&lt;=0,"OUT",IF(G177&lt;=J177,"LOW","OK")))</f>
        <v/>
      </c>
      <c r="L177" s="16" t="str">
        <f aca="false">IF(A177="","",F177+ROW()/1000000)</f>
        <v/>
      </c>
      <c r="M177" s="16" t="str">
        <f aca="false">IF(OR(K177="LOW",K177="OUT"),COUNTIF($K$2:K177,"LOW")+COUNTIF($K$2:K177,"OUT"),"")</f>
        <v/>
      </c>
    </row>
    <row r="178" customFormat="false" ht="15" hidden="false" customHeight="true" outlineLevel="0" collapsed="false">
      <c r="A178" s="16" t="str">
        <f aca="false">IF(Products!A178="","",Products!A178)</f>
        <v/>
      </c>
      <c r="B178" s="16" t="str">
        <f aca="false">IF($A178="","",INDEX(Products!$B$2:$B$501,ROW()-1))</f>
        <v/>
      </c>
      <c r="C178" s="16" t="str">
        <f aca="false">IF($A178="","",INDEX(Products!$C$2:$C$501,ROW()-1))</f>
        <v/>
      </c>
      <c r="D178" s="16" t="str">
        <f aca="false">IF(A178="","",N(Products!I178))</f>
        <v/>
      </c>
      <c r="E178" s="16" t="str">
        <f aca="false">IF(A178="","",SUMIFS(Purchases!$D$2:$D$2001,Purchases!$B$2:$B$2001,A178))</f>
        <v/>
      </c>
      <c r="F178" s="16" t="str">
        <f aca="false">IF(A178="","",SUMIFS(Sales_Items!$E$2:$E$3001,Sales_Items!$C$2:$C$3001,A178))</f>
        <v/>
      </c>
      <c r="G178" s="16" t="str">
        <f aca="false">IF(A178="","",D178+E178-F178)</f>
        <v/>
      </c>
      <c r="H178" s="17" t="str">
        <f aca="false">IF(A178="","",N(Products!E178))</f>
        <v/>
      </c>
      <c r="I178" s="17" t="str">
        <f aca="false">IF(A178="","",G178*H178)</f>
        <v/>
      </c>
      <c r="J178" s="16" t="str">
        <f aca="false">IF(A178="","",IF(Products!G178="",Settings!$B$8,Products!G178))</f>
        <v/>
      </c>
      <c r="K178" s="16" t="str">
        <f aca="false">IF(A178="","",IF(G178&lt;=0,"OUT",IF(G178&lt;=J178,"LOW","OK")))</f>
        <v/>
      </c>
      <c r="L178" s="16" t="str">
        <f aca="false">IF(A178="","",F178+ROW()/1000000)</f>
        <v/>
      </c>
      <c r="M178" s="16" t="str">
        <f aca="false">IF(OR(K178="LOW",K178="OUT"),COUNTIF($K$2:K178,"LOW")+COUNTIF($K$2:K178,"OUT"),"")</f>
        <v/>
      </c>
    </row>
    <row r="179" customFormat="false" ht="15" hidden="false" customHeight="true" outlineLevel="0" collapsed="false">
      <c r="A179" s="16" t="str">
        <f aca="false">IF(Products!A179="","",Products!A179)</f>
        <v/>
      </c>
      <c r="B179" s="16" t="str">
        <f aca="false">IF($A179="","",INDEX(Products!$B$2:$B$501,ROW()-1))</f>
        <v/>
      </c>
      <c r="C179" s="16" t="str">
        <f aca="false">IF($A179="","",INDEX(Products!$C$2:$C$501,ROW()-1))</f>
        <v/>
      </c>
      <c r="D179" s="16" t="str">
        <f aca="false">IF(A179="","",N(Products!I179))</f>
        <v/>
      </c>
      <c r="E179" s="16" t="str">
        <f aca="false">IF(A179="","",SUMIFS(Purchases!$D$2:$D$2001,Purchases!$B$2:$B$2001,A179))</f>
        <v/>
      </c>
      <c r="F179" s="16" t="str">
        <f aca="false">IF(A179="","",SUMIFS(Sales_Items!$E$2:$E$3001,Sales_Items!$C$2:$C$3001,A179))</f>
        <v/>
      </c>
      <c r="G179" s="16" t="str">
        <f aca="false">IF(A179="","",D179+E179-F179)</f>
        <v/>
      </c>
      <c r="H179" s="17" t="str">
        <f aca="false">IF(A179="","",N(Products!E179))</f>
        <v/>
      </c>
      <c r="I179" s="17" t="str">
        <f aca="false">IF(A179="","",G179*H179)</f>
        <v/>
      </c>
      <c r="J179" s="16" t="str">
        <f aca="false">IF(A179="","",IF(Products!G179="",Settings!$B$8,Products!G179))</f>
        <v/>
      </c>
      <c r="K179" s="16" t="str">
        <f aca="false">IF(A179="","",IF(G179&lt;=0,"OUT",IF(G179&lt;=J179,"LOW","OK")))</f>
        <v/>
      </c>
      <c r="L179" s="16" t="str">
        <f aca="false">IF(A179="","",F179+ROW()/1000000)</f>
        <v/>
      </c>
      <c r="M179" s="16" t="str">
        <f aca="false">IF(OR(K179="LOW",K179="OUT"),COUNTIF($K$2:K179,"LOW")+COUNTIF($K$2:K179,"OUT"),"")</f>
        <v/>
      </c>
    </row>
    <row r="180" customFormat="false" ht="15" hidden="false" customHeight="true" outlineLevel="0" collapsed="false">
      <c r="A180" s="16" t="str">
        <f aca="false">IF(Products!A180="","",Products!A180)</f>
        <v/>
      </c>
      <c r="B180" s="16" t="str">
        <f aca="false">IF($A180="","",INDEX(Products!$B$2:$B$501,ROW()-1))</f>
        <v/>
      </c>
      <c r="C180" s="16" t="str">
        <f aca="false">IF($A180="","",INDEX(Products!$C$2:$C$501,ROW()-1))</f>
        <v/>
      </c>
      <c r="D180" s="16" t="str">
        <f aca="false">IF(A180="","",N(Products!I180))</f>
        <v/>
      </c>
      <c r="E180" s="16" t="str">
        <f aca="false">IF(A180="","",SUMIFS(Purchases!$D$2:$D$2001,Purchases!$B$2:$B$2001,A180))</f>
        <v/>
      </c>
      <c r="F180" s="16" t="str">
        <f aca="false">IF(A180="","",SUMIFS(Sales_Items!$E$2:$E$3001,Sales_Items!$C$2:$C$3001,A180))</f>
        <v/>
      </c>
      <c r="G180" s="16" t="str">
        <f aca="false">IF(A180="","",D180+E180-F180)</f>
        <v/>
      </c>
      <c r="H180" s="17" t="str">
        <f aca="false">IF(A180="","",N(Products!E180))</f>
        <v/>
      </c>
      <c r="I180" s="17" t="str">
        <f aca="false">IF(A180="","",G180*H180)</f>
        <v/>
      </c>
      <c r="J180" s="16" t="str">
        <f aca="false">IF(A180="","",IF(Products!G180="",Settings!$B$8,Products!G180))</f>
        <v/>
      </c>
      <c r="K180" s="16" t="str">
        <f aca="false">IF(A180="","",IF(G180&lt;=0,"OUT",IF(G180&lt;=J180,"LOW","OK")))</f>
        <v/>
      </c>
      <c r="L180" s="16" t="str">
        <f aca="false">IF(A180="","",F180+ROW()/1000000)</f>
        <v/>
      </c>
      <c r="M180" s="16" t="str">
        <f aca="false">IF(OR(K180="LOW",K180="OUT"),COUNTIF($K$2:K180,"LOW")+COUNTIF($K$2:K180,"OUT"),"")</f>
        <v/>
      </c>
    </row>
    <row r="181" customFormat="false" ht="15" hidden="false" customHeight="true" outlineLevel="0" collapsed="false">
      <c r="A181" s="16" t="str">
        <f aca="false">IF(Products!A181="","",Products!A181)</f>
        <v/>
      </c>
      <c r="B181" s="16" t="str">
        <f aca="false">IF($A181="","",INDEX(Products!$B$2:$B$501,ROW()-1))</f>
        <v/>
      </c>
      <c r="C181" s="16" t="str">
        <f aca="false">IF($A181="","",INDEX(Products!$C$2:$C$501,ROW()-1))</f>
        <v/>
      </c>
      <c r="D181" s="16" t="str">
        <f aca="false">IF(A181="","",N(Products!I181))</f>
        <v/>
      </c>
      <c r="E181" s="16" t="str">
        <f aca="false">IF(A181="","",SUMIFS(Purchases!$D$2:$D$2001,Purchases!$B$2:$B$2001,A181))</f>
        <v/>
      </c>
      <c r="F181" s="16" t="str">
        <f aca="false">IF(A181="","",SUMIFS(Sales_Items!$E$2:$E$3001,Sales_Items!$C$2:$C$3001,A181))</f>
        <v/>
      </c>
      <c r="G181" s="16" t="str">
        <f aca="false">IF(A181="","",D181+E181-F181)</f>
        <v/>
      </c>
      <c r="H181" s="17" t="str">
        <f aca="false">IF(A181="","",N(Products!E181))</f>
        <v/>
      </c>
      <c r="I181" s="17" t="str">
        <f aca="false">IF(A181="","",G181*H181)</f>
        <v/>
      </c>
      <c r="J181" s="16" t="str">
        <f aca="false">IF(A181="","",IF(Products!G181="",Settings!$B$8,Products!G181))</f>
        <v/>
      </c>
      <c r="K181" s="16" t="str">
        <f aca="false">IF(A181="","",IF(G181&lt;=0,"OUT",IF(G181&lt;=J181,"LOW","OK")))</f>
        <v/>
      </c>
      <c r="L181" s="16" t="str">
        <f aca="false">IF(A181="","",F181+ROW()/1000000)</f>
        <v/>
      </c>
      <c r="M181" s="16" t="str">
        <f aca="false">IF(OR(K181="LOW",K181="OUT"),COUNTIF($K$2:K181,"LOW")+COUNTIF($K$2:K181,"OUT"),"")</f>
        <v/>
      </c>
    </row>
    <row r="182" customFormat="false" ht="15" hidden="false" customHeight="true" outlineLevel="0" collapsed="false">
      <c r="A182" s="16" t="str">
        <f aca="false">IF(Products!A182="","",Products!A182)</f>
        <v/>
      </c>
      <c r="B182" s="16" t="str">
        <f aca="false">IF($A182="","",INDEX(Products!$B$2:$B$501,ROW()-1))</f>
        <v/>
      </c>
      <c r="C182" s="16" t="str">
        <f aca="false">IF($A182="","",INDEX(Products!$C$2:$C$501,ROW()-1))</f>
        <v/>
      </c>
      <c r="D182" s="16" t="str">
        <f aca="false">IF(A182="","",N(Products!I182))</f>
        <v/>
      </c>
      <c r="E182" s="16" t="str">
        <f aca="false">IF(A182="","",SUMIFS(Purchases!$D$2:$D$2001,Purchases!$B$2:$B$2001,A182))</f>
        <v/>
      </c>
      <c r="F182" s="16" t="str">
        <f aca="false">IF(A182="","",SUMIFS(Sales_Items!$E$2:$E$3001,Sales_Items!$C$2:$C$3001,A182))</f>
        <v/>
      </c>
      <c r="G182" s="16" t="str">
        <f aca="false">IF(A182="","",D182+E182-F182)</f>
        <v/>
      </c>
      <c r="H182" s="17" t="str">
        <f aca="false">IF(A182="","",N(Products!E182))</f>
        <v/>
      </c>
      <c r="I182" s="17" t="str">
        <f aca="false">IF(A182="","",G182*H182)</f>
        <v/>
      </c>
      <c r="J182" s="16" t="str">
        <f aca="false">IF(A182="","",IF(Products!G182="",Settings!$B$8,Products!G182))</f>
        <v/>
      </c>
      <c r="K182" s="16" t="str">
        <f aca="false">IF(A182="","",IF(G182&lt;=0,"OUT",IF(G182&lt;=J182,"LOW","OK")))</f>
        <v/>
      </c>
      <c r="L182" s="16" t="str">
        <f aca="false">IF(A182="","",F182+ROW()/1000000)</f>
        <v/>
      </c>
      <c r="M182" s="16" t="str">
        <f aca="false">IF(OR(K182="LOW",K182="OUT"),COUNTIF($K$2:K182,"LOW")+COUNTIF($K$2:K182,"OUT"),"")</f>
        <v/>
      </c>
    </row>
    <row r="183" customFormat="false" ht="15" hidden="false" customHeight="true" outlineLevel="0" collapsed="false">
      <c r="A183" s="16" t="str">
        <f aca="false">IF(Products!A183="","",Products!A183)</f>
        <v/>
      </c>
      <c r="B183" s="16" t="str">
        <f aca="false">IF($A183="","",INDEX(Products!$B$2:$B$501,ROW()-1))</f>
        <v/>
      </c>
      <c r="C183" s="16" t="str">
        <f aca="false">IF($A183="","",INDEX(Products!$C$2:$C$501,ROW()-1))</f>
        <v/>
      </c>
      <c r="D183" s="16" t="str">
        <f aca="false">IF(A183="","",N(Products!I183))</f>
        <v/>
      </c>
      <c r="E183" s="16" t="str">
        <f aca="false">IF(A183="","",SUMIFS(Purchases!$D$2:$D$2001,Purchases!$B$2:$B$2001,A183))</f>
        <v/>
      </c>
      <c r="F183" s="16" t="str">
        <f aca="false">IF(A183="","",SUMIFS(Sales_Items!$E$2:$E$3001,Sales_Items!$C$2:$C$3001,A183))</f>
        <v/>
      </c>
      <c r="G183" s="16" t="str">
        <f aca="false">IF(A183="","",D183+E183-F183)</f>
        <v/>
      </c>
      <c r="H183" s="17" t="str">
        <f aca="false">IF(A183="","",N(Products!E183))</f>
        <v/>
      </c>
      <c r="I183" s="17" t="str">
        <f aca="false">IF(A183="","",G183*H183)</f>
        <v/>
      </c>
      <c r="J183" s="16" t="str">
        <f aca="false">IF(A183="","",IF(Products!G183="",Settings!$B$8,Products!G183))</f>
        <v/>
      </c>
      <c r="K183" s="16" t="str">
        <f aca="false">IF(A183="","",IF(G183&lt;=0,"OUT",IF(G183&lt;=J183,"LOW","OK")))</f>
        <v/>
      </c>
      <c r="L183" s="16" t="str">
        <f aca="false">IF(A183="","",F183+ROW()/1000000)</f>
        <v/>
      </c>
      <c r="M183" s="16" t="str">
        <f aca="false">IF(OR(K183="LOW",K183="OUT"),COUNTIF($K$2:K183,"LOW")+COUNTIF($K$2:K183,"OUT"),"")</f>
        <v/>
      </c>
    </row>
    <row r="184" customFormat="false" ht="15" hidden="false" customHeight="true" outlineLevel="0" collapsed="false">
      <c r="A184" s="16" t="str">
        <f aca="false">IF(Products!A184="","",Products!A184)</f>
        <v/>
      </c>
      <c r="B184" s="16" t="str">
        <f aca="false">IF($A184="","",INDEX(Products!$B$2:$B$501,ROW()-1))</f>
        <v/>
      </c>
      <c r="C184" s="16" t="str">
        <f aca="false">IF($A184="","",INDEX(Products!$C$2:$C$501,ROW()-1))</f>
        <v/>
      </c>
      <c r="D184" s="16" t="str">
        <f aca="false">IF(A184="","",N(Products!I184))</f>
        <v/>
      </c>
      <c r="E184" s="16" t="str">
        <f aca="false">IF(A184="","",SUMIFS(Purchases!$D$2:$D$2001,Purchases!$B$2:$B$2001,A184))</f>
        <v/>
      </c>
      <c r="F184" s="16" t="str">
        <f aca="false">IF(A184="","",SUMIFS(Sales_Items!$E$2:$E$3001,Sales_Items!$C$2:$C$3001,A184))</f>
        <v/>
      </c>
      <c r="G184" s="16" t="str">
        <f aca="false">IF(A184="","",D184+E184-F184)</f>
        <v/>
      </c>
      <c r="H184" s="17" t="str">
        <f aca="false">IF(A184="","",N(Products!E184))</f>
        <v/>
      </c>
      <c r="I184" s="17" t="str">
        <f aca="false">IF(A184="","",G184*H184)</f>
        <v/>
      </c>
      <c r="J184" s="16" t="str">
        <f aca="false">IF(A184="","",IF(Products!G184="",Settings!$B$8,Products!G184))</f>
        <v/>
      </c>
      <c r="K184" s="16" t="str">
        <f aca="false">IF(A184="","",IF(G184&lt;=0,"OUT",IF(G184&lt;=J184,"LOW","OK")))</f>
        <v/>
      </c>
      <c r="L184" s="16" t="str">
        <f aca="false">IF(A184="","",F184+ROW()/1000000)</f>
        <v/>
      </c>
      <c r="M184" s="16" t="str">
        <f aca="false">IF(OR(K184="LOW",K184="OUT"),COUNTIF($K$2:K184,"LOW")+COUNTIF($K$2:K184,"OUT"),"")</f>
        <v/>
      </c>
    </row>
    <row r="185" customFormat="false" ht="15" hidden="false" customHeight="true" outlineLevel="0" collapsed="false">
      <c r="A185" s="16" t="str">
        <f aca="false">IF(Products!A185="","",Products!A185)</f>
        <v/>
      </c>
      <c r="B185" s="16" t="str">
        <f aca="false">IF($A185="","",INDEX(Products!$B$2:$B$501,ROW()-1))</f>
        <v/>
      </c>
      <c r="C185" s="16" t="str">
        <f aca="false">IF($A185="","",INDEX(Products!$C$2:$C$501,ROW()-1))</f>
        <v/>
      </c>
      <c r="D185" s="16" t="str">
        <f aca="false">IF(A185="","",N(Products!I185))</f>
        <v/>
      </c>
      <c r="E185" s="16" t="str">
        <f aca="false">IF(A185="","",SUMIFS(Purchases!$D$2:$D$2001,Purchases!$B$2:$B$2001,A185))</f>
        <v/>
      </c>
      <c r="F185" s="16" t="str">
        <f aca="false">IF(A185="","",SUMIFS(Sales_Items!$E$2:$E$3001,Sales_Items!$C$2:$C$3001,A185))</f>
        <v/>
      </c>
      <c r="G185" s="16" t="str">
        <f aca="false">IF(A185="","",D185+E185-F185)</f>
        <v/>
      </c>
      <c r="H185" s="17" t="str">
        <f aca="false">IF(A185="","",N(Products!E185))</f>
        <v/>
      </c>
      <c r="I185" s="17" t="str">
        <f aca="false">IF(A185="","",G185*H185)</f>
        <v/>
      </c>
      <c r="J185" s="16" t="str">
        <f aca="false">IF(A185="","",IF(Products!G185="",Settings!$B$8,Products!G185))</f>
        <v/>
      </c>
      <c r="K185" s="16" t="str">
        <f aca="false">IF(A185="","",IF(G185&lt;=0,"OUT",IF(G185&lt;=J185,"LOW","OK")))</f>
        <v/>
      </c>
      <c r="L185" s="16" t="str">
        <f aca="false">IF(A185="","",F185+ROW()/1000000)</f>
        <v/>
      </c>
      <c r="M185" s="16" t="str">
        <f aca="false">IF(OR(K185="LOW",K185="OUT"),COUNTIF($K$2:K185,"LOW")+COUNTIF($K$2:K185,"OUT"),"")</f>
        <v/>
      </c>
    </row>
    <row r="186" customFormat="false" ht="15" hidden="false" customHeight="true" outlineLevel="0" collapsed="false">
      <c r="A186" s="16" t="str">
        <f aca="false">IF(Products!A186="","",Products!A186)</f>
        <v/>
      </c>
      <c r="B186" s="16" t="str">
        <f aca="false">IF($A186="","",INDEX(Products!$B$2:$B$501,ROW()-1))</f>
        <v/>
      </c>
      <c r="C186" s="16" t="str">
        <f aca="false">IF($A186="","",INDEX(Products!$C$2:$C$501,ROW()-1))</f>
        <v/>
      </c>
      <c r="D186" s="16" t="str">
        <f aca="false">IF(A186="","",N(Products!I186))</f>
        <v/>
      </c>
      <c r="E186" s="16" t="str">
        <f aca="false">IF(A186="","",SUMIFS(Purchases!$D$2:$D$2001,Purchases!$B$2:$B$2001,A186))</f>
        <v/>
      </c>
      <c r="F186" s="16" t="str">
        <f aca="false">IF(A186="","",SUMIFS(Sales_Items!$E$2:$E$3001,Sales_Items!$C$2:$C$3001,A186))</f>
        <v/>
      </c>
      <c r="G186" s="16" t="str">
        <f aca="false">IF(A186="","",D186+E186-F186)</f>
        <v/>
      </c>
      <c r="H186" s="17" t="str">
        <f aca="false">IF(A186="","",N(Products!E186))</f>
        <v/>
      </c>
      <c r="I186" s="17" t="str">
        <f aca="false">IF(A186="","",G186*H186)</f>
        <v/>
      </c>
      <c r="J186" s="16" t="str">
        <f aca="false">IF(A186="","",IF(Products!G186="",Settings!$B$8,Products!G186))</f>
        <v/>
      </c>
      <c r="K186" s="16" t="str">
        <f aca="false">IF(A186="","",IF(G186&lt;=0,"OUT",IF(G186&lt;=J186,"LOW","OK")))</f>
        <v/>
      </c>
      <c r="L186" s="16" t="str">
        <f aca="false">IF(A186="","",F186+ROW()/1000000)</f>
        <v/>
      </c>
      <c r="M186" s="16" t="str">
        <f aca="false">IF(OR(K186="LOW",K186="OUT"),COUNTIF($K$2:K186,"LOW")+COUNTIF($K$2:K186,"OUT"),"")</f>
        <v/>
      </c>
    </row>
    <row r="187" customFormat="false" ht="15" hidden="false" customHeight="true" outlineLevel="0" collapsed="false">
      <c r="A187" s="16" t="str">
        <f aca="false">IF(Products!A187="","",Products!A187)</f>
        <v/>
      </c>
      <c r="B187" s="16" t="str">
        <f aca="false">IF($A187="","",INDEX(Products!$B$2:$B$501,ROW()-1))</f>
        <v/>
      </c>
      <c r="C187" s="16" t="str">
        <f aca="false">IF($A187="","",INDEX(Products!$C$2:$C$501,ROW()-1))</f>
        <v/>
      </c>
      <c r="D187" s="16" t="str">
        <f aca="false">IF(A187="","",N(Products!I187))</f>
        <v/>
      </c>
      <c r="E187" s="16" t="str">
        <f aca="false">IF(A187="","",SUMIFS(Purchases!$D$2:$D$2001,Purchases!$B$2:$B$2001,A187))</f>
        <v/>
      </c>
      <c r="F187" s="16" t="str">
        <f aca="false">IF(A187="","",SUMIFS(Sales_Items!$E$2:$E$3001,Sales_Items!$C$2:$C$3001,A187))</f>
        <v/>
      </c>
      <c r="G187" s="16" t="str">
        <f aca="false">IF(A187="","",D187+E187-F187)</f>
        <v/>
      </c>
      <c r="H187" s="17" t="str">
        <f aca="false">IF(A187="","",N(Products!E187))</f>
        <v/>
      </c>
      <c r="I187" s="17" t="str">
        <f aca="false">IF(A187="","",G187*H187)</f>
        <v/>
      </c>
      <c r="J187" s="16" t="str">
        <f aca="false">IF(A187="","",IF(Products!G187="",Settings!$B$8,Products!G187))</f>
        <v/>
      </c>
      <c r="K187" s="16" t="str">
        <f aca="false">IF(A187="","",IF(G187&lt;=0,"OUT",IF(G187&lt;=J187,"LOW","OK")))</f>
        <v/>
      </c>
      <c r="L187" s="16" t="str">
        <f aca="false">IF(A187="","",F187+ROW()/1000000)</f>
        <v/>
      </c>
      <c r="M187" s="16" t="str">
        <f aca="false">IF(OR(K187="LOW",K187="OUT"),COUNTIF($K$2:K187,"LOW")+COUNTIF($K$2:K187,"OUT"),"")</f>
        <v/>
      </c>
    </row>
    <row r="188" customFormat="false" ht="15" hidden="false" customHeight="true" outlineLevel="0" collapsed="false">
      <c r="A188" s="16" t="str">
        <f aca="false">IF(Products!A188="","",Products!A188)</f>
        <v/>
      </c>
      <c r="B188" s="16" t="str">
        <f aca="false">IF($A188="","",INDEX(Products!$B$2:$B$501,ROW()-1))</f>
        <v/>
      </c>
      <c r="C188" s="16" t="str">
        <f aca="false">IF($A188="","",INDEX(Products!$C$2:$C$501,ROW()-1))</f>
        <v/>
      </c>
      <c r="D188" s="16" t="str">
        <f aca="false">IF(A188="","",N(Products!I188))</f>
        <v/>
      </c>
      <c r="E188" s="16" t="str">
        <f aca="false">IF(A188="","",SUMIFS(Purchases!$D$2:$D$2001,Purchases!$B$2:$B$2001,A188))</f>
        <v/>
      </c>
      <c r="F188" s="16" t="str">
        <f aca="false">IF(A188="","",SUMIFS(Sales_Items!$E$2:$E$3001,Sales_Items!$C$2:$C$3001,A188))</f>
        <v/>
      </c>
      <c r="G188" s="16" t="str">
        <f aca="false">IF(A188="","",D188+E188-F188)</f>
        <v/>
      </c>
      <c r="H188" s="17" t="str">
        <f aca="false">IF(A188="","",N(Products!E188))</f>
        <v/>
      </c>
      <c r="I188" s="17" t="str">
        <f aca="false">IF(A188="","",G188*H188)</f>
        <v/>
      </c>
      <c r="J188" s="16" t="str">
        <f aca="false">IF(A188="","",IF(Products!G188="",Settings!$B$8,Products!G188))</f>
        <v/>
      </c>
      <c r="K188" s="16" t="str">
        <f aca="false">IF(A188="","",IF(G188&lt;=0,"OUT",IF(G188&lt;=J188,"LOW","OK")))</f>
        <v/>
      </c>
      <c r="L188" s="16" t="str">
        <f aca="false">IF(A188="","",F188+ROW()/1000000)</f>
        <v/>
      </c>
      <c r="M188" s="16" t="str">
        <f aca="false">IF(OR(K188="LOW",K188="OUT"),COUNTIF($K$2:K188,"LOW")+COUNTIF($K$2:K188,"OUT"),"")</f>
        <v/>
      </c>
    </row>
    <row r="189" customFormat="false" ht="15" hidden="false" customHeight="true" outlineLevel="0" collapsed="false">
      <c r="A189" s="16" t="str">
        <f aca="false">IF(Products!A189="","",Products!A189)</f>
        <v/>
      </c>
      <c r="B189" s="16" t="str">
        <f aca="false">IF($A189="","",INDEX(Products!$B$2:$B$501,ROW()-1))</f>
        <v/>
      </c>
      <c r="C189" s="16" t="str">
        <f aca="false">IF($A189="","",INDEX(Products!$C$2:$C$501,ROW()-1))</f>
        <v/>
      </c>
      <c r="D189" s="16" t="str">
        <f aca="false">IF(A189="","",N(Products!I189))</f>
        <v/>
      </c>
      <c r="E189" s="16" t="str">
        <f aca="false">IF(A189="","",SUMIFS(Purchases!$D$2:$D$2001,Purchases!$B$2:$B$2001,A189))</f>
        <v/>
      </c>
      <c r="F189" s="16" t="str">
        <f aca="false">IF(A189="","",SUMIFS(Sales_Items!$E$2:$E$3001,Sales_Items!$C$2:$C$3001,A189))</f>
        <v/>
      </c>
      <c r="G189" s="16" t="str">
        <f aca="false">IF(A189="","",D189+E189-F189)</f>
        <v/>
      </c>
      <c r="H189" s="17" t="str">
        <f aca="false">IF(A189="","",N(Products!E189))</f>
        <v/>
      </c>
      <c r="I189" s="17" t="str">
        <f aca="false">IF(A189="","",G189*H189)</f>
        <v/>
      </c>
      <c r="J189" s="16" t="str">
        <f aca="false">IF(A189="","",IF(Products!G189="",Settings!$B$8,Products!G189))</f>
        <v/>
      </c>
      <c r="K189" s="16" t="str">
        <f aca="false">IF(A189="","",IF(G189&lt;=0,"OUT",IF(G189&lt;=J189,"LOW","OK")))</f>
        <v/>
      </c>
      <c r="L189" s="16" t="str">
        <f aca="false">IF(A189="","",F189+ROW()/1000000)</f>
        <v/>
      </c>
      <c r="M189" s="16" t="str">
        <f aca="false">IF(OR(K189="LOW",K189="OUT"),COUNTIF($K$2:K189,"LOW")+COUNTIF($K$2:K189,"OUT"),"")</f>
        <v/>
      </c>
    </row>
    <row r="190" customFormat="false" ht="15" hidden="false" customHeight="true" outlineLevel="0" collapsed="false">
      <c r="A190" s="16" t="str">
        <f aca="false">IF(Products!A190="","",Products!A190)</f>
        <v/>
      </c>
      <c r="B190" s="16" t="str">
        <f aca="false">IF($A190="","",INDEX(Products!$B$2:$B$501,ROW()-1))</f>
        <v/>
      </c>
      <c r="C190" s="16" t="str">
        <f aca="false">IF($A190="","",INDEX(Products!$C$2:$C$501,ROW()-1))</f>
        <v/>
      </c>
      <c r="D190" s="16" t="str">
        <f aca="false">IF(A190="","",N(Products!I190))</f>
        <v/>
      </c>
      <c r="E190" s="16" t="str">
        <f aca="false">IF(A190="","",SUMIFS(Purchases!$D$2:$D$2001,Purchases!$B$2:$B$2001,A190))</f>
        <v/>
      </c>
      <c r="F190" s="16" t="str">
        <f aca="false">IF(A190="","",SUMIFS(Sales_Items!$E$2:$E$3001,Sales_Items!$C$2:$C$3001,A190))</f>
        <v/>
      </c>
      <c r="G190" s="16" t="str">
        <f aca="false">IF(A190="","",D190+E190-F190)</f>
        <v/>
      </c>
      <c r="H190" s="17" t="str">
        <f aca="false">IF(A190="","",N(Products!E190))</f>
        <v/>
      </c>
      <c r="I190" s="17" t="str">
        <f aca="false">IF(A190="","",G190*H190)</f>
        <v/>
      </c>
      <c r="J190" s="16" t="str">
        <f aca="false">IF(A190="","",IF(Products!G190="",Settings!$B$8,Products!G190))</f>
        <v/>
      </c>
      <c r="K190" s="16" t="str">
        <f aca="false">IF(A190="","",IF(G190&lt;=0,"OUT",IF(G190&lt;=J190,"LOW","OK")))</f>
        <v/>
      </c>
      <c r="L190" s="16" t="str">
        <f aca="false">IF(A190="","",F190+ROW()/1000000)</f>
        <v/>
      </c>
      <c r="M190" s="16" t="str">
        <f aca="false">IF(OR(K190="LOW",K190="OUT"),COUNTIF($K$2:K190,"LOW")+COUNTIF($K$2:K190,"OUT"),"")</f>
        <v/>
      </c>
    </row>
    <row r="191" customFormat="false" ht="15" hidden="false" customHeight="true" outlineLevel="0" collapsed="false">
      <c r="A191" s="16" t="str">
        <f aca="false">IF(Products!A191="","",Products!A191)</f>
        <v/>
      </c>
      <c r="B191" s="16" t="str">
        <f aca="false">IF($A191="","",INDEX(Products!$B$2:$B$501,ROW()-1))</f>
        <v/>
      </c>
      <c r="C191" s="16" t="str">
        <f aca="false">IF($A191="","",INDEX(Products!$C$2:$C$501,ROW()-1))</f>
        <v/>
      </c>
      <c r="D191" s="16" t="str">
        <f aca="false">IF(A191="","",N(Products!I191))</f>
        <v/>
      </c>
      <c r="E191" s="16" t="str">
        <f aca="false">IF(A191="","",SUMIFS(Purchases!$D$2:$D$2001,Purchases!$B$2:$B$2001,A191))</f>
        <v/>
      </c>
      <c r="F191" s="16" t="str">
        <f aca="false">IF(A191="","",SUMIFS(Sales_Items!$E$2:$E$3001,Sales_Items!$C$2:$C$3001,A191))</f>
        <v/>
      </c>
      <c r="G191" s="16" t="str">
        <f aca="false">IF(A191="","",D191+E191-F191)</f>
        <v/>
      </c>
      <c r="H191" s="17" t="str">
        <f aca="false">IF(A191="","",N(Products!E191))</f>
        <v/>
      </c>
      <c r="I191" s="17" t="str">
        <f aca="false">IF(A191="","",G191*H191)</f>
        <v/>
      </c>
      <c r="J191" s="16" t="str">
        <f aca="false">IF(A191="","",IF(Products!G191="",Settings!$B$8,Products!G191))</f>
        <v/>
      </c>
      <c r="K191" s="16" t="str">
        <f aca="false">IF(A191="","",IF(G191&lt;=0,"OUT",IF(G191&lt;=J191,"LOW","OK")))</f>
        <v/>
      </c>
      <c r="L191" s="16" t="str">
        <f aca="false">IF(A191="","",F191+ROW()/1000000)</f>
        <v/>
      </c>
      <c r="M191" s="16" t="str">
        <f aca="false">IF(OR(K191="LOW",K191="OUT"),COUNTIF($K$2:K191,"LOW")+COUNTIF($K$2:K191,"OUT"),"")</f>
        <v/>
      </c>
    </row>
    <row r="192" customFormat="false" ht="15" hidden="false" customHeight="true" outlineLevel="0" collapsed="false">
      <c r="A192" s="16" t="str">
        <f aca="false">IF(Products!A192="","",Products!A192)</f>
        <v/>
      </c>
      <c r="B192" s="16" t="str">
        <f aca="false">IF($A192="","",INDEX(Products!$B$2:$B$501,ROW()-1))</f>
        <v/>
      </c>
      <c r="C192" s="16" t="str">
        <f aca="false">IF($A192="","",INDEX(Products!$C$2:$C$501,ROW()-1))</f>
        <v/>
      </c>
      <c r="D192" s="16" t="str">
        <f aca="false">IF(A192="","",N(Products!I192))</f>
        <v/>
      </c>
      <c r="E192" s="16" t="str">
        <f aca="false">IF(A192="","",SUMIFS(Purchases!$D$2:$D$2001,Purchases!$B$2:$B$2001,A192))</f>
        <v/>
      </c>
      <c r="F192" s="16" t="str">
        <f aca="false">IF(A192="","",SUMIFS(Sales_Items!$E$2:$E$3001,Sales_Items!$C$2:$C$3001,A192))</f>
        <v/>
      </c>
      <c r="G192" s="16" t="str">
        <f aca="false">IF(A192="","",D192+E192-F192)</f>
        <v/>
      </c>
      <c r="H192" s="17" t="str">
        <f aca="false">IF(A192="","",N(Products!E192))</f>
        <v/>
      </c>
      <c r="I192" s="17" t="str">
        <f aca="false">IF(A192="","",G192*H192)</f>
        <v/>
      </c>
      <c r="J192" s="16" t="str">
        <f aca="false">IF(A192="","",IF(Products!G192="",Settings!$B$8,Products!G192))</f>
        <v/>
      </c>
      <c r="K192" s="16" t="str">
        <f aca="false">IF(A192="","",IF(G192&lt;=0,"OUT",IF(G192&lt;=J192,"LOW","OK")))</f>
        <v/>
      </c>
      <c r="L192" s="16" t="str">
        <f aca="false">IF(A192="","",F192+ROW()/1000000)</f>
        <v/>
      </c>
      <c r="M192" s="16" t="str">
        <f aca="false">IF(OR(K192="LOW",K192="OUT"),COUNTIF($K$2:K192,"LOW")+COUNTIF($K$2:K192,"OUT"),"")</f>
        <v/>
      </c>
    </row>
    <row r="193" customFormat="false" ht="15" hidden="false" customHeight="true" outlineLevel="0" collapsed="false">
      <c r="A193" s="16" t="str">
        <f aca="false">IF(Products!A193="","",Products!A193)</f>
        <v/>
      </c>
      <c r="B193" s="16" t="str">
        <f aca="false">IF($A193="","",INDEX(Products!$B$2:$B$501,ROW()-1))</f>
        <v/>
      </c>
      <c r="C193" s="16" t="str">
        <f aca="false">IF($A193="","",INDEX(Products!$C$2:$C$501,ROW()-1))</f>
        <v/>
      </c>
      <c r="D193" s="16" t="str">
        <f aca="false">IF(A193="","",N(Products!I193))</f>
        <v/>
      </c>
      <c r="E193" s="16" t="str">
        <f aca="false">IF(A193="","",SUMIFS(Purchases!$D$2:$D$2001,Purchases!$B$2:$B$2001,A193))</f>
        <v/>
      </c>
      <c r="F193" s="16" t="str">
        <f aca="false">IF(A193="","",SUMIFS(Sales_Items!$E$2:$E$3001,Sales_Items!$C$2:$C$3001,A193))</f>
        <v/>
      </c>
      <c r="G193" s="16" t="str">
        <f aca="false">IF(A193="","",D193+E193-F193)</f>
        <v/>
      </c>
      <c r="H193" s="17" t="str">
        <f aca="false">IF(A193="","",N(Products!E193))</f>
        <v/>
      </c>
      <c r="I193" s="17" t="str">
        <f aca="false">IF(A193="","",G193*H193)</f>
        <v/>
      </c>
      <c r="J193" s="16" t="str">
        <f aca="false">IF(A193="","",IF(Products!G193="",Settings!$B$8,Products!G193))</f>
        <v/>
      </c>
      <c r="K193" s="16" t="str">
        <f aca="false">IF(A193="","",IF(G193&lt;=0,"OUT",IF(G193&lt;=J193,"LOW","OK")))</f>
        <v/>
      </c>
      <c r="L193" s="16" t="str">
        <f aca="false">IF(A193="","",F193+ROW()/1000000)</f>
        <v/>
      </c>
      <c r="M193" s="16" t="str">
        <f aca="false">IF(OR(K193="LOW",K193="OUT"),COUNTIF($K$2:K193,"LOW")+COUNTIF($K$2:K193,"OUT"),"")</f>
        <v/>
      </c>
    </row>
    <row r="194" customFormat="false" ht="15" hidden="false" customHeight="true" outlineLevel="0" collapsed="false">
      <c r="A194" s="16" t="str">
        <f aca="false">IF(Products!A194="","",Products!A194)</f>
        <v/>
      </c>
      <c r="B194" s="16" t="str">
        <f aca="false">IF($A194="","",INDEX(Products!$B$2:$B$501,ROW()-1))</f>
        <v/>
      </c>
      <c r="C194" s="16" t="str">
        <f aca="false">IF($A194="","",INDEX(Products!$C$2:$C$501,ROW()-1))</f>
        <v/>
      </c>
      <c r="D194" s="16" t="str">
        <f aca="false">IF(A194="","",N(Products!I194))</f>
        <v/>
      </c>
      <c r="E194" s="16" t="str">
        <f aca="false">IF(A194="","",SUMIFS(Purchases!$D$2:$D$2001,Purchases!$B$2:$B$2001,A194))</f>
        <v/>
      </c>
      <c r="F194" s="16" t="str">
        <f aca="false">IF(A194="","",SUMIFS(Sales_Items!$E$2:$E$3001,Sales_Items!$C$2:$C$3001,A194))</f>
        <v/>
      </c>
      <c r="G194" s="16" t="str">
        <f aca="false">IF(A194="","",D194+E194-F194)</f>
        <v/>
      </c>
      <c r="H194" s="17" t="str">
        <f aca="false">IF(A194="","",N(Products!E194))</f>
        <v/>
      </c>
      <c r="I194" s="17" t="str">
        <f aca="false">IF(A194="","",G194*H194)</f>
        <v/>
      </c>
      <c r="J194" s="16" t="str">
        <f aca="false">IF(A194="","",IF(Products!G194="",Settings!$B$8,Products!G194))</f>
        <v/>
      </c>
      <c r="K194" s="16" t="str">
        <f aca="false">IF(A194="","",IF(G194&lt;=0,"OUT",IF(G194&lt;=J194,"LOW","OK")))</f>
        <v/>
      </c>
      <c r="L194" s="16" t="str">
        <f aca="false">IF(A194="","",F194+ROW()/1000000)</f>
        <v/>
      </c>
      <c r="M194" s="16" t="str">
        <f aca="false">IF(OR(K194="LOW",K194="OUT"),COUNTIF($K$2:K194,"LOW")+COUNTIF($K$2:K194,"OUT"),"")</f>
        <v/>
      </c>
    </row>
    <row r="195" customFormat="false" ht="15" hidden="false" customHeight="true" outlineLevel="0" collapsed="false">
      <c r="A195" s="16" t="str">
        <f aca="false">IF(Products!A195="","",Products!A195)</f>
        <v/>
      </c>
      <c r="B195" s="16" t="str">
        <f aca="false">IF($A195="","",INDEX(Products!$B$2:$B$501,ROW()-1))</f>
        <v/>
      </c>
      <c r="C195" s="16" t="str">
        <f aca="false">IF($A195="","",INDEX(Products!$C$2:$C$501,ROW()-1))</f>
        <v/>
      </c>
      <c r="D195" s="16" t="str">
        <f aca="false">IF(A195="","",N(Products!I195))</f>
        <v/>
      </c>
      <c r="E195" s="16" t="str">
        <f aca="false">IF(A195="","",SUMIFS(Purchases!$D$2:$D$2001,Purchases!$B$2:$B$2001,A195))</f>
        <v/>
      </c>
      <c r="F195" s="16" t="str">
        <f aca="false">IF(A195="","",SUMIFS(Sales_Items!$E$2:$E$3001,Sales_Items!$C$2:$C$3001,A195))</f>
        <v/>
      </c>
      <c r="G195" s="16" t="str">
        <f aca="false">IF(A195="","",D195+E195-F195)</f>
        <v/>
      </c>
      <c r="H195" s="17" t="str">
        <f aca="false">IF(A195="","",N(Products!E195))</f>
        <v/>
      </c>
      <c r="I195" s="17" t="str">
        <f aca="false">IF(A195="","",G195*H195)</f>
        <v/>
      </c>
      <c r="J195" s="16" t="str">
        <f aca="false">IF(A195="","",IF(Products!G195="",Settings!$B$8,Products!G195))</f>
        <v/>
      </c>
      <c r="K195" s="16" t="str">
        <f aca="false">IF(A195="","",IF(G195&lt;=0,"OUT",IF(G195&lt;=J195,"LOW","OK")))</f>
        <v/>
      </c>
      <c r="L195" s="16" t="str">
        <f aca="false">IF(A195="","",F195+ROW()/1000000)</f>
        <v/>
      </c>
      <c r="M195" s="16" t="str">
        <f aca="false">IF(OR(K195="LOW",K195="OUT"),COUNTIF($K$2:K195,"LOW")+COUNTIF($K$2:K195,"OUT"),"")</f>
        <v/>
      </c>
    </row>
    <row r="196" customFormat="false" ht="15" hidden="false" customHeight="true" outlineLevel="0" collapsed="false">
      <c r="A196" s="16" t="str">
        <f aca="false">IF(Products!A196="","",Products!A196)</f>
        <v/>
      </c>
      <c r="B196" s="16" t="str">
        <f aca="false">IF($A196="","",INDEX(Products!$B$2:$B$501,ROW()-1))</f>
        <v/>
      </c>
      <c r="C196" s="16" t="str">
        <f aca="false">IF($A196="","",INDEX(Products!$C$2:$C$501,ROW()-1))</f>
        <v/>
      </c>
      <c r="D196" s="16" t="str">
        <f aca="false">IF(A196="","",N(Products!I196))</f>
        <v/>
      </c>
      <c r="E196" s="16" t="str">
        <f aca="false">IF(A196="","",SUMIFS(Purchases!$D$2:$D$2001,Purchases!$B$2:$B$2001,A196))</f>
        <v/>
      </c>
      <c r="F196" s="16" t="str">
        <f aca="false">IF(A196="","",SUMIFS(Sales_Items!$E$2:$E$3001,Sales_Items!$C$2:$C$3001,A196))</f>
        <v/>
      </c>
      <c r="G196" s="16" t="str">
        <f aca="false">IF(A196="","",D196+E196-F196)</f>
        <v/>
      </c>
      <c r="H196" s="17" t="str">
        <f aca="false">IF(A196="","",N(Products!E196))</f>
        <v/>
      </c>
      <c r="I196" s="17" t="str">
        <f aca="false">IF(A196="","",G196*H196)</f>
        <v/>
      </c>
      <c r="J196" s="16" t="str">
        <f aca="false">IF(A196="","",IF(Products!G196="",Settings!$B$8,Products!G196))</f>
        <v/>
      </c>
      <c r="K196" s="16" t="str">
        <f aca="false">IF(A196="","",IF(G196&lt;=0,"OUT",IF(G196&lt;=J196,"LOW","OK")))</f>
        <v/>
      </c>
      <c r="L196" s="16" t="str">
        <f aca="false">IF(A196="","",F196+ROW()/1000000)</f>
        <v/>
      </c>
      <c r="M196" s="16" t="str">
        <f aca="false">IF(OR(K196="LOW",K196="OUT"),COUNTIF($K$2:K196,"LOW")+COUNTIF($K$2:K196,"OUT"),"")</f>
        <v/>
      </c>
    </row>
    <row r="197" customFormat="false" ht="15" hidden="false" customHeight="true" outlineLevel="0" collapsed="false">
      <c r="A197" s="16" t="str">
        <f aca="false">IF(Products!A197="","",Products!A197)</f>
        <v/>
      </c>
      <c r="B197" s="16" t="str">
        <f aca="false">IF($A197="","",INDEX(Products!$B$2:$B$501,ROW()-1))</f>
        <v/>
      </c>
      <c r="C197" s="16" t="str">
        <f aca="false">IF($A197="","",INDEX(Products!$C$2:$C$501,ROW()-1))</f>
        <v/>
      </c>
      <c r="D197" s="16" t="str">
        <f aca="false">IF(A197="","",N(Products!I197))</f>
        <v/>
      </c>
      <c r="E197" s="16" t="str">
        <f aca="false">IF(A197="","",SUMIFS(Purchases!$D$2:$D$2001,Purchases!$B$2:$B$2001,A197))</f>
        <v/>
      </c>
      <c r="F197" s="16" t="str">
        <f aca="false">IF(A197="","",SUMIFS(Sales_Items!$E$2:$E$3001,Sales_Items!$C$2:$C$3001,A197))</f>
        <v/>
      </c>
      <c r="G197" s="16" t="str">
        <f aca="false">IF(A197="","",D197+E197-F197)</f>
        <v/>
      </c>
      <c r="H197" s="17" t="str">
        <f aca="false">IF(A197="","",N(Products!E197))</f>
        <v/>
      </c>
      <c r="I197" s="17" t="str">
        <f aca="false">IF(A197="","",G197*H197)</f>
        <v/>
      </c>
      <c r="J197" s="16" t="str">
        <f aca="false">IF(A197="","",IF(Products!G197="",Settings!$B$8,Products!G197))</f>
        <v/>
      </c>
      <c r="K197" s="16" t="str">
        <f aca="false">IF(A197="","",IF(G197&lt;=0,"OUT",IF(G197&lt;=J197,"LOW","OK")))</f>
        <v/>
      </c>
      <c r="L197" s="16" t="str">
        <f aca="false">IF(A197="","",F197+ROW()/1000000)</f>
        <v/>
      </c>
      <c r="M197" s="16" t="str">
        <f aca="false">IF(OR(K197="LOW",K197="OUT"),COUNTIF($K$2:K197,"LOW")+COUNTIF($K$2:K197,"OUT"),"")</f>
        <v/>
      </c>
    </row>
    <row r="198" customFormat="false" ht="15" hidden="false" customHeight="true" outlineLevel="0" collapsed="false">
      <c r="A198" s="16" t="str">
        <f aca="false">IF(Products!A198="","",Products!A198)</f>
        <v/>
      </c>
      <c r="B198" s="16" t="str">
        <f aca="false">IF($A198="","",INDEX(Products!$B$2:$B$501,ROW()-1))</f>
        <v/>
      </c>
      <c r="C198" s="16" t="str">
        <f aca="false">IF($A198="","",INDEX(Products!$C$2:$C$501,ROW()-1))</f>
        <v/>
      </c>
      <c r="D198" s="16" t="str">
        <f aca="false">IF(A198="","",N(Products!I198))</f>
        <v/>
      </c>
      <c r="E198" s="16" t="str">
        <f aca="false">IF(A198="","",SUMIFS(Purchases!$D$2:$D$2001,Purchases!$B$2:$B$2001,A198))</f>
        <v/>
      </c>
      <c r="F198" s="16" t="str">
        <f aca="false">IF(A198="","",SUMIFS(Sales_Items!$E$2:$E$3001,Sales_Items!$C$2:$C$3001,A198))</f>
        <v/>
      </c>
      <c r="G198" s="16" t="str">
        <f aca="false">IF(A198="","",D198+E198-F198)</f>
        <v/>
      </c>
      <c r="H198" s="17" t="str">
        <f aca="false">IF(A198="","",N(Products!E198))</f>
        <v/>
      </c>
      <c r="I198" s="17" t="str">
        <f aca="false">IF(A198="","",G198*H198)</f>
        <v/>
      </c>
      <c r="J198" s="16" t="str">
        <f aca="false">IF(A198="","",IF(Products!G198="",Settings!$B$8,Products!G198))</f>
        <v/>
      </c>
      <c r="K198" s="16" t="str">
        <f aca="false">IF(A198="","",IF(G198&lt;=0,"OUT",IF(G198&lt;=J198,"LOW","OK")))</f>
        <v/>
      </c>
      <c r="L198" s="16" t="str">
        <f aca="false">IF(A198="","",F198+ROW()/1000000)</f>
        <v/>
      </c>
      <c r="M198" s="16" t="str">
        <f aca="false">IF(OR(K198="LOW",K198="OUT"),COUNTIF($K$2:K198,"LOW")+COUNTIF($K$2:K198,"OUT"),"")</f>
        <v/>
      </c>
    </row>
    <row r="199" customFormat="false" ht="15" hidden="false" customHeight="true" outlineLevel="0" collapsed="false">
      <c r="A199" s="16" t="str">
        <f aca="false">IF(Products!A199="","",Products!A199)</f>
        <v/>
      </c>
      <c r="B199" s="16" t="str">
        <f aca="false">IF($A199="","",INDEX(Products!$B$2:$B$501,ROW()-1))</f>
        <v/>
      </c>
      <c r="C199" s="16" t="str">
        <f aca="false">IF($A199="","",INDEX(Products!$C$2:$C$501,ROW()-1))</f>
        <v/>
      </c>
      <c r="D199" s="16" t="str">
        <f aca="false">IF(A199="","",N(Products!I199))</f>
        <v/>
      </c>
      <c r="E199" s="16" t="str">
        <f aca="false">IF(A199="","",SUMIFS(Purchases!$D$2:$D$2001,Purchases!$B$2:$B$2001,A199))</f>
        <v/>
      </c>
      <c r="F199" s="16" t="str">
        <f aca="false">IF(A199="","",SUMIFS(Sales_Items!$E$2:$E$3001,Sales_Items!$C$2:$C$3001,A199))</f>
        <v/>
      </c>
      <c r="G199" s="16" t="str">
        <f aca="false">IF(A199="","",D199+E199-F199)</f>
        <v/>
      </c>
      <c r="H199" s="17" t="str">
        <f aca="false">IF(A199="","",N(Products!E199))</f>
        <v/>
      </c>
      <c r="I199" s="17" t="str">
        <f aca="false">IF(A199="","",G199*H199)</f>
        <v/>
      </c>
      <c r="J199" s="16" t="str">
        <f aca="false">IF(A199="","",IF(Products!G199="",Settings!$B$8,Products!G199))</f>
        <v/>
      </c>
      <c r="K199" s="16" t="str">
        <f aca="false">IF(A199="","",IF(G199&lt;=0,"OUT",IF(G199&lt;=J199,"LOW","OK")))</f>
        <v/>
      </c>
      <c r="L199" s="16" t="str">
        <f aca="false">IF(A199="","",F199+ROW()/1000000)</f>
        <v/>
      </c>
      <c r="M199" s="16" t="str">
        <f aca="false">IF(OR(K199="LOW",K199="OUT"),COUNTIF($K$2:K199,"LOW")+COUNTIF($K$2:K199,"OUT"),"")</f>
        <v/>
      </c>
    </row>
    <row r="200" customFormat="false" ht="15" hidden="false" customHeight="true" outlineLevel="0" collapsed="false">
      <c r="A200" s="16" t="str">
        <f aca="false">IF(Products!A200="","",Products!A200)</f>
        <v/>
      </c>
      <c r="B200" s="16" t="str">
        <f aca="false">IF($A200="","",INDEX(Products!$B$2:$B$501,ROW()-1))</f>
        <v/>
      </c>
      <c r="C200" s="16" t="str">
        <f aca="false">IF($A200="","",INDEX(Products!$C$2:$C$501,ROW()-1))</f>
        <v/>
      </c>
      <c r="D200" s="16" t="str">
        <f aca="false">IF(A200="","",N(Products!I200))</f>
        <v/>
      </c>
      <c r="E200" s="16" t="str">
        <f aca="false">IF(A200="","",SUMIFS(Purchases!$D$2:$D$2001,Purchases!$B$2:$B$2001,A200))</f>
        <v/>
      </c>
      <c r="F200" s="16" t="str">
        <f aca="false">IF(A200="","",SUMIFS(Sales_Items!$E$2:$E$3001,Sales_Items!$C$2:$C$3001,A200))</f>
        <v/>
      </c>
      <c r="G200" s="16" t="str">
        <f aca="false">IF(A200="","",D200+E200-F200)</f>
        <v/>
      </c>
      <c r="H200" s="17" t="str">
        <f aca="false">IF(A200="","",N(Products!E200))</f>
        <v/>
      </c>
      <c r="I200" s="17" t="str">
        <f aca="false">IF(A200="","",G200*H200)</f>
        <v/>
      </c>
      <c r="J200" s="16" t="str">
        <f aca="false">IF(A200="","",IF(Products!G200="",Settings!$B$8,Products!G200))</f>
        <v/>
      </c>
      <c r="K200" s="16" t="str">
        <f aca="false">IF(A200="","",IF(G200&lt;=0,"OUT",IF(G200&lt;=J200,"LOW","OK")))</f>
        <v/>
      </c>
      <c r="L200" s="16" t="str">
        <f aca="false">IF(A200="","",F200+ROW()/1000000)</f>
        <v/>
      </c>
      <c r="M200" s="16" t="str">
        <f aca="false">IF(OR(K200="LOW",K200="OUT"),COUNTIF($K$2:K200,"LOW")+COUNTIF($K$2:K200,"OUT"),"")</f>
        <v/>
      </c>
    </row>
    <row r="201" customFormat="false" ht="15" hidden="false" customHeight="true" outlineLevel="0" collapsed="false">
      <c r="A201" s="16" t="str">
        <f aca="false">IF(Products!A201="","",Products!A201)</f>
        <v/>
      </c>
      <c r="B201" s="16" t="str">
        <f aca="false">IF($A201="","",INDEX(Products!$B$2:$B$501,ROW()-1))</f>
        <v/>
      </c>
      <c r="C201" s="16" t="str">
        <f aca="false">IF($A201="","",INDEX(Products!$C$2:$C$501,ROW()-1))</f>
        <v/>
      </c>
      <c r="D201" s="16" t="str">
        <f aca="false">IF(A201="","",N(Products!I201))</f>
        <v/>
      </c>
      <c r="E201" s="16" t="str">
        <f aca="false">IF(A201="","",SUMIFS(Purchases!$D$2:$D$2001,Purchases!$B$2:$B$2001,A201))</f>
        <v/>
      </c>
      <c r="F201" s="16" t="str">
        <f aca="false">IF(A201="","",SUMIFS(Sales_Items!$E$2:$E$3001,Sales_Items!$C$2:$C$3001,A201))</f>
        <v/>
      </c>
      <c r="G201" s="16" t="str">
        <f aca="false">IF(A201="","",D201+E201-F201)</f>
        <v/>
      </c>
      <c r="H201" s="17" t="str">
        <f aca="false">IF(A201="","",N(Products!E201))</f>
        <v/>
      </c>
      <c r="I201" s="17" t="str">
        <f aca="false">IF(A201="","",G201*H201)</f>
        <v/>
      </c>
      <c r="J201" s="16" t="str">
        <f aca="false">IF(A201="","",IF(Products!G201="",Settings!$B$8,Products!G201))</f>
        <v/>
      </c>
      <c r="K201" s="16" t="str">
        <f aca="false">IF(A201="","",IF(G201&lt;=0,"OUT",IF(G201&lt;=J201,"LOW","OK")))</f>
        <v/>
      </c>
      <c r="L201" s="16" t="str">
        <f aca="false">IF(A201="","",F201+ROW()/1000000)</f>
        <v/>
      </c>
      <c r="M201" s="16" t="str">
        <f aca="false">IF(OR(K201="LOW",K201="OUT"),COUNTIF($K$2:K201,"LOW")+COUNTIF($K$2:K201,"OUT"),"")</f>
        <v/>
      </c>
    </row>
    <row r="202" customFormat="false" ht="15" hidden="false" customHeight="true" outlineLevel="0" collapsed="false">
      <c r="A202" s="16" t="str">
        <f aca="false">IF(Products!A202="","",Products!A202)</f>
        <v/>
      </c>
      <c r="B202" s="16" t="str">
        <f aca="false">IF($A202="","",INDEX(Products!$B$2:$B$501,ROW()-1))</f>
        <v/>
      </c>
      <c r="C202" s="16" t="str">
        <f aca="false">IF($A202="","",INDEX(Products!$C$2:$C$501,ROW()-1))</f>
        <v/>
      </c>
      <c r="D202" s="16" t="str">
        <f aca="false">IF(A202="","",N(Products!I202))</f>
        <v/>
      </c>
      <c r="E202" s="16" t="str">
        <f aca="false">IF(A202="","",SUMIFS(Purchases!$D$2:$D$2001,Purchases!$B$2:$B$2001,A202))</f>
        <v/>
      </c>
      <c r="F202" s="16" t="str">
        <f aca="false">IF(A202="","",SUMIFS(Sales_Items!$E$2:$E$3001,Sales_Items!$C$2:$C$3001,A202))</f>
        <v/>
      </c>
      <c r="G202" s="16" t="str">
        <f aca="false">IF(A202="","",D202+E202-F202)</f>
        <v/>
      </c>
      <c r="H202" s="17" t="str">
        <f aca="false">IF(A202="","",N(Products!E202))</f>
        <v/>
      </c>
      <c r="I202" s="17" t="str">
        <f aca="false">IF(A202="","",G202*H202)</f>
        <v/>
      </c>
      <c r="J202" s="16" t="str">
        <f aca="false">IF(A202="","",IF(Products!G202="",Settings!$B$8,Products!G202))</f>
        <v/>
      </c>
      <c r="K202" s="16" t="str">
        <f aca="false">IF(A202="","",IF(G202&lt;=0,"OUT",IF(G202&lt;=J202,"LOW","OK")))</f>
        <v/>
      </c>
      <c r="L202" s="16" t="str">
        <f aca="false">IF(A202="","",F202+ROW()/1000000)</f>
        <v/>
      </c>
      <c r="M202" s="16" t="str">
        <f aca="false">IF(OR(K202="LOW",K202="OUT"),COUNTIF($K$2:K202,"LOW")+COUNTIF($K$2:K202,"OUT"),"")</f>
        <v/>
      </c>
    </row>
    <row r="203" customFormat="false" ht="15" hidden="false" customHeight="true" outlineLevel="0" collapsed="false">
      <c r="A203" s="16" t="str">
        <f aca="false">IF(Products!A203="","",Products!A203)</f>
        <v/>
      </c>
      <c r="B203" s="16" t="str">
        <f aca="false">IF($A203="","",INDEX(Products!$B$2:$B$501,ROW()-1))</f>
        <v/>
      </c>
      <c r="C203" s="16" t="str">
        <f aca="false">IF($A203="","",INDEX(Products!$C$2:$C$501,ROW()-1))</f>
        <v/>
      </c>
      <c r="D203" s="16" t="str">
        <f aca="false">IF(A203="","",N(Products!I203))</f>
        <v/>
      </c>
      <c r="E203" s="16" t="str">
        <f aca="false">IF(A203="","",SUMIFS(Purchases!$D$2:$D$2001,Purchases!$B$2:$B$2001,A203))</f>
        <v/>
      </c>
      <c r="F203" s="16" t="str">
        <f aca="false">IF(A203="","",SUMIFS(Sales_Items!$E$2:$E$3001,Sales_Items!$C$2:$C$3001,A203))</f>
        <v/>
      </c>
      <c r="G203" s="16" t="str">
        <f aca="false">IF(A203="","",D203+E203-F203)</f>
        <v/>
      </c>
      <c r="H203" s="17" t="str">
        <f aca="false">IF(A203="","",N(Products!E203))</f>
        <v/>
      </c>
      <c r="I203" s="17" t="str">
        <f aca="false">IF(A203="","",G203*H203)</f>
        <v/>
      </c>
      <c r="J203" s="16" t="str">
        <f aca="false">IF(A203="","",IF(Products!G203="",Settings!$B$8,Products!G203))</f>
        <v/>
      </c>
      <c r="K203" s="16" t="str">
        <f aca="false">IF(A203="","",IF(G203&lt;=0,"OUT",IF(G203&lt;=J203,"LOW","OK")))</f>
        <v/>
      </c>
      <c r="L203" s="16" t="str">
        <f aca="false">IF(A203="","",F203+ROW()/1000000)</f>
        <v/>
      </c>
      <c r="M203" s="16" t="str">
        <f aca="false">IF(OR(K203="LOW",K203="OUT"),COUNTIF($K$2:K203,"LOW")+COUNTIF($K$2:K203,"OUT"),"")</f>
        <v/>
      </c>
    </row>
    <row r="204" customFormat="false" ht="15" hidden="false" customHeight="true" outlineLevel="0" collapsed="false">
      <c r="A204" s="16" t="str">
        <f aca="false">IF(Products!A204="","",Products!A204)</f>
        <v/>
      </c>
      <c r="B204" s="16" t="str">
        <f aca="false">IF($A204="","",INDEX(Products!$B$2:$B$501,ROW()-1))</f>
        <v/>
      </c>
      <c r="C204" s="16" t="str">
        <f aca="false">IF($A204="","",INDEX(Products!$C$2:$C$501,ROW()-1))</f>
        <v/>
      </c>
      <c r="D204" s="16" t="str">
        <f aca="false">IF(A204="","",N(Products!I204))</f>
        <v/>
      </c>
      <c r="E204" s="16" t="str">
        <f aca="false">IF(A204="","",SUMIFS(Purchases!$D$2:$D$2001,Purchases!$B$2:$B$2001,A204))</f>
        <v/>
      </c>
      <c r="F204" s="16" t="str">
        <f aca="false">IF(A204="","",SUMIFS(Sales_Items!$E$2:$E$3001,Sales_Items!$C$2:$C$3001,A204))</f>
        <v/>
      </c>
      <c r="G204" s="16" t="str">
        <f aca="false">IF(A204="","",D204+E204-F204)</f>
        <v/>
      </c>
      <c r="H204" s="17" t="str">
        <f aca="false">IF(A204="","",N(Products!E204))</f>
        <v/>
      </c>
      <c r="I204" s="17" t="str">
        <f aca="false">IF(A204="","",G204*H204)</f>
        <v/>
      </c>
      <c r="J204" s="16" t="str">
        <f aca="false">IF(A204="","",IF(Products!G204="",Settings!$B$8,Products!G204))</f>
        <v/>
      </c>
      <c r="K204" s="16" t="str">
        <f aca="false">IF(A204="","",IF(G204&lt;=0,"OUT",IF(G204&lt;=J204,"LOW","OK")))</f>
        <v/>
      </c>
      <c r="L204" s="16" t="str">
        <f aca="false">IF(A204="","",F204+ROW()/1000000)</f>
        <v/>
      </c>
      <c r="M204" s="16" t="str">
        <f aca="false">IF(OR(K204="LOW",K204="OUT"),COUNTIF($K$2:K204,"LOW")+COUNTIF($K$2:K204,"OUT"),"")</f>
        <v/>
      </c>
    </row>
    <row r="205" customFormat="false" ht="15" hidden="false" customHeight="true" outlineLevel="0" collapsed="false">
      <c r="A205" s="16" t="str">
        <f aca="false">IF(Products!A205="","",Products!A205)</f>
        <v/>
      </c>
      <c r="B205" s="16" t="str">
        <f aca="false">IF($A205="","",INDEX(Products!$B$2:$B$501,ROW()-1))</f>
        <v/>
      </c>
      <c r="C205" s="16" t="str">
        <f aca="false">IF($A205="","",INDEX(Products!$C$2:$C$501,ROW()-1))</f>
        <v/>
      </c>
      <c r="D205" s="16" t="str">
        <f aca="false">IF(A205="","",N(Products!I205))</f>
        <v/>
      </c>
      <c r="E205" s="16" t="str">
        <f aca="false">IF(A205="","",SUMIFS(Purchases!$D$2:$D$2001,Purchases!$B$2:$B$2001,A205))</f>
        <v/>
      </c>
      <c r="F205" s="16" t="str">
        <f aca="false">IF(A205="","",SUMIFS(Sales_Items!$E$2:$E$3001,Sales_Items!$C$2:$C$3001,A205))</f>
        <v/>
      </c>
      <c r="G205" s="16" t="str">
        <f aca="false">IF(A205="","",D205+E205-F205)</f>
        <v/>
      </c>
      <c r="H205" s="17" t="str">
        <f aca="false">IF(A205="","",N(Products!E205))</f>
        <v/>
      </c>
      <c r="I205" s="17" t="str">
        <f aca="false">IF(A205="","",G205*H205)</f>
        <v/>
      </c>
      <c r="J205" s="16" t="str">
        <f aca="false">IF(A205="","",IF(Products!G205="",Settings!$B$8,Products!G205))</f>
        <v/>
      </c>
      <c r="K205" s="16" t="str">
        <f aca="false">IF(A205="","",IF(G205&lt;=0,"OUT",IF(G205&lt;=J205,"LOW","OK")))</f>
        <v/>
      </c>
      <c r="L205" s="16" t="str">
        <f aca="false">IF(A205="","",F205+ROW()/1000000)</f>
        <v/>
      </c>
      <c r="M205" s="16" t="str">
        <f aca="false">IF(OR(K205="LOW",K205="OUT"),COUNTIF($K$2:K205,"LOW")+COUNTIF($K$2:K205,"OUT"),"")</f>
        <v/>
      </c>
    </row>
    <row r="206" customFormat="false" ht="15" hidden="false" customHeight="true" outlineLevel="0" collapsed="false">
      <c r="A206" s="16" t="str">
        <f aca="false">IF(Products!A206="","",Products!A206)</f>
        <v/>
      </c>
      <c r="B206" s="16" t="str">
        <f aca="false">IF($A206="","",INDEX(Products!$B$2:$B$501,ROW()-1))</f>
        <v/>
      </c>
      <c r="C206" s="16" t="str">
        <f aca="false">IF($A206="","",INDEX(Products!$C$2:$C$501,ROW()-1))</f>
        <v/>
      </c>
      <c r="D206" s="16" t="str">
        <f aca="false">IF(A206="","",N(Products!I206))</f>
        <v/>
      </c>
      <c r="E206" s="16" t="str">
        <f aca="false">IF(A206="","",SUMIFS(Purchases!$D$2:$D$2001,Purchases!$B$2:$B$2001,A206))</f>
        <v/>
      </c>
      <c r="F206" s="16" t="str">
        <f aca="false">IF(A206="","",SUMIFS(Sales_Items!$E$2:$E$3001,Sales_Items!$C$2:$C$3001,A206))</f>
        <v/>
      </c>
      <c r="G206" s="16" t="str">
        <f aca="false">IF(A206="","",D206+E206-F206)</f>
        <v/>
      </c>
      <c r="H206" s="17" t="str">
        <f aca="false">IF(A206="","",N(Products!E206))</f>
        <v/>
      </c>
      <c r="I206" s="17" t="str">
        <f aca="false">IF(A206="","",G206*H206)</f>
        <v/>
      </c>
      <c r="J206" s="16" t="str">
        <f aca="false">IF(A206="","",IF(Products!G206="",Settings!$B$8,Products!G206))</f>
        <v/>
      </c>
      <c r="K206" s="16" t="str">
        <f aca="false">IF(A206="","",IF(G206&lt;=0,"OUT",IF(G206&lt;=J206,"LOW","OK")))</f>
        <v/>
      </c>
      <c r="L206" s="16" t="str">
        <f aca="false">IF(A206="","",F206+ROW()/1000000)</f>
        <v/>
      </c>
      <c r="M206" s="16" t="str">
        <f aca="false">IF(OR(K206="LOW",K206="OUT"),COUNTIF($K$2:K206,"LOW")+COUNTIF($K$2:K206,"OUT"),"")</f>
        <v/>
      </c>
    </row>
    <row r="207" customFormat="false" ht="15" hidden="false" customHeight="true" outlineLevel="0" collapsed="false">
      <c r="A207" s="16" t="str">
        <f aca="false">IF(Products!A207="","",Products!A207)</f>
        <v/>
      </c>
      <c r="B207" s="16" t="str">
        <f aca="false">IF($A207="","",INDEX(Products!$B$2:$B$501,ROW()-1))</f>
        <v/>
      </c>
      <c r="C207" s="16" t="str">
        <f aca="false">IF($A207="","",INDEX(Products!$C$2:$C$501,ROW()-1))</f>
        <v/>
      </c>
      <c r="D207" s="16" t="str">
        <f aca="false">IF(A207="","",N(Products!I207))</f>
        <v/>
      </c>
      <c r="E207" s="16" t="str">
        <f aca="false">IF(A207="","",SUMIFS(Purchases!$D$2:$D$2001,Purchases!$B$2:$B$2001,A207))</f>
        <v/>
      </c>
      <c r="F207" s="16" t="str">
        <f aca="false">IF(A207="","",SUMIFS(Sales_Items!$E$2:$E$3001,Sales_Items!$C$2:$C$3001,A207))</f>
        <v/>
      </c>
      <c r="G207" s="16" t="str">
        <f aca="false">IF(A207="","",D207+E207-F207)</f>
        <v/>
      </c>
      <c r="H207" s="17" t="str">
        <f aca="false">IF(A207="","",N(Products!E207))</f>
        <v/>
      </c>
      <c r="I207" s="17" t="str">
        <f aca="false">IF(A207="","",G207*H207)</f>
        <v/>
      </c>
      <c r="J207" s="16" t="str">
        <f aca="false">IF(A207="","",IF(Products!G207="",Settings!$B$8,Products!G207))</f>
        <v/>
      </c>
      <c r="K207" s="16" t="str">
        <f aca="false">IF(A207="","",IF(G207&lt;=0,"OUT",IF(G207&lt;=J207,"LOW","OK")))</f>
        <v/>
      </c>
      <c r="L207" s="16" t="str">
        <f aca="false">IF(A207="","",F207+ROW()/1000000)</f>
        <v/>
      </c>
      <c r="M207" s="16" t="str">
        <f aca="false">IF(OR(K207="LOW",K207="OUT"),COUNTIF($K$2:K207,"LOW")+COUNTIF($K$2:K207,"OUT"),"")</f>
        <v/>
      </c>
    </row>
    <row r="208" customFormat="false" ht="15" hidden="false" customHeight="true" outlineLevel="0" collapsed="false">
      <c r="A208" s="16" t="str">
        <f aca="false">IF(Products!A208="","",Products!A208)</f>
        <v/>
      </c>
      <c r="B208" s="16" t="str">
        <f aca="false">IF($A208="","",INDEX(Products!$B$2:$B$501,ROW()-1))</f>
        <v/>
      </c>
      <c r="C208" s="16" t="str">
        <f aca="false">IF($A208="","",INDEX(Products!$C$2:$C$501,ROW()-1))</f>
        <v/>
      </c>
      <c r="D208" s="16" t="str">
        <f aca="false">IF(A208="","",N(Products!I208))</f>
        <v/>
      </c>
      <c r="E208" s="16" t="str">
        <f aca="false">IF(A208="","",SUMIFS(Purchases!$D$2:$D$2001,Purchases!$B$2:$B$2001,A208))</f>
        <v/>
      </c>
      <c r="F208" s="16" t="str">
        <f aca="false">IF(A208="","",SUMIFS(Sales_Items!$E$2:$E$3001,Sales_Items!$C$2:$C$3001,A208))</f>
        <v/>
      </c>
      <c r="G208" s="16" t="str">
        <f aca="false">IF(A208="","",D208+E208-F208)</f>
        <v/>
      </c>
      <c r="H208" s="17" t="str">
        <f aca="false">IF(A208="","",N(Products!E208))</f>
        <v/>
      </c>
      <c r="I208" s="17" t="str">
        <f aca="false">IF(A208="","",G208*H208)</f>
        <v/>
      </c>
      <c r="J208" s="16" t="str">
        <f aca="false">IF(A208="","",IF(Products!G208="",Settings!$B$8,Products!G208))</f>
        <v/>
      </c>
      <c r="K208" s="16" t="str">
        <f aca="false">IF(A208="","",IF(G208&lt;=0,"OUT",IF(G208&lt;=J208,"LOW","OK")))</f>
        <v/>
      </c>
      <c r="L208" s="16" t="str">
        <f aca="false">IF(A208="","",F208+ROW()/1000000)</f>
        <v/>
      </c>
      <c r="M208" s="16" t="str">
        <f aca="false">IF(OR(K208="LOW",K208="OUT"),COUNTIF($K$2:K208,"LOW")+COUNTIF($K$2:K208,"OUT"),"")</f>
        <v/>
      </c>
    </row>
    <row r="209" customFormat="false" ht="15" hidden="false" customHeight="true" outlineLevel="0" collapsed="false">
      <c r="A209" s="16" t="str">
        <f aca="false">IF(Products!A209="","",Products!A209)</f>
        <v/>
      </c>
      <c r="B209" s="16" t="str">
        <f aca="false">IF($A209="","",INDEX(Products!$B$2:$B$501,ROW()-1))</f>
        <v/>
      </c>
      <c r="C209" s="16" t="str">
        <f aca="false">IF($A209="","",INDEX(Products!$C$2:$C$501,ROW()-1))</f>
        <v/>
      </c>
      <c r="D209" s="16" t="str">
        <f aca="false">IF(A209="","",N(Products!I209))</f>
        <v/>
      </c>
      <c r="E209" s="16" t="str">
        <f aca="false">IF(A209="","",SUMIFS(Purchases!$D$2:$D$2001,Purchases!$B$2:$B$2001,A209))</f>
        <v/>
      </c>
      <c r="F209" s="16" t="str">
        <f aca="false">IF(A209="","",SUMIFS(Sales_Items!$E$2:$E$3001,Sales_Items!$C$2:$C$3001,A209))</f>
        <v/>
      </c>
      <c r="G209" s="16" t="str">
        <f aca="false">IF(A209="","",D209+E209-F209)</f>
        <v/>
      </c>
      <c r="H209" s="17" t="str">
        <f aca="false">IF(A209="","",N(Products!E209))</f>
        <v/>
      </c>
      <c r="I209" s="17" t="str">
        <f aca="false">IF(A209="","",G209*H209)</f>
        <v/>
      </c>
      <c r="J209" s="16" t="str">
        <f aca="false">IF(A209="","",IF(Products!G209="",Settings!$B$8,Products!G209))</f>
        <v/>
      </c>
      <c r="K209" s="16" t="str">
        <f aca="false">IF(A209="","",IF(G209&lt;=0,"OUT",IF(G209&lt;=J209,"LOW","OK")))</f>
        <v/>
      </c>
      <c r="L209" s="16" t="str">
        <f aca="false">IF(A209="","",F209+ROW()/1000000)</f>
        <v/>
      </c>
      <c r="M209" s="16" t="str">
        <f aca="false">IF(OR(K209="LOW",K209="OUT"),COUNTIF($K$2:K209,"LOW")+COUNTIF($K$2:K209,"OUT"),"")</f>
        <v/>
      </c>
    </row>
    <row r="210" customFormat="false" ht="15" hidden="false" customHeight="true" outlineLevel="0" collapsed="false">
      <c r="A210" s="16" t="str">
        <f aca="false">IF(Products!A210="","",Products!A210)</f>
        <v/>
      </c>
      <c r="B210" s="16" t="str">
        <f aca="false">IF($A210="","",INDEX(Products!$B$2:$B$501,ROW()-1))</f>
        <v/>
      </c>
      <c r="C210" s="16" t="str">
        <f aca="false">IF($A210="","",INDEX(Products!$C$2:$C$501,ROW()-1))</f>
        <v/>
      </c>
      <c r="D210" s="16" t="str">
        <f aca="false">IF(A210="","",N(Products!I210))</f>
        <v/>
      </c>
      <c r="E210" s="16" t="str">
        <f aca="false">IF(A210="","",SUMIFS(Purchases!$D$2:$D$2001,Purchases!$B$2:$B$2001,A210))</f>
        <v/>
      </c>
      <c r="F210" s="16" t="str">
        <f aca="false">IF(A210="","",SUMIFS(Sales_Items!$E$2:$E$3001,Sales_Items!$C$2:$C$3001,A210))</f>
        <v/>
      </c>
      <c r="G210" s="16" t="str">
        <f aca="false">IF(A210="","",D210+E210-F210)</f>
        <v/>
      </c>
      <c r="H210" s="17" t="str">
        <f aca="false">IF(A210="","",N(Products!E210))</f>
        <v/>
      </c>
      <c r="I210" s="17" t="str">
        <f aca="false">IF(A210="","",G210*H210)</f>
        <v/>
      </c>
      <c r="J210" s="16" t="str">
        <f aca="false">IF(A210="","",IF(Products!G210="",Settings!$B$8,Products!G210))</f>
        <v/>
      </c>
      <c r="K210" s="16" t="str">
        <f aca="false">IF(A210="","",IF(G210&lt;=0,"OUT",IF(G210&lt;=J210,"LOW","OK")))</f>
        <v/>
      </c>
      <c r="L210" s="16" t="str">
        <f aca="false">IF(A210="","",F210+ROW()/1000000)</f>
        <v/>
      </c>
      <c r="M210" s="16" t="str">
        <f aca="false">IF(OR(K210="LOW",K210="OUT"),COUNTIF($K$2:K210,"LOW")+COUNTIF($K$2:K210,"OUT"),"")</f>
        <v/>
      </c>
    </row>
    <row r="211" customFormat="false" ht="15" hidden="false" customHeight="true" outlineLevel="0" collapsed="false">
      <c r="A211" s="16" t="str">
        <f aca="false">IF(Products!A211="","",Products!A211)</f>
        <v/>
      </c>
      <c r="B211" s="16" t="str">
        <f aca="false">IF($A211="","",INDEX(Products!$B$2:$B$501,ROW()-1))</f>
        <v/>
      </c>
      <c r="C211" s="16" t="str">
        <f aca="false">IF($A211="","",INDEX(Products!$C$2:$C$501,ROW()-1))</f>
        <v/>
      </c>
      <c r="D211" s="16" t="str">
        <f aca="false">IF(A211="","",N(Products!I211))</f>
        <v/>
      </c>
      <c r="E211" s="16" t="str">
        <f aca="false">IF(A211="","",SUMIFS(Purchases!$D$2:$D$2001,Purchases!$B$2:$B$2001,A211))</f>
        <v/>
      </c>
      <c r="F211" s="16" t="str">
        <f aca="false">IF(A211="","",SUMIFS(Sales_Items!$E$2:$E$3001,Sales_Items!$C$2:$C$3001,A211))</f>
        <v/>
      </c>
      <c r="G211" s="16" t="str">
        <f aca="false">IF(A211="","",D211+E211-F211)</f>
        <v/>
      </c>
      <c r="H211" s="17" t="str">
        <f aca="false">IF(A211="","",N(Products!E211))</f>
        <v/>
      </c>
      <c r="I211" s="17" t="str">
        <f aca="false">IF(A211="","",G211*H211)</f>
        <v/>
      </c>
      <c r="J211" s="16" t="str">
        <f aca="false">IF(A211="","",IF(Products!G211="",Settings!$B$8,Products!G211))</f>
        <v/>
      </c>
      <c r="K211" s="16" t="str">
        <f aca="false">IF(A211="","",IF(G211&lt;=0,"OUT",IF(G211&lt;=J211,"LOW","OK")))</f>
        <v/>
      </c>
      <c r="L211" s="16" t="str">
        <f aca="false">IF(A211="","",F211+ROW()/1000000)</f>
        <v/>
      </c>
      <c r="M211" s="16" t="str">
        <f aca="false">IF(OR(K211="LOW",K211="OUT"),COUNTIF($K$2:K211,"LOW")+COUNTIF($K$2:K211,"OUT"),"")</f>
        <v/>
      </c>
    </row>
    <row r="212" customFormat="false" ht="15" hidden="false" customHeight="true" outlineLevel="0" collapsed="false">
      <c r="A212" s="16" t="str">
        <f aca="false">IF(Products!A212="","",Products!A212)</f>
        <v/>
      </c>
      <c r="B212" s="16" t="str">
        <f aca="false">IF($A212="","",INDEX(Products!$B$2:$B$501,ROW()-1))</f>
        <v/>
      </c>
      <c r="C212" s="16" t="str">
        <f aca="false">IF($A212="","",INDEX(Products!$C$2:$C$501,ROW()-1))</f>
        <v/>
      </c>
      <c r="D212" s="16" t="str">
        <f aca="false">IF(A212="","",N(Products!I212))</f>
        <v/>
      </c>
      <c r="E212" s="16" t="str">
        <f aca="false">IF(A212="","",SUMIFS(Purchases!$D$2:$D$2001,Purchases!$B$2:$B$2001,A212))</f>
        <v/>
      </c>
      <c r="F212" s="16" t="str">
        <f aca="false">IF(A212="","",SUMIFS(Sales_Items!$E$2:$E$3001,Sales_Items!$C$2:$C$3001,A212))</f>
        <v/>
      </c>
      <c r="G212" s="16" t="str">
        <f aca="false">IF(A212="","",D212+E212-F212)</f>
        <v/>
      </c>
      <c r="H212" s="17" t="str">
        <f aca="false">IF(A212="","",N(Products!E212))</f>
        <v/>
      </c>
      <c r="I212" s="17" t="str">
        <f aca="false">IF(A212="","",G212*H212)</f>
        <v/>
      </c>
      <c r="J212" s="16" t="str">
        <f aca="false">IF(A212="","",IF(Products!G212="",Settings!$B$8,Products!G212))</f>
        <v/>
      </c>
      <c r="K212" s="16" t="str">
        <f aca="false">IF(A212="","",IF(G212&lt;=0,"OUT",IF(G212&lt;=J212,"LOW","OK")))</f>
        <v/>
      </c>
      <c r="L212" s="16" t="str">
        <f aca="false">IF(A212="","",F212+ROW()/1000000)</f>
        <v/>
      </c>
      <c r="M212" s="16" t="str">
        <f aca="false">IF(OR(K212="LOW",K212="OUT"),COUNTIF($K$2:K212,"LOW")+COUNTIF($K$2:K212,"OUT"),"")</f>
        <v/>
      </c>
    </row>
    <row r="213" customFormat="false" ht="15" hidden="false" customHeight="true" outlineLevel="0" collapsed="false">
      <c r="A213" s="16" t="str">
        <f aca="false">IF(Products!A213="","",Products!A213)</f>
        <v/>
      </c>
      <c r="B213" s="16" t="str">
        <f aca="false">IF($A213="","",INDEX(Products!$B$2:$B$501,ROW()-1))</f>
        <v/>
      </c>
      <c r="C213" s="16" t="str">
        <f aca="false">IF($A213="","",INDEX(Products!$C$2:$C$501,ROW()-1))</f>
        <v/>
      </c>
      <c r="D213" s="16" t="str">
        <f aca="false">IF(A213="","",N(Products!I213))</f>
        <v/>
      </c>
      <c r="E213" s="16" t="str">
        <f aca="false">IF(A213="","",SUMIFS(Purchases!$D$2:$D$2001,Purchases!$B$2:$B$2001,A213))</f>
        <v/>
      </c>
      <c r="F213" s="16" t="str">
        <f aca="false">IF(A213="","",SUMIFS(Sales_Items!$E$2:$E$3001,Sales_Items!$C$2:$C$3001,A213))</f>
        <v/>
      </c>
      <c r="G213" s="16" t="str">
        <f aca="false">IF(A213="","",D213+E213-F213)</f>
        <v/>
      </c>
      <c r="H213" s="17" t="str">
        <f aca="false">IF(A213="","",N(Products!E213))</f>
        <v/>
      </c>
      <c r="I213" s="17" t="str">
        <f aca="false">IF(A213="","",G213*H213)</f>
        <v/>
      </c>
      <c r="J213" s="16" t="str">
        <f aca="false">IF(A213="","",IF(Products!G213="",Settings!$B$8,Products!G213))</f>
        <v/>
      </c>
      <c r="K213" s="16" t="str">
        <f aca="false">IF(A213="","",IF(G213&lt;=0,"OUT",IF(G213&lt;=J213,"LOW","OK")))</f>
        <v/>
      </c>
      <c r="L213" s="16" t="str">
        <f aca="false">IF(A213="","",F213+ROW()/1000000)</f>
        <v/>
      </c>
      <c r="M213" s="16" t="str">
        <f aca="false">IF(OR(K213="LOW",K213="OUT"),COUNTIF($K$2:K213,"LOW")+COUNTIF($K$2:K213,"OUT"),"")</f>
        <v/>
      </c>
    </row>
    <row r="214" customFormat="false" ht="15" hidden="false" customHeight="true" outlineLevel="0" collapsed="false">
      <c r="A214" s="16" t="str">
        <f aca="false">IF(Products!A214="","",Products!A214)</f>
        <v/>
      </c>
      <c r="B214" s="16" t="str">
        <f aca="false">IF($A214="","",INDEX(Products!$B$2:$B$501,ROW()-1))</f>
        <v/>
      </c>
      <c r="C214" s="16" t="str">
        <f aca="false">IF($A214="","",INDEX(Products!$C$2:$C$501,ROW()-1))</f>
        <v/>
      </c>
      <c r="D214" s="16" t="str">
        <f aca="false">IF(A214="","",N(Products!I214))</f>
        <v/>
      </c>
      <c r="E214" s="16" t="str">
        <f aca="false">IF(A214="","",SUMIFS(Purchases!$D$2:$D$2001,Purchases!$B$2:$B$2001,A214))</f>
        <v/>
      </c>
      <c r="F214" s="16" t="str">
        <f aca="false">IF(A214="","",SUMIFS(Sales_Items!$E$2:$E$3001,Sales_Items!$C$2:$C$3001,A214))</f>
        <v/>
      </c>
      <c r="G214" s="16" t="str">
        <f aca="false">IF(A214="","",D214+E214-F214)</f>
        <v/>
      </c>
      <c r="H214" s="17" t="str">
        <f aca="false">IF(A214="","",N(Products!E214))</f>
        <v/>
      </c>
      <c r="I214" s="17" t="str">
        <f aca="false">IF(A214="","",G214*H214)</f>
        <v/>
      </c>
      <c r="J214" s="16" t="str">
        <f aca="false">IF(A214="","",IF(Products!G214="",Settings!$B$8,Products!G214))</f>
        <v/>
      </c>
      <c r="K214" s="16" t="str">
        <f aca="false">IF(A214="","",IF(G214&lt;=0,"OUT",IF(G214&lt;=J214,"LOW","OK")))</f>
        <v/>
      </c>
      <c r="L214" s="16" t="str">
        <f aca="false">IF(A214="","",F214+ROW()/1000000)</f>
        <v/>
      </c>
      <c r="M214" s="16" t="str">
        <f aca="false">IF(OR(K214="LOW",K214="OUT"),COUNTIF($K$2:K214,"LOW")+COUNTIF($K$2:K214,"OUT"),"")</f>
        <v/>
      </c>
    </row>
    <row r="215" customFormat="false" ht="15" hidden="false" customHeight="true" outlineLevel="0" collapsed="false">
      <c r="A215" s="16" t="str">
        <f aca="false">IF(Products!A215="","",Products!A215)</f>
        <v/>
      </c>
      <c r="B215" s="16" t="str">
        <f aca="false">IF($A215="","",INDEX(Products!$B$2:$B$501,ROW()-1))</f>
        <v/>
      </c>
      <c r="C215" s="16" t="str">
        <f aca="false">IF($A215="","",INDEX(Products!$C$2:$C$501,ROW()-1))</f>
        <v/>
      </c>
      <c r="D215" s="16" t="str">
        <f aca="false">IF(A215="","",N(Products!I215))</f>
        <v/>
      </c>
      <c r="E215" s="16" t="str">
        <f aca="false">IF(A215="","",SUMIFS(Purchases!$D$2:$D$2001,Purchases!$B$2:$B$2001,A215))</f>
        <v/>
      </c>
      <c r="F215" s="16" t="str">
        <f aca="false">IF(A215="","",SUMIFS(Sales_Items!$E$2:$E$3001,Sales_Items!$C$2:$C$3001,A215))</f>
        <v/>
      </c>
      <c r="G215" s="16" t="str">
        <f aca="false">IF(A215="","",D215+E215-F215)</f>
        <v/>
      </c>
      <c r="H215" s="17" t="str">
        <f aca="false">IF(A215="","",N(Products!E215))</f>
        <v/>
      </c>
      <c r="I215" s="17" t="str">
        <f aca="false">IF(A215="","",G215*H215)</f>
        <v/>
      </c>
      <c r="J215" s="16" t="str">
        <f aca="false">IF(A215="","",IF(Products!G215="",Settings!$B$8,Products!G215))</f>
        <v/>
      </c>
      <c r="K215" s="16" t="str">
        <f aca="false">IF(A215="","",IF(G215&lt;=0,"OUT",IF(G215&lt;=J215,"LOW","OK")))</f>
        <v/>
      </c>
      <c r="L215" s="16" t="str">
        <f aca="false">IF(A215="","",F215+ROW()/1000000)</f>
        <v/>
      </c>
      <c r="M215" s="16" t="str">
        <f aca="false">IF(OR(K215="LOW",K215="OUT"),COUNTIF($K$2:K215,"LOW")+COUNTIF($K$2:K215,"OUT"),"")</f>
        <v/>
      </c>
    </row>
    <row r="216" customFormat="false" ht="15" hidden="false" customHeight="true" outlineLevel="0" collapsed="false">
      <c r="A216" s="16" t="str">
        <f aca="false">IF(Products!A216="","",Products!A216)</f>
        <v/>
      </c>
      <c r="B216" s="16" t="str">
        <f aca="false">IF($A216="","",INDEX(Products!$B$2:$B$501,ROW()-1))</f>
        <v/>
      </c>
      <c r="C216" s="16" t="str">
        <f aca="false">IF($A216="","",INDEX(Products!$C$2:$C$501,ROW()-1))</f>
        <v/>
      </c>
      <c r="D216" s="16" t="str">
        <f aca="false">IF(A216="","",N(Products!I216))</f>
        <v/>
      </c>
      <c r="E216" s="16" t="str">
        <f aca="false">IF(A216="","",SUMIFS(Purchases!$D$2:$D$2001,Purchases!$B$2:$B$2001,A216))</f>
        <v/>
      </c>
      <c r="F216" s="16" t="str">
        <f aca="false">IF(A216="","",SUMIFS(Sales_Items!$E$2:$E$3001,Sales_Items!$C$2:$C$3001,A216))</f>
        <v/>
      </c>
      <c r="G216" s="16" t="str">
        <f aca="false">IF(A216="","",D216+E216-F216)</f>
        <v/>
      </c>
      <c r="H216" s="17" t="str">
        <f aca="false">IF(A216="","",N(Products!E216))</f>
        <v/>
      </c>
      <c r="I216" s="17" t="str">
        <f aca="false">IF(A216="","",G216*H216)</f>
        <v/>
      </c>
      <c r="J216" s="16" t="str">
        <f aca="false">IF(A216="","",IF(Products!G216="",Settings!$B$8,Products!G216))</f>
        <v/>
      </c>
      <c r="K216" s="16" t="str">
        <f aca="false">IF(A216="","",IF(G216&lt;=0,"OUT",IF(G216&lt;=J216,"LOW","OK")))</f>
        <v/>
      </c>
      <c r="L216" s="16" t="str">
        <f aca="false">IF(A216="","",F216+ROW()/1000000)</f>
        <v/>
      </c>
      <c r="M216" s="16" t="str">
        <f aca="false">IF(OR(K216="LOW",K216="OUT"),COUNTIF($K$2:K216,"LOW")+COUNTIF($K$2:K216,"OUT"),"")</f>
        <v/>
      </c>
    </row>
    <row r="217" customFormat="false" ht="15" hidden="false" customHeight="true" outlineLevel="0" collapsed="false">
      <c r="A217" s="16" t="str">
        <f aca="false">IF(Products!A217="","",Products!A217)</f>
        <v/>
      </c>
      <c r="B217" s="16" t="str">
        <f aca="false">IF($A217="","",INDEX(Products!$B$2:$B$501,ROW()-1))</f>
        <v/>
      </c>
      <c r="C217" s="16" t="str">
        <f aca="false">IF($A217="","",INDEX(Products!$C$2:$C$501,ROW()-1))</f>
        <v/>
      </c>
      <c r="D217" s="16" t="str">
        <f aca="false">IF(A217="","",N(Products!I217))</f>
        <v/>
      </c>
      <c r="E217" s="16" t="str">
        <f aca="false">IF(A217="","",SUMIFS(Purchases!$D$2:$D$2001,Purchases!$B$2:$B$2001,A217))</f>
        <v/>
      </c>
      <c r="F217" s="16" t="str">
        <f aca="false">IF(A217="","",SUMIFS(Sales_Items!$E$2:$E$3001,Sales_Items!$C$2:$C$3001,A217))</f>
        <v/>
      </c>
      <c r="G217" s="16" t="str">
        <f aca="false">IF(A217="","",D217+E217-F217)</f>
        <v/>
      </c>
      <c r="H217" s="17" t="str">
        <f aca="false">IF(A217="","",N(Products!E217))</f>
        <v/>
      </c>
      <c r="I217" s="17" t="str">
        <f aca="false">IF(A217="","",G217*H217)</f>
        <v/>
      </c>
      <c r="J217" s="16" t="str">
        <f aca="false">IF(A217="","",IF(Products!G217="",Settings!$B$8,Products!G217))</f>
        <v/>
      </c>
      <c r="K217" s="16" t="str">
        <f aca="false">IF(A217="","",IF(G217&lt;=0,"OUT",IF(G217&lt;=J217,"LOW","OK")))</f>
        <v/>
      </c>
      <c r="L217" s="16" t="str">
        <f aca="false">IF(A217="","",F217+ROW()/1000000)</f>
        <v/>
      </c>
      <c r="M217" s="16" t="str">
        <f aca="false">IF(OR(K217="LOW",K217="OUT"),COUNTIF($K$2:K217,"LOW")+COUNTIF($K$2:K217,"OUT"),"")</f>
        <v/>
      </c>
    </row>
    <row r="218" customFormat="false" ht="15" hidden="false" customHeight="true" outlineLevel="0" collapsed="false">
      <c r="A218" s="16" t="str">
        <f aca="false">IF(Products!A218="","",Products!A218)</f>
        <v/>
      </c>
      <c r="B218" s="16" t="str">
        <f aca="false">IF($A218="","",INDEX(Products!$B$2:$B$501,ROW()-1))</f>
        <v/>
      </c>
      <c r="C218" s="16" t="str">
        <f aca="false">IF($A218="","",INDEX(Products!$C$2:$C$501,ROW()-1))</f>
        <v/>
      </c>
      <c r="D218" s="16" t="str">
        <f aca="false">IF(A218="","",N(Products!I218))</f>
        <v/>
      </c>
      <c r="E218" s="16" t="str">
        <f aca="false">IF(A218="","",SUMIFS(Purchases!$D$2:$D$2001,Purchases!$B$2:$B$2001,A218))</f>
        <v/>
      </c>
      <c r="F218" s="16" t="str">
        <f aca="false">IF(A218="","",SUMIFS(Sales_Items!$E$2:$E$3001,Sales_Items!$C$2:$C$3001,A218))</f>
        <v/>
      </c>
      <c r="G218" s="16" t="str">
        <f aca="false">IF(A218="","",D218+E218-F218)</f>
        <v/>
      </c>
      <c r="H218" s="17" t="str">
        <f aca="false">IF(A218="","",N(Products!E218))</f>
        <v/>
      </c>
      <c r="I218" s="17" t="str">
        <f aca="false">IF(A218="","",G218*H218)</f>
        <v/>
      </c>
      <c r="J218" s="16" t="str">
        <f aca="false">IF(A218="","",IF(Products!G218="",Settings!$B$8,Products!G218))</f>
        <v/>
      </c>
      <c r="K218" s="16" t="str">
        <f aca="false">IF(A218="","",IF(G218&lt;=0,"OUT",IF(G218&lt;=J218,"LOW","OK")))</f>
        <v/>
      </c>
      <c r="L218" s="16" t="str">
        <f aca="false">IF(A218="","",F218+ROW()/1000000)</f>
        <v/>
      </c>
      <c r="M218" s="16" t="str">
        <f aca="false">IF(OR(K218="LOW",K218="OUT"),COUNTIF($K$2:K218,"LOW")+COUNTIF($K$2:K218,"OUT"),"")</f>
        <v/>
      </c>
    </row>
    <row r="219" customFormat="false" ht="15" hidden="false" customHeight="true" outlineLevel="0" collapsed="false">
      <c r="A219" s="16" t="str">
        <f aca="false">IF(Products!A219="","",Products!A219)</f>
        <v/>
      </c>
      <c r="B219" s="16" t="str">
        <f aca="false">IF($A219="","",INDEX(Products!$B$2:$B$501,ROW()-1))</f>
        <v/>
      </c>
      <c r="C219" s="16" t="str">
        <f aca="false">IF($A219="","",INDEX(Products!$C$2:$C$501,ROW()-1))</f>
        <v/>
      </c>
      <c r="D219" s="16" t="str">
        <f aca="false">IF(A219="","",N(Products!I219))</f>
        <v/>
      </c>
      <c r="E219" s="16" t="str">
        <f aca="false">IF(A219="","",SUMIFS(Purchases!$D$2:$D$2001,Purchases!$B$2:$B$2001,A219))</f>
        <v/>
      </c>
      <c r="F219" s="16" t="str">
        <f aca="false">IF(A219="","",SUMIFS(Sales_Items!$E$2:$E$3001,Sales_Items!$C$2:$C$3001,A219))</f>
        <v/>
      </c>
      <c r="G219" s="16" t="str">
        <f aca="false">IF(A219="","",D219+E219-F219)</f>
        <v/>
      </c>
      <c r="H219" s="17" t="str">
        <f aca="false">IF(A219="","",N(Products!E219))</f>
        <v/>
      </c>
      <c r="I219" s="17" t="str">
        <f aca="false">IF(A219="","",G219*H219)</f>
        <v/>
      </c>
      <c r="J219" s="16" t="str">
        <f aca="false">IF(A219="","",IF(Products!G219="",Settings!$B$8,Products!G219))</f>
        <v/>
      </c>
      <c r="K219" s="16" t="str">
        <f aca="false">IF(A219="","",IF(G219&lt;=0,"OUT",IF(G219&lt;=J219,"LOW","OK")))</f>
        <v/>
      </c>
      <c r="L219" s="16" t="str">
        <f aca="false">IF(A219="","",F219+ROW()/1000000)</f>
        <v/>
      </c>
      <c r="M219" s="16" t="str">
        <f aca="false">IF(OR(K219="LOW",K219="OUT"),COUNTIF($K$2:K219,"LOW")+COUNTIF($K$2:K219,"OUT"),"")</f>
        <v/>
      </c>
    </row>
    <row r="220" customFormat="false" ht="15" hidden="false" customHeight="true" outlineLevel="0" collapsed="false">
      <c r="A220" s="16" t="str">
        <f aca="false">IF(Products!A220="","",Products!A220)</f>
        <v/>
      </c>
      <c r="B220" s="16" t="str">
        <f aca="false">IF($A220="","",INDEX(Products!$B$2:$B$501,ROW()-1))</f>
        <v/>
      </c>
      <c r="C220" s="16" t="str">
        <f aca="false">IF($A220="","",INDEX(Products!$C$2:$C$501,ROW()-1))</f>
        <v/>
      </c>
      <c r="D220" s="16" t="str">
        <f aca="false">IF(A220="","",N(Products!I220))</f>
        <v/>
      </c>
      <c r="E220" s="16" t="str">
        <f aca="false">IF(A220="","",SUMIFS(Purchases!$D$2:$D$2001,Purchases!$B$2:$B$2001,A220))</f>
        <v/>
      </c>
      <c r="F220" s="16" t="str">
        <f aca="false">IF(A220="","",SUMIFS(Sales_Items!$E$2:$E$3001,Sales_Items!$C$2:$C$3001,A220))</f>
        <v/>
      </c>
      <c r="G220" s="16" t="str">
        <f aca="false">IF(A220="","",D220+E220-F220)</f>
        <v/>
      </c>
      <c r="H220" s="17" t="str">
        <f aca="false">IF(A220="","",N(Products!E220))</f>
        <v/>
      </c>
      <c r="I220" s="17" t="str">
        <f aca="false">IF(A220="","",G220*H220)</f>
        <v/>
      </c>
      <c r="J220" s="16" t="str">
        <f aca="false">IF(A220="","",IF(Products!G220="",Settings!$B$8,Products!G220))</f>
        <v/>
      </c>
      <c r="K220" s="16" t="str">
        <f aca="false">IF(A220="","",IF(G220&lt;=0,"OUT",IF(G220&lt;=J220,"LOW","OK")))</f>
        <v/>
      </c>
      <c r="L220" s="16" t="str">
        <f aca="false">IF(A220="","",F220+ROW()/1000000)</f>
        <v/>
      </c>
      <c r="M220" s="16" t="str">
        <f aca="false">IF(OR(K220="LOW",K220="OUT"),COUNTIF($K$2:K220,"LOW")+COUNTIF($K$2:K220,"OUT"),"")</f>
        <v/>
      </c>
    </row>
    <row r="221" customFormat="false" ht="15" hidden="false" customHeight="true" outlineLevel="0" collapsed="false">
      <c r="A221" s="16" t="str">
        <f aca="false">IF(Products!A221="","",Products!A221)</f>
        <v/>
      </c>
      <c r="B221" s="16" t="str">
        <f aca="false">IF($A221="","",INDEX(Products!$B$2:$B$501,ROW()-1))</f>
        <v/>
      </c>
      <c r="C221" s="16" t="str">
        <f aca="false">IF($A221="","",INDEX(Products!$C$2:$C$501,ROW()-1))</f>
        <v/>
      </c>
      <c r="D221" s="16" t="str">
        <f aca="false">IF(A221="","",N(Products!I221))</f>
        <v/>
      </c>
      <c r="E221" s="16" t="str">
        <f aca="false">IF(A221="","",SUMIFS(Purchases!$D$2:$D$2001,Purchases!$B$2:$B$2001,A221))</f>
        <v/>
      </c>
      <c r="F221" s="16" t="str">
        <f aca="false">IF(A221="","",SUMIFS(Sales_Items!$E$2:$E$3001,Sales_Items!$C$2:$C$3001,A221))</f>
        <v/>
      </c>
      <c r="G221" s="16" t="str">
        <f aca="false">IF(A221="","",D221+E221-F221)</f>
        <v/>
      </c>
      <c r="H221" s="17" t="str">
        <f aca="false">IF(A221="","",N(Products!E221))</f>
        <v/>
      </c>
      <c r="I221" s="17" t="str">
        <f aca="false">IF(A221="","",G221*H221)</f>
        <v/>
      </c>
      <c r="J221" s="16" t="str">
        <f aca="false">IF(A221="","",IF(Products!G221="",Settings!$B$8,Products!G221))</f>
        <v/>
      </c>
      <c r="K221" s="16" t="str">
        <f aca="false">IF(A221="","",IF(G221&lt;=0,"OUT",IF(G221&lt;=J221,"LOW","OK")))</f>
        <v/>
      </c>
      <c r="L221" s="16" t="str">
        <f aca="false">IF(A221="","",F221+ROW()/1000000)</f>
        <v/>
      </c>
      <c r="M221" s="16" t="str">
        <f aca="false">IF(OR(K221="LOW",K221="OUT"),COUNTIF($K$2:K221,"LOW")+COUNTIF($K$2:K221,"OUT"),"")</f>
        <v/>
      </c>
    </row>
    <row r="222" customFormat="false" ht="15" hidden="false" customHeight="true" outlineLevel="0" collapsed="false">
      <c r="A222" s="16" t="str">
        <f aca="false">IF(Products!A222="","",Products!A222)</f>
        <v/>
      </c>
      <c r="B222" s="16" t="str">
        <f aca="false">IF($A222="","",INDEX(Products!$B$2:$B$501,ROW()-1))</f>
        <v/>
      </c>
      <c r="C222" s="16" t="str">
        <f aca="false">IF($A222="","",INDEX(Products!$C$2:$C$501,ROW()-1))</f>
        <v/>
      </c>
      <c r="D222" s="16" t="str">
        <f aca="false">IF(A222="","",N(Products!I222))</f>
        <v/>
      </c>
      <c r="E222" s="16" t="str">
        <f aca="false">IF(A222="","",SUMIFS(Purchases!$D$2:$D$2001,Purchases!$B$2:$B$2001,A222))</f>
        <v/>
      </c>
      <c r="F222" s="16" t="str">
        <f aca="false">IF(A222="","",SUMIFS(Sales_Items!$E$2:$E$3001,Sales_Items!$C$2:$C$3001,A222))</f>
        <v/>
      </c>
      <c r="G222" s="16" t="str">
        <f aca="false">IF(A222="","",D222+E222-F222)</f>
        <v/>
      </c>
      <c r="H222" s="17" t="str">
        <f aca="false">IF(A222="","",N(Products!E222))</f>
        <v/>
      </c>
      <c r="I222" s="17" t="str">
        <f aca="false">IF(A222="","",G222*H222)</f>
        <v/>
      </c>
      <c r="J222" s="16" t="str">
        <f aca="false">IF(A222="","",IF(Products!G222="",Settings!$B$8,Products!G222))</f>
        <v/>
      </c>
      <c r="K222" s="16" t="str">
        <f aca="false">IF(A222="","",IF(G222&lt;=0,"OUT",IF(G222&lt;=J222,"LOW","OK")))</f>
        <v/>
      </c>
      <c r="L222" s="16" t="str">
        <f aca="false">IF(A222="","",F222+ROW()/1000000)</f>
        <v/>
      </c>
      <c r="M222" s="16" t="str">
        <f aca="false">IF(OR(K222="LOW",K222="OUT"),COUNTIF($K$2:K222,"LOW")+COUNTIF($K$2:K222,"OUT"),"")</f>
        <v/>
      </c>
    </row>
    <row r="223" customFormat="false" ht="15" hidden="false" customHeight="true" outlineLevel="0" collapsed="false">
      <c r="A223" s="16" t="str">
        <f aca="false">IF(Products!A223="","",Products!A223)</f>
        <v/>
      </c>
      <c r="B223" s="16" t="str">
        <f aca="false">IF($A223="","",INDEX(Products!$B$2:$B$501,ROW()-1))</f>
        <v/>
      </c>
      <c r="C223" s="16" t="str">
        <f aca="false">IF($A223="","",INDEX(Products!$C$2:$C$501,ROW()-1))</f>
        <v/>
      </c>
      <c r="D223" s="16" t="str">
        <f aca="false">IF(A223="","",N(Products!I223))</f>
        <v/>
      </c>
      <c r="E223" s="16" t="str">
        <f aca="false">IF(A223="","",SUMIFS(Purchases!$D$2:$D$2001,Purchases!$B$2:$B$2001,A223))</f>
        <v/>
      </c>
      <c r="F223" s="16" t="str">
        <f aca="false">IF(A223="","",SUMIFS(Sales_Items!$E$2:$E$3001,Sales_Items!$C$2:$C$3001,A223))</f>
        <v/>
      </c>
      <c r="G223" s="16" t="str">
        <f aca="false">IF(A223="","",D223+E223-F223)</f>
        <v/>
      </c>
      <c r="H223" s="17" t="str">
        <f aca="false">IF(A223="","",N(Products!E223))</f>
        <v/>
      </c>
      <c r="I223" s="17" t="str">
        <f aca="false">IF(A223="","",G223*H223)</f>
        <v/>
      </c>
      <c r="J223" s="16" t="str">
        <f aca="false">IF(A223="","",IF(Products!G223="",Settings!$B$8,Products!G223))</f>
        <v/>
      </c>
      <c r="K223" s="16" t="str">
        <f aca="false">IF(A223="","",IF(G223&lt;=0,"OUT",IF(G223&lt;=J223,"LOW","OK")))</f>
        <v/>
      </c>
      <c r="L223" s="16" t="str">
        <f aca="false">IF(A223="","",F223+ROW()/1000000)</f>
        <v/>
      </c>
      <c r="M223" s="16" t="str">
        <f aca="false">IF(OR(K223="LOW",K223="OUT"),COUNTIF($K$2:K223,"LOW")+COUNTIF($K$2:K223,"OUT"),"")</f>
        <v/>
      </c>
    </row>
    <row r="224" customFormat="false" ht="15" hidden="false" customHeight="true" outlineLevel="0" collapsed="false">
      <c r="A224" s="16" t="str">
        <f aca="false">IF(Products!A224="","",Products!A224)</f>
        <v/>
      </c>
      <c r="B224" s="16" t="str">
        <f aca="false">IF($A224="","",INDEX(Products!$B$2:$B$501,ROW()-1))</f>
        <v/>
      </c>
      <c r="C224" s="16" t="str">
        <f aca="false">IF($A224="","",INDEX(Products!$C$2:$C$501,ROW()-1))</f>
        <v/>
      </c>
      <c r="D224" s="16" t="str">
        <f aca="false">IF(A224="","",N(Products!I224))</f>
        <v/>
      </c>
      <c r="E224" s="16" t="str">
        <f aca="false">IF(A224="","",SUMIFS(Purchases!$D$2:$D$2001,Purchases!$B$2:$B$2001,A224))</f>
        <v/>
      </c>
      <c r="F224" s="16" t="str">
        <f aca="false">IF(A224="","",SUMIFS(Sales_Items!$E$2:$E$3001,Sales_Items!$C$2:$C$3001,A224))</f>
        <v/>
      </c>
      <c r="G224" s="16" t="str">
        <f aca="false">IF(A224="","",D224+E224-F224)</f>
        <v/>
      </c>
      <c r="H224" s="17" t="str">
        <f aca="false">IF(A224="","",N(Products!E224))</f>
        <v/>
      </c>
      <c r="I224" s="17" t="str">
        <f aca="false">IF(A224="","",G224*H224)</f>
        <v/>
      </c>
      <c r="J224" s="16" t="str">
        <f aca="false">IF(A224="","",IF(Products!G224="",Settings!$B$8,Products!G224))</f>
        <v/>
      </c>
      <c r="K224" s="16" t="str">
        <f aca="false">IF(A224="","",IF(G224&lt;=0,"OUT",IF(G224&lt;=J224,"LOW","OK")))</f>
        <v/>
      </c>
      <c r="L224" s="16" t="str">
        <f aca="false">IF(A224="","",F224+ROW()/1000000)</f>
        <v/>
      </c>
      <c r="M224" s="16" t="str">
        <f aca="false">IF(OR(K224="LOW",K224="OUT"),COUNTIF($K$2:K224,"LOW")+COUNTIF($K$2:K224,"OUT"),"")</f>
        <v/>
      </c>
    </row>
    <row r="225" customFormat="false" ht="15" hidden="false" customHeight="true" outlineLevel="0" collapsed="false">
      <c r="A225" s="16" t="str">
        <f aca="false">IF(Products!A225="","",Products!A225)</f>
        <v/>
      </c>
      <c r="B225" s="16" t="str">
        <f aca="false">IF($A225="","",INDEX(Products!$B$2:$B$501,ROW()-1))</f>
        <v/>
      </c>
      <c r="C225" s="16" t="str">
        <f aca="false">IF($A225="","",INDEX(Products!$C$2:$C$501,ROW()-1))</f>
        <v/>
      </c>
      <c r="D225" s="16" t="str">
        <f aca="false">IF(A225="","",N(Products!I225))</f>
        <v/>
      </c>
      <c r="E225" s="16" t="str">
        <f aca="false">IF(A225="","",SUMIFS(Purchases!$D$2:$D$2001,Purchases!$B$2:$B$2001,A225))</f>
        <v/>
      </c>
      <c r="F225" s="16" t="str">
        <f aca="false">IF(A225="","",SUMIFS(Sales_Items!$E$2:$E$3001,Sales_Items!$C$2:$C$3001,A225))</f>
        <v/>
      </c>
      <c r="G225" s="16" t="str">
        <f aca="false">IF(A225="","",D225+E225-F225)</f>
        <v/>
      </c>
      <c r="H225" s="17" t="str">
        <f aca="false">IF(A225="","",N(Products!E225))</f>
        <v/>
      </c>
      <c r="I225" s="17" t="str">
        <f aca="false">IF(A225="","",G225*H225)</f>
        <v/>
      </c>
      <c r="J225" s="16" t="str">
        <f aca="false">IF(A225="","",IF(Products!G225="",Settings!$B$8,Products!G225))</f>
        <v/>
      </c>
      <c r="K225" s="16" t="str">
        <f aca="false">IF(A225="","",IF(G225&lt;=0,"OUT",IF(G225&lt;=J225,"LOW","OK")))</f>
        <v/>
      </c>
      <c r="L225" s="16" t="str">
        <f aca="false">IF(A225="","",F225+ROW()/1000000)</f>
        <v/>
      </c>
      <c r="M225" s="16" t="str">
        <f aca="false">IF(OR(K225="LOW",K225="OUT"),COUNTIF($K$2:K225,"LOW")+COUNTIF($K$2:K225,"OUT"),"")</f>
        <v/>
      </c>
    </row>
    <row r="226" customFormat="false" ht="15" hidden="false" customHeight="true" outlineLevel="0" collapsed="false">
      <c r="A226" s="16" t="str">
        <f aca="false">IF(Products!A226="","",Products!A226)</f>
        <v/>
      </c>
      <c r="B226" s="16" t="str">
        <f aca="false">IF($A226="","",INDEX(Products!$B$2:$B$501,ROW()-1))</f>
        <v/>
      </c>
      <c r="C226" s="16" t="str">
        <f aca="false">IF($A226="","",INDEX(Products!$C$2:$C$501,ROW()-1))</f>
        <v/>
      </c>
      <c r="D226" s="16" t="str">
        <f aca="false">IF(A226="","",N(Products!I226))</f>
        <v/>
      </c>
      <c r="E226" s="16" t="str">
        <f aca="false">IF(A226="","",SUMIFS(Purchases!$D$2:$D$2001,Purchases!$B$2:$B$2001,A226))</f>
        <v/>
      </c>
      <c r="F226" s="16" t="str">
        <f aca="false">IF(A226="","",SUMIFS(Sales_Items!$E$2:$E$3001,Sales_Items!$C$2:$C$3001,A226))</f>
        <v/>
      </c>
      <c r="G226" s="16" t="str">
        <f aca="false">IF(A226="","",D226+E226-F226)</f>
        <v/>
      </c>
      <c r="H226" s="17" t="str">
        <f aca="false">IF(A226="","",N(Products!E226))</f>
        <v/>
      </c>
      <c r="I226" s="17" t="str">
        <f aca="false">IF(A226="","",G226*H226)</f>
        <v/>
      </c>
      <c r="J226" s="16" t="str">
        <f aca="false">IF(A226="","",IF(Products!G226="",Settings!$B$8,Products!G226))</f>
        <v/>
      </c>
      <c r="K226" s="16" t="str">
        <f aca="false">IF(A226="","",IF(G226&lt;=0,"OUT",IF(G226&lt;=J226,"LOW","OK")))</f>
        <v/>
      </c>
      <c r="L226" s="16" t="str">
        <f aca="false">IF(A226="","",F226+ROW()/1000000)</f>
        <v/>
      </c>
      <c r="M226" s="16" t="str">
        <f aca="false">IF(OR(K226="LOW",K226="OUT"),COUNTIF($K$2:K226,"LOW")+COUNTIF($K$2:K226,"OUT"),"")</f>
        <v/>
      </c>
    </row>
    <row r="227" customFormat="false" ht="15" hidden="false" customHeight="true" outlineLevel="0" collapsed="false">
      <c r="A227" s="16" t="str">
        <f aca="false">IF(Products!A227="","",Products!A227)</f>
        <v/>
      </c>
      <c r="B227" s="16" t="str">
        <f aca="false">IF($A227="","",INDEX(Products!$B$2:$B$501,ROW()-1))</f>
        <v/>
      </c>
      <c r="C227" s="16" t="str">
        <f aca="false">IF($A227="","",INDEX(Products!$C$2:$C$501,ROW()-1))</f>
        <v/>
      </c>
      <c r="D227" s="16" t="str">
        <f aca="false">IF(A227="","",N(Products!I227))</f>
        <v/>
      </c>
      <c r="E227" s="16" t="str">
        <f aca="false">IF(A227="","",SUMIFS(Purchases!$D$2:$D$2001,Purchases!$B$2:$B$2001,A227))</f>
        <v/>
      </c>
      <c r="F227" s="16" t="str">
        <f aca="false">IF(A227="","",SUMIFS(Sales_Items!$E$2:$E$3001,Sales_Items!$C$2:$C$3001,A227))</f>
        <v/>
      </c>
      <c r="G227" s="16" t="str">
        <f aca="false">IF(A227="","",D227+E227-F227)</f>
        <v/>
      </c>
      <c r="H227" s="17" t="str">
        <f aca="false">IF(A227="","",N(Products!E227))</f>
        <v/>
      </c>
      <c r="I227" s="17" t="str">
        <f aca="false">IF(A227="","",G227*H227)</f>
        <v/>
      </c>
      <c r="J227" s="16" t="str">
        <f aca="false">IF(A227="","",IF(Products!G227="",Settings!$B$8,Products!G227))</f>
        <v/>
      </c>
      <c r="K227" s="16" t="str">
        <f aca="false">IF(A227="","",IF(G227&lt;=0,"OUT",IF(G227&lt;=J227,"LOW","OK")))</f>
        <v/>
      </c>
      <c r="L227" s="16" t="str">
        <f aca="false">IF(A227="","",F227+ROW()/1000000)</f>
        <v/>
      </c>
      <c r="M227" s="16" t="str">
        <f aca="false">IF(OR(K227="LOW",K227="OUT"),COUNTIF($K$2:K227,"LOW")+COUNTIF($K$2:K227,"OUT"),"")</f>
        <v/>
      </c>
    </row>
    <row r="228" customFormat="false" ht="15" hidden="false" customHeight="true" outlineLevel="0" collapsed="false">
      <c r="A228" s="16" t="str">
        <f aca="false">IF(Products!A228="","",Products!A228)</f>
        <v/>
      </c>
      <c r="B228" s="16" t="str">
        <f aca="false">IF($A228="","",INDEX(Products!$B$2:$B$501,ROW()-1))</f>
        <v/>
      </c>
      <c r="C228" s="16" t="str">
        <f aca="false">IF($A228="","",INDEX(Products!$C$2:$C$501,ROW()-1))</f>
        <v/>
      </c>
      <c r="D228" s="16" t="str">
        <f aca="false">IF(A228="","",N(Products!I228))</f>
        <v/>
      </c>
      <c r="E228" s="16" t="str">
        <f aca="false">IF(A228="","",SUMIFS(Purchases!$D$2:$D$2001,Purchases!$B$2:$B$2001,A228))</f>
        <v/>
      </c>
      <c r="F228" s="16" t="str">
        <f aca="false">IF(A228="","",SUMIFS(Sales_Items!$E$2:$E$3001,Sales_Items!$C$2:$C$3001,A228))</f>
        <v/>
      </c>
      <c r="G228" s="16" t="str">
        <f aca="false">IF(A228="","",D228+E228-F228)</f>
        <v/>
      </c>
      <c r="H228" s="17" t="str">
        <f aca="false">IF(A228="","",N(Products!E228))</f>
        <v/>
      </c>
      <c r="I228" s="17" t="str">
        <f aca="false">IF(A228="","",G228*H228)</f>
        <v/>
      </c>
      <c r="J228" s="16" t="str">
        <f aca="false">IF(A228="","",IF(Products!G228="",Settings!$B$8,Products!G228))</f>
        <v/>
      </c>
      <c r="K228" s="16" t="str">
        <f aca="false">IF(A228="","",IF(G228&lt;=0,"OUT",IF(G228&lt;=J228,"LOW","OK")))</f>
        <v/>
      </c>
      <c r="L228" s="16" t="str">
        <f aca="false">IF(A228="","",F228+ROW()/1000000)</f>
        <v/>
      </c>
      <c r="M228" s="16" t="str">
        <f aca="false">IF(OR(K228="LOW",K228="OUT"),COUNTIF($K$2:K228,"LOW")+COUNTIF($K$2:K228,"OUT"),"")</f>
        <v/>
      </c>
    </row>
    <row r="229" customFormat="false" ht="15" hidden="false" customHeight="true" outlineLevel="0" collapsed="false">
      <c r="A229" s="16" t="str">
        <f aca="false">IF(Products!A229="","",Products!A229)</f>
        <v/>
      </c>
      <c r="B229" s="16" t="str">
        <f aca="false">IF($A229="","",INDEX(Products!$B$2:$B$501,ROW()-1))</f>
        <v/>
      </c>
      <c r="C229" s="16" t="str">
        <f aca="false">IF($A229="","",INDEX(Products!$C$2:$C$501,ROW()-1))</f>
        <v/>
      </c>
      <c r="D229" s="16" t="str">
        <f aca="false">IF(A229="","",N(Products!I229))</f>
        <v/>
      </c>
      <c r="E229" s="16" t="str">
        <f aca="false">IF(A229="","",SUMIFS(Purchases!$D$2:$D$2001,Purchases!$B$2:$B$2001,A229))</f>
        <v/>
      </c>
      <c r="F229" s="16" t="str">
        <f aca="false">IF(A229="","",SUMIFS(Sales_Items!$E$2:$E$3001,Sales_Items!$C$2:$C$3001,A229))</f>
        <v/>
      </c>
      <c r="G229" s="16" t="str">
        <f aca="false">IF(A229="","",D229+E229-F229)</f>
        <v/>
      </c>
      <c r="H229" s="17" t="str">
        <f aca="false">IF(A229="","",N(Products!E229))</f>
        <v/>
      </c>
      <c r="I229" s="17" t="str">
        <f aca="false">IF(A229="","",G229*H229)</f>
        <v/>
      </c>
      <c r="J229" s="16" t="str">
        <f aca="false">IF(A229="","",IF(Products!G229="",Settings!$B$8,Products!G229))</f>
        <v/>
      </c>
      <c r="K229" s="16" t="str">
        <f aca="false">IF(A229="","",IF(G229&lt;=0,"OUT",IF(G229&lt;=J229,"LOW","OK")))</f>
        <v/>
      </c>
      <c r="L229" s="16" t="str">
        <f aca="false">IF(A229="","",F229+ROW()/1000000)</f>
        <v/>
      </c>
      <c r="M229" s="16" t="str">
        <f aca="false">IF(OR(K229="LOW",K229="OUT"),COUNTIF($K$2:K229,"LOW")+COUNTIF($K$2:K229,"OUT"),"")</f>
        <v/>
      </c>
    </row>
    <row r="230" customFormat="false" ht="15" hidden="false" customHeight="true" outlineLevel="0" collapsed="false">
      <c r="A230" s="16" t="str">
        <f aca="false">IF(Products!A230="","",Products!A230)</f>
        <v/>
      </c>
      <c r="B230" s="16" t="str">
        <f aca="false">IF($A230="","",INDEX(Products!$B$2:$B$501,ROW()-1))</f>
        <v/>
      </c>
      <c r="C230" s="16" t="str">
        <f aca="false">IF($A230="","",INDEX(Products!$C$2:$C$501,ROW()-1))</f>
        <v/>
      </c>
      <c r="D230" s="16" t="str">
        <f aca="false">IF(A230="","",N(Products!I230))</f>
        <v/>
      </c>
      <c r="E230" s="16" t="str">
        <f aca="false">IF(A230="","",SUMIFS(Purchases!$D$2:$D$2001,Purchases!$B$2:$B$2001,A230))</f>
        <v/>
      </c>
      <c r="F230" s="16" t="str">
        <f aca="false">IF(A230="","",SUMIFS(Sales_Items!$E$2:$E$3001,Sales_Items!$C$2:$C$3001,A230))</f>
        <v/>
      </c>
      <c r="G230" s="16" t="str">
        <f aca="false">IF(A230="","",D230+E230-F230)</f>
        <v/>
      </c>
      <c r="H230" s="17" t="str">
        <f aca="false">IF(A230="","",N(Products!E230))</f>
        <v/>
      </c>
      <c r="I230" s="17" t="str">
        <f aca="false">IF(A230="","",G230*H230)</f>
        <v/>
      </c>
      <c r="J230" s="16" t="str">
        <f aca="false">IF(A230="","",IF(Products!G230="",Settings!$B$8,Products!G230))</f>
        <v/>
      </c>
      <c r="K230" s="16" t="str">
        <f aca="false">IF(A230="","",IF(G230&lt;=0,"OUT",IF(G230&lt;=J230,"LOW","OK")))</f>
        <v/>
      </c>
      <c r="L230" s="16" t="str">
        <f aca="false">IF(A230="","",F230+ROW()/1000000)</f>
        <v/>
      </c>
      <c r="M230" s="16" t="str">
        <f aca="false">IF(OR(K230="LOW",K230="OUT"),COUNTIF($K$2:K230,"LOW")+COUNTIF($K$2:K230,"OUT"),"")</f>
        <v/>
      </c>
    </row>
    <row r="231" customFormat="false" ht="15" hidden="false" customHeight="true" outlineLevel="0" collapsed="false">
      <c r="A231" s="16" t="str">
        <f aca="false">IF(Products!A231="","",Products!A231)</f>
        <v/>
      </c>
      <c r="B231" s="16" t="str">
        <f aca="false">IF($A231="","",INDEX(Products!$B$2:$B$501,ROW()-1))</f>
        <v/>
      </c>
      <c r="C231" s="16" t="str">
        <f aca="false">IF($A231="","",INDEX(Products!$C$2:$C$501,ROW()-1))</f>
        <v/>
      </c>
      <c r="D231" s="16" t="str">
        <f aca="false">IF(A231="","",N(Products!I231))</f>
        <v/>
      </c>
      <c r="E231" s="16" t="str">
        <f aca="false">IF(A231="","",SUMIFS(Purchases!$D$2:$D$2001,Purchases!$B$2:$B$2001,A231))</f>
        <v/>
      </c>
      <c r="F231" s="16" t="str">
        <f aca="false">IF(A231="","",SUMIFS(Sales_Items!$E$2:$E$3001,Sales_Items!$C$2:$C$3001,A231))</f>
        <v/>
      </c>
      <c r="G231" s="16" t="str">
        <f aca="false">IF(A231="","",D231+E231-F231)</f>
        <v/>
      </c>
      <c r="H231" s="17" t="str">
        <f aca="false">IF(A231="","",N(Products!E231))</f>
        <v/>
      </c>
      <c r="I231" s="17" t="str">
        <f aca="false">IF(A231="","",G231*H231)</f>
        <v/>
      </c>
      <c r="J231" s="16" t="str">
        <f aca="false">IF(A231="","",IF(Products!G231="",Settings!$B$8,Products!G231))</f>
        <v/>
      </c>
      <c r="K231" s="16" t="str">
        <f aca="false">IF(A231="","",IF(G231&lt;=0,"OUT",IF(G231&lt;=J231,"LOW","OK")))</f>
        <v/>
      </c>
      <c r="L231" s="16" t="str">
        <f aca="false">IF(A231="","",F231+ROW()/1000000)</f>
        <v/>
      </c>
      <c r="M231" s="16" t="str">
        <f aca="false">IF(OR(K231="LOW",K231="OUT"),COUNTIF($K$2:K231,"LOW")+COUNTIF($K$2:K231,"OUT"),"")</f>
        <v/>
      </c>
    </row>
    <row r="232" customFormat="false" ht="15" hidden="false" customHeight="true" outlineLevel="0" collapsed="false">
      <c r="A232" s="16" t="str">
        <f aca="false">IF(Products!A232="","",Products!A232)</f>
        <v/>
      </c>
      <c r="B232" s="16" t="str">
        <f aca="false">IF($A232="","",INDEX(Products!$B$2:$B$501,ROW()-1))</f>
        <v/>
      </c>
      <c r="C232" s="16" t="str">
        <f aca="false">IF($A232="","",INDEX(Products!$C$2:$C$501,ROW()-1))</f>
        <v/>
      </c>
      <c r="D232" s="16" t="str">
        <f aca="false">IF(A232="","",N(Products!I232))</f>
        <v/>
      </c>
      <c r="E232" s="16" t="str">
        <f aca="false">IF(A232="","",SUMIFS(Purchases!$D$2:$D$2001,Purchases!$B$2:$B$2001,A232))</f>
        <v/>
      </c>
      <c r="F232" s="16" t="str">
        <f aca="false">IF(A232="","",SUMIFS(Sales_Items!$E$2:$E$3001,Sales_Items!$C$2:$C$3001,A232))</f>
        <v/>
      </c>
      <c r="G232" s="16" t="str">
        <f aca="false">IF(A232="","",D232+E232-F232)</f>
        <v/>
      </c>
      <c r="H232" s="17" t="str">
        <f aca="false">IF(A232="","",N(Products!E232))</f>
        <v/>
      </c>
      <c r="I232" s="17" t="str">
        <f aca="false">IF(A232="","",G232*H232)</f>
        <v/>
      </c>
      <c r="J232" s="16" t="str">
        <f aca="false">IF(A232="","",IF(Products!G232="",Settings!$B$8,Products!G232))</f>
        <v/>
      </c>
      <c r="K232" s="16" t="str">
        <f aca="false">IF(A232="","",IF(G232&lt;=0,"OUT",IF(G232&lt;=J232,"LOW","OK")))</f>
        <v/>
      </c>
      <c r="L232" s="16" t="str">
        <f aca="false">IF(A232="","",F232+ROW()/1000000)</f>
        <v/>
      </c>
      <c r="M232" s="16" t="str">
        <f aca="false">IF(OR(K232="LOW",K232="OUT"),COUNTIF($K$2:K232,"LOW")+COUNTIF($K$2:K232,"OUT"),"")</f>
        <v/>
      </c>
    </row>
    <row r="233" customFormat="false" ht="15" hidden="false" customHeight="true" outlineLevel="0" collapsed="false">
      <c r="A233" s="16" t="str">
        <f aca="false">IF(Products!A233="","",Products!A233)</f>
        <v/>
      </c>
      <c r="B233" s="16" t="str">
        <f aca="false">IF($A233="","",INDEX(Products!$B$2:$B$501,ROW()-1))</f>
        <v/>
      </c>
      <c r="C233" s="16" t="str">
        <f aca="false">IF($A233="","",INDEX(Products!$C$2:$C$501,ROW()-1))</f>
        <v/>
      </c>
      <c r="D233" s="16" t="str">
        <f aca="false">IF(A233="","",N(Products!I233))</f>
        <v/>
      </c>
      <c r="E233" s="16" t="str">
        <f aca="false">IF(A233="","",SUMIFS(Purchases!$D$2:$D$2001,Purchases!$B$2:$B$2001,A233))</f>
        <v/>
      </c>
      <c r="F233" s="16" t="str">
        <f aca="false">IF(A233="","",SUMIFS(Sales_Items!$E$2:$E$3001,Sales_Items!$C$2:$C$3001,A233))</f>
        <v/>
      </c>
      <c r="G233" s="16" t="str">
        <f aca="false">IF(A233="","",D233+E233-F233)</f>
        <v/>
      </c>
      <c r="H233" s="17" t="str">
        <f aca="false">IF(A233="","",N(Products!E233))</f>
        <v/>
      </c>
      <c r="I233" s="17" t="str">
        <f aca="false">IF(A233="","",G233*H233)</f>
        <v/>
      </c>
      <c r="J233" s="16" t="str">
        <f aca="false">IF(A233="","",IF(Products!G233="",Settings!$B$8,Products!G233))</f>
        <v/>
      </c>
      <c r="K233" s="16" t="str">
        <f aca="false">IF(A233="","",IF(G233&lt;=0,"OUT",IF(G233&lt;=J233,"LOW","OK")))</f>
        <v/>
      </c>
      <c r="L233" s="16" t="str">
        <f aca="false">IF(A233="","",F233+ROW()/1000000)</f>
        <v/>
      </c>
      <c r="M233" s="16" t="str">
        <f aca="false">IF(OR(K233="LOW",K233="OUT"),COUNTIF($K$2:K233,"LOW")+COUNTIF($K$2:K233,"OUT"),"")</f>
        <v/>
      </c>
    </row>
    <row r="234" customFormat="false" ht="15" hidden="false" customHeight="true" outlineLevel="0" collapsed="false">
      <c r="A234" s="16" t="str">
        <f aca="false">IF(Products!A234="","",Products!A234)</f>
        <v/>
      </c>
      <c r="B234" s="16" t="str">
        <f aca="false">IF($A234="","",INDEX(Products!$B$2:$B$501,ROW()-1))</f>
        <v/>
      </c>
      <c r="C234" s="16" t="str">
        <f aca="false">IF($A234="","",INDEX(Products!$C$2:$C$501,ROW()-1))</f>
        <v/>
      </c>
      <c r="D234" s="16" t="str">
        <f aca="false">IF(A234="","",N(Products!I234))</f>
        <v/>
      </c>
      <c r="E234" s="16" t="str">
        <f aca="false">IF(A234="","",SUMIFS(Purchases!$D$2:$D$2001,Purchases!$B$2:$B$2001,A234))</f>
        <v/>
      </c>
      <c r="F234" s="16" t="str">
        <f aca="false">IF(A234="","",SUMIFS(Sales_Items!$E$2:$E$3001,Sales_Items!$C$2:$C$3001,A234))</f>
        <v/>
      </c>
      <c r="G234" s="16" t="str">
        <f aca="false">IF(A234="","",D234+E234-F234)</f>
        <v/>
      </c>
      <c r="H234" s="17" t="str">
        <f aca="false">IF(A234="","",N(Products!E234))</f>
        <v/>
      </c>
      <c r="I234" s="17" t="str">
        <f aca="false">IF(A234="","",G234*H234)</f>
        <v/>
      </c>
      <c r="J234" s="16" t="str">
        <f aca="false">IF(A234="","",IF(Products!G234="",Settings!$B$8,Products!G234))</f>
        <v/>
      </c>
      <c r="K234" s="16" t="str">
        <f aca="false">IF(A234="","",IF(G234&lt;=0,"OUT",IF(G234&lt;=J234,"LOW","OK")))</f>
        <v/>
      </c>
      <c r="L234" s="16" t="str">
        <f aca="false">IF(A234="","",F234+ROW()/1000000)</f>
        <v/>
      </c>
      <c r="M234" s="16" t="str">
        <f aca="false">IF(OR(K234="LOW",K234="OUT"),COUNTIF($K$2:K234,"LOW")+COUNTIF($K$2:K234,"OUT"),"")</f>
        <v/>
      </c>
    </row>
    <row r="235" customFormat="false" ht="15" hidden="false" customHeight="true" outlineLevel="0" collapsed="false">
      <c r="A235" s="16" t="str">
        <f aca="false">IF(Products!A235="","",Products!A235)</f>
        <v/>
      </c>
      <c r="B235" s="16" t="str">
        <f aca="false">IF($A235="","",INDEX(Products!$B$2:$B$501,ROW()-1))</f>
        <v/>
      </c>
      <c r="C235" s="16" t="str">
        <f aca="false">IF($A235="","",INDEX(Products!$C$2:$C$501,ROW()-1))</f>
        <v/>
      </c>
      <c r="D235" s="16" t="str">
        <f aca="false">IF(A235="","",N(Products!I235))</f>
        <v/>
      </c>
      <c r="E235" s="16" t="str">
        <f aca="false">IF(A235="","",SUMIFS(Purchases!$D$2:$D$2001,Purchases!$B$2:$B$2001,A235))</f>
        <v/>
      </c>
      <c r="F235" s="16" t="str">
        <f aca="false">IF(A235="","",SUMIFS(Sales_Items!$E$2:$E$3001,Sales_Items!$C$2:$C$3001,A235))</f>
        <v/>
      </c>
      <c r="G235" s="16" t="str">
        <f aca="false">IF(A235="","",D235+E235-F235)</f>
        <v/>
      </c>
      <c r="H235" s="17" t="str">
        <f aca="false">IF(A235="","",N(Products!E235))</f>
        <v/>
      </c>
      <c r="I235" s="17" t="str">
        <f aca="false">IF(A235="","",G235*H235)</f>
        <v/>
      </c>
      <c r="J235" s="16" t="str">
        <f aca="false">IF(A235="","",IF(Products!G235="",Settings!$B$8,Products!G235))</f>
        <v/>
      </c>
      <c r="K235" s="16" t="str">
        <f aca="false">IF(A235="","",IF(G235&lt;=0,"OUT",IF(G235&lt;=J235,"LOW","OK")))</f>
        <v/>
      </c>
      <c r="L235" s="16" t="str">
        <f aca="false">IF(A235="","",F235+ROW()/1000000)</f>
        <v/>
      </c>
      <c r="M235" s="16" t="str">
        <f aca="false">IF(OR(K235="LOW",K235="OUT"),COUNTIF($K$2:K235,"LOW")+COUNTIF($K$2:K235,"OUT"),"")</f>
        <v/>
      </c>
    </row>
    <row r="236" customFormat="false" ht="15" hidden="false" customHeight="true" outlineLevel="0" collapsed="false">
      <c r="A236" s="16" t="str">
        <f aca="false">IF(Products!A236="","",Products!A236)</f>
        <v/>
      </c>
      <c r="B236" s="16" t="str">
        <f aca="false">IF($A236="","",INDEX(Products!$B$2:$B$501,ROW()-1))</f>
        <v/>
      </c>
      <c r="C236" s="16" t="str">
        <f aca="false">IF($A236="","",INDEX(Products!$C$2:$C$501,ROW()-1))</f>
        <v/>
      </c>
      <c r="D236" s="16" t="str">
        <f aca="false">IF(A236="","",N(Products!I236))</f>
        <v/>
      </c>
      <c r="E236" s="16" t="str">
        <f aca="false">IF(A236="","",SUMIFS(Purchases!$D$2:$D$2001,Purchases!$B$2:$B$2001,A236))</f>
        <v/>
      </c>
      <c r="F236" s="16" t="str">
        <f aca="false">IF(A236="","",SUMIFS(Sales_Items!$E$2:$E$3001,Sales_Items!$C$2:$C$3001,A236))</f>
        <v/>
      </c>
      <c r="G236" s="16" t="str">
        <f aca="false">IF(A236="","",D236+E236-F236)</f>
        <v/>
      </c>
      <c r="H236" s="17" t="str">
        <f aca="false">IF(A236="","",N(Products!E236))</f>
        <v/>
      </c>
      <c r="I236" s="17" t="str">
        <f aca="false">IF(A236="","",G236*H236)</f>
        <v/>
      </c>
      <c r="J236" s="16" t="str">
        <f aca="false">IF(A236="","",IF(Products!G236="",Settings!$B$8,Products!G236))</f>
        <v/>
      </c>
      <c r="K236" s="16" t="str">
        <f aca="false">IF(A236="","",IF(G236&lt;=0,"OUT",IF(G236&lt;=J236,"LOW","OK")))</f>
        <v/>
      </c>
      <c r="L236" s="16" t="str">
        <f aca="false">IF(A236="","",F236+ROW()/1000000)</f>
        <v/>
      </c>
      <c r="M236" s="16" t="str">
        <f aca="false">IF(OR(K236="LOW",K236="OUT"),COUNTIF($K$2:K236,"LOW")+COUNTIF($K$2:K236,"OUT"),"")</f>
        <v/>
      </c>
    </row>
    <row r="237" customFormat="false" ht="15" hidden="false" customHeight="true" outlineLevel="0" collapsed="false">
      <c r="A237" s="16" t="str">
        <f aca="false">IF(Products!A237="","",Products!A237)</f>
        <v/>
      </c>
      <c r="B237" s="16" t="str">
        <f aca="false">IF($A237="","",INDEX(Products!$B$2:$B$501,ROW()-1))</f>
        <v/>
      </c>
      <c r="C237" s="16" t="str">
        <f aca="false">IF($A237="","",INDEX(Products!$C$2:$C$501,ROW()-1))</f>
        <v/>
      </c>
      <c r="D237" s="16" t="str">
        <f aca="false">IF(A237="","",N(Products!I237))</f>
        <v/>
      </c>
      <c r="E237" s="16" t="str">
        <f aca="false">IF(A237="","",SUMIFS(Purchases!$D$2:$D$2001,Purchases!$B$2:$B$2001,A237))</f>
        <v/>
      </c>
      <c r="F237" s="16" t="str">
        <f aca="false">IF(A237="","",SUMIFS(Sales_Items!$E$2:$E$3001,Sales_Items!$C$2:$C$3001,A237))</f>
        <v/>
      </c>
      <c r="G237" s="16" t="str">
        <f aca="false">IF(A237="","",D237+E237-F237)</f>
        <v/>
      </c>
      <c r="H237" s="17" t="str">
        <f aca="false">IF(A237="","",N(Products!E237))</f>
        <v/>
      </c>
      <c r="I237" s="17" t="str">
        <f aca="false">IF(A237="","",G237*H237)</f>
        <v/>
      </c>
      <c r="J237" s="16" t="str">
        <f aca="false">IF(A237="","",IF(Products!G237="",Settings!$B$8,Products!G237))</f>
        <v/>
      </c>
      <c r="K237" s="16" t="str">
        <f aca="false">IF(A237="","",IF(G237&lt;=0,"OUT",IF(G237&lt;=J237,"LOW","OK")))</f>
        <v/>
      </c>
      <c r="L237" s="16" t="str">
        <f aca="false">IF(A237="","",F237+ROW()/1000000)</f>
        <v/>
      </c>
      <c r="M237" s="16" t="str">
        <f aca="false">IF(OR(K237="LOW",K237="OUT"),COUNTIF($K$2:K237,"LOW")+COUNTIF($K$2:K237,"OUT"),"")</f>
        <v/>
      </c>
    </row>
    <row r="238" customFormat="false" ht="15" hidden="false" customHeight="true" outlineLevel="0" collapsed="false">
      <c r="A238" s="16" t="str">
        <f aca="false">IF(Products!A238="","",Products!A238)</f>
        <v/>
      </c>
      <c r="B238" s="16" t="str">
        <f aca="false">IF($A238="","",INDEX(Products!$B$2:$B$501,ROW()-1))</f>
        <v/>
      </c>
      <c r="C238" s="16" t="str">
        <f aca="false">IF($A238="","",INDEX(Products!$C$2:$C$501,ROW()-1))</f>
        <v/>
      </c>
      <c r="D238" s="16" t="str">
        <f aca="false">IF(A238="","",N(Products!I238))</f>
        <v/>
      </c>
      <c r="E238" s="16" t="str">
        <f aca="false">IF(A238="","",SUMIFS(Purchases!$D$2:$D$2001,Purchases!$B$2:$B$2001,A238))</f>
        <v/>
      </c>
      <c r="F238" s="16" t="str">
        <f aca="false">IF(A238="","",SUMIFS(Sales_Items!$E$2:$E$3001,Sales_Items!$C$2:$C$3001,A238))</f>
        <v/>
      </c>
      <c r="G238" s="16" t="str">
        <f aca="false">IF(A238="","",D238+E238-F238)</f>
        <v/>
      </c>
      <c r="H238" s="17" t="str">
        <f aca="false">IF(A238="","",N(Products!E238))</f>
        <v/>
      </c>
      <c r="I238" s="17" t="str">
        <f aca="false">IF(A238="","",G238*H238)</f>
        <v/>
      </c>
      <c r="J238" s="16" t="str">
        <f aca="false">IF(A238="","",IF(Products!G238="",Settings!$B$8,Products!G238))</f>
        <v/>
      </c>
      <c r="K238" s="16" t="str">
        <f aca="false">IF(A238="","",IF(G238&lt;=0,"OUT",IF(G238&lt;=J238,"LOW","OK")))</f>
        <v/>
      </c>
      <c r="L238" s="16" t="str">
        <f aca="false">IF(A238="","",F238+ROW()/1000000)</f>
        <v/>
      </c>
      <c r="M238" s="16" t="str">
        <f aca="false">IF(OR(K238="LOW",K238="OUT"),COUNTIF($K$2:K238,"LOW")+COUNTIF($K$2:K238,"OUT"),"")</f>
        <v/>
      </c>
    </row>
    <row r="239" customFormat="false" ht="15" hidden="false" customHeight="true" outlineLevel="0" collapsed="false">
      <c r="A239" s="16" t="str">
        <f aca="false">IF(Products!A239="","",Products!A239)</f>
        <v/>
      </c>
      <c r="B239" s="16" t="str">
        <f aca="false">IF($A239="","",INDEX(Products!$B$2:$B$501,ROW()-1))</f>
        <v/>
      </c>
      <c r="C239" s="16" t="str">
        <f aca="false">IF($A239="","",INDEX(Products!$C$2:$C$501,ROW()-1))</f>
        <v/>
      </c>
      <c r="D239" s="16" t="str">
        <f aca="false">IF(A239="","",N(Products!I239))</f>
        <v/>
      </c>
      <c r="E239" s="16" t="str">
        <f aca="false">IF(A239="","",SUMIFS(Purchases!$D$2:$D$2001,Purchases!$B$2:$B$2001,A239))</f>
        <v/>
      </c>
      <c r="F239" s="16" t="str">
        <f aca="false">IF(A239="","",SUMIFS(Sales_Items!$E$2:$E$3001,Sales_Items!$C$2:$C$3001,A239))</f>
        <v/>
      </c>
      <c r="G239" s="16" t="str">
        <f aca="false">IF(A239="","",D239+E239-F239)</f>
        <v/>
      </c>
      <c r="H239" s="17" t="str">
        <f aca="false">IF(A239="","",N(Products!E239))</f>
        <v/>
      </c>
      <c r="I239" s="17" t="str">
        <f aca="false">IF(A239="","",G239*H239)</f>
        <v/>
      </c>
      <c r="J239" s="16" t="str">
        <f aca="false">IF(A239="","",IF(Products!G239="",Settings!$B$8,Products!G239))</f>
        <v/>
      </c>
      <c r="K239" s="16" t="str">
        <f aca="false">IF(A239="","",IF(G239&lt;=0,"OUT",IF(G239&lt;=J239,"LOW","OK")))</f>
        <v/>
      </c>
      <c r="L239" s="16" t="str">
        <f aca="false">IF(A239="","",F239+ROW()/1000000)</f>
        <v/>
      </c>
      <c r="M239" s="16" t="str">
        <f aca="false">IF(OR(K239="LOW",K239="OUT"),COUNTIF($K$2:K239,"LOW")+COUNTIF($K$2:K239,"OUT"),"")</f>
        <v/>
      </c>
    </row>
    <row r="240" customFormat="false" ht="15" hidden="false" customHeight="true" outlineLevel="0" collapsed="false">
      <c r="A240" s="16" t="str">
        <f aca="false">IF(Products!A240="","",Products!A240)</f>
        <v/>
      </c>
      <c r="B240" s="16" t="str">
        <f aca="false">IF($A240="","",INDEX(Products!$B$2:$B$501,ROW()-1))</f>
        <v/>
      </c>
      <c r="C240" s="16" t="str">
        <f aca="false">IF($A240="","",INDEX(Products!$C$2:$C$501,ROW()-1))</f>
        <v/>
      </c>
      <c r="D240" s="16" t="str">
        <f aca="false">IF(A240="","",N(Products!I240))</f>
        <v/>
      </c>
      <c r="E240" s="16" t="str">
        <f aca="false">IF(A240="","",SUMIFS(Purchases!$D$2:$D$2001,Purchases!$B$2:$B$2001,A240))</f>
        <v/>
      </c>
      <c r="F240" s="16" t="str">
        <f aca="false">IF(A240="","",SUMIFS(Sales_Items!$E$2:$E$3001,Sales_Items!$C$2:$C$3001,A240))</f>
        <v/>
      </c>
      <c r="G240" s="16" t="str">
        <f aca="false">IF(A240="","",D240+E240-F240)</f>
        <v/>
      </c>
      <c r="H240" s="17" t="str">
        <f aca="false">IF(A240="","",N(Products!E240))</f>
        <v/>
      </c>
      <c r="I240" s="17" t="str">
        <f aca="false">IF(A240="","",G240*H240)</f>
        <v/>
      </c>
      <c r="J240" s="16" t="str">
        <f aca="false">IF(A240="","",IF(Products!G240="",Settings!$B$8,Products!G240))</f>
        <v/>
      </c>
      <c r="K240" s="16" t="str">
        <f aca="false">IF(A240="","",IF(G240&lt;=0,"OUT",IF(G240&lt;=J240,"LOW","OK")))</f>
        <v/>
      </c>
      <c r="L240" s="16" t="str">
        <f aca="false">IF(A240="","",F240+ROW()/1000000)</f>
        <v/>
      </c>
      <c r="M240" s="16" t="str">
        <f aca="false">IF(OR(K240="LOW",K240="OUT"),COUNTIF($K$2:K240,"LOW")+COUNTIF($K$2:K240,"OUT"),"")</f>
        <v/>
      </c>
    </row>
    <row r="241" customFormat="false" ht="15" hidden="false" customHeight="true" outlineLevel="0" collapsed="false">
      <c r="A241" s="16" t="str">
        <f aca="false">IF(Products!A241="","",Products!A241)</f>
        <v/>
      </c>
      <c r="B241" s="16" t="str">
        <f aca="false">IF($A241="","",INDEX(Products!$B$2:$B$501,ROW()-1))</f>
        <v/>
      </c>
      <c r="C241" s="16" t="str">
        <f aca="false">IF($A241="","",INDEX(Products!$C$2:$C$501,ROW()-1))</f>
        <v/>
      </c>
      <c r="D241" s="16" t="str">
        <f aca="false">IF(A241="","",N(Products!I241))</f>
        <v/>
      </c>
      <c r="E241" s="16" t="str">
        <f aca="false">IF(A241="","",SUMIFS(Purchases!$D$2:$D$2001,Purchases!$B$2:$B$2001,A241))</f>
        <v/>
      </c>
      <c r="F241" s="16" t="str">
        <f aca="false">IF(A241="","",SUMIFS(Sales_Items!$E$2:$E$3001,Sales_Items!$C$2:$C$3001,A241))</f>
        <v/>
      </c>
      <c r="G241" s="16" t="str">
        <f aca="false">IF(A241="","",D241+E241-F241)</f>
        <v/>
      </c>
      <c r="H241" s="17" t="str">
        <f aca="false">IF(A241="","",N(Products!E241))</f>
        <v/>
      </c>
      <c r="I241" s="17" t="str">
        <f aca="false">IF(A241="","",G241*H241)</f>
        <v/>
      </c>
      <c r="J241" s="16" t="str">
        <f aca="false">IF(A241="","",IF(Products!G241="",Settings!$B$8,Products!G241))</f>
        <v/>
      </c>
      <c r="K241" s="16" t="str">
        <f aca="false">IF(A241="","",IF(G241&lt;=0,"OUT",IF(G241&lt;=J241,"LOW","OK")))</f>
        <v/>
      </c>
      <c r="L241" s="16" t="str">
        <f aca="false">IF(A241="","",F241+ROW()/1000000)</f>
        <v/>
      </c>
      <c r="M241" s="16" t="str">
        <f aca="false">IF(OR(K241="LOW",K241="OUT"),COUNTIF($K$2:K241,"LOW")+COUNTIF($K$2:K241,"OUT"),"")</f>
        <v/>
      </c>
    </row>
    <row r="242" customFormat="false" ht="15" hidden="false" customHeight="true" outlineLevel="0" collapsed="false">
      <c r="A242" s="16" t="str">
        <f aca="false">IF(Products!A242="","",Products!A242)</f>
        <v/>
      </c>
      <c r="B242" s="16" t="str">
        <f aca="false">IF($A242="","",INDEX(Products!$B$2:$B$501,ROW()-1))</f>
        <v/>
      </c>
      <c r="C242" s="16" t="str">
        <f aca="false">IF($A242="","",INDEX(Products!$C$2:$C$501,ROW()-1))</f>
        <v/>
      </c>
      <c r="D242" s="16" t="str">
        <f aca="false">IF(A242="","",N(Products!I242))</f>
        <v/>
      </c>
      <c r="E242" s="16" t="str">
        <f aca="false">IF(A242="","",SUMIFS(Purchases!$D$2:$D$2001,Purchases!$B$2:$B$2001,A242))</f>
        <v/>
      </c>
      <c r="F242" s="16" t="str">
        <f aca="false">IF(A242="","",SUMIFS(Sales_Items!$E$2:$E$3001,Sales_Items!$C$2:$C$3001,A242))</f>
        <v/>
      </c>
      <c r="G242" s="16" t="str">
        <f aca="false">IF(A242="","",D242+E242-F242)</f>
        <v/>
      </c>
      <c r="H242" s="17" t="str">
        <f aca="false">IF(A242="","",N(Products!E242))</f>
        <v/>
      </c>
      <c r="I242" s="17" t="str">
        <f aca="false">IF(A242="","",G242*H242)</f>
        <v/>
      </c>
      <c r="J242" s="16" t="str">
        <f aca="false">IF(A242="","",IF(Products!G242="",Settings!$B$8,Products!G242))</f>
        <v/>
      </c>
      <c r="K242" s="16" t="str">
        <f aca="false">IF(A242="","",IF(G242&lt;=0,"OUT",IF(G242&lt;=J242,"LOW","OK")))</f>
        <v/>
      </c>
      <c r="L242" s="16" t="str">
        <f aca="false">IF(A242="","",F242+ROW()/1000000)</f>
        <v/>
      </c>
      <c r="M242" s="16" t="str">
        <f aca="false">IF(OR(K242="LOW",K242="OUT"),COUNTIF($K$2:K242,"LOW")+COUNTIF($K$2:K242,"OUT"),"")</f>
        <v/>
      </c>
    </row>
    <row r="243" customFormat="false" ht="15" hidden="false" customHeight="true" outlineLevel="0" collapsed="false">
      <c r="A243" s="16" t="str">
        <f aca="false">IF(Products!A243="","",Products!A243)</f>
        <v/>
      </c>
      <c r="B243" s="16" t="str">
        <f aca="false">IF($A243="","",INDEX(Products!$B$2:$B$501,ROW()-1))</f>
        <v/>
      </c>
      <c r="C243" s="16" t="str">
        <f aca="false">IF($A243="","",INDEX(Products!$C$2:$C$501,ROW()-1))</f>
        <v/>
      </c>
      <c r="D243" s="16" t="str">
        <f aca="false">IF(A243="","",N(Products!I243))</f>
        <v/>
      </c>
      <c r="E243" s="16" t="str">
        <f aca="false">IF(A243="","",SUMIFS(Purchases!$D$2:$D$2001,Purchases!$B$2:$B$2001,A243))</f>
        <v/>
      </c>
      <c r="F243" s="16" t="str">
        <f aca="false">IF(A243="","",SUMIFS(Sales_Items!$E$2:$E$3001,Sales_Items!$C$2:$C$3001,A243))</f>
        <v/>
      </c>
      <c r="G243" s="16" t="str">
        <f aca="false">IF(A243="","",D243+E243-F243)</f>
        <v/>
      </c>
      <c r="H243" s="17" t="str">
        <f aca="false">IF(A243="","",N(Products!E243))</f>
        <v/>
      </c>
      <c r="I243" s="17" t="str">
        <f aca="false">IF(A243="","",G243*H243)</f>
        <v/>
      </c>
      <c r="J243" s="16" t="str">
        <f aca="false">IF(A243="","",IF(Products!G243="",Settings!$B$8,Products!G243))</f>
        <v/>
      </c>
      <c r="K243" s="16" t="str">
        <f aca="false">IF(A243="","",IF(G243&lt;=0,"OUT",IF(G243&lt;=J243,"LOW","OK")))</f>
        <v/>
      </c>
      <c r="L243" s="16" t="str">
        <f aca="false">IF(A243="","",F243+ROW()/1000000)</f>
        <v/>
      </c>
      <c r="M243" s="16" t="str">
        <f aca="false">IF(OR(K243="LOW",K243="OUT"),COUNTIF($K$2:K243,"LOW")+COUNTIF($K$2:K243,"OUT"),"")</f>
        <v/>
      </c>
    </row>
    <row r="244" customFormat="false" ht="15" hidden="false" customHeight="true" outlineLevel="0" collapsed="false">
      <c r="A244" s="16" t="str">
        <f aca="false">IF(Products!A244="","",Products!A244)</f>
        <v/>
      </c>
      <c r="B244" s="16" t="str">
        <f aca="false">IF($A244="","",INDEX(Products!$B$2:$B$501,ROW()-1))</f>
        <v/>
      </c>
      <c r="C244" s="16" t="str">
        <f aca="false">IF($A244="","",INDEX(Products!$C$2:$C$501,ROW()-1))</f>
        <v/>
      </c>
      <c r="D244" s="16" t="str">
        <f aca="false">IF(A244="","",N(Products!I244))</f>
        <v/>
      </c>
      <c r="E244" s="16" t="str">
        <f aca="false">IF(A244="","",SUMIFS(Purchases!$D$2:$D$2001,Purchases!$B$2:$B$2001,A244))</f>
        <v/>
      </c>
      <c r="F244" s="16" t="str">
        <f aca="false">IF(A244="","",SUMIFS(Sales_Items!$E$2:$E$3001,Sales_Items!$C$2:$C$3001,A244))</f>
        <v/>
      </c>
      <c r="G244" s="16" t="str">
        <f aca="false">IF(A244="","",D244+E244-F244)</f>
        <v/>
      </c>
      <c r="H244" s="17" t="str">
        <f aca="false">IF(A244="","",N(Products!E244))</f>
        <v/>
      </c>
      <c r="I244" s="17" t="str">
        <f aca="false">IF(A244="","",G244*H244)</f>
        <v/>
      </c>
      <c r="J244" s="16" t="str">
        <f aca="false">IF(A244="","",IF(Products!G244="",Settings!$B$8,Products!G244))</f>
        <v/>
      </c>
      <c r="K244" s="16" t="str">
        <f aca="false">IF(A244="","",IF(G244&lt;=0,"OUT",IF(G244&lt;=J244,"LOW","OK")))</f>
        <v/>
      </c>
      <c r="L244" s="16" t="str">
        <f aca="false">IF(A244="","",F244+ROW()/1000000)</f>
        <v/>
      </c>
      <c r="M244" s="16" t="str">
        <f aca="false">IF(OR(K244="LOW",K244="OUT"),COUNTIF($K$2:K244,"LOW")+COUNTIF($K$2:K244,"OUT"),"")</f>
        <v/>
      </c>
    </row>
    <row r="245" customFormat="false" ht="15" hidden="false" customHeight="true" outlineLevel="0" collapsed="false">
      <c r="A245" s="16" t="str">
        <f aca="false">IF(Products!A245="","",Products!A245)</f>
        <v/>
      </c>
      <c r="B245" s="16" t="str">
        <f aca="false">IF($A245="","",INDEX(Products!$B$2:$B$501,ROW()-1))</f>
        <v/>
      </c>
      <c r="C245" s="16" t="str">
        <f aca="false">IF($A245="","",INDEX(Products!$C$2:$C$501,ROW()-1))</f>
        <v/>
      </c>
      <c r="D245" s="16" t="str">
        <f aca="false">IF(A245="","",N(Products!I245))</f>
        <v/>
      </c>
      <c r="E245" s="16" t="str">
        <f aca="false">IF(A245="","",SUMIFS(Purchases!$D$2:$D$2001,Purchases!$B$2:$B$2001,A245))</f>
        <v/>
      </c>
      <c r="F245" s="16" t="str">
        <f aca="false">IF(A245="","",SUMIFS(Sales_Items!$E$2:$E$3001,Sales_Items!$C$2:$C$3001,A245))</f>
        <v/>
      </c>
      <c r="G245" s="16" t="str">
        <f aca="false">IF(A245="","",D245+E245-F245)</f>
        <v/>
      </c>
      <c r="H245" s="17" t="str">
        <f aca="false">IF(A245="","",N(Products!E245))</f>
        <v/>
      </c>
      <c r="I245" s="17" t="str">
        <f aca="false">IF(A245="","",G245*H245)</f>
        <v/>
      </c>
      <c r="J245" s="16" t="str">
        <f aca="false">IF(A245="","",IF(Products!G245="",Settings!$B$8,Products!G245))</f>
        <v/>
      </c>
      <c r="K245" s="16" t="str">
        <f aca="false">IF(A245="","",IF(G245&lt;=0,"OUT",IF(G245&lt;=J245,"LOW","OK")))</f>
        <v/>
      </c>
      <c r="L245" s="16" t="str">
        <f aca="false">IF(A245="","",F245+ROW()/1000000)</f>
        <v/>
      </c>
      <c r="M245" s="16" t="str">
        <f aca="false">IF(OR(K245="LOW",K245="OUT"),COUNTIF($K$2:K245,"LOW")+COUNTIF($K$2:K245,"OUT"),"")</f>
        <v/>
      </c>
    </row>
    <row r="246" customFormat="false" ht="15" hidden="false" customHeight="true" outlineLevel="0" collapsed="false">
      <c r="A246" s="16" t="str">
        <f aca="false">IF(Products!A246="","",Products!A246)</f>
        <v/>
      </c>
      <c r="B246" s="16" t="str">
        <f aca="false">IF($A246="","",INDEX(Products!$B$2:$B$501,ROW()-1))</f>
        <v/>
      </c>
      <c r="C246" s="16" t="str">
        <f aca="false">IF($A246="","",INDEX(Products!$C$2:$C$501,ROW()-1))</f>
        <v/>
      </c>
      <c r="D246" s="16" t="str">
        <f aca="false">IF(A246="","",N(Products!I246))</f>
        <v/>
      </c>
      <c r="E246" s="16" t="str">
        <f aca="false">IF(A246="","",SUMIFS(Purchases!$D$2:$D$2001,Purchases!$B$2:$B$2001,A246))</f>
        <v/>
      </c>
      <c r="F246" s="16" t="str">
        <f aca="false">IF(A246="","",SUMIFS(Sales_Items!$E$2:$E$3001,Sales_Items!$C$2:$C$3001,A246))</f>
        <v/>
      </c>
      <c r="G246" s="16" t="str">
        <f aca="false">IF(A246="","",D246+E246-F246)</f>
        <v/>
      </c>
      <c r="H246" s="17" t="str">
        <f aca="false">IF(A246="","",N(Products!E246))</f>
        <v/>
      </c>
      <c r="I246" s="17" t="str">
        <f aca="false">IF(A246="","",G246*H246)</f>
        <v/>
      </c>
      <c r="J246" s="16" t="str">
        <f aca="false">IF(A246="","",IF(Products!G246="",Settings!$B$8,Products!G246))</f>
        <v/>
      </c>
      <c r="K246" s="16" t="str">
        <f aca="false">IF(A246="","",IF(G246&lt;=0,"OUT",IF(G246&lt;=J246,"LOW","OK")))</f>
        <v/>
      </c>
      <c r="L246" s="16" t="str">
        <f aca="false">IF(A246="","",F246+ROW()/1000000)</f>
        <v/>
      </c>
      <c r="M246" s="16" t="str">
        <f aca="false">IF(OR(K246="LOW",K246="OUT"),COUNTIF($K$2:K246,"LOW")+COUNTIF($K$2:K246,"OUT"),"")</f>
        <v/>
      </c>
    </row>
    <row r="247" customFormat="false" ht="15" hidden="false" customHeight="true" outlineLevel="0" collapsed="false">
      <c r="A247" s="16" t="str">
        <f aca="false">IF(Products!A247="","",Products!A247)</f>
        <v/>
      </c>
      <c r="B247" s="16" t="str">
        <f aca="false">IF($A247="","",INDEX(Products!$B$2:$B$501,ROW()-1))</f>
        <v/>
      </c>
      <c r="C247" s="16" t="str">
        <f aca="false">IF($A247="","",INDEX(Products!$C$2:$C$501,ROW()-1))</f>
        <v/>
      </c>
      <c r="D247" s="16" t="str">
        <f aca="false">IF(A247="","",N(Products!I247))</f>
        <v/>
      </c>
      <c r="E247" s="16" t="str">
        <f aca="false">IF(A247="","",SUMIFS(Purchases!$D$2:$D$2001,Purchases!$B$2:$B$2001,A247))</f>
        <v/>
      </c>
      <c r="F247" s="16" t="str">
        <f aca="false">IF(A247="","",SUMIFS(Sales_Items!$E$2:$E$3001,Sales_Items!$C$2:$C$3001,A247))</f>
        <v/>
      </c>
      <c r="G247" s="16" t="str">
        <f aca="false">IF(A247="","",D247+E247-F247)</f>
        <v/>
      </c>
      <c r="H247" s="17" t="str">
        <f aca="false">IF(A247="","",N(Products!E247))</f>
        <v/>
      </c>
      <c r="I247" s="17" t="str">
        <f aca="false">IF(A247="","",G247*H247)</f>
        <v/>
      </c>
      <c r="J247" s="16" t="str">
        <f aca="false">IF(A247="","",IF(Products!G247="",Settings!$B$8,Products!G247))</f>
        <v/>
      </c>
      <c r="K247" s="16" t="str">
        <f aca="false">IF(A247="","",IF(G247&lt;=0,"OUT",IF(G247&lt;=J247,"LOW","OK")))</f>
        <v/>
      </c>
      <c r="L247" s="16" t="str">
        <f aca="false">IF(A247="","",F247+ROW()/1000000)</f>
        <v/>
      </c>
      <c r="M247" s="16" t="str">
        <f aca="false">IF(OR(K247="LOW",K247="OUT"),COUNTIF($K$2:K247,"LOW")+COUNTIF($K$2:K247,"OUT"),"")</f>
        <v/>
      </c>
    </row>
    <row r="248" customFormat="false" ht="15" hidden="false" customHeight="true" outlineLevel="0" collapsed="false">
      <c r="A248" s="16" t="str">
        <f aca="false">IF(Products!A248="","",Products!A248)</f>
        <v/>
      </c>
      <c r="B248" s="16" t="str">
        <f aca="false">IF($A248="","",INDEX(Products!$B$2:$B$501,ROW()-1))</f>
        <v/>
      </c>
      <c r="C248" s="16" t="str">
        <f aca="false">IF($A248="","",INDEX(Products!$C$2:$C$501,ROW()-1))</f>
        <v/>
      </c>
      <c r="D248" s="16" t="str">
        <f aca="false">IF(A248="","",N(Products!I248))</f>
        <v/>
      </c>
      <c r="E248" s="16" t="str">
        <f aca="false">IF(A248="","",SUMIFS(Purchases!$D$2:$D$2001,Purchases!$B$2:$B$2001,A248))</f>
        <v/>
      </c>
      <c r="F248" s="16" t="str">
        <f aca="false">IF(A248="","",SUMIFS(Sales_Items!$E$2:$E$3001,Sales_Items!$C$2:$C$3001,A248))</f>
        <v/>
      </c>
      <c r="G248" s="16" t="str">
        <f aca="false">IF(A248="","",D248+E248-F248)</f>
        <v/>
      </c>
      <c r="H248" s="17" t="str">
        <f aca="false">IF(A248="","",N(Products!E248))</f>
        <v/>
      </c>
      <c r="I248" s="17" t="str">
        <f aca="false">IF(A248="","",G248*H248)</f>
        <v/>
      </c>
      <c r="J248" s="16" t="str">
        <f aca="false">IF(A248="","",IF(Products!G248="",Settings!$B$8,Products!G248))</f>
        <v/>
      </c>
      <c r="K248" s="16" t="str">
        <f aca="false">IF(A248="","",IF(G248&lt;=0,"OUT",IF(G248&lt;=J248,"LOW","OK")))</f>
        <v/>
      </c>
      <c r="L248" s="16" t="str">
        <f aca="false">IF(A248="","",F248+ROW()/1000000)</f>
        <v/>
      </c>
      <c r="M248" s="16" t="str">
        <f aca="false">IF(OR(K248="LOW",K248="OUT"),COUNTIF($K$2:K248,"LOW")+COUNTIF($K$2:K248,"OUT"),"")</f>
        <v/>
      </c>
    </row>
    <row r="249" customFormat="false" ht="15" hidden="false" customHeight="true" outlineLevel="0" collapsed="false">
      <c r="A249" s="16" t="str">
        <f aca="false">IF(Products!A249="","",Products!A249)</f>
        <v/>
      </c>
      <c r="B249" s="16" t="str">
        <f aca="false">IF($A249="","",INDEX(Products!$B$2:$B$501,ROW()-1))</f>
        <v/>
      </c>
      <c r="C249" s="16" t="str">
        <f aca="false">IF($A249="","",INDEX(Products!$C$2:$C$501,ROW()-1))</f>
        <v/>
      </c>
      <c r="D249" s="16" t="str">
        <f aca="false">IF(A249="","",N(Products!I249))</f>
        <v/>
      </c>
      <c r="E249" s="16" t="str">
        <f aca="false">IF(A249="","",SUMIFS(Purchases!$D$2:$D$2001,Purchases!$B$2:$B$2001,A249))</f>
        <v/>
      </c>
      <c r="F249" s="16" t="str">
        <f aca="false">IF(A249="","",SUMIFS(Sales_Items!$E$2:$E$3001,Sales_Items!$C$2:$C$3001,A249))</f>
        <v/>
      </c>
      <c r="G249" s="16" t="str">
        <f aca="false">IF(A249="","",D249+E249-F249)</f>
        <v/>
      </c>
      <c r="H249" s="17" t="str">
        <f aca="false">IF(A249="","",N(Products!E249))</f>
        <v/>
      </c>
      <c r="I249" s="17" t="str">
        <f aca="false">IF(A249="","",G249*H249)</f>
        <v/>
      </c>
      <c r="J249" s="16" t="str">
        <f aca="false">IF(A249="","",IF(Products!G249="",Settings!$B$8,Products!G249))</f>
        <v/>
      </c>
      <c r="K249" s="16" t="str">
        <f aca="false">IF(A249="","",IF(G249&lt;=0,"OUT",IF(G249&lt;=J249,"LOW","OK")))</f>
        <v/>
      </c>
      <c r="L249" s="16" t="str">
        <f aca="false">IF(A249="","",F249+ROW()/1000000)</f>
        <v/>
      </c>
      <c r="M249" s="16" t="str">
        <f aca="false">IF(OR(K249="LOW",K249="OUT"),COUNTIF($K$2:K249,"LOW")+COUNTIF($K$2:K249,"OUT"),"")</f>
        <v/>
      </c>
    </row>
    <row r="250" customFormat="false" ht="15" hidden="false" customHeight="true" outlineLevel="0" collapsed="false">
      <c r="A250" s="16" t="str">
        <f aca="false">IF(Products!A250="","",Products!A250)</f>
        <v/>
      </c>
      <c r="B250" s="16" t="str">
        <f aca="false">IF($A250="","",INDEX(Products!$B$2:$B$501,ROW()-1))</f>
        <v/>
      </c>
      <c r="C250" s="16" t="str">
        <f aca="false">IF($A250="","",INDEX(Products!$C$2:$C$501,ROW()-1))</f>
        <v/>
      </c>
      <c r="D250" s="16" t="str">
        <f aca="false">IF(A250="","",N(Products!I250))</f>
        <v/>
      </c>
      <c r="E250" s="16" t="str">
        <f aca="false">IF(A250="","",SUMIFS(Purchases!$D$2:$D$2001,Purchases!$B$2:$B$2001,A250))</f>
        <v/>
      </c>
      <c r="F250" s="16" t="str">
        <f aca="false">IF(A250="","",SUMIFS(Sales_Items!$E$2:$E$3001,Sales_Items!$C$2:$C$3001,A250))</f>
        <v/>
      </c>
      <c r="G250" s="16" t="str">
        <f aca="false">IF(A250="","",D250+E250-F250)</f>
        <v/>
      </c>
      <c r="H250" s="17" t="str">
        <f aca="false">IF(A250="","",N(Products!E250))</f>
        <v/>
      </c>
      <c r="I250" s="17" t="str">
        <f aca="false">IF(A250="","",G250*H250)</f>
        <v/>
      </c>
      <c r="J250" s="16" t="str">
        <f aca="false">IF(A250="","",IF(Products!G250="",Settings!$B$8,Products!G250))</f>
        <v/>
      </c>
      <c r="K250" s="16" t="str">
        <f aca="false">IF(A250="","",IF(G250&lt;=0,"OUT",IF(G250&lt;=J250,"LOW","OK")))</f>
        <v/>
      </c>
      <c r="L250" s="16" t="str">
        <f aca="false">IF(A250="","",F250+ROW()/1000000)</f>
        <v/>
      </c>
      <c r="M250" s="16" t="str">
        <f aca="false">IF(OR(K250="LOW",K250="OUT"),COUNTIF($K$2:K250,"LOW")+COUNTIF($K$2:K250,"OUT"),"")</f>
        <v/>
      </c>
    </row>
    <row r="251" customFormat="false" ht="15" hidden="false" customHeight="true" outlineLevel="0" collapsed="false">
      <c r="A251" s="16" t="str">
        <f aca="false">IF(Products!A251="","",Products!A251)</f>
        <v/>
      </c>
      <c r="B251" s="16" t="str">
        <f aca="false">IF($A251="","",INDEX(Products!$B$2:$B$501,ROW()-1))</f>
        <v/>
      </c>
      <c r="C251" s="16" t="str">
        <f aca="false">IF($A251="","",INDEX(Products!$C$2:$C$501,ROW()-1))</f>
        <v/>
      </c>
      <c r="D251" s="16" t="str">
        <f aca="false">IF(A251="","",N(Products!I251))</f>
        <v/>
      </c>
      <c r="E251" s="16" t="str">
        <f aca="false">IF(A251="","",SUMIFS(Purchases!$D$2:$D$2001,Purchases!$B$2:$B$2001,A251))</f>
        <v/>
      </c>
      <c r="F251" s="16" t="str">
        <f aca="false">IF(A251="","",SUMIFS(Sales_Items!$E$2:$E$3001,Sales_Items!$C$2:$C$3001,A251))</f>
        <v/>
      </c>
      <c r="G251" s="16" t="str">
        <f aca="false">IF(A251="","",D251+E251-F251)</f>
        <v/>
      </c>
      <c r="H251" s="17" t="str">
        <f aca="false">IF(A251="","",N(Products!E251))</f>
        <v/>
      </c>
      <c r="I251" s="17" t="str">
        <f aca="false">IF(A251="","",G251*H251)</f>
        <v/>
      </c>
      <c r="J251" s="16" t="str">
        <f aca="false">IF(A251="","",IF(Products!G251="",Settings!$B$8,Products!G251))</f>
        <v/>
      </c>
      <c r="K251" s="16" t="str">
        <f aca="false">IF(A251="","",IF(G251&lt;=0,"OUT",IF(G251&lt;=J251,"LOW","OK")))</f>
        <v/>
      </c>
      <c r="L251" s="16" t="str">
        <f aca="false">IF(A251="","",F251+ROW()/1000000)</f>
        <v/>
      </c>
      <c r="M251" s="16" t="str">
        <f aca="false">IF(OR(K251="LOW",K251="OUT"),COUNTIF($K$2:K251,"LOW")+COUNTIF($K$2:K251,"OUT"),"")</f>
        <v/>
      </c>
    </row>
    <row r="252" customFormat="false" ht="15" hidden="false" customHeight="true" outlineLevel="0" collapsed="false">
      <c r="A252" s="16" t="str">
        <f aca="false">IF(Products!A252="","",Products!A252)</f>
        <v/>
      </c>
      <c r="B252" s="16" t="str">
        <f aca="false">IF($A252="","",INDEX(Products!$B$2:$B$501,ROW()-1))</f>
        <v/>
      </c>
      <c r="C252" s="16" t="str">
        <f aca="false">IF($A252="","",INDEX(Products!$C$2:$C$501,ROW()-1))</f>
        <v/>
      </c>
      <c r="D252" s="16" t="str">
        <f aca="false">IF(A252="","",N(Products!I252))</f>
        <v/>
      </c>
      <c r="E252" s="16" t="str">
        <f aca="false">IF(A252="","",SUMIFS(Purchases!$D$2:$D$2001,Purchases!$B$2:$B$2001,A252))</f>
        <v/>
      </c>
      <c r="F252" s="16" t="str">
        <f aca="false">IF(A252="","",SUMIFS(Sales_Items!$E$2:$E$3001,Sales_Items!$C$2:$C$3001,A252))</f>
        <v/>
      </c>
      <c r="G252" s="16" t="str">
        <f aca="false">IF(A252="","",D252+E252-F252)</f>
        <v/>
      </c>
      <c r="H252" s="17" t="str">
        <f aca="false">IF(A252="","",N(Products!E252))</f>
        <v/>
      </c>
      <c r="I252" s="17" t="str">
        <f aca="false">IF(A252="","",G252*H252)</f>
        <v/>
      </c>
      <c r="J252" s="16" t="str">
        <f aca="false">IF(A252="","",IF(Products!G252="",Settings!$B$8,Products!G252))</f>
        <v/>
      </c>
      <c r="K252" s="16" t="str">
        <f aca="false">IF(A252="","",IF(G252&lt;=0,"OUT",IF(G252&lt;=J252,"LOW","OK")))</f>
        <v/>
      </c>
      <c r="L252" s="16" t="str">
        <f aca="false">IF(A252="","",F252+ROW()/1000000)</f>
        <v/>
      </c>
      <c r="M252" s="16" t="str">
        <f aca="false">IF(OR(K252="LOW",K252="OUT"),COUNTIF($K$2:K252,"LOW")+COUNTIF($K$2:K252,"OUT"),"")</f>
        <v/>
      </c>
    </row>
    <row r="253" customFormat="false" ht="15" hidden="false" customHeight="true" outlineLevel="0" collapsed="false">
      <c r="A253" s="16" t="str">
        <f aca="false">IF(Products!A253="","",Products!A253)</f>
        <v/>
      </c>
      <c r="B253" s="16" t="str">
        <f aca="false">IF($A253="","",INDEX(Products!$B$2:$B$501,ROW()-1))</f>
        <v/>
      </c>
      <c r="C253" s="16" t="str">
        <f aca="false">IF($A253="","",INDEX(Products!$C$2:$C$501,ROW()-1))</f>
        <v/>
      </c>
      <c r="D253" s="16" t="str">
        <f aca="false">IF(A253="","",N(Products!I253))</f>
        <v/>
      </c>
      <c r="E253" s="16" t="str">
        <f aca="false">IF(A253="","",SUMIFS(Purchases!$D$2:$D$2001,Purchases!$B$2:$B$2001,A253))</f>
        <v/>
      </c>
      <c r="F253" s="16" t="str">
        <f aca="false">IF(A253="","",SUMIFS(Sales_Items!$E$2:$E$3001,Sales_Items!$C$2:$C$3001,A253))</f>
        <v/>
      </c>
      <c r="G253" s="16" t="str">
        <f aca="false">IF(A253="","",D253+E253-F253)</f>
        <v/>
      </c>
      <c r="H253" s="17" t="str">
        <f aca="false">IF(A253="","",N(Products!E253))</f>
        <v/>
      </c>
      <c r="I253" s="17" t="str">
        <f aca="false">IF(A253="","",G253*H253)</f>
        <v/>
      </c>
      <c r="J253" s="16" t="str">
        <f aca="false">IF(A253="","",IF(Products!G253="",Settings!$B$8,Products!G253))</f>
        <v/>
      </c>
      <c r="K253" s="16" t="str">
        <f aca="false">IF(A253="","",IF(G253&lt;=0,"OUT",IF(G253&lt;=J253,"LOW","OK")))</f>
        <v/>
      </c>
      <c r="L253" s="16" t="str">
        <f aca="false">IF(A253="","",F253+ROW()/1000000)</f>
        <v/>
      </c>
      <c r="M253" s="16" t="str">
        <f aca="false">IF(OR(K253="LOW",K253="OUT"),COUNTIF($K$2:K253,"LOW")+COUNTIF($K$2:K253,"OUT"),"")</f>
        <v/>
      </c>
    </row>
    <row r="254" customFormat="false" ht="15" hidden="false" customHeight="true" outlineLevel="0" collapsed="false">
      <c r="A254" s="16" t="str">
        <f aca="false">IF(Products!A254="","",Products!A254)</f>
        <v/>
      </c>
      <c r="B254" s="16" t="str">
        <f aca="false">IF($A254="","",INDEX(Products!$B$2:$B$501,ROW()-1))</f>
        <v/>
      </c>
      <c r="C254" s="16" t="str">
        <f aca="false">IF($A254="","",INDEX(Products!$C$2:$C$501,ROW()-1))</f>
        <v/>
      </c>
      <c r="D254" s="16" t="str">
        <f aca="false">IF(A254="","",N(Products!I254))</f>
        <v/>
      </c>
      <c r="E254" s="16" t="str">
        <f aca="false">IF(A254="","",SUMIFS(Purchases!$D$2:$D$2001,Purchases!$B$2:$B$2001,A254))</f>
        <v/>
      </c>
      <c r="F254" s="16" t="str">
        <f aca="false">IF(A254="","",SUMIFS(Sales_Items!$E$2:$E$3001,Sales_Items!$C$2:$C$3001,A254))</f>
        <v/>
      </c>
      <c r="G254" s="16" t="str">
        <f aca="false">IF(A254="","",D254+E254-F254)</f>
        <v/>
      </c>
      <c r="H254" s="17" t="str">
        <f aca="false">IF(A254="","",N(Products!E254))</f>
        <v/>
      </c>
      <c r="I254" s="17" t="str">
        <f aca="false">IF(A254="","",G254*H254)</f>
        <v/>
      </c>
      <c r="J254" s="16" t="str">
        <f aca="false">IF(A254="","",IF(Products!G254="",Settings!$B$8,Products!G254))</f>
        <v/>
      </c>
      <c r="K254" s="16" t="str">
        <f aca="false">IF(A254="","",IF(G254&lt;=0,"OUT",IF(G254&lt;=J254,"LOW","OK")))</f>
        <v/>
      </c>
      <c r="L254" s="16" t="str">
        <f aca="false">IF(A254="","",F254+ROW()/1000000)</f>
        <v/>
      </c>
      <c r="M254" s="16" t="str">
        <f aca="false">IF(OR(K254="LOW",K254="OUT"),COUNTIF($K$2:K254,"LOW")+COUNTIF($K$2:K254,"OUT"),"")</f>
        <v/>
      </c>
    </row>
    <row r="255" customFormat="false" ht="15" hidden="false" customHeight="true" outlineLevel="0" collapsed="false">
      <c r="A255" s="16" t="str">
        <f aca="false">IF(Products!A255="","",Products!A255)</f>
        <v/>
      </c>
      <c r="B255" s="16" t="str">
        <f aca="false">IF($A255="","",INDEX(Products!$B$2:$B$501,ROW()-1))</f>
        <v/>
      </c>
      <c r="C255" s="16" t="str">
        <f aca="false">IF($A255="","",INDEX(Products!$C$2:$C$501,ROW()-1))</f>
        <v/>
      </c>
      <c r="D255" s="16" t="str">
        <f aca="false">IF(A255="","",N(Products!I255))</f>
        <v/>
      </c>
      <c r="E255" s="16" t="str">
        <f aca="false">IF(A255="","",SUMIFS(Purchases!$D$2:$D$2001,Purchases!$B$2:$B$2001,A255))</f>
        <v/>
      </c>
      <c r="F255" s="16" t="str">
        <f aca="false">IF(A255="","",SUMIFS(Sales_Items!$E$2:$E$3001,Sales_Items!$C$2:$C$3001,A255))</f>
        <v/>
      </c>
      <c r="G255" s="16" t="str">
        <f aca="false">IF(A255="","",D255+E255-F255)</f>
        <v/>
      </c>
      <c r="H255" s="17" t="str">
        <f aca="false">IF(A255="","",N(Products!E255))</f>
        <v/>
      </c>
      <c r="I255" s="17" t="str">
        <f aca="false">IF(A255="","",G255*H255)</f>
        <v/>
      </c>
      <c r="J255" s="16" t="str">
        <f aca="false">IF(A255="","",IF(Products!G255="",Settings!$B$8,Products!G255))</f>
        <v/>
      </c>
      <c r="K255" s="16" t="str">
        <f aca="false">IF(A255="","",IF(G255&lt;=0,"OUT",IF(G255&lt;=J255,"LOW","OK")))</f>
        <v/>
      </c>
      <c r="L255" s="16" t="str">
        <f aca="false">IF(A255="","",F255+ROW()/1000000)</f>
        <v/>
      </c>
      <c r="M255" s="16" t="str">
        <f aca="false">IF(OR(K255="LOW",K255="OUT"),COUNTIF($K$2:K255,"LOW")+COUNTIF($K$2:K255,"OUT"),"")</f>
        <v/>
      </c>
    </row>
    <row r="256" customFormat="false" ht="15" hidden="false" customHeight="true" outlineLevel="0" collapsed="false">
      <c r="A256" s="16" t="str">
        <f aca="false">IF(Products!A256="","",Products!A256)</f>
        <v/>
      </c>
      <c r="B256" s="16" t="str">
        <f aca="false">IF($A256="","",INDEX(Products!$B$2:$B$501,ROW()-1))</f>
        <v/>
      </c>
      <c r="C256" s="16" t="str">
        <f aca="false">IF($A256="","",INDEX(Products!$C$2:$C$501,ROW()-1))</f>
        <v/>
      </c>
      <c r="D256" s="16" t="str">
        <f aca="false">IF(A256="","",N(Products!I256))</f>
        <v/>
      </c>
      <c r="E256" s="16" t="str">
        <f aca="false">IF(A256="","",SUMIFS(Purchases!$D$2:$D$2001,Purchases!$B$2:$B$2001,A256))</f>
        <v/>
      </c>
      <c r="F256" s="16" t="str">
        <f aca="false">IF(A256="","",SUMIFS(Sales_Items!$E$2:$E$3001,Sales_Items!$C$2:$C$3001,A256))</f>
        <v/>
      </c>
      <c r="G256" s="16" t="str">
        <f aca="false">IF(A256="","",D256+E256-F256)</f>
        <v/>
      </c>
      <c r="H256" s="17" t="str">
        <f aca="false">IF(A256="","",N(Products!E256))</f>
        <v/>
      </c>
      <c r="I256" s="17" t="str">
        <f aca="false">IF(A256="","",G256*H256)</f>
        <v/>
      </c>
      <c r="J256" s="16" t="str">
        <f aca="false">IF(A256="","",IF(Products!G256="",Settings!$B$8,Products!G256))</f>
        <v/>
      </c>
      <c r="K256" s="16" t="str">
        <f aca="false">IF(A256="","",IF(G256&lt;=0,"OUT",IF(G256&lt;=J256,"LOW","OK")))</f>
        <v/>
      </c>
      <c r="L256" s="16" t="str">
        <f aca="false">IF(A256="","",F256+ROW()/1000000)</f>
        <v/>
      </c>
      <c r="M256" s="16" t="str">
        <f aca="false">IF(OR(K256="LOW",K256="OUT"),COUNTIF($K$2:K256,"LOW")+COUNTIF($K$2:K256,"OUT"),"")</f>
        <v/>
      </c>
    </row>
    <row r="257" customFormat="false" ht="15" hidden="false" customHeight="true" outlineLevel="0" collapsed="false">
      <c r="A257" s="16" t="str">
        <f aca="false">IF(Products!A257="","",Products!A257)</f>
        <v/>
      </c>
      <c r="B257" s="16" t="str">
        <f aca="false">IF($A257="","",INDEX(Products!$B$2:$B$501,ROW()-1))</f>
        <v/>
      </c>
      <c r="C257" s="16" t="str">
        <f aca="false">IF($A257="","",INDEX(Products!$C$2:$C$501,ROW()-1))</f>
        <v/>
      </c>
      <c r="D257" s="16" t="str">
        <f aca="false">IF(A257="","",N(Products!I257))</f>
        <v/>
      </c>
      <c r="E257" s="16" t="str">
        <f aca="false">IF(A257="","",SUMIFS(Purchases!$D$2:$D$2001,Purchases!$B$2:$B$2001,A257))</f>
        <v/>
      </c>
      <c r="F257" s="16" t="str">
        <f aca="false">IF(A257="","",SUMIFS(Sales_Items!$E$2:$E$3001,Sales_Items!$C$2:$C$3001,A257))</f>
        <v/>
      </c>
      <c r="G257" s="16" t="str">
        <f aca="false">IF(A257="","",D257+E257-F257)</f>
        <v/>
      </c>
      <c r="H257" s="17" t="str">
        <f aca="false">IF(A257="","",N(Products!E257))</f>
        <v/>
      </c>
      <c r="I257" s="17" t="str">
        <f aca="false">IF(A257="","",G257*H257)</f>
        <v/>
      </c>
      <c r="J257" s="16" t="str">
        <f aca="false">IF(A257="","",IF(Products!G257="",Settings!$B$8,Products!G257))</f>
        <v/>
      </c>
      <c r="K257" s="16" t="str">
        <f aca="false">IF(A257="","",IF(G257&lt;=0,"OUT",IF(G257&lt;=J257,"LOW","OK")))</f>
        <v/>
      </c>
      <c r="L257" s="16" t="str">
        <f aca="false">IF(A257="","",F257+ROW()/1000000)</f>
        <v/>
      </c>
      <c r="M257" s="16" t="str">
        <f aca="false">IF(OR(K257="LOW",K257="OUT"),COUNTIF($K$2:K257,"LOW")+COUNTIF($K$2:K257,"OUT"),"")</f>
        <v/>
      </c>
    </row>
    <row r="258" customFormat="false" ht="15" hidden="false" customHeight="true" outlineLevel="0" collapsed="false">
      <c r="A258" s="16" t="str">
        <f aca="false">IF(Products!A258="","",Products!A258)</f>
        <v/>
      </c>
      <c r="B258" s="16" t="str">
        <f aca="false">IF($A258="","",INDEX(Products!$B$2:$B$501,ROW()-1))</f>
        <v/>
      </c>
      <c r="C258" s="16" t="str">
        <f aca="false">IF($A258="","",INDEX(Products!$C$2:$C$501,ROW()-1))</f>
        <v/>
      </c>
      <c r="D258" s="16" t="str">
        <f aca="false">IF(A258="","",N(Products!I258))</f>
        <v/>
      </c>
      <c r="E258" s="16" t="str">
        <f aca="false">IF(A258="","",SUMIFS(Purchases!$D$2:$D$2001,Purchases!$B$2:$B$2001,A258))</f>
        <v/>
      </c>
      <c r="F258" s="16" t="str">
        <f aca="false">IF(A258="","",SUMIFS(Sales_Items!$E$2:$E$3001,Sales_Items!$C$2:$C$3001,A258))</f>
        <v/>
      </c>
      <c r="G258" s="16" t="str">
        <f aca="false">IF(A258="","",D258+E258-F258)</f>
        <v/>
      </c>
      <c r="H258" s="17" t="str">
        <f aca="false">IF(A258="","",N(Products!E258))</f>
        <v/>
      </c>
      <c r="I258" s="17" t="str">
        <f aca="false">IF(A258="","",G258*H258)</f>
        <v/>
      </c>
      <c r="J258" s="16" t="str">
        <f aca="false">IF(A258="","",IF(Products!G258="",Settings!$B$8,Products!G258))</f>
        <v/>
      </c>
      <c r="K258" s="16" t="str">
        <f aca="false">IF(A258="","",IF(G258&lt;=0,"OUT",IF(G258&lt;=J258,"LOW","OK")))</f>
        <v/>
      </c>
      <c r="L258" s="16" t="str">
        <f aca="false">IF(A258="","",F258+ROW()/1000000)</f>
        <v/>
      </c>
      <c r="M258" s="16" t="str">
        <f aca="false">IF(OR(K258="LOW",K258="OUT"),COUNTIF($K$2:K258,"LOW")+COUNTIF($K$2:K258,"OUT"),"")</f>
        <v/>
      </c>
    </row>
    <row r="259" customFormat="false" ht="15" hidden="false" customHeight="true" outlineLevel="0" collapsed="false">
      <c r="A259" s="16" t="str">
        <f aca="false">IF(Products!A259="","",Products!A259)</f>
        <v/>
      </c>
      <c r="B259" s="16" t="str">
        <f aca="false">IF($A259="","",INDEX(Products!$B$2:$B$501,ROW()-1))</f>
        <v/>
      </c>
      <c r="C259" s="16" t="str">
        <f aca="false">IF($A259="","",INDEX(Products!$C$2:$C$501,ROW()-1))</f>
        <v/>
      </c>
      <c r="D259" s="16" t="str">
        <f aca="false">IF(A259="","",N(Products!I259))</f>
        <v/>
      </c>
      <c r="E259" s="16" t="str">
        <f aca="false">IF(A259="","",SUMIFS(Purchases!$D$2:$D$2001,Purchases!$B$2:$B$2001,A259))</f>
        <v/>
      </c>
      <c r="F259" s="16" t="str">
        <f aca="false">IF(A259="","",SUMIFS(Sales_Items!$E$2:$E$3001,Sales_Items!$C$2:$C$3001,A259))</f>
        <v/>
      </c>
      <c r="G259" s="16" t="str">
        <f aca="false">IF(A259="","",D259+E259-F259)</f>
        <v/>
      </c>
      <c r="H259" s="17" t="str">
        <f aca="false">IF(A259="","",N(Products!E259))</f>
        <v/>
      </c>
      <c r="I259" s="17" t="str">
        <f aca="false">IF(A259="","",G259*H259)</f>
        <v/>
      </c>
      <c r="J259" s="16" t="str">
        <f aca="false">IF(A259="","",IF(Products!G259="",Settings!$B$8,Products!G259))</f>
        <v/>
      </c>
      <c r="K259" s="16" t="str">
        <f aca="false">IF(A259="","",IF(G259&lt;=0,"OUT",IF(G259&lt;=J259,"LOW","OK")))</f>
        <v/>
      </c>
      <c r="L259" s="16" t="str">
        <f aca="false">IF(A259="","",F259+ROW()/1000000)</f>
        <v/>
      </c>
      <c r="M259" s="16" t="str">
        <f aca="false">IF(OR(K259="LOW",K259="OUT"),COUNTIF($K$2:K259,"LOW")+COUNTIF($K$2:K259,"OUT"),"")</f>
        <v/>
      </c>
    </row>
    <row r="260" customFormat="false" ht="15" hidden="false" customHeight="true" outlineLevel="0" collapsed="false">
      <c r="A260" s="16" t="str">
        <f aca="false">IF(Products!A260="","",Products!A260)</f>
        <v/>
      </c>
      <c r="B260" s="16" t="str">
        <f aca="false">IF($A260="","",INDEX(Products!$B$2:$B$501,ROW()-1))</f>
        <v/>
      </c>
      <c r="C260" s="16" t="str">
        <f aca="false">IF($A260="","",INDEX(Products!$C$2:$C$501,ROW()-1))</f>
        <v/>
      </c>
      <c r="D260" s="16" t="str">
        <f aca="false">IF(A260="","",N(Products!I260))</f>
        <v/>
      </c>
      <c r="E260" s="16" t="str">
        <f aca="false">IF(A260="","",SUMIFS(Purchases!$D$2:$D$2001,Purchases!$B$2:$B$2001,A260))</f>
        <v/>
      </c>
      <c r="F260" s="16" t="str">
        <f aca="false">IF(A260="","",SUMIFS(Sales_Items!$E$2:$E$3001,Sales_Items!$C$2:$C$3001,A260))</f>
        <v/>
      </c>
      <c r="G260" s="16" t="str">
        <f aca="false">IF(A260="","",D260+E260-F260)</f>
        <v/>
      </c>
      <c r="H260" s="17" t="str">
        <f aca="false">IF(A260="","",N(Products!E260))</f>
        <v/>
      </c>
      <c r="I260" s="17" t="str">
        <f aca="false">IF(A260="","",G260*H260)</f>
        <v/>
      </c>
      <c r="J260" s="16" t="str">
        <f aca="false">IF(A260="","",IF(Products!G260="",Settings!$B$8,Products!G260))</f>
        <v/>
      </c>
      <c r="K260" s="16" t="str">
        <f aca="false">IF(A260="","",IF(G260&lt;=0,"OUT",IF(G260&lt;=J260,"LOW","OK")))</f>
        <v/>
      </c>
      <c r="L260" s="16" t="str">
        <f aca="false">IF(A260="","",F260+ROW()/1000000)</f>
        <v/>
      </c>
      <c r="M260" s="16" t="str">
        <f aca="false">IF(OR(K260="LOW",K260="OUT"),COUNTIF($K$2:K260,"LOW")+COUNTIF($K$2:K260,"OUT"),"")</f>
        <v/>
      </c>
    </row>
    <row r="261" customFormat="false" ht="15" hidden="false" customHeight="true" outlineLevel="0" collapsed="false">
      <c r="A261" s="16" t="str">
        <f aca="false">IF(Products!A261="","",Products!A261)</f>
        <v/>
      </c>
      <c r="B261" s="16" t="str">
        <f aca="false">IF($A261="","",INDEX(Products!$B$2:$B$501,ROW()-1))</f>
        <v/>
      </c>
      <c r="C261" s="16" t="str">
        <f aca="false">IF($A261="","",INDEX(Products!$C$2:$C$501,ROW()-1))</f>
        <v/>
      </c>
      <c r="D261" s="16" t="str">
        <f aca="false">IF(A261="","",N(Products!I261))</f>
        <v/>
      </c>
      <c r="E261" s="16" t="str">
        <f aca="false">IF(A261="","",SUMIFS(Purchases!$D$2:$D$2001,Purchases!$B$2:$B$2001,A261))</f>
        <v/>
      </c>
      <c r="F261" s="16" t="str">
        <f aca="false">IF(A261="","",SUMIFS(Sales_Items!$E$2:$E$3001,Sales_Items!$C$2:$C$3001,A261))</f>
        <v/>
      </c>
      <c r="G261" s="16" t="str">
        <f aca="false">IF(A261="","",D261+E261-F261)</f>
        <v/>
      </c>
      <c r="H261" s="17" t="str">
        <f aca="false">IF(A261="","",N(Products!E261))</f>
        <v/>
      </c>
      <c r="I261" s="17" t="str">
        <f aca="false">IF(A261="","",G261*H261)</f>
        <v/>
      </c>
      <c r="J261" s="16" t="str">
        <f aca="false">IF(A261="","",IF(Products!G261="",Settings!$B$8,Products!G261))</f>
        <v/>
      </c>
      <c r="K261" s="16" t="str">
        <f aca="false">IF(A261="","",IF(G261&lt;=0,"OUT",IF(G261&lt;=J261,"LOW","OK")))</f>
        <v/>
      </c>
      <c r="L261" s="16" t="str">
        <f aca="false">IF(A261="","",F261+ROW()/1000000)</f>
        <v/>
      </c>
      <c r="M261" s="16" t="str">
        <f aca="false">IF(OR(K261="LOW",K261="OUT"),COUNTIF($K$2:K261,"LOW")+COUNTIF($K$2:K261,"OUT"),"")</f>
        <v/>
      </c>
    </row>
    <row r="262" customFormat="false" ht="15" hidden="false" customHeight="true" outlineLevel="0" collapsed="false">
      <c r="A262" s="16" t="str">
        <f aca="false">IF(Products!A262="","",Products!A262)</f>
        <v/>
      </c>
      <c r="B262" s="16" t="str">
        <f aca="false">IF($A262="","",INDEX(Products!$B$2:$B$501,ROW()-1))</f>
        <v/>
      </c>
      <c r="C262" s="16" t="str">
        <f aca="false">IF($A262="","",INDEX(Products!$C$2:$C$501,ROW()-1))</f>
        <v/>
      </c>
      <c r="D262" s="16" t="str">
        <f aca="false">IF(A262="","",N(Products!I262))</f>
        <v/>
      </c>
      <c r="E262" s="16" t="str">
        <f aca="false">IF(A262="","",SUMIFS(Purchases!$D$2:$D$2001,Purchases!$B$2:$B$2001,A262))</f>
        <v/>
      </c>
      <c r="F262" s="16" t="str">
        <f aca="false">IF(A262="","",SUMIFS(Sales_Items!$E$2:$E$3001,Sales_Items!$C$2:$C$3001,A262))</f>
        <v/>
      </c>
      <c r="G262" s="16" t="str">
        <f aca="false">IF(A262="","",D262+E262-F262)</f>
        <v/>
      </c>
      <c r="H262" s="17" t="str">
        <f aca="false">IF(A262="","",N(Products!E262))</f>
        <v/>
      </c>
      <c r="I262" s="17" t="str">
        <f aca="false">IF(A262="","",G262*H262)</f>
        <v/>
      </c>
      <c r="J262" s="16" t="str">
        <f aca="false">IF(A262="","",IF(Products!G262="",Settings!$B$8,Products!G262))</f>
        <v/>
      </c>
      <c r="K262" s="16" t="str">
        <f aca="false">IF(A262="","",IF(G262&lt;=0,"OUT",IF(G262&lt;=J262,"LOW","OK")))</f>
        <v/>
      </c>
      <c r="L262" s="16" t="str">
        <f aca="false">IF(A262="","",F262+ROW()/1000000)</f>
        <v/>
      </c>
      <c r="M262" s="16" t="str">
        <f aca="false">IF(OR(K262="LOW",K262="OUT"),COUNTIF($K$2:K262,"LOW")+COUNTIF($K$2:K262,"OUT"),"")</f>
        <v/>
      </c>
    </row>
    <row r="263" customFormat="false" ht="15" hidden="false" customHeight="true" outlineLevel="0" collapsed="false">
      <c r="A263" s="16" t="str">
        <f aca="false">IF(Products!A263="","",Products!A263)</f>
        <v/>
      </c>
      <c r="B263" s="16" t="str">
        <f aca="false">IF($A263="","",INDEX(Products!$B$2:$B$501,ROW()-1))</f>
        <v/>
      </c>
      <c r="C263" s="16" t="str">
        <f aca="false">IF($A263="","",INDEX(Products!$C$2:$C$501,ROW()-1))</f>
        <v/>
      </c>
      <c r="D263" s="16" t="str">
        <f aca="false">IF(A263="","",N(Products!I263))</f>
        <v/>
      </c>
      <c r="E263" s="16" t="str">
        <f aca="false">IF(A263="","",SUMIFS(Purchases!$D$2:$D$2001,Purchases!$B$2:$B$2001,A263))</f>
        <v/>
      </c>
      <c r="F263" s="16" t="str">
        <f aca="false">IF(A263="","",SUMIFS(Sales_Items!$E$2:$E$3001,Sales_Items!$C$2:$C$3001,A263))</f>
        <v/>
      </c>
      <c r="G263" s="16" t="str">
        <f aca="false">IF(A263="","",D263+E263-F263)</f>
        <v/>
      </c>
      <c r="H263" s="17" t="str">
        <f aca="false">IF(A263="","",N(Products!E263))</f>
        <v/>
      </c>
      <c r="I263" s="17" t="str">
        <f aca="false">IF(A263="","",G263*H263)</f>
        <v/>
      </c>
      <c r="J263" s="16" t="str">
        <f aca="false">IF(A263="","",IF(Products!G263="",Settings!$B$8,Products!G263))</f>
        <v/>
      </c>
      <c r="K263" s="16" t="str">
        <f aca="false">IF(A263="","",IF(G263&lt;=0,"OUT",IF(G263&lt;=J263,"LOW","OK")))</f>
        <v/>
      </c>
      <c r="L263" s="16" t="str">
        <f aca="false">IF(A263="","",F263+ROW()/1000000)</f>
        <v/>
      </c>
      <c r="M263" s="16" t="str">
        <f aca="false">IF(OR(K263="LOW",K263="OUT"),COUNTIF($K$2:K263,"LOW")+COUNTIF($K$2:K263,"OUT"),"")</f>
        <v/>
      </c>
    </row>
    <row r="264" customFormat="false" ht="15" hidden="false" customHeight="true" outlineLevel="0" collapsed="false">
      <c r="A264" s="16" t="str">
        <f aca="false">IF(Products!A264="","",Products!A264)</f>
        <v/>
      </c>
      <c r="B264" s="16" t="str">
        <f aca="false">IF($A264="","",INDEX(Products!$B$2:$B$501,ROW()-1))</f>
        <v/>
      </c>
      <c r="C264" s="16" t="str">
        <f aca="false">IF($A264="","",INDEX(Products!$C$2:$C$501,ROW()-1))</f>
        <v/>
      </c>
      <c r="D264" s="16" t="str">
        <f aca="false">IF(A264="","",N(Products!I264))</f>
        <v/>
      </c>
      <c r="E264" s="16" t="str">
        <f aca="false">IF(A264="","",SUMIFS(Purchases!$D$2:$D$2001,Purchases!$B$2:$B$2001,A264))</f>
        <v/>
      </c>
      <c r="F264" s="16" t="str">
        <f aca="false">IF(A264="","",SUMIFS(Sales_Items!$E$2:$E$3001,Sales_Items!$C$2:$C$3001,A264))</f>
        <v/>
      </c>
      <c r="G264" s="16" t="str">
        <f aca="false">IF(A264="","",D264+E264-F264)</f>
        <v/>
      </c>
      <c r="H264" s="17" t="str">
        <f aca="false">IF(A264="","",N(Products!E264))</f>
        <v/>
      </c>
      <c r="I264" s="17" t="str">
        <f aca="false">IF(A264="","",G264*H264)</f>
        <v/>
      </c>
      <c r="J264" s="16" t="str">
        <f aca="false">IF(A264="","",IF(Products!G264="",Settings!$B$8,Products!G264))</f>
        <v/>
      </c>
      <c r="K264" s="16" t="str">
        <f aca="false">IF(A264="","",IF(G264&lt;=0,"OUT",IF(G264&lt;=J264,"LOW","OK")))</f>
        <v/>
      </c>
      <c r="L264" s="16" t="str">
        <f aca="false">IF(A264="","",F264+ROW()/1000000)</f>
        <v/>
      </c>
      <c r="M264" s="16" t="str">
        <f aca="false">IF(OR(K264="LOW",K264="OUT"),COUNTIF($K$2:K264,"LOW")+COUNTIF($K$2:K264,"OUT"),"")</f>
        <v/>
      </c>
    </row>
    <row r="265" customFormat="false" ht="15" hidden="false" customHeight="true" outlineLevel="0" collapsed="false">
      <c r="A265" s="16" t="str">
        <f aca="false">IF(Products!A265="","",Products!A265)</f>
        <v/>
      </c>
      <c r="B265" s="16" t="str">
        <f aca="false">IF($A265="","",INDEX(Products!$B$2:$B$501,ROW()-1))</f>
        <v/>
      </c>
      <c r="C265" s="16" t="str">
        <f aca="false">IF($A265="","",INDEX(Products!$C$2:$C$501,ROW()-1))</f>
        <v/>
      </c>
      <c r="D265" s="16" t="str">
        <f aca="false">IF(A265="","",N(Products!I265))</f>
        <v/>
      </c>
      <c r="E265" s="16" t="str">
        <f aca="false">IF(A265="","",SUMIFS(Purchases!$D$2:$D$2001,Purchases!$B$2:$B$2001,A265))</f>
        <v/>
      </c>
      <c r="F265" s="16" t="str">
        <f aca="false">IF(A265="","",SUMIFS(Sales_Items!$E$2:$E$3001,Sales_Items!$C$2:$C$3001,A265))</f>
        <v/>
      </c>
      <c r="G265" s="16" t="str">
        <f aca="false">IF(A265="","",D265+E265-F265)</f>
        <v/>
      </c>
      <c r="H265" s="17" t="str">
        <f aca="false">IF(A265="","",N(Products!E265))</f>
        <v/>
      </c>
      <c r="I265" s="17" t="str">
        <f aca="false">IF(A265="","",G265*H265)</f>
        <v/>
      </c>
      <c r="J265" s="16" t="str">
        <f aca="false">IF(A265="","",IF(Products!G265="",Settings!$B$8,Products!G265))</f>
        <v/>
      </c>
      <c r="K265" s="16" t="str">
        <f aca="false">IF(A265="","",IF(G265&lt;=0,"OUT",IF(G265&lt;=J265,"LOW","OK")))</f>
        <v/>
      </c>
      <c r="L265" s="16" t="str">
        <f aca="false">IF(A265="","",F265+ROW()/1000000)</f>
        <v/>
      </c>
      <c r="M265" s="16" t="str">
        <f aca="false">IF(OR(K265="LOW",K265="OUT"),COUNTIF($K$2:K265,"LOW")+COUNTIF($K$2:K265,"OUT"),"")</f>
        <v/>
      </c>
    </row>
    <row r="266" customFormat="false" ht="15" hidden="false" customHeight="true" outlineLevel="0" collapsed="false">
      <c r="A266" s="16" t="str">
        <f aca="false">IF(Products!A266="","",Products!A266)</f>
        <v/>
      </c>
      <c r="B266" s="16" t="str">
        <f aca="false">IF($A266="","",INDEX(Products!$B$2:$B$501,ROW()-1))</f>
        <v/>
      </c>
      <c r="C266" s="16" t="str">
        <f aca="false">IF($A266="","",INDEX(Products!$C$2:$C$501,ROW()-1))</f>
        <v/>
      </c>
      <c r="D266" s="16" t="str">
        <f aca="false">IF(A266="","",N(Products!I266))</f>
        <v/>
      </c>
      <c r="E266" s="16" t="str">
        <f aca="false">IF(A266="","",SUMIFS(Purchases!$D$2:$D$2001,Purchases!$B$2:$B$2001,A266))</f>
        <v/>
      </c>
      <c r="F266" s="16" t="str">
        <f aca="false">IF(A266="","",SUMIFS(Sales_Items!$E$2:$E$3001,Sales_Items!$C$2:$C$3001,A266))</f>
        <v/>
      </c>
      <c r="G266" s="16" t="str">
        <f aca="false">IF(A266="","",D266+E266-F266)</f>
        <v/>
      </c>
      <c r="H266" s="17" t="str">
        <f aca="false">IF(A266="","",N(Products!E266))</f>
        <v/>
      </c>
      <c r="I266" s="17" t="str">
        <f aca="false">IF(A266="","",G266*H266)</f>
        <v/>
      </c>
      <c r="J266" s="16" t="str">
        <f aca="false">IF(A266="","",IF(Products!G266="",Settings!$B$8,Products!G266))</f>
        <v/>
      </c>
      <c r="K266" s="16" t="str">
        <f aca="false">IF(A266="","",IF(G266&lt;=0,"OUT",IF(G266&lt;=J266,"LOW","OK")))</f>
        <v/>
      </c>
      <c r="L266" s="16" t="str">
        <f aca="false">IF(A266="","",F266+ROW()/1000000)</f>
        <v/>
      </c>
      <c r="M266" s="16" t="str">
        <f aca="false">IF(OR(K266="LOW",K266="OUT"),COUNTIF($K$2:K266,"LOW")+COUNTIF($K$2:K266,"OUT"),"")</f>
        <v/>
      </c>
    </row>
    <row r="267" customFormat="false" ht="15" hidden="false" customHeight="true" outlineLevel="0" collapsed="false">
      <c r="A267" s="16" t="str">
        <f aca="false">IF(Products!A267="","",Products!A267)</f>
        <v/>
      </c>
      <c r="B267" s="16" t="str">
        <f aca="false">IF($A267="","",INDEX(Products!$B$2:$B$501,ROW()-1))</f>
        <v/>
      </c>
      <c r="C267" s="16" t="str">
        <f aca="false">IF($A267="","",INDEX(Products!$C$2:$C$501,ROW()-1))</f>
        <v/>
      </c>
      <c r="D267" s="16" t="str">
        <f aca="false">IF(A267="","",N(Products!I267))</f>
        <v/>
      </c>
      <c r="E267" s="16" t="str">
        <f aca="false">IF(A267="","",SUMIFS(Purchases!$D$2:$D$2001,Purchases!$B$2:$B$2001,A267))</f>
        <v/>
      </c>
      <c r="F267" s="16" t="str">
        <f aca="false">IF(A267="","",SUMIFS(Sales_Items!$E$2:$E$3001,Sales_Items!$C$2:$C$3001,A267))</f>
        <v/>
      </c>
      <c r="G267" s="16" t="str">
        <f aca="false">IF(A267="","",D267+E267-F267)</f>
        <v/>
      </c>
      <c r="H267" s="17" t="str">
        <f aca="false">IF(A267="","",N(Products!E267))</f>
        <v/>
      </c>
      <c r="I267" s="17" t="str">
        <f aca="false">IF(A267="","",G267*H267)</f>
        <v/>
      </c>
      <c r="J267" s="16" t="str">
        <f aca="false">IF(A267="","",IF(Products!G267="",Settings!$B$8,Products!G267))</f>
        <v/>
      </c>
      <c r="K267" s="16" t="str">
        <f aca="false">IF(A267="","",IF(G267&lt;=0,"OUT",IF(G267&lt;=J267,"LOW","OK")))</f>
        <v/>
      </c>
      <c r="L267" s="16" t="str">
        <f aca="false">IF(A267="","",F267+ROW()/1000000)</f>
        <v/>
      </c>
      <c r="M267" s="16" t="str">
        <f aca="false">IF(OR(K267="LOW",K267="OUT"),COUNTIF($K$2:K267,"LOW")+COUNTIF($K$2:K267,"OUT"),"")</f>
        <v/>
      </c>
    </row>
    <row r="268" customFormat="false" ht="15" hidden="false" customHeight="true" outlineLevel="0" collapsed="false">
      <c r="A268" s="16" t="str">
        <f aca="false">IF(Products!A268="","",Products!A268)</f>
        <v/>
      </c>
      <c r="B268" s="16" t="str">
        <f aca="false">IF($A268="","",INDEX(Products!$B$2:$B$501,ROW()-1))</f>
        <v/>
      </c>
      <c r="C268" s="16" t="str">
        <f aca="false">IF($A268="","",INDEX(Products!$C$2:$C$501,ROW()-1))</f>
        <v/>
      </c>
      <c r="D268" s="16" t="str">
        <f aca="false">IF(A268="","",N(Products!I268))</f>
        <v/>
      </c>
      <c r="E268" s="16" t="str">
        <f aca="false">IF(A268="","",SUMIFS(Purchases!$D$2:$D$2001,Purchases!$B$2:$B$2001,A268))</f>
        <v/>
      </c>
      <c r="F268" s="16" t="str">
        <f aca="false">IF(A268="","",SUMIFS(Sales_Items!$E$2:$E$3001,Sales_Items!$C$2:$C$3001,A268))</f>
        <v/>
      </c>
      <c r="G268" s="16" t="str">
        <f aca="false">IF(A268="","",D268+E268-F268)</f>
        <v/>
      </c>
      <c r="H268" s="17" t="str">
        <f aca="false">IF(A268="","",N(Products!E268))</f>
        <v/>
      </c>
      <c r="I268" s="17" t="str">
        <f aca="false">IF(A268="","",G268*H268)</f>
        <v/>
      </c>
      <c r="J268" s="16" t="str">
        <f aca="false">IF(A268="","",IF(Products!G268="",Settings!$B$8,Products!G268))</f>
        <v/>
      </c>
      <c r="K268" s="16" t="str">
        <f aca="false">IF(A268="","",IF(G268&lt;=0,"OUT",IF(G268&lt;=J268,"LOW","OK")))</f>
        <v/>
      </c>
      <c r="L268" s="16" t="str">
        <f aca="false">IF(A268="","",F268+ROW()/1000000)</f>
        <v/>
      </c>
      <c r="M268" s="16" t="str">
        <f aca="false">IF(OR(K268="LOW",K268="OUT"),COUNTIF($K$2:K268,"LOW")+COUNTIF($K$2:K268,"OUT"),"")</f>
        <v/>
      </c>
    </row>
    <row r="269" customFormat="false" ht="15" hidden="false" customHeight="true" outlineLevel="0" collapsed="false">
      <c r="A269" s="16" t="str">
        <f aca="false">IF(Products!A269="","",Products!A269)</f>
        <v/>
      </c>
      <c r="B269" s="16" t="str">
        <f aca="false">IF($A269="","",INDEX(Products!$B$2:$B$501,ROW()-1))</f>
        <v/>
      </c>
      <c r="C269" s="16" t="str">
        <f aca="false">IF($A269="","",INDEX(Products!$C$2:$C$501,ROW()-1))</f>
        <v/>
      </c>
      <c r="D269" s="16" t="str">
        <f aca="false">IF(A269="","",N(Products!I269))</f>
        <v/>
      </c>
      <c r="E269" s="16" t="str">
        <f aca="false">IF(A269="","",SUMIFS(Purchases!$D$2:$D$2001,Purchases!$B$2:$B$2001,A269))</f>
        <v/>
      </c>
      <c r="F269" s="16" t="str">
        <f aca="false">IF(A269="","",SUMIFS(Sales_Items!$E$2:$E$3001,Sales_Items!$C$2:$C$3001,A269))</f>
        <v/>
      </c>
      <c r="G269" s="16" t="str">
        <f aca="false">IF(A269="","",D269+E269-F269)</f>
        <v/>
      </c>
      <c r="H269" s="17" t="str">
        <f aca="false">IF(A269="","",N(Products!E269))</f>
        <v/>
      </c>
      <c r="I269" s="17" t="str">
        <f aca="false">IF(A269="","",G269*H269)</f>
        <v/>
      </c>
      <c r="J269" s="16" t="str">
        <f aca="false">IF(A269="","",IF(Products!G269="",Settings!$B$8,Products!G269))</f>
        <v/>
      </c>
      <c r="K269" s="16" t="str">
        <f aca="false">IF(A269="","",IF(G269&lt;=0,"OUT",IF(G269&lt;=J269,"LOW","OK")))</f>
        <v/>
      </c>
      <c r="L269" s="16" t="str">
        <f aca="false">IF(A269="","",F269+ROW()/1000000)</f>
        <v/>
      </c>
      <c r="M269" s="16" t="str">
        <f aca="false">IF(OR(K269="LOW",K269="OUT"),COUNTIF($K$2:K269,"LOW")+COUNTIF($K$2:K269,"OUT"),"")</f>
        <v/>
      </c>
    </row>
    <row r="270" customFormat="false" ht="15" hidden="false" customHeight="true" outlineLevel="0" collapsed="false">
      <c r="A270" s="16" t="str">
        <f aca="false">IF(Products!A270="","",Products!A270)</f>
        <v/>
      </c>
      <c r="B270" s="16" t="str">
        <f aca="false">IF($A270="","",INDEX(Products!$B$2:$B$501,ROW()-1))</f>
        <v/>
      </c>
      <c r="C270" s="16" t="str">
        <f aca="false">IF($A270="","",INDEX(Products!$C$2:$C$501,ROW()-1))</f>
        <v/>
      </c>
      <c r="D270" s="16" t="str">
        <f aca="false">IF(A270="","",N(Products!I270))</f>
        <v/>
      </c>
      <c r="E270" s="16" t="str">
        <f aca="false">IF(A270="","",SUMIFS(Purchases!$D$2:$D$2001,Purchases!$B$2:$B$2001,A270))</f>
        <v/>
      </c>
      <c r="F270" s="16" t="str">
        <f aca="false">IF(A270="","",SUMIFS(Sales_Items!$E$2:$E$3001,Sales_Items!$C$2:$C$3001,A270))</f>
        <v/>
      </c>
      <c r="G270" s="16" t="str">
        <f aca="false">IF(A270="","",D270+E270-F270)</f>
        <v/>
      </c>
      <c r="H270" s="17" t="str">
        <f aca="false">IF(A270="","",N(Products!E270))</f>
        <v/>
      </c>
      <c r="I270" s="17" t="str">
        <f aca="false">IF(A270="","",G270*H270)</f>
        <v/>
      </c>
      <c r="J270" s="16" t="str">
        <f aca="false">IF(A270="","",IF(Products!G270="",Settings!$B$8,Products!G270))</f>
        <v/>
      </c>
      <c r="K270" s="16" t="str">
        <f aca="false">IF(A270="","",IF(G270&lt;=0,"OUT",IF(G270&lt;=J270,"LOW","OK")))</f>
        <v/>
      </c>
      <c r="L270" s="16" t="str">
        <f aca="false">IF(A270="","",F270+ROW()/1000000)</f>
        <v/>
      </c>
      <c r="M270" s="16" t="str">
        <f aca="false">IF(OR(K270="LOW",K270="OUT"),COUNTIF($K$2:K270,"LOW")+COUNTIF($K$2:K270,"OUT"),"")</f>
        <v/>
      </c>
    </row>
    <row r="271" customFormat="false" ht="15" hidden="false" customHeight="true" outlineLevel="0" collapsed="false">
      <c r="A271" s="16" t="str">
        <f aca="false">IF(Products!A271="","",Products!A271)</f>
        <v/>
      </c>
      <c r="B271" s="16" t="str">
        <f aca="false">IF($A271="","",INDEX(Products!$B$2:$B$501,ROW()-1))</f>
        <v/>
      </c>
      <c r="C271" s="16" t="str">
        <f aca="false">IF($A271="","",INDEX(Products!$C$2:$C$501,ROW()-1))</f>
        <v/>
      </c>
      <c r="D271" s="16" t="str">
        <f aca="false">IF(A271="","",N(Products!I271))</f>
        <v/>
      </c>
      <c r="E271" s="16" t="str">
        <f aca="false">IF(A271="","",SUMIFS(Purchases!$D$2:$D$2001,Purchases!$B$2:$B$2001,A271))</f>
        <v/>
      </c>
      <c r="F271" s="16" t="str">
        <f aca="false">IF(A271="","",SUMIFS(Sales_Items!$E$2:$E$3001,Sales_Items!$C$2:$C$3001,A271))</f>
        <v/>
      </c>
      <c r="G271" s="16" t="str">
        <f aca="false">IF(A271="","",D271+E271-F271)</f>
        <v/>
      </c>
      <c r="H271" s="17" t="str">
        <f aca="false">IF(A271="","",N(Products!E271))</f>
        <v/>
      </c>
      <c r="I271" s="17" t="str">
        <f aca="false">IF(A271="","",G271*H271)</f>
        <v/>
      </c>
      <c r="J271" s="16" t="str">
        <f aca="false">IF(A271="","",IF(Products!G271="",Settings!$B$8,Products!G271))</f>
        <v/>
      </c>
      <c r="K271" s="16" t="str">
        <f aca="false">IF(A271="","",IF(G271&lt;=0,"OUT",IF(G271&lt;=J271,"LOW","OK")))</f>
        <v/>
      </c>
      <c r="L271" s="16" t="str">
        <f aca="false">IF(A271="","",F271+ROW()/1000000)</f>
        <v/>
      </c>
      <c r="M271" s="16" t="str">
        <f aca="false">IF(OR(K271="LOW",K271="OUT"),COUNTIF($K$2:K271,"LOW")+COUNTIF($K$2:K271,"OUT"),"")</f>
        <v/>
      </c>
    </row>
    <row r="272" customFormat="false" ht="15" hidden="false" customHeight="true" outlineLevel="0" collapsed="false">
      <c r="A272" s="16" t="str">
        <f aca="false">IF(Products!A272="","",Products!A272)</f>
        <v/>
      </c>
      <c r="B272" s="16" t="str">
        <f aca="false">IF($A272="","",INDEX(Products!$B$2:$B$501,ROW()-1))</f>
        <v/>
      </c>
      <c r="C272" s="16" t="str">
        <f aca="false">IF($A272="","",INDEX(Products!$C$2:$C$501,ROW()-1))</f>
        <v/>
      </c>
      <c r="D272" s="16" t="str">
        <f aca="false">IF(A272="","",N(Products!I272))</f>
        <v/>
      </c>
      <c r="E272" s="16" t="str">
        <f aca="false">IF(A272="","",SUMIFS(Purchases!$D$2:$D$2001,Purchases!$B$2:$B$2001,A272))</f>
        <v/>
      </c>
      <c r="F272" s="16" t="str">
        <f aca="false">IF(A272="","",SUMIFS(Sales_Items!$E$2:$E$3001,Sales_Items!$C$2:$C$3001,A272))</f>
        <v/>
      </c>
      <c r="G272" s="16" t="str">
        <f aca="false">IF(A272="","",D272+E272-F272)</f>
        <v/>
      </c>
      <c r="H272" s="17" t="str">
        <f aca="false">IF(A272="","",N(Products!E272))</f>
        <v/>
      </c>
      <c r="I272" s="17" t="str">
        <f aca="false">IF(A272="","",G272*H272)</f>
        <v/>
      </c>
      <c r="J272" s="16" t="str">
        <f aca="false">IF(A272="","",IF(Products!G272="",Settings!$B$8,Products!G272))</f>
        <v/>
      </c>
      <c r="K272" s="16" t="str">
        <f aca="false">IF(A272="","",IF(G272&lt;=0,"OUT",IF(G272&lt;=J272,"LOW","OK")))</f>
        <v/>
      </c>
      <c r="L272" s="16" t="str">
        <f aca="false">IF(A272="","",F272+ROW()/1000000)</f>
        <v/>
      </c>
      <c r="M272" s="16" t="str">
        <f aca="false">IF(OR(K272="LOW",K272="OUT"),COUNTIF($K$2:K272,"LOW")+COUNTIF($K$2:K272,"OUT"),"")</f>
        <v/>
      </c>
    </row>
    <row r="273" customFormat="false" ht="15" hidden="false" customHeight="true" outlineLevel="0" collapsed="false">
      <c r="A273" s="16" t="str">
        <f aca="false">IF(Products!A273="","",Products!A273)</f>
        <v/>
      </c>
      <c r="B273" s="16" t="str">
        <f aca="false">IF($A273="","",INDEX(Products!$B$2:$B$501,ROW()-1))</f>
        <v/>
      </c>
      <c r="C273" s="16" t="str">
        <f aca="false">IF($A273="","",INDEX(Products!$C$2:$C$501,ROW()-1))</f>
        <v/>
      </c>
      <c r="D273" s="16" t="str">
        <f aca="false">IF(A273="","",N(Products!I273))</f>
        <v/>
      </c>
      <c r="E273" s="16" t="str">
        <f aca="false">IF(A273="","",SUMIFS(Purchases!$D$2:$D$2001,Purchases!$B$2:$B$2001,A273))</f>
        <v/>
      </c>
      <c r="F273" s="16" t="str">
        <f aca="false">IF(A273="","",SUMIFS(Sales_Items!$E$2:$E$3001,Sales_Items!$C$2:$C$3001,A273))</f>
        <v/>
      </c>
      <c r="G273" s="16" t="str">
        <f aca="false">IF(A273="","",D273+E273-F273)</f>
        <v/>
      </c>
      <c r="H273" s="17" t="str">
        <f aca="false">IF(A273="","",N(Products!E273))</f>
        <v/>
      </c>
      <c r="I273" s="17" t="str">
        <f aca="false">IF(A273="","",G273*H273)</f>
        <v/>
      </c>
      <c r="J273" s="16" t="str">
        <f aca="false">IF(A273="","",IF(Products!G273="",Settings!$B$8,Products!G273))</f>
        <v/>
      </c>
      <c r="K273" s="16" t="str">
        <f aca="false">IF(A273="","",IF(G273&lt;=0,"OUT",IF(G273&lt;=J273,"LOW","OK")))</f>
        <v/>
      </c>
      <c r="L273" s="16" t="str">
        <f aca="false">IF(A273="","",F273+ROW()/1000000)</f>
        <v/>
      </c>
      <c r="M273" s="16" t="str">
        <f aca="false">IF(OR(K273="LOW",K273="OUT"),COUNTIF($K$2:K273,"LOW")+COUNTIF($K$2:K273,"OUT"),"")</f>
        <v/>
      </c>
    </row>
    <row r="274" customFormat="false" ht="15" hidden="false" customHeight="true" outlineLevel="0" collapsed="false">
      <c r="A274" s="16" t="str">
        <f aca="false">IF(Products!A274="","",Products!A274)</f>
        <v/>
      </c>
      <c r="B274" s="16" t="str">
        <f aca="false">IF($A274="","",INDEX(Products!$B$2:$B$501,ROW()-1))</f>
        <v/>
      </c>
      <c r="C274" s="16" t="str">
        <f aca="false">IF($A274="","",INDEX(Products!$C$2:$C$501,ROW()-1))</f>
        <v/>
      </c>
      <c r="D274" s="16" t="str">
        <f aca="false">IF(A274="","",N(Products!I274))</f>
        <v/>
      </c>
      <c r="E274" s="16" t="str">
        <f aca="false">IF(A274="","",SUMIFS(Purchases!$D$2:$D$2001,Purchases!$B$2:$B$2001,A274))</f>
        <v/>
      </c>
      <c r="F274" s="16" t="str">
        <f aca="false">IF(A274="","",SUMIFS(Sales_Items!$E$2:$E$3001,Sales_Items!$C$2:$C$3001,A274))</f>
        <v/>
      </c>
      <c r="G274" s="16" t="str">
        <f aca="false">IF(A274="","",D274+E274-F274)</f>
        <v/>
      </c>
      <c r="H274" s="17" t="str">
        <f aca="false">IF(A274="","",N(Products!E274))</f>
        <v/>
      </c>
      <c r="I274" s="17" t="str">
        <f aca="false">IF(A274="","",G274*H274)</f>
        <v/>
      </c>
      <c r="J274" s="16" t="str">
        <f aca="false">IF(A274="","",IF(Products!G274="",Settings!$B$8,Products!G274))</f>
        <v/>
      </c>
      <c r="K274" s="16" t="str">
        <f aca="false">IF(A274="","",IF(G274&lt;=0,"OUT",IF(G274&lt;=J274,"LOW","OK")))</f>
        <v/>
      </c>
      <c r="L274" s="16" t="str">
        <f aca="false">IF(A274="","",F274+ROW()/1000000)</f>
        <v/>
      </c>
      <c r="M274" s="16" t="str">
        <f aca="false">IF(OR(K274="LOW",K274="OUT"),COUNTIF($K$2:K274,"LOW")+COUNTIF($K$2:K274,"OUT"),"")</f>
        <v/>
      </c>
    </row>
    <row r="275" customFormat="false" ht="15" hidden="false" customHeight="true" outlineLevel="0" collapsed="false">
      <c r="A275" s="16" t="str">
        <f aca="false">IF(Products!A275="","",Products!A275)</f>
        <v/>
      </c>
      <c r="B275" s="16" t="str">
        <f aca="false">IF($A275="","",INDEX(Products!$B$2:$B$501,ROW()-1))</f>
        <v/>
      </c>
      <c r="C275" s="16" t="str">
        <f aca="false">IF($A275="","",INDEX(Products!$C$2:$C$501,ROW()-1))</f>
        <v/>
      </c>
      <c r="D275" s="16" t="str">
        <f aca="false">IF(A275="","",N(Products!I275))</f>
        <v/>
      </c>
      <c r="E275" s="16" t="str">
        <f aca="false">IF(A275="","",SUMIFS(Purchases!$D$2:$D$2001,Purchases!$B$2:$B$2001,A275))</f>
        <v/>
      </c>
      <c r="F275" s="16" t="str">
        <f aca="false">IF(A275="","",SUMIFS(Sales_Items!$E$2:$E$3001,Sales_Items!$C$2:$C$3001,A275))</f>
        <v/>
      </c>
      <c r="G275" s="16" t="str">
        <f aca="false">IF(A275="","",D275+E275-F275)</f>
        <v/>
      </c>
      <c r="H275" s="17" t="str">
        <f aca="false">IF(A275="","",N(Products!E275))</f>
        <v/>
      </c>
      <c r="I275" s="17" t="str">
        <f aca="false">IF(A275="","",G275*H275)</f>
        <v/>
      </c>
      <c r="J275" s="16" t="str">
        <f aca="false">IF(A275="","",IF(Products!G275="",Settings!$B$8,Products!G275))</f>
        <v/>
      </c>
      <c r="K275" s="16" t="str">
        <f aca="false">IF(A275="","",IF(G275&lt;=0,"OUT",IF(G275&lt;=J275,"LOW","OK")))</f>
        <v/>
      </c>
      <c r="L275" s="16" t="str">
        <f aca="false">IF(A275="","",F275+ROW()/1000000)</f>
        <v/>
      </c>
      <c r="M275" s="16" t="str">
        <f aca="false">IF(OR(K275="LOW",K275="OUT"),COUNTIF($K$2:K275,"LOW")+COUNTIF($K$2:K275,"OUT"),"")</f>
        <v/>
      </c>
    </row>
    <row r="276" customFormat="false" ht="15" hidden="false" customHeight="true" outlineLevel="0" collapsed="false">
      <c r="A276" s="16" t="str">
        <f aca="false">IF(Products!A276="","",Products!A276)</f>
        <v/>
      </c>
      <c r="B276" s="16" t="str">
        <f aca="false">IF($A276="","",INDEX(Products!$B$2:$B$501,ROW()-1))</f>
        <v/>
      </c>
      <c r="C276" s="16" t="str">
        <f aca="false">IF($A276="","",INDEX(Products!$C$2:$C$501,ROW()-1))</f>
        <v/>
      </c>
      <c r="D276" s="16" t="str">
        <f aca="false">IF(A276="","",N(Products!I276))</f>
        <v/>
      </c>
      <c r="E276" s="16" t="str">
        <f aca="false">IF(A276="","",SUMIFS(Purchases!$D$2:$D$2001,Purchases!$B$2:$B$2001,A276))</f>
        <v/>
      </c>
      <c r="F276" s="16" t="str">
        <f aca="false">IF(A276="","",SUMIFS(Sales_Items!$E$2:$E$3001,Sales_Items!$C$2:$C$3001,A276))</f>
        <v/>
      </c>
      <c r="G276" s="16" t="str">
        <f aca="false">IF(A276="","",D276+E276-F276)</f>
        <v/>
      </c>
      <c r="H276" s="17" t="str">
        <f aca="false">IF(A276="","",N(Products!E276))</f>
        <v/>
      </c>
      <c r="I276" s="17" t="str">
        <f aca="false">IF(A276="","",G276*H276)</f>
        <v/>
      </c>
      <c r="J276" s="16" t="str">
        <f aca="false">IF(A276="","",IF(Products!G276="",Settings!$B$8,Products!G276))</f>
        <v/>
      </c>
      <c r="K276" s="16" t="str">
        <f aca="false">IF(A276="","",IF(G276&lt;=0,"OUT",IF(G276&lt;=J276,"LOW","OK")))</f>
        <v/>
      </c>
      <c r="L276" s="16" t="str">
        <f aca="false">IF(A276="","",F276+ROW()/1000000)</f>
        <v/>
      </c>
      <c r="M276" s="16" t="str">
        <f aca="false">IF(OR(K276="LOW",K276="OUT"),COUNTIF($K$2:K276,"LOW")+COUNTIF($K$2:K276,"OUT"),"")</f>
        <v/>
      </c>
    </row>
    <row r="277" customFormat="false" ht="15" hidden="false" customHeight="true" outlineLevel="0" collapsed="false">
      <c r="A277" s="16" t="str">
        <f aca="false">IF(Products!A277="","",Products!A277)</f>
        <v/>
      </c>
      <c r="B277" s="16" t="str">
        <f aca="false">IF($A277="","",INDEX(Products!$B$2:$B$501,ROW()-1))</f>
        <v/>
      </c>
      <c r="C277" s="16" t="str">
        <f aca="false">IF($A277="","",INDEX(Products!$C$2:$C$501,ROW()-1))</f>
        <v/>
      </c>
      <c r="D277" s="16" t="str">
        <f aca="false">IF(A277="","",N(Products!I277))</f>
        <v/>
      </c>
      <c r="E277" s="16" t="str">
        <f aca="false">IF(A277="","",SUMIFS(Purchases!$D$2:$D$2001,Purchases!$B$2:$B$2001,A277))</f>
        <v/>
      </c>
      <c r="F277" s="16" t="str">
        <f aca="false">IF(A277="","",SUMIFS(Sales_Items!$E$2:$E$3001,Sales_Items!$C$2:$C$3001,A277))</f>
        <v/>
      </c>
      <c r="G277" s="16" t="str">
        <f aca="false">IF(A277="","",D277+E277-F277)</f>
        <v/>
      </c>
      <c r="H277" s="17" t="str">
        <f aca="false">IF(A277="","",N(Products!E277))</f>
        <v/>
      </c>
      <c r="I277" s="17" t="str">
        <f aca="false">IF(A277="","",G277*H277)</f>
        <v/>
      </c>
      <c r="J277" s="16" t="str">
        <f aca="false">IF(A277="","",IF(Products!G277="",Settings!$B$8,Products!G277))</f>
        <v/>
      </c>
      <c r="K277" s="16" t="str">
        <f aca="false">IF(A277="","",IF(G277&lt;=0,"OUT",IF(G277&lt;=J277,"LOW","OK")))</f>
        <v/>
      </c>
      <c r="L277" s="16" t="str">
        <f aca="false">IF(A277="","",F277+ROW()/1000000)</f>
        <v/>
      </c>
      <c r="M277" s="16" t="str">
        <f aca="false">IF(OR(K277="LOW",K277="OUT"),COUNTIF($K$2:K277,"LOW")+COUNTIF($K$2:K277,"OUT"),"")</f>
        <v/>
      </c>
    </row>
    <row r="278" customFormat="false" ht="15" hidden="false" customHeight="true" outlineLevel="0" collapsed="false">
      <c r="A278" s="16" t="str">
        <f aca="false">IF(Products!A278="","",Products!A278)</f>
        <v/>
      </c>
      <c r="B278" s="16" t="str">
        <f aca="false">IF($A278="","",INDEX(Products!$B$2:$B$501,ROW()-1))</f>
        <v/>
      </c>
      <c r="C278" s="16" t="str">
        <f aca="false">IF($A278="","",INDEX(Products!$C$2:$C$501,ROW()-1))</f>
        <v/>
      </c>
      <c r="D278" s="16" t="str">
        <f aca="false">IF(A278="","",N(Products!I278))</f>
        <v/>
      </c>
      <c r="E278" s="16" t="str">
        <f aca="false">IF(A278="","",SUMIFS(Purchases!$D$2:$D$2001,Purchases!$B$2:$B$2001,A278))</f>
        <v/>
      </c>
      <c r="F278" s="16" t="str">
        <f aca="false">IF(A278="","",SUMIFS(Sales_Items!$E$2:$E$3001,Sales_Items!$C$2:$C$3001,A278))</f>
        <v/>
      </c>
      <c r="G278" s="16" t="str">
        <f aca="false">IF(A278="","",D278+E278-F278)</f>
        <v/>
      </c>
      <c r="H278" s="17" t="str">
        <f aca="false">IF(A278="","",N(Products!E278))</f>
        <v/>
      </c>
      <c r="I278" s="17" t="str">
        <f aca="false">IF(A278="","",G278*H278)</f>
        <v/>
      </c>
      <c r="J278" s="16" t="str">
        <f aca="false">IF(A278="","",IF(Products!G278="",Settings!$B$8,Products!G278))</f>
        <v/>
      </c>
      <c r="K278" s="16" t="str">
        <f aca="false">IF(A278="","",IF(G278&lt;=0,"OUT",IF(G278&lt;=J278,"LOW","OK")))</f>
        <v/>
      </c>
      <c r="L278" s="16" t="str">
        <f aca="false">IF(A278="","",F278+ROW()/1000000)</f>
        <v/>
      </c>
      <c r="M278" s="16" t="str">
        <f aca="false">IF(OR(K278="LOW",K278="OUT"),COUNTIF($K$2:K278,"LOW")+COUNTIF($K$2:K278,"OUT"),"")</f>
        <v/>
      </c>
    </row>
    <row r="279" customFormat="false" ht="15" hidden="false" customHeight="true" outlineLevel="0" collapsed="false">
      <c r="A279" s="16" t="str">
        <f aca="false">IF(Products!A279="","",Products!A279)</f>
        <v/>
      </c>
      <c r="B279" s="16" t="str">
        <f aca="false">IF($A279="","",INDEX(Products!$B$2:$B$501,ROW()-1))</f>
        <v/>
      </c>
      <c r="C279" s="16" t="str">
        <f aca="false">IF($A279="","",INDEX(Products!$C$2:$C$501,ROW()-1))</f>
        <v/>
      </c>
      <c r="D279" s="16" t="str">
        <f aca="false">IF(A279="","",N(Products!I279))</f>
        <v/>
      </c>
      <c r="E279" s="16" t="str">
        <f aca="false">IF(A279="","",SUMIFS(Purchases!$D$2:$D$2001,Purchases!$B$2:$B$2001,A279))</f>
        <v/>
      </c>
      <c r="F279" s="16" t="str">
        <f aca="false">IF(A279="","",SUMIFS(Sales_Items!$E$2:$E$3001,Sales_Items!$C$2:$C$3001,A279))</f>
        <v/>
      </c>
      <c r="G279" s="16" t="str">
        <f aca="false">IF(A279="","",D279+E279-F279)</f>
        <v/>
      </c>
      <c r="H279" s="17" t="str">
        <f aca="false">IF(A279="","",N(Products!E279))</f>
        <v/>
      </c>
      <c r="I279" s="17" t="str">
        <f aca="false">IF(A279="","",G279*H279)</f>
        <v/>
      </c>
      <c r="J279" s="16" t="str">
        <f aca="false">IF(A279="","",IF(Products!G279="",Settings!$B$8,Products!G279))</f>
        <v/>
      </c>
      <c r="K279" s="16" t="str">
        <f aca="false">IF(A279="","",IF(G279&lt;=0,"OUT",IF(G279&lt;=J279,"LOW","OK")))</f>
        <v/>
      </c>
      <c r="L279" s="16" t="str">
        <f aca="false">IF(A279="","",F279+ROW()/1000000)</f>
        <v/>
      </c>
      <c r="M279" s="16" t="str">
        <f aca="false">IF(OR(K279="LOW",K279="OUT"),COUNTIF($K$2:K279,"LOW")+COUNTIF($K$2:K279,"OUT"),"")</f>
        <v/>
      </c>
    </row>
    <row r="280" customFormat="false" ht="15" hidden="false" customHeight="true" outlineLevel="0" collapsed="false">
      <c r="A280" s="16" t="str">
        <f aca="false">IF(Products!A280="","",Products!A280)</f>
        <v/>
      </c>
      <c r="B280" s="16" t="str">
        <f aca="false">IF($A280="","",INDEX(Products!$B$2:$B$501,ROW()-1))</f>
        <v/>
      </c>
      <c r="C280" s="16" t="str">
        <f aca="false">IF($A280="","",INDEX(Products!$C$2:$C$501,ROW()-1))</f>
        <v/>
      </c>
      <c r="D280" s="16" t="str">
        <f aca="false">IF(A280="","",N(Products!I280))</f>
        <v/>
      </c>
      <c r="E280" s="16" t="str">
        <f aca="false">IF(A280="","",SUMIFS(Purchases!$D$2:$D$2001,Purchases!$B$2:$B$2001,A280))</f>
        <v/>
      </c>
      <c r="F280" s="16" t="str">
        <f aca="false">IF(A280="","",SUMIFS(Sales_Items!$E$2:$E$3001,Sales_Items!$C$2:$C$3001,A280))</f>
        <v/>
      </c>
      <c r="G280" s="16" t="str">
        <f aca="false">IF(A280="","",D280+E280-F280)</f>
        <v/>
      </c>
      <c r="H280" s="17" t="str">
        <f aca="false">IF(A280="","",N(Products!E280))</f>
        <v/>
      </c>
      <c r="I280" s="17" t="str">
        <f aca="false">IF(A280="","",G280*H280)</f>
        <v/>
      </c>
      <c r="J280" s="16" t="str">
        <f aca="false">IF(A280="","",IF(Products!G280="",Settings!$B$8,Products!G280))</f>
        <v/>
      </c>
      <c r="K280" s="16" t="str">
        <f aca="false">IF(A280="","",IF(G280&lt;=0,"OUT",IF(G280&lt;=J280,"LOW","OK")))</f>
        <v/>
      </c>
      <c r="L280" s="16" t="str">
        <f aca="false">IF(A280="","",F280+ROW()/1000000)</f>
        <v/>
      </c>
      <c r="M280" s="16" t="str">
        <f aca="false">IF(OR(K280="LOW",K280="OUT"),COUNTIF($K$2:K280,"LOW")+COUNTIF($K$2:K280,"OUT"),"")</f>
        <v/>
      </c>
    </row>
    <row r="281" customFormat="false" ht="15" hidden="false" customHeight="true" outlineLevel="0" collapsed="false">
      <c r="A281" s="16" t="str">
        <f aca="false">IF(Products!A281="","",Products!A281)</f>
        <v/>
      </c>
      <c r="B281" s="16" t="str">
        <f aca="false">IF($A281="","",INDEX(Products!$B$2:$B$501,ROW()-1))</f>
        <v/>
      </c>
      <c r="C281" s="16" t="str">
        <f aca="false">IF($A281="","",INDEX(Products!$C$2:$C$501,ROW()-1))</f>
        <v/>
      </c>
      <c r="D281" s="16" t="str">
        <f aca="false">IF(A281="","",N(Products!I281))</f>
        <v/>
      </c>
      <c r="E281" s="16" t="str">
        <f aca="false">IF(A281="","",SUMIFS(Purchases!$D$2:$D$2001,Purchases!$B$2:$B$2001,A281))</f>
        <v/>
      </c>
      <c r="F281" s="16" t="str">
        <f aca="false">IF(A281="","",SUMIFS(Sales_Items!$E$2:$E$3001,Sales_Items!$C$2:$C$3001,A281))</f>
        <v/>
      </c>
      <c r="G281" s="16" t="str">
        <f aca="false">IF(A281="","",D281+E281-F281)</f>
        <v/>
      </c>
      <c r="H281" s="17" t="str">
        <f aca="false">IF(A281="","",N(Products!E281))</f>
        <v/>
      </c>
      <c r="I281" s="17" t="str">
        <f aca="false">IF(A281="","",G281*H281)</f>
        <v/>
      </c>
      <c r="J281" s="16" t="str">
        <f aca="false">IF(A281="","",IF(Products!G281="",Settings!$B$8,Products!G281))</f>
        <v/>
      </c>
      <c r="K281" s="16" t="str">
        <f aca="false">IF(A281="","",IF(G281&lt;=0,"OUT",IF(G281&lt;=J281,"LOW","OK")))</f>
        <v/>
      </c>
      <c r="L281" s="16" t="str">
        <f aca="false">IF(A281="","",F281+ROW()/1000000)</f>
        <v/>
      </c>
      <c r="M281" s="16" t="str">
        <f aca="false">IF(OR(K281="LOW",K281="OUT"),COUNTIF($K$2:K281,"LOW")+COUNTIF($K$2:K281,"OUT"),"")</f>
        <v/>
      </c>
    </row>
    <row r="282" customFormat="false" ht="15" hidden="false" customHeight="true" outlineLevel="0" collapsed="false">
      <c r="A282" s="16" t="str">
        <f aca="false">IF(Products!A282="","",Products!A282)</f>
        <v/>
      </c>
      <c r="B282" s="16" t="str">
        <f aca="false">IF($A282="","",INDEX(Products!$B$2:$B$501,ROW()-1))</f>
        <v/>
      </c>
      <c r="C282" s="16" t="str">
        <f aca="false">IF($A282="","",INDEX(Products!$C$2:$C$501,ROW()-1))</f>
        <v/>
      </c>
      <c r="D282" s="16" t="str">
        <f aca="false">IF(A282="","",N(Products!I282))</f>
        <v/>
      </c>
      <c r="E282" s="16" t="str">
        <f aca="false">IF(A282="","",SUMIFS(Purchases!$D$2:$D$2001,Purchases!$B$2:$B$2001,A282))</f>
        <v/>
      </c>
      <c r="F282" s="16" t="str">
        <f aca="false">IF(A282="","",SUMIFS(Sales_Items!$E$2:$E$3001,Sales_Items!$C$2:$C$3001,A282))</f>
        <v/>
      </c>
      <c r="G282" s="16" t="str">
        <f aca="false">IF(A282="","",D282+E282-F282)</f>
        <v/>
      </c>
      <c r="H282" s="17" t="str">
        <f aca="false">IF(A282="","",N(Products!E282))</f>
        <v/>
      </c>
      <c r="I282" s="17" t="str">
        <f aca="false">IF(A282="","",G282*H282)</f>
        <v/>
      </c>
      <c r="J282" s="16" t="str">
        <f aca="false">IF(A282="","",IF(Products!G282="",Settings!$B$8,Products!G282))</f>
        <v/>
      </c>
      <c r="K282" s="16" t="str">
        <f aca="false">IF(A282="","",IF(G282&lt;=0,"OUT",IF(G282&lt;=J282,"LOW","OK")))</f>
        <v/>
      </c>
      <c r="L282" s="16" t="str">
        <f aca="false">IF(A282="","",F282+ROW()/1000000)</f>
        <v/>
      </c>
      <c r="M282" s="16" t="str">
        <f aca="false">IF(OR(K282="LOW",K282="OUT"),COUNTIF($K$2:K282,"LOW")+COUNTIF($K$2:K282,"OUT"),"")</f>
        <v/>
      </c>
    </row>
    <row r="283" customFormat="false" ht="15" hidden="false" customHeight="true" outlineLevel="0" collapsed="false">
      <c r="A283" s="16" t="str">
        <f aca="false">IF(Products!A283="","",Products!A283)</f>
        <v/>
      </c>
      <c r="B283" s="16" t="str">
        <f aca="false">IF($A283="","",INDEX(Products!$B$2:$B$501,ROW()-1))</f>
        <v/>
      </c>
      <c r="C283" s="16" t="str">
        <f aca="false">IF($A283="","",INDEX(Products!$C$2:$C$501,ROW()-1))</f>
        <v/>
      </c>
      <c r="D283" s="16" t="str">
        <f aca="false">IF(A283="","",N(Products!I283))</f>
        <v/>
      </c>
      <c r="E283" s="16" t="str">
        <f aca="false">IF(A283="","",SUMIFS(Purchases!$D$2:$D$2001,Purchases!$B$2:$B$2001,A283))</f>
        <v/>
      </c>
      <c r="F283" s="16" t="str">
        <f aca="false">IF(A283="","",SUMIFS(Sales_Items!$E$2:$E$3001,Sales_Items!$C$2:$C$3001,A283))</f>
        <v/>
      </c>
      <c r="G283" s="16" t="str">
        <f aca="false">IF(A283="","",D283+E283-F283)</f>
        <v/>
      </c>
      <c r="H283" s="17" t="str">
        <f aca="false">IF(A283="","",N(Products!E283))</f>
        <v/>
      </c>
      <c r="I283" s="17" t="str">
        <f aca="false">IF(A283="","",G283*H283)</f>
        <v/>
      </c>
      <c r="J283" s="16" t="str">
        <f aca="false">IF(A283="","",IF(Products!G283="",Settings!$B$8,Products!G283))</f>
        <v/>
      </c>
      <c r="K283" s="16" t="str">
        <f aca="false">IF(A283="","",IF(G283&lt;=0,"OUT",IF(G283&lt;=J283,"LOW","OK")))</f>
        <v/>
      </c>
      <c r="L283" s="16" t="str">
        <f aca="false">IF(A283="","",F283+ROW()/1000000)</f>
        <v/>
      </c>
      <c r="M283" s="16" t="str">
        <f aca="false">IF(OR(K283="LOW",K283="OUT"),COUNTIF($K$2:K283,"LOW")+COUNTIF($K$2:K283,"OUT"),"")</f>
        <v/>
      </c>
    </row>
    <row r="284" customFormat="false" ht="15" hidden="false" customHeight="true" outlineLevel="0" collapsed="false">
      <c r="A284" s="16" t="str">
        <f aca="false">IF(Products!A284="","",Products!A284)</f>
        <v/>
      </c>
      <c r="B284" s="16" t="str">
        <f aca="false">IF($A284="","",INDEX(Products!$B$2:$B$501,ROW()-1))</f>
        <v/>
      </c>
      <c r="C284" s="16" t="str">
        <f aca="false">IF($A284="","",INDEX(Products!$C$2:$C$501,ROW()-1))</f>
        <v/>
      </c>
      <c r="D284" s="16" t="str">
        <f aca="false">IF(A284="","",N(Products!I284))</f>
        <v/>
      </c>
      <c r="E284" s="16" t="str">
        <f aca="false">IF(A284="","",SUMIFS(Purchases!$D$2:$D$2001,Purchases!$B$2:$B$2001,A284))</f>
        <v/>
      </c>
      <c r="F284" s="16" t="str">
        <f aca="false">IF(A284="","",SUMIFS(Sales_Items!$E$2:$E$3001,Sales_Items!$C$2:$C$3001,A284))</f>
        <v/>
      </c>
      <c r="G284" s="16" t="str">
        <f aca="false">IF(A284="","",D284+E284-F284)</f>
        <v/>
      </c>
      <c r="H284" s="17" t="str">
        <f aca="false">IF(A284="","",N(Products!E284))</f>
        <v/>
      </c>
      <c r="I284" s="17" t="str">
        <f aca="false">IF(A284="","",G284*H284)</f>
        <v/>
      </c>
      <c r="J284" s="16" t="str">
        <f aca="false">IF(A284="","",IF(Products!G284="",Settings!$B$8,Products!G284))</f>
        <v/>
      </c>
      <c r="K284" s="16" t="str">
        <f aca="false">IF(A284="","",IF(G284&lt;=0,"OUT",IF(G284&lt;=J284,"LOW","OK")))</f>
        <v/>
      </c>
      <c r="L284" s="16" t="str">
        <f aca="false">IF(A284="","",F284+ROW()/1000000)</f>
        <v/>
      </c>
      <c r="M284" s="16" t="str">
        <f aca="false">IF(OR(K284="LOW",K284="OUT"),COUNTIF($K$2:K284,"LOW")+COUNTIF($K$2:K284,"OUT"),"")</f>
        <v/>
      </c>
    </row>
    <row r="285" customFormat="false" ht="15" hidden="false" customHeight="true" outlineLevel="0" collapsed="false">
      <c r="A285" s="16" t="str">
        <f aca="false">IF(Products!A285="","",Products!A285)</f>
        <v/>
      </c>
      <c r="B285" s="16" t="str">
        <f aca="false">IF($A285="","",INDEX(Products!$B$2:$B$501,ROW()-1))</f>
        <v/>
      </c>
      <c r="C285" s="16" t="str">
        <f aca="false">IF($A285="","",INDEX(Products!$C$2:$C$501,ROW()-1))</f>
        <v/>
      </c>
      <c r="D285" s="16" t="str">
        <f aca="false">IF(A285="","",N(Products!I285))</f>
        <v/>
      </c>
      <c r="E285" s="16" t="str">
        <f aca="false">IF(A285="","",SUMIFS(Purchases!$D$2:$D$2001,Purchases!$B$2:$B$2001,A285))</f>
        <v/>
      </c>
      <c r="F285" s="16" t="str">
        <f aca="false">IF(A285="","",SUMIFS(Sales_Items!$E$2:$E$3001,Sales_Items!$C$2:$C$3001,A285))</f>
        <v/>
      </c>
      <c r="G285" s="16" t="str">
        <f aca="false">IF(A285="","",D285+E285-F285)</f>
        <v/>
      </c>
      <c r="H285" s="17" t="str">
        <f aca="false">IF(A285="","",N(Products!E285))</f>
        <v/>
      </c>
      <c r="I285" s="17" t="str">
        <f aca="false">IF(A285="","",G285*H285)</f>
        <v/>
      </c>
      <c r="J285" s="16" t="str">
        <f aca="false">IF(A285="","",IF(Products!G285="",Settings!$B$8,Products!G285))</f>
        <v/>
      </c>
      <c r="K285" s="16" t="str">
        <f aca="false">IF(A285="","",IF(G285&lt;=0,"OUT",IF(G285&lt;=J285,"LOW","OK")))</f>
        <v/>
      </c>
      <c r="L285" s="16" t="str">
        <f aca="false">IF(A285="","",F285+ROW()/1000000)</f>
        <v/>
      </c>
      <c r="M285" s="16" t="str">
        <f aca="false">IF(OR(K285="LOW",K285="OUT"),COUNTIF($K$2:K285,"LOW")+COUNTIF($K$2:K285,"OUT"),"")</f>
        <v/>
      </c>
    </row>
    <row r="286" customFormat="false" ht="15" hidden="false" customHeight="true" outlineLevel="0" collapsed="false">
      <c r="A286" s="16" t="str">
        <f aca="false">IF(Products!A286="","",Products!A286)</f>
        <v/>
      </c>
      <c r="B286" s="16" t="str">
        <f aca="false">IF($A286="","",INDEX(Products!$B$2:$B$501,ROW()-1))</f>
        <v/>
      </c>
      <c r="C286" s="16" t="str">
        <f aca="false">IF($A286="","",INDEX(Products!$C$2:$C$501,ROW()-1))</f>
        <v/>
      </c>
      <c r="D286" s="16" t="str">
        <f aca="false">IF(A286="","",N(Products!I286))</f>
        <v/>
      </c>
      <c r="E286" s="16" t="str">
        <f aca="false">IF(A286="","",SUMIFS(Purchases!$D$2:$D$2001,Purchases!$B$2:$B$2001,A286))</f>
        <v/>
      </c>
      <c r="F286" s="16" t="str">
        <f aca="false">IF(A286="","",SUMIFS(Sales_Items!$E$2:$E$3001,Sales_Items!$C$2:$C$3001,A286))</f>
        <v/>
      </c>
      <c r="G286" s="16" t="str">
        <f aca="false">IF(A286="","",D286+E286-F286)</f>
        <v/>
      </c>
      <c r="H286" s="17" t="str">
        <f aca="false">IF(A286="","",N(Products!E286))</f>
        <v/>
      </c>
      <c r="I286" s="17" t="str">
        <f aca="false">IF(A286="","",G286*H286)</f>
        <v/>
      </c>
      <c r="J286" s="16" t="str">
        <f aca="false">IF(A286="","",IF(Products!G286="",Settings!$B$8,Products!G286))</f>
        <v/>
      </c>
      <c r="K286" s="16" t="str">
        <f aca="false">IF(A286="","",IF(G286&lt;=0,"OUT",IF(G286&lt;=J286,"LOW","OK")))</f>
        <v/>
      </c>
      <c r="L286" s="16" t="str">
        <f aca="false">IF(A286="","",F286+ROW()/1000000)</f>
        <v/>
      </c>
      <c r="M286" s="16" t="str">
        <f aca="false">IF(OR(K286="LOW",K286="OUT"),COUNTIF($K$2:K286,"LOW")+COUNTIF($K$2:K286,"OUT"),"")</f>
        <v/>
      </c>
    </row>
    <row r="287" customFormat="false" ht="15" hidden="false" customHeight="true" outlineLevel="0" collapsed="false">
      <c r="A287" s="16" t="str">
        <f aca="false">IF(Products!A287="","",Products!A287)</f>
        <v/>
      </c>
      <c r="B287" s="16" t="str">
        <f aca="false">IF($A287="","",INDEX(Products!$B$2:$B$501,ROW()-1))</f>
        <v/>
      </c>
      <c r="C287" s="16" t="str">
        <f aca="false">IF($A287="","",INDEX(Products!$C$2:$C$501,ROW()-1))</f>
        <v/>
      </c>
      <c r="D287" s="16" t="str">
        <f aca="false">IF(A287="","",N(Products!I287))</f>
        <v/>
      </c>
      <c r="E287" s="16" t="str">
        <f aca="false">IF(A287="","",SUMIFS(Purchases!$D$2:$D$2001,Purchases!$B$2:$B$2001,A287))</f>
        <v/>
      </c>
      <c r="F287" s="16" t="str">
        <f aca="false">IF(A287="","",SUMIFS(Sales_Items!$E$2:$E$3001,Sales_Items!$C$2:$C$3001,A287))</f>
        <v/>
      </c>
      <c r="G287" s="16" t="str">
        <f aca="false">IF(A287="","",D287+E287-F287)</f>
        <v/>
      </c>
      <c r="H287" s="17" t="str">
        <f aca="false">IF(A287="","",N(Products!E287))</f>
        <v/>
      </c>
      <c r="I287" s="17" t="str">
        <f aca="false">IF(A287="","",G287*H287)</f>
        <v/>
      </c>
      <c r="J287" s="16" t="str">
        <f aca="false">IF(A287="","",IF(Products!G287="",Settings!$B$8,Products!G287))</f>
        <v/>
      </c>
      <c r="K287" s="16" t="str">
        <f aca="false">IF(A287="","",IF(G287&lt;=0,"OUT",IF(G287&lt;=J287,"LOW","OK")))</f>
        <v/>
      </c>
      <c r="L287" s="16" t="str">
        <f aca="false">IF(A287="","",F287+ROW()/1000000)</f>
        <v/>
      </c>
      <c r="M287" s="16" t="str">
        <f aca="false">IF(OR(K287="LOW",K287="OUT"),COUNTIF($K$2:K287,"LOW")+COUNTIF($K$2:K287,"OUT"),"")</f>
        <v/>
      </c>
    </row>
    <row r="288" customFormat="false" ht="15" hidden="false" customHeight="true" outlineLevel="0" collapsed="false">
      <c r="A288" s="16" t="str">
        <f aca="false">IF(Products!A288="","",Products!A288)</f>
        <v/>
      </c>
      <c r="B288" s="16" t="str">
        <f aca="false">IF($A288="","",INDEX(Products!$B$2:$B$501,ROW()-1))</f>
        <v/>
      </c>
      <c r="C288" s="16" t="str">
        <f aca="false">IF($A288="","",INDEX(Products!$C$2:$C$501,ROW()-1))</f>
        <v/>
      </c>
      <c r="D288" s="16" t="str">
        <f aca="false">IF(A288="","",N(Products!I288))</f>
        <v/>
      </c>
      <c r="E288" s="16" t="str">
        <f aca="false">IF(A288="","",SUMIFS(Purchases!$D$2:$D$2001,Purchases!$B$2:$B$2001,A288))</f>
        <v/>
      </c>
      <c r="F288" s="16" t="str">
        <f aca="false">IF(A288="","",SUMIFS(Sales_Items!$E$2:$E$3001,Sales_Items!$C$2:$C$3001,A288))</f>
        <v/>
      </c>
      <c r="G288" s="16" t="str">
        <f aca="false">IF(A288="","",D288+E288-F288)</f>
        <v/>
      </c>
      <c r="H288" s="17" t="str">
        <f aca="false">IF(A288="","",N(Products!E288))</f>
        <v/>
      </c>
      <c r="I288" s="17" t="str">
        <f aca="false">IF(A288="","",G288*H288)</f>
        <v/>
      </c>
      <c r="J288" s="16" t="str">
        <f aca="false">IF(A288="","",IF(Products!G288="",Settings!$B$8,Products!G288))</f>
        <v/>
      </c>
      <c r="K288" s="16" t="str">
        <f aca="false">IF(A288="","",IF(G288&lt;=0,"OUT",IF(G288&lt;=J288,"LOW","OK")))</f>
        <v/>
      </c>
      <c r="L288" s="16" t="str">
        <f aca="false">IF(A288="","",F288+ROW()/1000000)</f>
        <v/>
      </c>
      <c r="M288" s="16" t="str">
        <f aca="false">IF(OR(K288="LOW",K288="OUT"),COUNTIF($K$2:K288,"LOW")+COUNTIF($K$2:K288,"OUT"),"")</f>
        <v/>
      </c>
    </row>
    <row r="289" customFormat="false" ht="15" hidden="false" customHeight="true" outlineLevel="0" collapsed="false">
      <c r="A289" s="16" t="str">
        <f aca="false">IF(Products!A289="","",Products!A289)</f>
        <v/>
      </c>
      <c r="B289" s="16" t="str">
        <f aca="false">IF($A289="","",INDEX(Products!$B$2:$B$501,ROW()-1))</f>
        <v/>
      </c>
      <c r="C289" s="16" t="str">
        <f aca="false">IF($A289="","",INDEX(Products!$C$2:$C$501,ROW()-1))</f>
        <v/>
      </c>
      <c r="D289" s="16" t="str">
        <f aca="false">IF(A289="","",N(Products!I289))</f>
        <v/>
      </c>
      <c r="E289" s="16" t="str">
        <f aca="false">IF(A289="","",SUMIFS(Purchases!$D$2:$D$2001,Purchases!$B$2:$B$2001,A289))</f>
        <v/>
      </c>
      <c r="F289" s="16" t="str">
        <f aca="false">IF(A289="","",SUMIFS(Sales_Items!$E$2:$E$3001,Sales_Items!$C$2:$C$3001,A289))</f>
        <v/>
      </c>
      <c r="G289" s="16" t="str">
        <f aca="false">IF(A289="","",D289+E289-F289)</f>
        <v/>
      </c>
      <c r="H289" s="17" t="str">
        <f aca="false">IF(A289="","",N(Products!E289))</f>
        <v/>
      </c>
      <c r="I289" s="17" t="str">
        <f aca="false">IF(A289="","",G289*H289)</f>
        <v/>
      </c>
      <c r="J289" s="16" t="str">
        <f aca="false">IF(A289="","",IF(Products!G289="",Settings!$B$8,Products!G289))</f>
        <v/>
      </c>
      <c r="K289" s="16" t="str">
        <f aca="false">IF(A289="","",IF(G289&lt;=0,"OUT",IF(G289&lt;=J289,"LOW","OK")))</f>
        <v/>
      </c>
      <c r="L289" s="16" t="str">
        <f aca="false">IF(A289="","",F289+ROW()/1000000)</f>
        <v/>
      </c>
      <c r="M289" s="16" t="str">
        <f aca="false">IF(OR(K289="LOW",K289="OUT"),COUNTIF($K$2:K289,"LOW")+COUNTIF($K$2:K289,"OUT"),"")</f>
        <v/>
      </c>
    </row>
    <row r="290" customFormat="false" ht="15" hidden="false" customHeight="true" outlineLevel="0" collapsed="false">
      <c r="A290" s="16" t="str">
        <f aca="false">IF(Products!A290="","",Products!A290)</f>
        <v/>
      </c>
      <c r="B290" s="16" t="str">
        <f aca="false">IF($A290="","",INDEX(Products!$B$2:$B$501,ROW()-1))</f>
        <v/>
      </c>
      <c r="C290" s="16" t="str">
        <f aca="false">IF($A290="","",INDEX(Products!$C$2:$C$501,ROW()-1))</f>
        <v/>
      </c>
      <c r="D290" s="16" t="str">
        <f aca="false">IF(A290="","",N(Products!I290))</f>
        <v/>
      </c>
      <c r="E290" s="16" t="str">
        <f aca="false">IF(A290="","",SUMIFS(Purchases!$D$2:$D$2001,Purchases!$B$2:$B$2001,A290))</f>
        <v/>
      </c>
      <c r="F290" s="16" t="str">
        <f aca="false">IF(A290="","",SUMIFS(Sales_Items!$E$2:$E$3001,Sales_Items!$C$2:$C$3001,A290))</f>
        <v/>
      </c>
      <c r="G290" s="16" t="str">
        <f aca="false">IF(A290="","",D290+E290-F290)</f>
        <v/>
      </c>
      <c r="H290" s="17" t="str">
        <f aca="false">IF(A290="","",N(Products!E290))</f>
        <v/>
      </c>
      <c r="I290" s="17" t="str">
        <f aca="false">IF(A290="","",G290*H290)</f>
        <v/>
      </c>
      <c r="J290" s="16" t="str">
        <f aca="false">IF(A290="","",IF(Products!G290="",Settings!$B$8,Products!G290))</f>
        <v/>
      </c>
      <c r="K290" s="16" t="str">
        <f aca="false">IF(A290="","",IF(G290&lt;=0,"OUT",IF(G290&lt;=J290,"LOW","OK")))</f>
        <v/>
      </c>
      <c r="L290" s="16" t="str">
        <f aca="false">IF(A290="","",F290+ROW()/1000000)</f>
        <v/>
      </c>
      <c r="M290" s="16" t="str">
        <f aca="false">IF(OR(K290="LOW",K290="OUT"),COUNTIF($K$2:K290,"LOW")+COUNTIF($K$2:K290,"OUT"),"")</f>
        <v/>
      </c>
    </row>
    <row r="291" customFormat="false" ht="15" hidden="false" customHeight="true" outlineLevel="0" collapsed="false">
      <c r="A291" s="16" t="str">
        <f aca="false">IF(Products!A291="","",Products!A291)</f>
        <v/>
      </c>
      <c r="B291" s="16" t="str">
        <f aca="false">IF($A291="","",INDEX(Products!$B$2:$B$501,ROW()-1))</f>
        <v/>
      </c>
      <c r="C291" s="16" t="str">
        <f aca="false">IF($A291="","",INDEX(Products!$C$2:$C$501,ROW()-1))</f>
        <v/>
      </c>
      <c r="D291" s="16" t="str">
        <f aca="false">IF(A291="","",N(Products!I291))</f>
        <v/>
      </c>
      <c r="E291" s="16" t="str">
        <f aca="false">IF(A291="","",SUMIFS(Purchases!$D$2:$D$2001,Purchases!$B$2:$B$2001,A291))</f>
        <v/>
      </c>
      <c r="F291" s="16" t="str">
        <f aca="false">IF(A291="","",SUMIFS(Sales_Items!$E$2:$E$3001,Sales_Items!$C$2:$C$3001,A291))</f>
        <v/>
      </c>
      <c r="G291" s="16" t="str">
        <f aca="false">IF(A291="","",D291+E291-F291)</f>
        <v/>
      </c>
      <c r="H291" s="17" t="str">
        <f aca="false">IF(A291="","",N(Products!E291))</f>
        <v/>
      </c>
      <c r="I291" s="17" t="str">
        <f aca="false">IF(A291="","",G291*H291)</f>
        <v/>
      </c>
      <c r="J291" s="16" t="str">
        <f aca="false">IF(A291="","",IF(Products!G291="",Settings!$B$8,Products!G291))</f>
        <v/>
      </c>
      <c r="K291" s="16" t="str">
        <f aca="false">IF(A291="","",IF(G291&lt;=0,"OUT",IF(G291&lt;=J291,"LOW","OK")))</f>
        <v/>
      </c>
      <c r="L291" s="16" t="str">
        <f aca="false">IF(A291="","",F291+ROW()/1000000)</f>
        <v/>
      </c>
      <c r="M291" s="16" t="str">
        <f aca="false">IF(OR(K291="LOW",K291="OUT"),COUNTIF($K$2:K291,"LOW")+COUNTIF($K$2:K291,"OUT"),"")</f>
        <v/>
      </c>
    </row>
    <row r="292" customFormat="false" ht="15" hidden="false" customHeight="true" outlineLevel="0" collapsed="false">
      <c r="A292" s="16" t="str">
        <f aca="false">IF(Products!A292="","",Products!A292)</f>
        <v/>
      </c>
      <c r="B292" s="16" t="str">
        <f aca="false">IF($A292="","",INDEX(Products!$B$2:$B$501,ROW()-1))</f>
        <v/>
      </c>
      <c r="C292" s="16" t="str">
        <f aca="false">IF($A292="","",INDEX(Products!$C$2:$C$501,ROW()-1))</f>
        <v/>
      </c>
      <c r="D292" s="16" t="str">
        <f aca="false">IF(A292="","",N(Products!I292))</f>
        <v/>
      </c>
      <c r="E292" s="16" t="str">
        <f aca="false">IF(A292="","",SUMIFS(Purchases!$D$2:$D$2001,Purchases!$B$2:$B$2001,A292))</f>
        <v/>
      </c>
      <c r="F292" s="16" t="str">
        <f aca="false">IF(A292="","",SUMIFS(Sales_Items!$E$2:$E$3001,Sales_Items!$C$2:$C$3001,A292))</f>
        <v/>
      </c>
      <c r="G292" s="16" t="str">
        <f aca="false">IF(A292="","",D292+E292-F292)</f>
        <v/>
      </c>
      <c r="H292" s="17" t="str">
        <f aca="false">IF(A292="","",N(Products!E292))</f>
        <v/>
      </c>
      <c r="I292" s="17" t="str">
        <f aca="false">IF(A292="","",G292*H292)</f>
        <v/>
      </c>
      <c r="J292" s="16" t="str">
        <f aca="false">IF(A292="","",IF(Products!G292="",Settings!$B$8,Products!G292))</f>
        <v/>
      </c>
      <c r="K292" s="16" t="str">
        <f aca="false">IF(A292="","",IF(G292&lt;=0,"OUT",IF(G292&lt;=J292,"LOW","OK")))</f>
        <v/>
      </c>
      <c r="L292" s="16" t="str">
        <f aca="false">IF(A292="","",F292+ROW()/1000000)</f>
        <v/>
      </c>
      <c r="M292" s="16" t="str">
        <f aca="false">IF(OR(K292="LOW",K292="OUT"),COUNTIF($K$2:K292,"LOW")+COUNTIF($K$2:K292,"OUT"),"")</f>
        <v/>
      </c>
    </row>
    <row r="293" customFormat="false" ht="15" hidden="false" customHeight="true" outlineLevel="0" collapsed="false">
      <c r="A293" s="16" t="str">
        <f aca="false">IF(Products!A293="","",Products!A293)</f>
        <v/>
      </c>
      <c r="B293" s="16" t="str">
        <f aca="false">IF($A293="","",INDEX(Products!$B$2:$B$501,ROW()-1))</f>
        <v/>
      </c>
      <c r="C293" s="16" t="str">
        <f aca="false">IF($A293="","",INDEX(Products!$C$2:$C$501,ROW()-1))</f>
        <v/>
      </c>
      <c r="D293" s="16" t="str">
        <f aca="false">IF(A293="","",N(Products!I293))</f>
        <v/>
      </c>
      <c r="E293" s="16" t="str">
        <f aca="false">IF(A293="","",SUMIFS(Purchases!$D$2:$D$2001,Purchases!$B$2:$B$2001,A293))</f>
        <v/>
      </c>
      <c r="F293" s="16" t="str">
        <f aca="false">IF(A293="","",SUMIFS(Sales_Items!$E$2:$E$3001,Sales_Items!$C$2:$C$3001,A293))</f>
        <v/>
      </c>
      <c r="G293" s="16" t="str">
        <f aca="false">IF(A293="","",D293+E293-F293)</f>
        <v/>
      </c>
      <c r="H293" s="17" t="str">
        <f aca="false">IF(A293="","",N(Products!E293))</f>
        <v/>
      </c>
      <c r="I293" s="17" t="str">
        <f aca="false">IF(A293="","",G293*H293)</f>
        <v/>
      </c>
      <c r="J293" s="16" t="str">
        <f aca="false">IF(A293="","",IF(Products!G293="",Settings!$B$8,Products!G293))</f>
        <v/>
      </c>
      <c r="K293" s="16" t="str">
        <f aca="false">IF(A293="","",IF(G293&lt;=0,"OUT",IF(G293&lt;=J293,"LOW","OK")))</f>
        <v/>
      </c>
      <c r="L293" s="16" t="str">
        <f aca="false">IF(A293="","",F293+ROW()/1000000)</f>
        <v/>
      </c>
      <c r="M293" s="16" t="str">
        <f aca="false">IF(OR(K293="LOW",K293="OUT"),COUNTIF($K$2:K293,"LOW")+COUNTIF($K$2:K293,"OUT"),"")</f>
        <v/>
      </c>
    </row>
    <row r="294" customFormat="false" ht="15" hidden="false" customHeight="true" outlineLevel="0" collapsed="false">
      <c r="A294" s="16" t="str">
        <f aca="false">IF(Products!A294="","",Products!A294)</f>
        <v/>
      </c>
      <c r="B294" s="16" t="str">
        <f aca="false">IF($A294="","",INDEX(Products!$B$2:$B$501,ROW()-1))</f>
        <v/>
      </c>
      <c r="C294" s="16" t="str">
        <f aca="false">IF($A294="","",INDEX(Products!$C$2:$C$501,ROW()-1))</f>
        <v/>
      </c>
      <c r="D294" s="16" t="str">
        <f aca="false">IF(A294="","",N(Products!I294))</f>
        <v/>
      </c>
      <c r="E294" s="16" t="str">
        <f aca="false">IF(A294="","",SUMIFS(Purchases!$D$2:$D$2001,Purchases!$B$2:$B$2001,A294))</f>
        <v/>
      </c>
      <c r="F294" s="16" t="str">
        <f aca="false">IF(A294="","",SUMIFS(Sales_Items!$E$2:$E$3001,Sales_Items!$C$2:$C$3001,A294))</f>
        <v/>
      </c>
      <c r="G294" s="16" t="str">
        <f aca="false">IF(A294="","",D294+E294-F294)</f>
        <v/>
      </c>
      <c r="H294" s="17" t="str">
        <f aca="false">IF(A294="","",N(Products!E294))</f>
        <v/>
      </c>
      <c r="I294" s="17" t="str">
        <f aca="false">IF(A294="","",G294*H294)</f>
        <v/>
      </c>
      <c r="J294" s="16" t="str">
        <f aca="false">IF(A294="","",IF(Products!G294="",Settings!$B$8,Products!G294))</f>
        <v/>
      </c>
      <c r="K294" s="16" t="str">
        <f aca="false">IF(A294="","",IF(G294&lt;=0,"OUT",IF(G294&lt;=J294,"LOW","OK")))</f>
        <v/>
      </c>
      <c r="L294" s="16" t="str">
        <f aca="false">IF(A294="","",F294+ROW()/1000000)</f>
        <v/>
      </c>
      <c r="M294" s="16" t="str">
        <f aca="false">IF(OR(K294="LOW",K294="OUT"),COUNTIF($K$2:K294,"LOW")+COUNTIF($K$2:K294,"OUT"),"")</f>
        <v/>
      </c>
    </row>
    <row r="295" customFormat="false" ht="15" hidden="false" customHeight="true" outlineLevel="0" collapsed="false">
      <c r="A295" s="16" t="str">
        <f aca="false">IF(Products!A295="","",Products!A295)</f>
        <v/>
      </c>
      <c r="B295" s="16" t="str">
        <f aca="false">IF($A295="","",INDEX(Products!$B$2:$B$501,ROW()-1))</f>
        <v/>
      </c>
      <c r="C295" s="16" t="str">
        <f aca="false">IF($A295="","",INDEX(Products!$C$2:$C$501,ROW()-1))</f>
        <v/>
      </c>
      <c r="D295" s="16" t="str">
        <f aca="false">IF(A295="","",N(Products!I295))</f>
        <v/>
      </c>
      <c r="E295" s="16" t="str">
        <f aca="false">IF(A295="","",SUMIFS(Purchases!$D$2:$D$2001,Purchases!$B$2:$B$2001,A295))</f>
        <v/>
      </c>
      <c r="F295" s="16" t="str">
        <f aca="false">IF(A295="","",SUMIFS(Sales_Items!$E$2:$E$3001,Sales_Items!$C$2:$C$3001,A295))</f>
        <v/>
      </c>
      <c r="G295" s="16" t="str">
        <f aca="false">IF(A295="","",D295+E295-F295)</f>
        <v/>
      </c>
      <c r="H295" s="17" t="str">
        <f aca="false">IF(A295="","",N(Products!E295))</f>
        <v/>
      </c>
      <c r="I295" s="17" t="str">
        <f aca="false">IF(A295="","",G295*H295)</f>
        <v/>
      </c>
      <c r="J295" s="16" t="str">
        <f aca="false">IF(A295="","",IF(Products!G295="",Settings!$B$8,Products!G295))</f>
        <v/>
      </c>
      <c r="K295" s="16" t="str">
        <f aca="false">IF(A295="","",IF(G295&lt;=0,"OUT",IF(G295&lt;=J295,"LOW","OK")))</f>
        <v/>
      </c>
      <c r="L295" s="16" t="str">
        <f aca="false">IF(A295="","",F295+ROW()/1000000)</f>
        <v/>
      </c>
      <c r="M295" s="16" t="str">
        <f aca="false">IF(OR(K295="LOW",K295="OUT"),COUNTIF($K$2:K295,"LOW")+COUNTIF($K$2:K295,"OUT"),"")</f>
        <v/>
      </c>
    </row>
    <row r="296" customFormat="false" ht="15" hidden="false" customHeight="true" outlineLevel="0" collapsed="false">
      <c r="A296" s="16" t="str">
        <f aca="false">IF(Products!A296="","",Products!A296)</f>
        <v/>
      </c>
      <c r="B296" s="16" t="str">
        <f aca="false">IF($A296="","",INDEX(Products!$B$2:$B$501,ROW()-1))</f>
        <v/>
      </c>
      <c r="C296" s="16" t="str">
        <f aca="false">IF($A296="","",INDEX(Products!$C$2:$C$501,ROW()-1))</f>
        <v/>
      </c>
      <c r="D296" s="16" t="str">
        <f aca="false">IF(A296="","",N(Products!I296))</f>
        <v/>
      </c>
      <c r="E296" s="16" t="str">
        <f aca="false">IF(A296="","",SUMIFS(Purchases!$D$2:$D$2001,Purchases!$B$2:$B$2001,A296))</f>
        <v/>
      </c>
      <c r="F296" s="16" t="str">
        <f aca="false">IF(A296="","",SUMIFS(Sales_Items!$E$2:$E$3001,Sales_Items!$C$2:$C$3001,A296))</f>
        <v/>
      </c>
      <c r="G296" s="16" t="str">
        <f aca="false">IF(A296="","",D296+E296-F296)</f>
        <v/>
      </c>
      <c r="H296" s="17" t="str">
        <f aca="false">IF(A296="","",N(Products!E296))</f>
        <v/>
      </c>
      <c r="I296" s="17" t="str">
        <f aca="false">IF(A296="","",G296*H296)</f>
        <v/>
      </c>
      <c r="J296" s="16" t="str">
        <f aca="false">IF(A296="","",IF(Products!G296="",Settings!$B$8,Products!G296))</f>
        <v/>
      </c>
      <c r="K296" s="16" t="str">
        <f aca="false">IF(A296="","",IF(G296&lt;=0,"OUT",IF(G296&lt;=J296,"LOW","OK")))</f>
        <v/>
      </c>
      <c r="L296" s="16" t="str">
        <f aca="false">IF(A296="","",F296+ROW()/1000000)</f>
        <v/>
      </c>
      <c r="M296" s="16" t="str">
        <f aca="false">IF(OR(K296="LOW",K296="OUT"),COUNTIF($K$2:K296,"LOW")+COUNTIF($K$2:K296,"OUT"),"")</f>
        <v/>
      </c>
    </row>
    <row r="297" customFormat="false" ht="15" hidden="false" customHeight="true" outlineLevel="0" collapsed="false">
      <c r="A297" s="16" t="str">
        <f aca="false">IF(Products!A297="","",Products!A297)</f>
        <v/>
      </c>
      <c r="B297" s="16" t="str">
        <f aca="false">IF($A297="","",INDEX(Products!$B$2:$B$501,ROW()-1))</f>
        <v/>
      </c>
      <c r="C297" s="16" t="str">
        <f aca="false">IF($A297="","",INDEX(Products!$C$2:$C$501,ROW()-1))</f>
        <v/>
      </c>
      <c r="D297" s="16" t="str">
        <f aca="false">IF(A297="","",N(Products!I297))</f>
        <v/>
      </c>
      <c r="E297" s="16" t="str">
        <f aca="false">IF(A297="","",SUMIFS(Purchases!$D$2:$D$2001,Purchases!$B$2:$B$2001,A297))</f>
        <v/>
      </c>
      <c r="F297" s="16" t="str">
        <f aca="false">IF(A297="","",SUMIFS(Sales_Items!$E$2:$E$3001,Sales_Items!$C$2:$C$3001,A297))</f>
        <v/>
      </c>
      <c r="G297" s="16" t="str">
        <f aca="false">IF(A297="","",D297+E297-F297)</f>
        <v/>
      </c>
      <c r="H297" s="17" t="str">
        <f aca="false">IF(A297="","",N(Products!E297))</f>
        <v/>
      </c>
      <c r="I297" s="17" t="str">
        <f aca="false">IF(A297="","",G297*H297)</f>
        <v/>
      </c>
      <c r="J297" s="16" t="str">
        <f aca="false">IF(A297="","",IF(Products!G297="",Settings!$B$8,Products!G297))</f>
        <v/>
      </c>
      <c r="K297" s="16" t="str">
        <f aca="false">IF(A297="","",IF(G297&lt;=0,"OUT",IF(G297&lt;=J297,"LOW","OK")))</f>
        <v/>
      </c>
      <c r="L297" s="16" t="str">
        <f aca="false">IF(A297="","",F297+ROW()/1000000)</f>
        <v/>
      </c>
      <c r="M297" s="16" t="str">
        <f aca="false">IF(OR(K297="LOW",K297="OUT"),COUNTIF($K$2:K297,"LOW")+COUNTIF($K$2:K297,"OUT"),"")</f>
        <v/>
      </c>
    </row>
    <row r="298" customFormat="false" ht="15" hidden="false" customHeight="true" outlineLevel="0" collapsed="false">
      <c r="A298" s="16" t="str">
        <f aca="false">IF(Products!A298="","",Products!A298)</f>
        <v/>
      </c>
      <c r="B298" s="16" t="str">
        <f aca="false">IF($A298="","",INDEX(Products!$B$2:$B$501,ROW()-1))</f>
        <v/>
      </c>
      <c r="C298" s="16" t="str">
        <f aca="false">IF($A298="","",INDEX(Products!$C$2:$C$501,ROW()-1))</f>
        <v/>
      </c>
      <c r="D298" s="16" t="str">
        <f aca="false">IF(A298="","",N(Products!I298))</f>
        <v/>
      </c>
      <c r="E298" s="16" t="str">
        <f aca="false">IF(A298="","",SUMIFS(Purchases!$D$2:$D$2001,Purchases!$B$2:$B$2001,A298))</f>
        <v/>
      </c>
      <c r="F298" s="16" t="str">
        <f aca="false">IF(A298="","",SUMIFS(Sales_Items!$E$2:$E$3001,Sales_Items!$C$2:$C$3001,A298))</f>
        <v/>
      </c>
      <c r="G298" s="16" t="str">
        <f aca="false">IF(A298="","",D298+E298-F298)</f>
        <v/>
      </c>
      <c r="H298" s="17" t="str">
        <f aca="false">IF(A298="","",N(Products!E298))</f>
        <v/>
      </c>
      <c r="I298" s="17" t="str">
        <f aca="false">IF(A298="","",G298*H298)</f>
        <v/>
      </c>
      <c r="J298" s="16" t="str">
        <f aca="false">IF(A298="","",IF(Products!G298="",Settings!$B$8,Products!G298))</f>
        <v/>
      </c>
      <c r="K298" s="16" t="str">
        <f aca="false">IF(A298="","",IF(G298&lt;=0,"OUT",IF(G298&lt;=J298,"LOW","OK")))</f>
        <v/>
      </c>
      <c r="L298" s="16" t="str">
        <f aca="false">IF(A298="","",F298+ROW()/1000000)</f>
        <v/>
      </c>
      <c r="M298" s="16" t="str">
        <f aca="false">IF(OR(K298="LOW",K298="OUT"),COUNTIF($K$2:K298,"LOW")+COUNTIF($K$2:K298,"OUT"),"")</f>
        <v/>
      </c>
    </row>
    <row r="299" customFormat="false" ht="15" hidden="false" customHeight="true" outlineLevel="0" collapsed="false">
      <c r="A299" s="16" t="str">
        <f aca="false">IF(Products!A299="","",Products!A299)</f>
        <v/>
      </c>
      <c r="B299" s="16" t="str">
        <f aca="false">IF($A299="","",INDEX(Products!$B$2:$B$501,ROW()-1))</f>
        <v/>
      </c>
      <c r="C299" s="16" t="str">
        <f aca="false">IF($A299="","",INDEX(Products!$C$2:$C$501,ROW()-1))</f>
        <v/>
      </c>
      <c r="D299" s="16" t="str">
        <f aca="false">IF(A299="","",N(Products!I299))</f>
        <v/>
      </c>
      <c r="E299" s="16" t="str">
        <f aca="false">IF(A299="","",SUMIFS(Purchases!$D$2:$D$2001,Purchases!$B$2:$B$2001,A299))</f>
        <v/>
      </c>
      <c r="F299" s="16" t="str">
        <f aca="false">IF(A299="","",SUMIFS(Sales_Items!$E$2:$E$3001,Sales_Items!$C$2:$C$3001,A299))</f>
        <v/>
      </c>
      <c r="G299" s="16" t="str">
        <f aca="false">IF(A299="","",D299+E299-F299)</f>
        <v/>
      </c>
      <c r="H299" s="17" t="str">
        <f aca="false">IF(A299="","",N(Products!E299))</f>
        <v/>
      </c>
      <c r="I299" s="17" t="str">
        <f aca="false">IF(A299="","",G299*H299)</f>
        <v/>
      </c>
      <c r="J299" s="16" t="str">
        <f aca="false">IF(A299="","",IF(Products!G299="",Settings!$B$8,Products!G299))</f>
        <v/>
      </c>
      <c r="K299" s="16" t="str">
        <f aca="false">IF(A299="","",IF(G299&lt;=0,"OUT",IF(G299&lt;=J299,"LOW","OK")))</f>
        <v/>
      </c>
      <c r="L299" s="16" t="str">
        <f aca="false">IF(A299="","",F299+ROW()/1000000)</f>
        <v/>
      </c>
      <c r="M299" s="16" t="str">
        <f aca="false">IF(OR(K299="LOW",K299="OUT"),COUNTIF($K$2:K299,"LOW")+COUNTIF($K$2:K299,"OUT"),"")</f>
        <v/>
      </c>
    </row>
    <row r="300" customFormat="false" ht="15" hidden="false" customHeight="true" outlineLevel="0" collapsed="false">
      <c r="A300" s="16" t="str">
        <f aca="false">IF(Products!A300="","",Products!A300)</f>
        <v/>
      </c>
      <c r="B300" s="16" t="str">
        <f aca="false">IF($A300="","",INDEX(Products!$B$2:$B$501,ROW()-1))</f>
        <v/>
      </c>
      <c r="C300" s="16" t="str">
        <f aca="false">IF($A300="","",INDEX(Products!$C$2:$C$501,ROW()-1))</f>
        <v/>
      </c>
      <c r="D300" s="16" t="str">
        <f aca="false">IF(A300="","",N(Products!I300))</f>
        <v/>
      </c>
      <c r="E300" s="16" t="str">
        <f aca="false">IF(A300="","",SUMIFS(Purchases!$D$2:$D$2001,Purchases!$B$2:$B$2001,A300))</f>
        <v/>
      </c>
      <c r="F300" s="16" t="str">
        <f aca="false">IF(A300="","",SUMIFS(Sales_Items!$E$2:$E$3001,Sales_Items!$C$2:$C$3001,A300))</f>
        <v/>
      </c>
      <c r="G300" s="16" t="str">
        <f aca="false">IF(A300="","",D300+E300-F300)</f>
        <v/>
      </c>
      <c r="H300" s="17" t="str">
        <f aca="false">IF(A300="","",N(Products!E300))</f>
        <v/>
      </c>
      <c r="I300" s="17" t="str">
        <f aca="false">IF(A300="","",G300*H300)</f>
        <v/>
      </c>
      <c r="J300" s="16" t="str">
        <f aca="false">IF(A300="","",IF(Products!G300="",Settings!$B$8,Products!G300))</f>
        <v/>
      </c>
      <c r="K300" s="16" t="str">
        <f aca="false">IF(A300="","",IF(G300&lt;=0,"OUT",IF(G300&lt;=J300,"LOW","OK")))</f>
        <v/>
      </c>
      <c r="L300" s="16" t="str">
        <f aca="false">IF(A300="","",F300+ROW()/1000000)</f>
        <v/>
      </c>
      <c r="M300" s="16" t="str">
        <f aca="false">IF(OR(K300="LOW",K300="OUT"),COUNTIF($K$2:K300,"LOW")+COUNTIF($K$2:K300,"OUT"),"")</f>
        <v/>
      </c>
    </row>
    <row r="301" customFormat="false" ht="15" hidden="false" customHeight="true" outlineLevel="0" collapsed="false">
      <c r="A301" s="16" t="str">
        <f aca="false">IF(Products!A301="","",Products!A301)</f>
        <v/>
      </c>
      <c r="B301" s="16" t="str">
        <f aca="false">IF($A301="","",INDEX(Products!$B$2:$B$501,ROW()-1))</f>
        <v/>
      </c>
      <c r="C301" s="16" t="str">
        <f aca="false">IF($A301="","",INDEX(Products!$C$2:$C$501,ROW()-1))</f>
        <v/>
      </c>
      <c r="D301" s="16" t="str">
        <f aca="false">IF(A301="","",N(Products!I301))</f>
        <v/>
      </c>
      <c r="E301" s="16" t="str">
        <f aca="false">IF(A301="","",SUMIFS(Purchases!$D$2:$D$2001,Purchases!$B$2:$B$2001,A301))</f>
        <v/>
      </c>
      <c r="F301" s="16" t="str">
        <f aca="false">IF(A301="","",SUMIFS(Sales_Items!$E$2:$E$3001,Sales_Items!$C$2:$C$3001,A301))</f>
        <v/>
      </c>
      <c r="G301" s="16" t="str">
        <f aca="false">IF(A301="","",D301+E301-F301)</f>
        <v/>
      </c>
      <c r="H301" s="17" t="str">
        <f aca="false">IF(A301="","",N(Products!E301))</f>
        <v/>
      </c>
      <c r="I301" s="17" t="str">
        <f aca="false">IF(A301="","",G301*H301)</f>
        <v/>
      </c>
      <c r="J301" s="16" t="str">
        <f aca="false">IF(A301="","",IF(Products!G301="",Settings!$B$8,Products!G301))</f>
        <v/>
      </c>
      <c r="K301" s="16" t="str">
        <f aca="false">IF(A301="","",IF(G301&lt;=0,"OUT",IF(G301&lt;=J301,"LOW","OK")))</f>
        <v/>
      </c>
      <c r="L301" s="16" t="str">
        <f aca="false">IF(A301="","",F301+ROW()/1000000)</f>
        <v/>
      </c>
      <c r="M301" s="16" t="str">
        <f aca="false">IF(OR(K301="LOW",K301="OUT"),COUNTIF($K$2:K301,"LOW")+COUNTIF($K$2:K301,"OUT"),"")</f>
        <v/>
      </c>
    </row>
    <row r="302" customFormat="false" ht="15" hidden="false" customHeight="true" outlineLevel="0" collapsed="false">
      <c r="A302" s="16" t="str">
        <f aca="false">IF(Products!A302="","",Products!A302)</f>
        <v/>
      </c>
      <c r="B302" s="16" t="str">
        <f aca="false">IF($A302="","",INDEX(Products!$B$2:$B$501,ROW()-1))</f>
        <v/>
      </c>
      <c r="C302" s="16" t="str">
        <f aca="false">IF($A302="","",INDEX(Products!$C$2:$C$501,ROW()-1))</f>
        <v/>
      </c>
      <c r="D302" s="16" t="str">
        <f aca="false">IF(A302="","",N(Products!I302))</f>
        <v/>
      </c>
      <c r="E302" s="16" t="str">
        <f aca="false">IF(A302="","",SUMIFS(Purchases!$D$2:$D$2001,Purchases!$B$2:$B$2001,A302))</f>
        <v/>
      </c>
      <c r="F302" s="16" t="str">
        <f aca="false">IF(A302="","",SUMIFS(Sales_Items!$E$2:$E$3001,Sales_Items!$C$2:$C$3001,A302))</f>
        <v/>
      </c>
      <c r="G302" s="16" t="str">
        <f aca="false">IF(A302="","",D302+E302-F302)</f>
        <v/>
      </c>
      <c r="H302" s="17" t="str">
        <f aca="false">IF(A302="","",N(Products!E302))</f>
        <v/>
      </c>
      <c r="I302" s="17" t="str">
        <f aca="false">IF(A302="","",G302*H302)</f>
        <v/>
      </c>
      <c r="J302" s="16" t="str">
        <f aca="false">IF(A302="","",IF(Products!G302="",Settings!$B$8,Products!G302))</f>
        <v/>
      </c>
      <c r="K302" s="16" t="str">
        <f aca="false">IF(A302="","",IF(G302&lt;=0,"OUT",IF(G302&lt;=J302,"LOW","OK")))</f>
        <v/>
      </c>
      <c r="L302" s="16" t="str">
        <f aca="false">IF(A302="","",F302+ROW()/1000000)</f>
        <v/>
      </c>
      <c r="M302" s="16" t="str">
        <f aca="false">IF(OR(K302="LOW",K302="OUT"),COUNTIF($K$2:K302,"LOW")+COUNTIF($K$2:K302,"OUT"),"")</f>
        <v/>
      </c>
    </row>
    <row r="303" customFormat="false" ht="15" hidden="false" customHeight="true" outlineLevel="0" collapsed="false">
      <c r="A303" s="16" t="str">
        <f aca="false">IF(Products!A303="","",Products!A303)</f>
        <v/>
      </c>
      <c r="B303" s="16" t="str">
        <f aca="false">IF($A303="","",INDEX(Products!$B$2:$B$501,ROW()-1))</f>
        <v/>
      </c>
      <c r="C303" s="16" t="str">
        <f aca="false">IF($A303="","",INDEX(Products!$C$2:$C$501,ROW()-1))</f>
        <v/>
      </c>
      <c r="D303" s="16" t="str">
        <f aca="false">IF(A303="","",N(Products!I303))</f>
        <v/>
      </c>
      <c r="E303" s="16" t="str">
        <f aca="false">IF(A303="","",SUMIFS(Purchases!$D$2:$D$2001,Purchases!$B$2:$B$2001,A303))</f>
        <v/>
      </c>
      <c r="F303" s="16" t="str">
        <f aca="false">IF(A303="","",SUMIFS(Sales_Items!$E$2:$E$3001,Sales_Items!$C$2:$C$3001,A303))</f>
        <v/>
      </c>
      <c r="G303" s="16" t="str">
        <f aca="false">IF(A303="","",D303+E303-F303)</f>
        <v/>
      </c>
      <c r="H303" s="17" t="str">
        <f aca="false">IF(A303="","",N(Products!E303))</f>
        <v/>
      </c>
      <c r="I303" s="17" t="str">
        <f aca="false">IF(A303="","",G303*H303)</f>
        <v/>
      </c>
      <c r="J303" s="16" t="str">
        <f aca="false">IF(A303="","",IF(Products!G303="",Settings!$B$8,Products!G303))</f>
        <v/>
      </c>
      <c r="K303" s="16" t="str">
        <f aca="false">IF(A303="","",IF(G303&lt;=0,"OUT",IF(G303&lt;=J303,"LOW","OK")))</f>
        <v/>
      </c>
      <c r="L303" s="16" t="str">
        <f aca="false">IF(A303="","",F303+ROW()/1000000)</f>
        <v/>
      </c>
      <c r="M303" s="16" t="str">
        <f aca="false">IF(OR(K303="LOW",K303="OUT"),COUNTIF($K$2:K303,"LOW")+COUNTIF($K$2:K303,"OUT"),"")</f>
        <v/>
      </c>
    </row>
    <row r="304" customFormat="false" ht="15" hidden="false" customHeight="true" outlineLevel="0" collapsed="false">
      <c r="A304" s="16" t="str">
        <f aca="false">IF(Products!A304="","",Products!A304)</f>
        <v/>
      </c>
      <c r="B304" s="16" t="str">
        <f aca="false">IF($A304="","",INDEX(Products!$B$2:$B$501,ROW()-1))</f>
        <v/>
      </c>
      <c r="C304" s="16" t="str">
        <f aca="false">IF($A304="","",INDEX(Products!$C$2:$C$501,ROW()-1))</f>
        <v/>
      </c>
      <c r="D304" s="16" t="str">
        <f aca="false">IF(A304="","",N(Products!I304))</f>
        <v/>
      </c>
      <c r="E304" s="16" t="str">
        <f aca="false">IF(A304="","",SUMIFS(Purchases!$D$2:$D$2001,Purchases!$B$2:$B$2001,A304))</f>
        <v/>
      </c>
      <c r="F304" s="16" t="str">
        <f aca="false">IF(A304="","",SUMIFS(Sales_Items!$E$2:$E$3001,Sales_Items!$C$2:$C$3001,A304))</f>
        <v/>
      </c>
      <c r="G304" s="16" t="str">
        <f aca="false">IF(A304="","",D304+E304-F304)</f>
        <v/>
      </c>
      <c r="H304" s="17" t="str">
        <f aca="false">IF(A304="","",N(Products!E304))</f>
        <v/>
      </c>
      <c r="I304" s="17" t="str">
        <f aca="false">IF(A304="","",G304*H304)</f>
        <v/>
      </c>
      <c r="J304" s="16" t="str">
        <f aca="false">IF(A304="","",IF(Products!G304="",Settings!$B$8,Products!G304))</f>
        <v/>
      </c>
      <c r="K304" s="16" t="str">
        <f aca="false">IF(A304="","",IF(G304&lt;=0,"OUT",IF(G304&lt;=J304,"LOW","OK")))</f>
        <v/>
      </c>
      <c r="L304" s="16" t="str">
        <f aca="false">IF(A304="","",F304+ROW()/1000000)</f>
        <v/>
      </c>
      <c r="M304" s="16" t="str">
        <f aca="false">IF(OR(K304="LOW",K304="OUT"),COUNTIF($K$2:K304,"LOW")+COUNTIF($K$2:K304,"OUT"),"")</f>
        <v/>
      </c>
    </row>
    <row r="305" customFormat="false" ht="15" hidden="false" customHeight="true" outlineLevel="0" collapsed="false">
      <c r="A305" s="16" t="str">
        <f aca="false">IF(Products!A305="","",Products!A305)</f>
        <v/>
      </c>
      <c r="B305" s="16" t="str">
        <f aca="false">IF($A305="","",INDEX(Products!$B$2:$B$501,ROW()-1))</f>
        <v/>
      </c>
      <c r="C305" s="16" t="str">
        <f aca="false">IF($A305="","",INDEX(Products!$C$2:$C$501,ROW()-1))</f>
        <v/>
      </c>
      <c r="D305" s="16" t="str">
        <f aca="false">IF(A305="","",N(Products!I305))</f>
        <v/>
      </c>
      <c r="E305" s="16" t="str">
        <f aca="false">IF(A305="","",SUMIFS(Purchases!$D$2:$D$2001,Purchases!$B$2:$B$2001,A305))</f>
        <v/>
      </c>
      <c r="F305" s="16" t="str">
        <f aca="false">IF(A305="","",SUMIFS(Sales_Items!$E$2:$E$3001,Sales_Items!$C$2:$C$3001,A305))</f>
        <v/>
      </c>
      <c r="G305" s="16" t="str">
        <f aca="false">IF(A305="","",D305+E305-F305)</f>
        <v/>
      </c>
      <c r="H305" s="17" t="str">
        <f aca="false">IF(A305="","",N(Products!E305))</f>
        <v/>
      </c>
      <c r="I305" s="17" t="str">
        <f aca="false">IF(A305="","",G305*H305)</f>
        <v/>
      </c>
      <c r="J305" s="16" t="str">
        <f aca="false">IF(A305="","",IF(Products!G305="",Settings!$B$8,Products!G305))</f>
        <v/>
      </c>
      <c r="K305" s="16" t="str">
        <f aca="false">IF(A305="","",IF(G305&lt;=0,"OUT",IF(G305&lt;=J305,"LOW","OK")))</f>
        <v/>
      </c>
      <c r="L305" s="16" t="str">
        <f aca="false">IF(A305="","",F305+ROW()/1000000)</f>
        <v/>
      </c>
      <c r="M305" s="16" t="str">
        <f aca="false">IF(OR(K305="LOW",K305="OUT"),COUNTIF($K$2:K305,"LOW")+COUNTIF($K$2:K305,"OUT"),"")</f>
        <v/>
      </c>
    </row>
    <row r="306" customFormat="false" ht="15" hidden="false" customHeight="true" outlineLevel="0" collapsed="false">
      <c r="A306" s="16" t="str">
        <f aca="false">IF(Products!A306="","",Products!A306)</f>
        <v/>
      </c>
      <c r="B306" s="16" t="str">
        <f aca="false">IF($A306="","",INDEX(Products!$B$2:$B$501,ROW()-1))</f>
        <v/>
      </c>
      <c r="C306" s="16" t="str">
        <f aca="false">IF($A306="","",INDEX(Products!$C$2:$C$501,ROW()-1))</f>
        <v/>
      </c>
      <c r="D306" s="16" t="str">
        <f aca="false">IF(A306="","",N(Products!I306))</f>
        <v/>
      </c>
      <c r="E306" s="16" t="str">
        <f aca="false">IF(A306="","",SUMIFS(Purchases!$D$2:$D$2001,Purchases!$B$2:$B$2001,A306))</f>
        <v/>
      </c>
      <c r="F306" s="16" t="str">
        <f aca="false">IF(A306="","",SUMIFS(Sales_Items!$E$2:$E$3001,Sales_Items!$C$2:$C$3001,A306))</f>
        <v/>
      </c>
      <c r="G306" s="16" t="str">
        <f aca="false">IF(A306="","",D306+E306-F306)</f>
        <v/>
      </c>
      <c r="H306" s="17" t="str">
        <f aca="false">IF(A306="","",N(Products!E306))</f>
        <v/>
      </c>
      <c r="I306" s="17" t="str">
        <f aca="false">IF(A306="","",G306*H306)</f>
        <v/>
      </c>
      <c r="J306" s="16" t="str">
        <f aca="false">IF(A306="","",IF(Products!G306="",Settings!$B$8,Products!G306))</f>
        <v/>
      </c>
      <c r="K306" s="16" t="str">
        <f aca="false">IF(A306="","",IF(G306&lt;=0,"OUT",IF(G306&lt;=J306,"LOW","OK")))</f>
        <v/>
      </c>
      <c r="L306" s="16" t="str">
        <f aca="false">IF(A306="","",F306+ROW()/1000000)</f>
        <v/>
      </c>
      <c r="M306" s="16" t="str">
        <f aca="false">IF(OR(K306="LOW",K306="OUT"),COUNTIF($K$2:K306,"LOW")+COUNTIF($K$2:K306,"OUT"),"")</f>
        <v/>
      </c>
    </row>
    <row r="307" customFormat="false" ht="15" hidden="false" customHeight="true" outlineLevel="0" collapsed="false">
      <c r="A307" s="16" t="str">
        <f aca="false">IF(Products!A307="","",Products!A307)</f>
        <v/>
      </c>
      <c r="B307" s="16" t="str">
        <f aca="false">IF($A307="","",INDEX(Products!$B$2:$B$501,ROW()-1))</f>
        <v/>
      </c>
      <c r="C307" s="16" t="str">
        <f aca="false">IF($A307="","",INDEX(Products!$C$2:$C$501,ROW()-1))</f>
        <v/>
      </c>
      <c r="D307" s="16" t="str">
        <f aca="false">IF(A307="","",N(Products!I307))</f>
        <v/>
      </c>
      <c r="E307" s="16" t="str">
        <f aca="false">IF(A307="","",SUMIFS(Purchases!$D$2:$D$2001,Purchases!$B$2:$B$2001,A307))</f>
        <v/>
      </c>
      <c r="F307" s="16" t="str">
        <f aca="false">IF(A307="","",SUMIFS(Sales_Items!$E$2:$E$3001,Sales_Items!$C$2:$C$3001,A307))</f>
        <v/>
      </c>
      <c r="G307" s="16" t="str">
        <f aca="false">IF(A307="","",D307+E307-F307)</f>
        <v/>
      </c>
      <c r="H307" s="17" t="str">
        <f aca="false">IF(A307="","",N(Products!E307))</f>
        <v/>
      </c>
      <c r="I307" s="17" t="str">
        <f aca="false">IF(A307="","",G307*H307)</f>
        <v/>
      </c>
      <c r="J307" s="16" t="str">
        <f aca="false">IF(A307="","",IF(Products!G307="",Settings!$B$8,Products!G307))</f>
        <v/>
      </c>
      <c r="K307" s="16" t="str">
        <f aca="false">IF(A307="","",IF(G307&lt;=0,"OUT",IF(G307&lt;=J307,"LOW","OK")))</f>
        <v/>
      </c>
      <c r="L307" s="16" t="str">
        <f aca="false">IF(A307="","",F307+ROW()/1000000)</f>
        <v/>
      </c>
      <c r="M307" s="16" t="str">
        <f aca="false">IF(OR(K307="LOW",K307="OUT"),COUNTIF($K$2:K307,"LOW")+COUNTIF($K$2:K307,"OUT"),"")</f>
        <v/>
      </c>
    </row>
    <row r="308" customFormat="false" ht="15" hidden="false" customHeight="true" outlineLevel="0" collapsed="false">
      <c r="A308" s="16" t="str">
        <f aca="false">IF(Products!A308="","",Products!A308)</f>
        <v/>
      </c>
      <c r="B308" s="16" t="str">
        <f aca="false">IF($A308="","",INDEX(Products!$B$2:$B$501,ROW()-1))</f>
        <v/>
      </c>
      <c r="C308" s="16" t="str">
        <f aca="false">IF($A308="","",INDEX(Products!$C$2:$C$501,ROW()-1))</f>
        <v/>
      </c>
      <c r="D308" s="16" t="str">
        <f aca="false">IF(A308="","",N(Products!I308))</f>
        <v/>
      </c>
      <c r="E308" s="16" t="str">
        <f aca="false">IF(A308="","",SUMIFS(Purchases!$D$2:$D$2001,Purchases!$B$2:$B$2001,A308))</f>
        <v/>
      </c>
      <c r="F308" s="16" t="str">
        <f aca="false">IF(A308="","",SUMIFS(Sales_Items!$E$2:$E$3001,Sales_Items!$C$2:$C$3001,A308))</f>
        <v/>
      </c>
      <c r="G308" s="16" t="str">
        <f aca="false">IF(A308="","",D308+E308-F308)</f>
        <v/>
      </c>
      <c r="H308" s="17" t="str">
        <f aca="false">IF(A308="","",N(Products!E308))</f>
        <v/>
      </c>
      <c r="I308" s="17" t="str">
        <f aca="false">IF(A308="","",G308*H308)</f>
        <v/>
      </c>
      <c r="J308" s="16" t="str">
        <f aca="false">IF(A308="","",IF(Products!G308="",Settings!$B$8,Products!G308))</f>
        <v/>
      </c>
      <c r="K308" s="16" t="str">
        <f aca="false">IF(A308="","",IF(G308&lt;=0,"OUT",IF(G308&lt;=J308,"LOW","OK")))</f>
        <v/>
      </c>
      <c r="L308" s="16" t="str">
        <f aca="false">IF(A308="","",F308+ROW()/1000000)</f>
        <v/>
      </c>
      <c r="M308" s="16" t="str">
        <f aca="false">IF(OR(K308="LOW",K308="OUT"),COUNTIF($K$2:K308,"LOW")+COUNTIF($K$2:K308,"OUT"),"")</f>
        <v/>
      </c>
    </row>
    <row r="309" customFormat="false" ht="15" hidden="false" customHeight="true" outlineLevel="0" collapsed="false">
      <c r="A309" s="16" t="str">
        <f aca="false">IF(Products!A309="","",Products!A309)</f>
        <v/>
      </c>
      <c r="B309" s="16" t="str">
        <f aca="false">IF($A309="","",INDEX(Products!$B$2:$B$501,ROW()-1))</f>
        <v/>
      </c>
      <c r="C309" s="16" t="str">
        <f aca="false">IF($A309="","",INDEX(Products!$C$2:$C$501,ROW()-1))</f>
        <v/>
      </c>
      <c r="D309" s="16" t="str">
        <f aca="false">IF(A309="","",N(Products!I309))</f>
        <v/>
      </c>
      <c r="E309" s="16" t="str">
        <f aca="false">IF(A309="","",SUMIFS(Purchases!$D$2:$D$2001,Purchases!$B$2:$B$2001,A309))</f>
        <v/>
      </c>
      <c r="F309" s="16" t="str">
        <f aca="false">IF(A309="","",SUMIFS(Sales_Items!$E$2:$E$3001,Sales_Items!$C$2:$C$3001,A309))</f>
        <v/>
      </c>
      <c r="G309" s="16" t="str">
        <f aca="false">IF(A309="","",D309+E309-F309)</f>
        <v/>
      </c>
      <c r="H309" s="17" t="str">
        <f aca="false">IF(A309="","",N(Products!E309))</f>
        <v/>
      </c>
      <c r="I309" s="17" t="str">
        <f aca="false">IF(A309="","",G309*H309)</f>
        <v/>
      </c>
      <c r="J309" s="16" t="str">
        <f aca="false">IF(A309="","",IF(Products!G309="",Settings!$B$8,Products!G309))</f>
        <v/>
      </c>
      <c r="K309" s="16" t="str">
        <f aca="false">IF(A309="","",IF(G309&lt;=0,"OUT",IF(G309&lt;=J309,"LOW","OK")))</f>
        <v/>
      </c>
      <c r="L309" s="16" t="str">
        <f aca="false">IF(A309="","",F309+ROW()/1000000)</f>
        <v/>
      </c>
      <c r="M309" s="16" t="str">
        <f aca="false">IF(OR(K309="LOW",K309="OUT"),COUNTIF($K$2:K309,"LOW")+COUNTIF($K$2:K309,"OUT"),"")</f>
        <v/>
      </c>
    </row>
    <row r="310" customFormat="false" ht="15" hidden="false" customHeight="true" outlineLevel="0" collapsed="false">
      <c r="A310" s="16" t="str">
        <f aca="false">IF(Products!A310="","",Products!A310)</f>
        <v/>
      </c>
      <c r="B310" s="16" t="str">
        <f aca="false">IF($A310="","",INDEX(Products!$B$2:$B$501,ROW()-1))</f>
        <v/>
      </c>
      <c r="C310" s="16" t="str">
        <f aca="false">IF($A310="","",INDEX(Products!$C$2:$C$501,ROW()-1))</f>
        <v/>
      </c>
      <c r="D310" s="16" t="str">
        <f aca="false">IF(A310="","",N(Products!I310))</f>
        <v/>
      </c>
      <c r="E310" s="16" t="str">
        <f aca="false">IF(A310="","",SUMIFS(Purchases!$D$2:$D$2001,Purchases!$B$2:$B$2001,A310))</f>
        <v/>
      </c>
      <c r="F310" s="16" t="str">
        <f aca="false">IF(A310="","",SUMIFS(Sales_Items!$E$2:$E$3001,Sales_Items!$C$2:$C$3001,A310))</f>
        <v/>
      </c>
      <c r="G310" s="16" t="str">
        <f aca="false">IF(A310="","",D310+E310-F310)</f>
        <v/>
      </c>
      <c r="H310" s="17" t="str">
        <f aca="false">IF(A310="","",N(Products!E310))</f>
        <v/>
      </c>
      <c r="I310" s="17" t="str">
        <f aca="false">IF(A310="","",G310*H310)</f>
        <v/>
      </c>
      <c r="J310" s="16" t="str">
        <f aca="false">IF(A310="","",IF(Products!G310="",Settings!$B$8,Products!G310))</f>
        <v/>
      </c>
      <c r="K310" s="16" t="str">
        <f aca="false">IF(A310="","",IF(G310&lt;=0,"OUT",IF(G310&lt;=J310,"LOW","OK")))</f>
        <v/>
      </c>
      <c r="L310" s="16" t="str">
        <f aca="false">IF(A310="","",F310+ROW()/1000000)</f>
        <v/>
      </c>
      <c r="M310" s="16" t="str">
        <f aca="false">IF(OR(K310="LOW",K310="OUT"),COUNTIF($K$2:K310,"LOW")+COUNTIF($K$2:K310,"OUT"),"")</f>
        <v/>
      </c>
    </row>
    <row r="311" customFormat="false" ht="15" hidden="false" customHeight="true" outlineLevel="0" collapsed="false">
      <c r="A311" s="16" t="str">
        <f aca="false">IF(Products!A311="","",Products!A311)</f>
        <v/>
      </c>
      <c r="B311" s="16" t="str">
        <f aca="false">IF($A311="","",INDEX(Products!$B$2:$B$501,ROW()-1))</f>
        <v/>
      </c>
      <c r="C311" s="16" t="str">
        <f aca="false">IF($A311="","",INDEX(Products!$C$2:$C$501,ROW()-1))</f>
        <v/>
      </c>
      <c r="D311" s="16" t="str">
        <f aca="false">IF(A311="","",N(Products!I311))</f>
        <v/>
      </c>
      <c r="E311" s="16" t="str">
        <f aca="false">IF(A311="","",SUMIFS(Purchases!$D$2:$D$2001,Purchases!$B$2:$B$2001,A311))</f>
        <v/>
      </c>
      <c r="F311" s="16" t="str">
        <f aca="false">IF(A311="","",SUMIFS(Sales_Items!$E$2:$E$3001,Sales_Items!$C$2:$C$3001,A311))</f>
        <v/>
      </c>
      <c r="G311" s="16" t="str">
        <f aca="false">IF(A311="","",D311+E311-F311)</f>
        <v/>
      </c>
      <c r="H311" s="17" t="str">
        <f aca="false">IF(A311="","",N(Products!E311))</f>
        <v/>
      </c>
      <c r="I311" s="17" t="str">
        <f aca="false">IF(A311="","",G311*H311)</f>
        <v/>
      </c>
      <c r="J311" s="16" t="str">
        <f aca="false">IF(A311="","",IF(Products!G311="",Settings!$B$8,Products!G311))</f>
        <v/>
      </c>
      <c r="K311" s="16" t="str">
        <f aca="false">IF(A311="","",IF(G311&lt;=0,"OUT",IF(G311&lt;=J311,"LOW","OK")))</f>
        <v/>
      </c>
      <c r="L311" s="16" t="str">
        <f aca="false">IF(A311="","",F311+ROW()/1000000)</f>
        <v/>
      </c>
      <c r="M311" s="16" t="str">
        <f aca="false">IF(OR(K311="LOW",K311="OUT"),COUNTIF($K$2:K311,"LOW")+COUNTIF($K$2:K311,"OUT"),"")</f>
        <v/>
      </c>
    </row>
    <row r="312" customFormat="false" ht="15" hidden="false" customHeight="true" outlineLevel="0" collapsed="false">
      <c r="A312" s="16" t="str">
        <f aca="false">IF(Products!A312="","",Products!A312)</f>
        <v/>
      </c>
      <c r="B312" s="16" t="str">
        <f aca="false">IF($A312="","",INDEX(Products!$B$2:$B$501,ROW()-1))</f>
        <v/>
      </c>
      <c r="C312" s="16" t="str">
        <f aca="false">IF($A312="","",INDEX(Products!$C$2:$C$501,ROW()-1))</f>
        <v/>
      </c>
      <c r="D312" s="16" t="str">
        <f aca="false">IF(A312="","",N(Products!I312))</f>
        <v/>
      </c>
      <c r="E312" s="16" t="str">
        <f aca="false">IF(A312="","",SUMIFS(Purchases!$D$2:$D$2001,Purchases!$B$2:$B$2001,A312))</f>
        <v/>
      </c>
      <c r="F312" s="16" t="str">
        <f aca="false">IF(A312="","",SUMIFS(Sales_Items!$E$2:$E$3001,Sales_Items!$C$2:$C$3001,A312))</f>
        <v/>
      </c>
      <c r="G312" s="16" t="str">
        <f aca="false">IF(A312="","",D312+E312-F312)</f>
        <v/>
      </c>
      <c r="H312" s="17" t="str">
        <f aca="false">IF(A312="","",N(Products!E312))</f>
        <v/>
      </c>
      <c r="I312" s="17" t="str">
        <f aca="false">IF(A312="","",G312*H312)</f>
        <v/>
      </c>
      <c r="J312" s="16" t="str">
        <f aca="false">IF(A312="","",IF(Products!G312="",Settings!$B$8,Products!G312))</f>
        <v/>
      </c>
      <c r="K312" s="16" t="str">
        <f aca="false">IF(A312="","",IF(G312&lt;=0,"OUT",IF(G312&lt;=J312,"LOW","OK")))</f>
        <v/>
      </c>
      <c r="L312" s="16" t="str">
        <f aca="false">IF(A312="","",F312+ROW()/1000000)</f>
        <v/>
      </c>
      <c r="M312" s="16" t="str">
        <f aca="false">IF(OR(K312="LOW",K312="OUT"),COUNTIF($K$2:K312,"LOW")+COUNTIF($K$2:K312,"OUT"),"")</f>
        <v/>
      </c>
    </row>
    <row r="313" customFormat="false" ht="15" hidden="false" customHeight="true" outlineLevel="0" collapsed="false">
      <c r="A313" s="16" t="str">
        <f aca="false">IF(Products!A313="","",Products!A313)</f>
        <v/>
      </c>
      <c r="B313" s="16" t="str">
        <f aca="false">IF($A313="","",INDEX(Products!$B$2:$B$501,ROW()-1))</f>
        <v/>
      </c>
      <c r="C313" s="16" t="str">
        <f aca="false">IF($A313="","",INDEX(Products!$C$2:$C$501,ROW()-1))</f>
        <v/>
      </c>
      <c r="D313" s="16" t="str">
        <f aca="false">IF(A313="","",N(Products!I313))</f>
        <v/>
      </c>
      <c r="E313" s="16" t="str">
        <f aca="false">IF(A313="","",SUMIFS(Purchases!$D$2:$D$2001,Purchases!$B$2:$B$2001,A313))</f>
        <v/>
      </c>
      <c r="F313" s="16" t="str">
        <f aca="false">IF(A313="","",SUMIFS(Sales_Items!$E$2:$E$3001,Sales_Items!$C$2:$C$3001,A313))</f>
        <v/>
      </c>
      <c r="G313" s="16" t="str">
        <f aca="false">IF(A313="","",D313+E313-F313)</f>
        <v/>
      </c>
      <c r="H313" s="17" t="str">
        <f aca="false">IF(A313="","",N(Products!E313))</f>
        <v/>
      </c>
      <c r="I313" s="17" t="str">
        <f aca="false">IF(A313="","",G313*H313)</f>
        <v/>
      </c>
      <c r="J313" s="16" t="str">
        <f aca="false">IF(A313="","",IF(Products!G313="",Settings!$B$8,Products!G313))</f>
        <v/>
      </c>
      <c r="K313" s="16" t="str">
        <f aca="false">IF(A313="","",IF(G313&lt;=0,"OUT",IF(G313&lt;=J313,"LOW","OK")))</f>
        <v/>
      </c>
      <c r="L313" s="16" t="str">
        <f aca="false">IF(A313="","",F313+ROW()/1000000)</f>
        <v/>
      </c>
      <c r="M313" s="16" t="str">
        <f aca="false">IF(OR(K313="LOW",K313="OUT"),COUNTIF($K$2:K313,"LOW")+COUNTIF($K$2:K313,"OUT"),"")</f>
        <v/>
      </c>
    </row>
    <row r="314" customFormat="false" ht="15" hidden="false" customHeight="true" outlineLevel="0" collapsed="false">
      <c r="A314" s="16" t="str">
        <f aca="false">IF(Products!A314="","",Products!A314)</f>
        <v/>
      </c>
      <c r="B314" s="16" t="str">
        <f aca="false">IF($A314="","",INDEX(Products!$B$2:$B$501,ROW()-1))</f>
        <v/>
      </c>
      <c r="C314" s="16" t="str">
        <f aca="false">IF($A314="","",INDEX(Products!$C$2:$C$501,ROW()-1))</f>
        <v/>
      </c>
      <c r="D314" s="16" t="str">
        <f aca="false">IF(A314="","",N(Products!I314))</f>
        <v/>
      </c>
      <c r="E314" s="16" t="str">
        <f aca="false">IF(A314="","",SUMIFS(Purchases!$D$2:$D$2001,Purchases!$B$2:$B$2001,A314))</f>
        <v/>
      </c>
      <c r="F314" s="16" t="str">
        <f aca="false">IF(A314="","",SUMIFS(Sales_Items!$E$2:$E$3001,Sales_Items!$C$2:$C$3001,A314))</f>
        <v/>
      </c>
      <c r="G314" s="16" t="str">
        <f aca="false">IF(A314="","",D314+E314-F314)</f>
        <v/>
      </c>
      <c r="H314" s="17" t="str">
        <f aca="false">IF(A314="","",N(Products!E314))</f>
        <v/>
      </c>
      <c r="I314" s="17" t="str">
        <f aca="false">IF(A314="","",G314*H314)</f>
        <v/>
      </c>
      <c r="J314" s="16" t="str">
        <f aca="false">IF(A314="","",IF(Products!G314="",Settings!$B$8,Products!G314))</f>
        <v/>
      </c>
      <c r="K314" s="16" t="str">
        <f aca="false">IF(A314="","",IF(G314&lt;=0,"OUT",IF(G314&lt;=J314,"LOW","OK")))</f>
        <v/>
      </c>
      <c r="L314" s="16" t="str">
        <f aca="false">IF(A314="","",F314+ROW()/1000000)</f>
        <v/>
      </c>
      <c r="M314" s="16" t="str">
        <f aca="false">IF(OR(K314="LOW",K314="OUT"),COUNTIF($K$2:K314,"LOW")+COUNTIF($K$2:K314,"OUT"),"")</f>
        <v/>
      </c>
    </row>
    <row r="315" customFormat="false" ht="15" hidden="false" customHeight="true" outlineLevel="0" collapsed="false">
      <c r="A315" s="16" t="str">
        <f aca="false">IF(Products!A315="","",Products!A315)</f>
        <v/>
      </c>
      <c r="B315" s="16" t="str">
        <f aca="false">IF($A315="","",INDEX(Products!$B$2:$B$501,ROW()-1))</f>
        <v/>
      </c>
      <c r="C315" s="16" t="str">
        <f aca="false">IF($A315="","",INDEX(Products!$C$2:$C$501,ROW()-1))</f>
        <v/>
      </c>
      <c r="D315" s="16" t="str">
        <f aca="false">IF(A315="","",N(Products!I315))</f>
        <v/>
      </c>
      <c r="E315" s="16" t="str">
        <f aca="false">IF(A315="","",SUMIFS(Purchases!$D$2:$D$2001,Purchases!$B$2:$B$2001,A315))</f>
        <v/>
      </c>
      <c r="F315" s="16" t="str">
        <f aca="false">IF(A315="","",SUMIFS(Sales_Items!$E$2:$E$3001,Sales_Items!$C$2:$C$3001,A315))</f>
        <v/>
      </c>
      <c r="G315" s="16" t="str">
        <f aca="false">IF(A315="","",D315+E315-F315)</f>
        <v/>
      </c>
      <c r="H315" s="17" t="str">
        <f aca="false">IF(A315="","",N(Products!E315))</f>
        <v/>
      </c>
      <c r="I315" s="17" t="str">
        <f aca="false">IF(A315="","",G315*H315)</f>
        <v/>
      </c>
      <c r="J315" s="16" t="str">
        <f aca="false">IF(A315="","",IF(Products!G315="",Settings!$B$8,Products!G315))</f>
        <v/>
      </c>
      <c r="K315" s="16" t="str">
        <f aca="false">IF(A315="","",IF(G315&lt;=0,"OUT",IF(G315&lt;=J315,"LOW","OK")))</f>
        <v/>
      </c>
      <c r="L315" s="16" t="str">
        <f aca="false">IF(A315="","",F315+ROW()/1000000)</f>
        <v/>
      </c>
      <c r="M315" s="16" t="str">
        <f aca="false">IF(OR(K315="LOW",K315="OUT"),COUNTIF($K$2:K315,"LOW")+COUNTIF($K$2:K315,"OUT"),"")</f>
        <v/>
      </c>
    </row>
    <row r="316" customFormat="false" ht="15" hidden="false" customHeight="true" outlineLevel="0" collapsed="false">
      <c r="A316" s="16" t="str">
        <f aca="false">IF(Products!A316="","",Products!A316)</f>
        <v/>
      </c>
      <c r="B316" s="16" t="str">
        <f aca="false">IF($A316="","",INDEX(Products!$B$2:$B$501,ROW()-1))</f>
        <v/>
      </c>
      <c r="C316" s="16" t="str">
        <f aca="false">IF($A316="","",INDEX(Products!$C$2:$C$501,ROW()-1))</f>
        <v/>
      </c>
      <c r="D316" s="16" t="str">
        <f aca="false">IF(A316="","",N(Products!I316))</f>
        <v/>
      </c>
      <c r="E316" s="16" t="str">
        <f aca="false">IF(A316="","",SUMIFS(Purchases!$D$2:$D$2001,Purchases!$B$2:$B$2001,A316))</f>
        <v/>
      </c>
      <c r="F316" s="16" t="str">
        <f aca="false">IF(A316="","",SUMIFS(Sales_Items!$E$2:$E$3001,Sales_Items!$C$2:$C$3001,A316))</f>
        <v/>
      </c>
      <c r="G316" s="16" t="str">
        <f aca="false">IF(A316="","",D316+E316-F316)</f>
        <v/>
      </c>
      <c r="H316" s="17" t="str">
        <f aca="false">IF(A316="","",N(Products!E316))</f>
        <v/>
      </c>
      <c r="I316" s="17" t="str">
        <f aca="false">IF(A316="","",G316*H316)</f>
        <v/>
      </c>
      <c r="J316" s="16" t="str">
        <f aca="false">IF(A316="","",IF(Products!G316="",Settings!$B$8,Products!G316))</f>
        <v/>
      </c>
      <c r="K316" s="16" t="str">
        <f aca="false">IF(A316="","",IF(G316&lt;=0,"OUT",IF(G316&lt;=J316,"LOW","OK")))</f>
        <v/>
      </c>
      <c r="L316" s="16" t="str">
        <f aca="false">IF(A316="","",F316+ROW()/1000000)</f>
        <v/>
      </c>
      <c r="M316" s="16" t="str">
        <f aca="false">IF(OR(K316="LOW",K316="OUT"),COUNTIF($K$2:K316,"LOW")+COUNTIF($K$2:K316,"OUT"),"")</f>
        <v/>
      </c>
    </row>
    <row r="317" customFormat="false" ht="15" hidden="false" customHeight="true" outlineLevel="0" collapsed="false">
      <c r="A317" s="16" t="str">
        <f aca="false">IF(Products!A317="","",Products!A317)</f>
        <v/>
      </c>
      <c r="B317" s="16" t="str">
        <f aca="false">IF($A317="","",INDEX(Products!$B$2:$B$501,ROW()-1))</f>
        <v/>
      </c>
      <c r="C317" s="16" t="str">
        <f aca="false">IF($A317="","",INDEX(Products!$C$2:$C$501,ROW()-1))</f>
        <v/>
      </c>
      <c r="D317" s="16" t="str">
        <f aca="false">IF(A317="","",N(Products!I317))</f>
        <v/>
      </c>
      <c r="E317" s="16" t="str">
        <f aca="false">IF(A317="","",SUMIFS(Purchases!$D$2:$D$2001,Purchases!$B$2:$B$2001,A317))</f>
        <v/>
      </c>
      <c r="F317" s="16" t="str">
        <f aca="false">IF(A317="","",SUMIFS(Sales_Items!$E$2:$E$3001,Sales_Items!$C$2:$C$3001,A317))</f>
        <v/>
      </c>
      <c r="G317" s="16" t="str">
        <f aca="false">IF(A317="","",D317+E317-F317)</f>
        <v/>
      </c>
      <c r="H317" s="17" t="str">
        <f aca="false">IF(A317="","",N(Products!E317))</f>
        <v/>
      </c>
      <c r="I317" s="17" t="str">
        <f aca="false">IF(A317="","",G317*H317)</f>
        <v/>
      </c>
      <c r="J317" s="16" t="str">
        <f aca="false">IF(A317="","",IF(Products!G317="",Settings!$B$8,Products!G317))</f>
        <v/>
      </c>
      <c r="K317" s="16" t="str">
        <f aca="false">IF(A317="","",IF(G317&lt;=0,"OUT",IF(G317&lt;=J317,"LOW","OK")))</f>
        <v/>
      </c>
      <c r="L317" s="16" t="str">
        <f aca="false">IF(A317="","",F317+ROW()/1000000)</f>
        <v/>
      </c>
      <c r="M317" s="16" t="str">
        <f aca="false">IF(OR(K317="LOW",K317="OUT"),COUNTIF($K$2:K317,"LOW")+COUNTIF($K$2:K317,"OUT"),"")</f>
        <v/>
      </c>
    </row>
    <row r="318" customFormat="false" ht="15" hidden="false" customHeight="true" outlineLevel="0" collapsed="false">
      <c r="A318" s="16" t="str">
        <f aca="false">IF(Products!A318="","",Products!A318)</f>
        <v/>
      </c>
      <c r="B318" s="16" t="str">
        <f aca="false">IF($A318="","",INDEX(Products!$B$2:$B$501,ROW()-1))</f>
        <v/>
      </c>
      <c r="C318" s="16" t="str">
        <f aca="false">IF($A318="","",INDEX(Products!$C$2:$C$501,ROW()-1))</f>
        <v/>
      </c>
      <c r="D318" s="16" t="str">
        <f aca="false">IF(A318="","",N(Products!I318))</f>
        <v/>
      </c>
      <c r="E318" s="16" t="str">
        <f aca="false">IF(A318="","",SUMIFS(Purchases!$D$2:$D$2001,Purchases!$B$2:$B$2001,A318))</f>
        <v/>
      </c>
      <c r="F318" s="16" t="str">
        <f aca="false">IF(A318="","",SUMIFS(Sales_Items!$E$2:$E$3001,Sales_Items!$C$2:$C$3001,A318))</f>
        <v/>
      </c>
      <c r="G318" s="16" t="str">
        <f aca="false">IF(A318="","",D318+E318-F318)</f>
        <v/>
      </c>
      <c r="H318" s="17" t="str">
        <f aca="false">IF(A318="","",N(Products!E318))</f>
        <v/>
      </c>
      <c r="I318" s="17" t="str">
        <f aca="false">IF(A318="","",G318*H318)</f>
        <v/>
      </c>
      <c r="J318" s="16" t="str">
        <f aca="false">IF(A318="","",IF(Products!G318="",Settings!$B$8,Products!G318))</f>
        <v/>
      </c>
      <c r="K318" s="16" t="str">
        <f aca="false">IF(A318="","",IF(G318&lt;=0,"OUT",IF(G318&lt;=J318,"LOW","OK")))</f>
        <v/>
      </c>
      <c r="L318" s="16" t="str">
        <f aca="false">IF(A318="","",F318+ROW()/1000000)</f>
        <v/>
      </c>
      <c r="M318" s="16" t="str">
        <f aca="false">IF(OR(K318="LOW",K318="OUT"),COUNTIF($K$2:K318,"LOW")+COUNTIF($K$2:K318,"OUT"),"")</f>
        <v/>
      </c>
    </row>
    <row r="319" customFormat="false" ht="15" hidden="false" customHeight="true" outlineLevel="0" collapsed="false">
      <c r="A319" s="16" t="str">
        <f aca="false">IF(Products!A319="","",Products!A319)</f>
        <v/>
      </c>
      <c r="B319" s="16" t="str">
        <f aca="false">IF($A319="","",INDEX(Products!$B$2:$B$501,ROW()-1))</f>
        <v/>
      </c>
      <c r="C319" s="16" t="str">
        <f aca="false">IF($A319="","",INDEX(Products!$C$2:$C$501,ROW()-1))</f>
        <v/>
      </c>
      <c r="D319" s="16" t="str">
        <f aca="false">IF(A319="","",N(Products!I319))</f>
        <v/>
      </c>
      <c r="E319" s="16" t="str">
        <f aca="false">IF(A319="","",SUMIFS(Purchases!$D$2:$D$2001,Purchases!$B$2:$B$2001,A319))</f>
        <v/>
      </c>
      <c r="F319" s="16" t="str">
        <f aca="false">IF(A319="","",SUMIFS(Sales_Items!$E$2:$E$3001,Sales_Items!$C$2:$C$3001,A319))</f>
        <v/>
      </c>
      <c r="G319" s="16" t="str">
        <f aca="false">IF(A319="","",D319+E319-F319)</f>
        <v/>
      </c>
      <c r="H319" s="17" t="str">
        <f aca="false">IF(A319="","",N(Products!E319))</f>
        <v/>
      </c>
      <c r="I319" s="17" t="str">
        <f aca="false">IF(A319="","",G319*H319)</f>
        <v/>
      </c>
      <c r="J319" s="16" t="str">
        <f aca="false">IF(A319="","",IF(Products!G319="",Settings!$B$8,Products!G319))</f>
        <v/>
      </c>
      <c r="K319" s="16" t="str">
        <f aca="false">IF(A319="","",IF(G319&lt;=0,"OUT",IF(G319&lt;=J319,"LOW","OK")))</f>
        <v/>
      </c>
      <c r="L319" s="16" t="str">
        <f aca="false">IF(A319="","",F319+ROW()/1000000)</f>
        <v/>
      </c>
      <c r="M319" s="16" t="str">
        <f aca="false">IF(OR(K319="LOW",K319="OUT"),COUNTIF($K$2:K319,"LOW")+COUNTIF($K$2:K319,"OUT"),"")</f>
        <v/>
      </c>
    </row>
    <row r="320" customFormat="false" ht="15" hidden="false" customHeight="true" outlineLevel="0" collapsed="false">
      <c r="A320" s="16" t="str">
        <f aca="false">IF(Products!A320="","",Products!A320)</f>
        <v/>
      </c>
      <c r="B320" s="16" t="str">
        <f aca="false">IF($A320="","",INDEX(Products!$B$2:$B$501,ROW()-1))</f>
        <v/>
      </c>
      <c r="C320" s="16" t="str">
        <f aca="false">IF($A320="","",INDEX(Products!$C$2:$C$501,ROW()-1))</f>
        <v/>
      </c>
      <c r="D320" s="16" t="str">
        <f aca="false">IF(A320="","",N(Products!I320))</f>
        <v/>
      </c>
      <c r="E320" s="16" t="str">
        <f aca="false">IF(A320="","",SUMIFS(Purchases!$D$2:$D$2001,Purchases!$B$2:$B$2001,A320))</f>
        <v/>
      </c>
      <c r="F320" s="16" t="str">
        <f aca="false">IF(A320="","",SUMIFS(Sales_Items!$E$2:$E$3001,Sales_Items!$C$2:$C$3001,A320))</f>
        <v/>
      </c>
      <c r="G320" s="16" t="str">
        <f aca="false">IF(A320="","",D320+E320-F320)</f>
        <v/>
      </c>
      <c r="H320" s="17" t="str">
        <f aca="false">IF(A320="","",N(Products!E320))</f>
        <v/>
      </c>
      <c r="I320" s="17" t="str">
        <f aca="false">IF(A320="","",G320*H320)</f>
        <v/>
      </c>
      <c r="J320" s="16" t="str">
        <f aca="false">IF(A320="","",IF(Products!G320="",Settings!$B$8,Products!G320))</f>
        <v/>
      </c>
      <c r="K320" s="16" t="str">
        <f aca="false">IF(A320="","",IF(G320&lt;=0,"OUT",IF(G320&lt;=J320,"LOW","OK")))</f>
        <v/>
      </c>
      <c r="L320" s="16" t="str">
        <f aca="false">IF(A320="","",F320+ROW()/1000000)</f>
        <v/>
      </c>
      <c r="M320" s="16" t="str">
        <f aca="false">IF(OR(K320="LOW",K320="OUT"),COUNTIF($K$2:K320,"LOW")+COUNTIF($K$2:K320,"OUT"),"")</f>
        <v/>
      </c>
    </row>
    <row r="321" customFormat="false" ht="15" hidden="false" customHeight="true" outlineLevel="0" collapsed="false">
      <c r="A321" s="16" t="str">
        <f aca="false">IF(Products!A321="","",Products!A321)</f>
        <v/>
      </c>
      <c r="B321" s="16" t="str">
        <f aca="false">IF($A321="","",INDEX(Products!$B$2:$B$501,ROW()-1))</f>
        <v/>
      </c>
      <c r="C321" s="16" t="str">
        <f aca="false">IF($A321="","",INDEX(Products!$C$2:$C$501,ROW()-1))</f>
        <v/>
      </c>
      <c r="D321" s="16" t="str">
        <f aca="false">IF(A321="","",N(Products!I321))</f>
        <v/>
      </c>
      <c r="E321" s="16" t="str">
        <f aca="false">IF(A321="","",SUMIFS(Purchases!$D$2:$D$2001,Purchases!$B$2:$B$2001,A321))</f>
        <v/>
      </c>
      <c r="F321" s="16" t="str">
        <f aca="false">IF(A321="","",SUMIFS(Sales_Items!$E$2:$E$3001,Sales_Items!$C$2:$C$3001,A321))</f>
        <v/>
      </c>
      <c r="G321" s="16" t="str">
        <f aca="false">IF(A321="","",D321+E321-F321)</f>
        <v/>
      </c>
      <c r="H321" s="17" t="str">
        <f aca="false">IF(A321="","",N(Products!E321))</f>
        <v/>
      </c>
      <c r="I321" s="17" t="str">
        <f aca="false">IF(A321="","",G321*H321)</f>
        <v/>
      </c>
      <c r="J321" s="16" t="str">
        <f aca="false">IF(A321="","",IF(Products!G321="",Settings!$B$8,Products!G321))</f>
        <v/>
      </c>
      <c r="K321" s="16" t="str">
        <f aca="false">IF(A321="","",IF(G321&lt;=0,"OUT",IF(G321&lt;=J321,"LOW","OK")))</f>
        <v/>
      </c>
      <c r="L321" s="16" t="str">
        <f aca="false">IF(A321="","",F321+ROW()/1000000)</f>
        <v/>
      </c>
      <c r="M321" s="16" t="str">
        <f aca="false">IF(OR(K321="LOW",K321="OUT"),COUNTIF($K$2:K321,"LOW")+COUNTIF($K$2:K321,"OUT"),"")</f>
        <v/>
      </c>
    </row>
    <row r="322" customFormat="false" ht="15" hidden="false" customHeight="true" outlineLevel="0" collapsed="false">
      <c r="A322" s="16" t="str">
        <f aca="false">IF(Products!A322="","",Products!A322)</f>
        <v/>
      </c>
      <c r="B322" s="16" t="str">
        <f aca="false">IF($A322="","",INDEX(Products!$B$2:$B$501,ROW()-1))</f>
        <v/>
      </c>
      <c r="C322" s="16" t="str">
        <f aca="false">IF($A322="","",INDEX(Products!$C$2:$C$501,ROW()-1))</f>
        <v/>
      </c>
      <c r="D322" s="16" t="str">
        <f aca="false">IF(A322="","",N(Products!I322))</f>
        <v/>
      </c>
      <c r="E322" s="16" t="str">
        <f aca="false">IF(A322="","",SUMIFS(Purchases!$D$2:$D$2001,Purchases!$B$2:$B$2001,A322))</f>
        <v/>
      </c>
      <c r="F322" s="16" t="str">
        <f aca="false">IF(A322="","",SUMIFS(Sales_Items!$E$2:$E$3001,Sales_Items!$C$2:$C$3001,A322))</f>
        <v/>
      </c>
      <c r="G322" s="16" t="str">
        <f aca="false">IF(A322="","",D322+E322-F322)</f>
        <v/>
      </c>
      <c r="H322" s="17" t="str">
        <f aca="false">IF(A322="","",N(Products!E322))</f>
        <v/>
      </c>
      <c r="I322" s="17" t="str">
        <f aca="false">IF(A322="","",G322*H322)</f>
        <v/>
      </c>
      <c r="J322" s="16" t="str">
        <f aca="false">IF(A322="","",IF(Products!G322="",Settings!$B$8,Products!G322))</f>
        <v/>
      </c>
      <c r="K322" s="16" t="str">
        <f aca="false">IF(A322="","",IF(G322&lt;=0,"OUT",IF(G322&lt;=J322,"LOW","OK")))</f>
        <v/>
      </c>
      <c r="L322" s="16" t="str">
        <f aca="false">IF(A322="","",F322+ROW()/1000000)</f>
        <v/>
      </c>
      <c r="M322" s="16" t="str">
        <f aca="false">IF(OR(K322="LOW",K322="OUT"),COUNTIF($K$2:K322,"LOW")+COUNTIF($K$2:K322,"OUT"),"")</f>
        <v/>
      </c>
    </row>
    <row r="323" customFormat="false" ht="15" hidden="false" customHeight="true" outlineLevel="0" collapsed="false">
      <c r="A323" s="16" t="str">
        <f aca="false">IF(Products!A323="","",Products!A323)</f>
        <v/>
      </c>
      <c r="B323" s="16" t="str">
        <f aca="false">IF($A323="","",INDEX(Products!$B$2:$B$501,ROW()-1))</f>
        <v/>
      </c>
      <c r="C323" s="16" t="str">
        <f aca="false">IF($A323="","",INDEX(Products!$C$2:$C$501,ROW()-1))</f>
        <v/>
      </c>
      <c r="D323" s="16" t="str">
        <f aca="false">IF(A323="","",N(Products!I323))</f>
        <v/>
      </c>
      <c r="E323" s="16" t="str">
        <f aca="false">IF(A323="","",SUMIFS(Purchases!$D$2:$D$2001,Purchases!$B$2:$B$2001,A323))</f>
        <v/>
      </c>
      <c r="F323" s="16" t="str">
        <f aca="false">IF(A323="","",SUMIFS(Sales_Items!$E$2:$E$3001,Sales_Items!$C$2:$C$3001,A323))</f>
        <v/>
      </c>
      <c r="G323" s="16" t="str">
        <f aca="false">IF(A323="","",D323+E323-F323)</f>
        <v/>
      </c>
      <c r="H323" s="17" t="str">
        <f aca="false">IF(A323="","",N(Products!E323))</f>
        <v/>
      </c>
      <c r="I323" s="17" t="str">
        <f aca="false">IF(A323="","",G323*H323)</f>
        <v/>
      </c>
      <c r="J323" s="16" t="str">
        <f aca="false">IF(A323="","",IF(Products!G323="",Settings!$B$8,Products!G323))</f>
        <v/>
      </c>
      <c r="K323" s="16" t="str">
        <f aca="false">IF(A323="","",IF(G323&lt;=0,"OUT",IF(G323&lt;=J323,"LOW","OK")))</f>
        <v/>
      </c>
      <c r="L323" s="16" t="str">
        <f aca="false">IF(A323="","",F323+ROW()/1000000)</f>
        <v/>
      </c>
      <c r="M323" s="16" t="str">
        <f aca="false">IF(OR(K323="LOW",K323="OUT"),COUNTIF($K$2:K323,"LOW")+COUNTIF($K$2:K323,"OUT"),"")</f>
        <v/>
      </c>
    </row>
    <row r="324" customFormat="false" ht="15" hidden="false" customHeight="true" outlineLevel="0" collapsed="false">
      <c r="A324" s="16" t="str">
        <f aca="false">IF(Products!A324="","",Products!A324)</f>
        <v/>
      </c>
      <c r="B324" s="16" t="str">
        <f aca="false">IF($A324="","",INDEX(Products!$B$2:$B$501,ROW()-1))</f>
        <v/>
      </c>
      <c r="C324" s="16" t="str">
        <f aca="false">IF($A324="","",INDEX(Products!$C$2:$C$501,ROW()-1))</f>
        <v/>
      </c>
      <c r="D324" s="16" t="str">
        <f aca="false">IF(A324="","",N(Products!I324))</f>
        <v/>
      </c>
      <c r="E324" s="16" t="str">
        <f aca="false">IF(A324="","",SUMIFS(Purchases!$D$2:$D$2001,Purchases!$B$2:$B$2001,A324))</f>
        <v/>
      </c>
      <c r="F324" s="16" t="str">
        <f aca="false">IF(A324="","",SUMIFS(Sales_Items!$E$2:$E$3001,Sales_Items!$C$2:$C$3001,A324))</f>
        <v/>
      </c>
      <c r="G324" s="16" t="str">
        <f aca="false">IF(A324="","",D324+E324-F324)</f>
        <v/>
      </c>
      <c r="H324" s="17" t="str">
        <f aca="false">IF(A324="","",N(Products!E324))</f>
        <v/>
      </c>
      <c r="I324" s="17" t="str">
        <f aca="false">IF(A324="","",G324*H324)</f>
        <v/>
      </c>
      <c r="J324" s="16" t="str">
        <f aca="false">IF(A324="","",IF(Products!G324="",Settings!$B$8,Products!G324))</f>
        <v/>
      </c>
      <c r="K324" s="16" t="str">
        <f aca="false">IF(A324="","",IF(G324&lt;=0,"OUT",IF(G324&lt;=J324,"LOW","OK")))</f>
        <v/>
      </c>
      <c r="L324" s="16" t="str">
        <f aca="false">IF(A324="","",F324+ROW()/1000000)</f>
        <v/>
      </c>
      <c r="M324" s="16" t="str">
        <f aca="false">IF(OR(K324="LOW",K324="OUT"),COUNTIF($K$2:K324,"LOW")+COUNTIF($K$2:K324,"OUT"),"")</f>
        <v/>
      </c>
    </row>
    <row r="325" customFormat="false" ht="15" hidden="false" customHeight="true" outlineLevel="0" collapsed="false">
      <c r="A325" s="16" t="str">
        <f aca="false">IF(Products!A325="","",Products!A325)</f>
        <v/>
      </c>
      <c r="B325" s="16" t="str">
        <f aca="false">IF($A325="","",INDEX(Products!$B$2:$B$501,ROW()-1))</f>
        <v/>
      </c>
      <c r="C325" s="16" t="str">
        <f aca="false">IF($A325="","",INDEX(Products!$C$2:$C$501,ROW()-1))</f>
        <v/>
      </c>
      <c r="D325" s="16" t="str">
        <f aca="false">IF(A325="","",N(Products!I325))</f>
        <v/>
      </c>
      <c r="E325" s="16" t="str">
        <f aca="false">IF(A325="","",SUMIFS(Purchases!$D$2:$D$2001,Purchases!$B$2:$B$2001,A325))</f>
        <v/>
      </c>
      <c r="F325" s="16" t="str">
        <f aca="false">IF(A325="","",SUMIFS(Sales_Items!$E$2:$E$3001,Sales_Items!$C$2:$C$3001,A325))</f>
        <v/>
      </c>
      <c r="G325" s="16" t="str">
        <f aca="false">IF(A325="","",D325+E325-F325)</f>
        <v/>
      </c>
      <c r="H325" s="17" t="str">
        <f aca="false">IF(A325="","",N(Products!E325))</f>
        <v/>
      </c>
      <c r="I325" s="17" t="str">
        <f aca="false">IF(A325="","",G325*H325)</f>
        <v/>
      </c>
      <c r="J325" s="16" t="str">
        <f aca="false">IF(A325="","",IF(Products!G325="",Settings!$B$8,Products!G325))</f>
        <v/>
      </c>
      <c r="K325" s="16" t="str">
        <f aca="false">IF(A325="","",IF(G325&lt;=0,"OUT",IF(G325&lt;=J325,"LOW","OK")))</f>
        <v/>
      </c>
      <c r="L325" s="16" t="str">
        <f aca="false">IF(A325="","",F325+ROW()/1000000)</f>
        <v/>
      </c>
      <c r="M325" s="16" t="str">
        <f aca="false">IF(OR(K325="LOW",K325="OUT"),COUNTIF($K$2:K325,"LOW")+COUNTIF($K$2:K325,"OUT"),"")</f>
        <v/>
      </c>
    </row>
    <row r="326" customFormat="false" ht="15" hidden="false" customHeight="true" outlineLevel="0" collapsed="false">
      <c r="A326" s="16" t="str">
        <f aca="false">IF(Products!A326="","",Products!A326)</f>
        <v/>
      </c>
      <c r="B326" s="16" t="str">
        <f aca="false">IF($A326="","",INDEX(Products!$B$2:$B$501,ROW()-1))</f>
        <v/>
      </c>
      <c r="C326" s="16" t="str">
        <f aca="false">IF($A326="","",INDEX(Products!$C$2:$C$501,ROW()-1))</f>
        <v/>
      </c>
      <c r="D326" s="16" t="str">
        <f aca="false">IF(A326="","",N(Products!I326))</f>
        <v/>
      </c>
      <c r="E326" s="16" t="str">
        <f aca="false">IF(A326="","",SUMIFS(Purchases!$D$2:$D$2001,Purchases!$B$2:$B$2001,A326))</f>
        <v/>
      </c>
      <c r="F326" s="16" t="str">
        <f aca="false">IF(A326="","",SUMIFS(Sales_Items!$E$2:$E$3001,Sales_Items!$C$2:$C$3001,A326))</f>
        <v/>
      </c>
      <c r="G326" s="16" t="str">
        <f aca="false">IF(A326="","",D326+E326-F326)</f>
        <v/>
      </c>
      <c r="H326" s="17" t="str">
        <f aca="false">IF(A326="","",N(Products!E326))</f>
        <v/>
      </c>
      <c r="I326" s="17" t="str">
        <f aca="false">IF(A326="","",G326*H326)</f>
        <v/>
      </c>
      <c r="J326" s="16" t="str">
        <f aca="false">IF(A326="","",IF(Products!G326="",Settings!$B$8,Products!G326))</f>
        <v/>
      </c>
      <c r="K326" s="16" t="str">
        <f aca="false">IF(A326="","",IF(G326&lt;=0,"OUT",IF(G326&lt;=J326,"LOW","OK")))</f>
        <v/>
      </c>
      <c r="L326" s="16" t="str">
        <f aca="false">IF(A326="","",F326+ROW()/1000000)</f>
        <v/>
      </c>
      <c r="M326" s="16" t="str">
        <f aca="false">IF(OR(K326="LOW",K326="OUT"),COUNTIF($K$2:K326,"LOW")+COUNTIF($K$2:K326,"OUT"),"")</f>
        <v/>
      </c>
    </row>
    <row r="327" customFormat="false" ht="15" hidden="false" customHeight="true" outlineLevel="0" collapsed="false">
      <c r="A327" s="16" t="str">
        <f aca="false">IF(Products!A327="","",Products!A327)</f>
        <v/>
      </c>
      <c r="B327" s="16" t="str">
        <f aca="false">IF($A327="","",INDEX(Products!$B$2:$B$501,ROW()-1))</f>
        <v/>
      </c>
      <c r="C327" s="16" t="str">
        <f aca="false">IF($A327="","",INDEX(Products!$C$2:$C$501,ROW()-1))</f>
        <v/>
      </c>
      <c r="D327" s="16" t="str">
        <f aca="false">IF(A327="","",N(Products!I327))</f>
        <v/>
      </c>
      <c r="E327" s="16" t="str">
        <f aca="false">IF(A327="","",SUMIFS(Purchases!$D$2:$D$2001,Purchases!$B$2:$B$2001,A327))</f>
        <v/>
      </c>
      <c r="F327" s="16" t="str">
        <f aca="false">IF(A327="","",SUMIFS(Sales_Items!$E$2:$E$3001,Sales_Items!$C$2:$C$3001,A327))</f>
        <v/>
      </c>
      <c r="G327" s="16" t="str">
        <f aca="false">IF(A327="","",D327+E327-F327)</f>
        <v/>
      </c>
      <c r="H327" s="17" t="str">
        <f aca="false">IF(A327="","",N(Products!E327))</f>
        <v/>
      </c>
      <c r="I327" s="17" t="str">
        <f aca="false">IF(A327="","",G327*H327)</f>
        <v/>
      </c>
      <c r="J327" s="16" t="str">
        <f aca="false">IF(A327="","",IF(Products!G327="",Settings!$B$8,Products!G327))</f>
        <v/>
      </c>
      <c r="K327" s="16" t="str">
        <f aca="false">IF(A327="","",IF(G327&lt;=0,"OUT",IF(G327&lt;=J327,"LOW","OK")))</f>
        <v/>
      </c>
      <c r="L327" s="16" t="str">
        <f aca="false">IF(A327="","",F327+ROW()/1000000)</f>
        <v/>
      </c>
      <c r="M327" s="16" t="str">
        <f aca="false">IF(OR(K327="LOW",K327="OUT"),COUNTIF($K$2:K327,"LOW")+COUNTIF($K$2:K327,"OUT"),"")</f>
        <v/>
      </c>
    </row>
    <row r="328" customFormat="false" ht="15" hidden="false" customHeight="true" outlineLevel="0" collapsed="false">
      <c r="A328" s="16" t="str">
        <f aca="false">IF(Products!A328="","",Products!A328)</f>
        <v/>
      </c>
      <c r="B328" s="16" t="str">
        <f aca="false">IF($A328="","",INDEX(Products!$B$2:$B$501,ROW()-1))</f>
        <v/>
      </c>
      <c r="C328" s="16" t="str">
        <f aca="false">IF($A328="","",INDEX(Products!$C$2:$C$501,ROW()-1))</f>
        <v/>
      </c>
      <c r="D328" s="16" t="str">
        <f aca="false">IF(A328="","",N(Products!I328))</f>
        <v/>
      </c>
      <c r="E328" s="16" t="str">
        <f aca="false">IF(A328="","",SUMIFS(Purchases!$D$2:$D$2001,Purchases!$B$2:$B$2001,A328))</f>
        <v/>
      </c>
      <c r="F328" s="16" t="str">
        <f aca="false">IF(A328="","",SUMIFS(Sales_Items!$E$2:$E$3001,Sales_Items!$C$2:$C$3001,A328))</f>
        <v/>
      </c>
      <c r="G328" s="16" t="str">
        <f aca="false">IF(A328="","",D328+E328-F328)</f>
        <v/>
      </c>
      <c r="H328" s="17" t="str">
        <f aca="false">IF(A328="","",N(Products!E328))</f>
        <v/>
      </c>
      <c r="I328" s="17" t="str">
        <f aca="false">IF(A328="","",G328*H328)</f>
        <v/>
      </c>
      <c r="J328" s="16" t="str">
        <f aca="false">IF(A328="","",IF(Products!G328="",Settings!$B$8,Products!G328))</f>
        <v/>
      </c>
      <c r="K328" s="16" t="str">
        <f aca="false">IF(A328="","",IF(G328&lt;=0,"OUT",IF(G328&lt;=J328,"LOW","OK")))</f>
        <v/>
      </c>
      <c r="L328" s="16" t="str">
        <f aca="false">IF(A328="","",F328+ROW()/1000000)</f>
        <v/>
      </c>
      <c r="M328" s="16" t="str">
        <f aca="false">IF(OR(K328="LOW",K328="OUT"),COUNTIF($K$2:K328,"LOW")+COUNTIF($K$2:K328,"OUT"),"")</f>
        <v/>
      </c>
    </row>
    <row r="329" customFormat="false" ht="15" hidden="false" customHeight="true" outlineLevel="0" collapsed="false">
      <c r="A329" s="16" t="str">
        <f aca="false">IF(Products!A329="","",Products!A329)</f>
        <v/>
      </c>
      <c r="B329" s="16" t="str">
        <f aca="false">IF($A329="","",INDEX(Products!$B$2:$B$501,ROW()-1))</f>
        <v/>
      </c>
      <c r="C329" s="16" t="str">
        <f aca="false">IF($A329="","",INDEX(Products!$C$2:$C$501,ROW()-1))</f>
        <v/>
      </c>
      <c r="D329" s="16" t="str">
        <f aca="false">IF(A329="","",N(Products!I329))</f>
        <v/>
      </c>
      <c r="E329" s="16" t="str">
        <f aca="false">IF(A329="","",SUMIFS(Purchases!$D$2:$D$2001,Purchases!$B$2:$B$2001,A329))</f>
        <v/>
      </c>
      <c r="F329" s="16" t="str">
        <f aca="false">IF(A329="","",SUMIFS(Sales_Items!$E$2:$E$3001,Sales_Items!$C$2:$C$3001,A329))</f>
        <v/>
      </c>
      <c r="G329" s="16" t="str">
        <f aca="false">IF(A329="","",D329+E329-F329)</f>
        <v/>
      </c>
      <c r="H329" s="17" t="str">
        <f aca="false">IF(A329="","",N(Products!E329))</f>
        <v/>
      </c>
      <c r="I329" s="17" t="str">
        <f aca="false">IF(A329="","",G329*H329)</f>
        <v/>
      </c>
      <c r="J329" s="16" t="str">
        <f aca="false">IF(A329="","",IF(Products!G329="",Settings!$B$8,Products!G329))</f>
        <v/>
      </c>
      <c r="K329" s="16" t="str">
        <f aca="false">IF(A329="","",IF(G329&lt;=0,"OUT",IF(G329&lt;=J329,"LOW","OK")))</f>
        <v/>
      </c>
      <c r="L329" s="16" t="str">
        <f aca="false">IF(A329="","",F329+ROW()/1000000)</f>
        <v/>
      </c>
      <c r="M329" s="16" t="str">
        <f aca="false">IF(OR(K329="LOW",K329="OUT"),COUNTIF($K$2:K329,"LOW")+COUNTIF($K$2:K329,"OUT"),"")</f>
        <v/>
      </c>
    </row>
    <row r="330" customFormat="false" ht="15" hidden="false" customHeight="true" outlineLevel="0" collapsed="false">
      <c r="A330" s="16" t="str">
        <f aca="false">IF(Products!A330="","",Products!A330)</f>
        <v/>
      </c>
      <c r="B330" s="16" t="str">
        <f aca="false">IF($A330="","",INDEX(Products!$B$2:$B$501,ROW()-1))</f>
        <v/>
      </c>
      <c r="C330" s="16" t="str">
        <f aca="false">IF($A330="","",INDEX(Products!$C$2:$C$501,ROW()-1))</f>
        <v/>
      </c>
      <c r="D330" s="16" t="str">
        <f aca="false">IF(A330="","",N(Products!I330))</f>
        <v/>
      </c>
      <c r="E330" s="16" t="str">
        <f aca="false">IF(A330="","",SUMIFS(Purchases!$D$2:$D$2001,Purchases!$B$2:$B$2001,A330))</f>
        <v/>
      </c>
      <c r="F330" s="16" t="str">
        <f aca="false">IF(A330="","",SUMIFS(Sales_Items!$E$2:$E$3001,Sales_Items!$C$2:$C$3001,A330))</f>
        <v/>
      </c>
      <c r="G330" s="16" t="str">
        <f aca="false">IF(A330="","",D330+E330-F330)</f>
        <v/>
      </c>
      <c r="H330" s="17" t="str">
        <f aca="false">IF(A330="","",N(Products!E330))</f>
        <v/>
      </c>
      <c r="I330" s="17" t="str">
        <f aca="false">IF(A330="","",G330*H330)</f>
        <v/>
      </c>
      <c r="J330" s="16" t="str">
        <f aca="false">IF(A330="","",IF(Products!G330="",Settings!$B$8,Products!G330))</f>
        <v/>
      </c>
      <c r="K330" s="16" t="str">
        <f aca="false">IF(A330="","",IF(G330&lt;=0,"OUT",IF(G330&lt;=J330,"LOW","OK")))</f>
        <v/>
      </c>
      <c r="L330" s="16" t="str">
        <f aca="false">IF(A330="","",F330+ROW()/1000000)</f>
        <v/>
      </c>
      <c r="M330" s="16" t="str">
        <f aca="false">IF(OR(K330="LOW",K330="OUT"),COUNTIF($K$2:K330,"LOW")+COUNTIF($K$2:K330,"OUT"),"")</f>
        <v/>
      </c>
    </row>
    <row r="331" customFormat="false" ht="15" hidden="false" customHeight="true" outlineLevel="0" collapsed="false">
      <c r="A331" s="16" t="str">
        <f aca="false">IF(Products!A331="","",Products!A331)</f>
        <v/>
      </c>
      <c r="B331" s="16" t="str">
        <f aca="false">IF($A331="","",INDEX(Products!$B$2:$B$501,ROW()-1))</f>
        <v/>
      </c>
      <c r="C331" s="16" t="str">
        <f aca="false">IF($A331="","",INDEX(Products!$C$2:$C$501,ROW()-1))</f>
        <v/>
      </c>
      <c r="D331" s="16" t="str">
        <f aca="false">IF(A331="","",N(Products!I331))</f>
        <v/>
      </c>
      <c r="E331" s="16" t="str">
        <f aca="false">IF(A331="","",SUMIFS(Purchases!$D$2:$D$2001,Purchases!$B$2:$B$2001,A331))</f>
        <v/>
      </c>
      <c r="F331" s="16" t="str">
        <f aca="false">IF(A331="","",SUMIFS(Sales_Items!$E$2:$E$3001,Sales_Items!$C$2:$C$3001,A331))</f>
        <v/>
      </c>
      <c r="G331" s="16" t="str">
        <f aca="false">IF(A331="","",D331+E331-F331)</f>
        <v/>
      </c>
      <c r="H331" s="17" t="str">
        <f aca="false">IF(A331="","",N(Products!E331))</f>
        <v/>
      </c>
      <c r="I331" s="17" t="str">
        <f aca="false">IF(A331="","",G331*H331)</f>
        <v/>
      </c>
      <c r="J331" s="16" t="str">
        <f aca="false">IF(A331="","",IF(Products!G331="",Settings!$B$8,Products!G331))</f>
        <v/>
      </c>
      <c r="K331" s="16" t="str">
        <f aca="false">IF(A331="","",IF(G331&lt;=0,"OUT",IF(G331&lt;=J331,"LOW","OK")))</f>
        <v/>
      </c>
      <c r="L331" s="16" t="str">
        <f aca="false">IF(A331="","",F331+ROW()/1000000)</f>
        <v/>
      </c>
      <c r="M331" s="16" t="str">
        <f aca="false">IF(OR(K331="LOW",K331="OUT"),COUNTIF($K$2:K331,"LOW")+COUNTIF($K$2:K331,"OUT"),"")</f>
        <v/>
      </c>
    </row>
    <row r="332" customFormat="false" ht="15" hidden="false" customHeight="true" outlineLevel="0" collapsed="false">
      <c r="A332" s="16" t="str">
        <f aca="false">IF(Products!A332="","",Products!A332)</f>
        <v/>
      </c>
      <c r="B332" s="16" t="str">
        <f aca="false">IF($A332="","",INDEX(Products!$B$2:$B$501,ROW()-1))</f>
        <v/>
      </c>
      <c r="C332" s="16" t="str">
        <f aca="false">IF($A332="","",INDEX(Products!$C$2:$C$501,ROW()-1))</f>
        <v/>
      </c>
      <c r="D332" s="16" t="str">
        <f aca="false">IF(A332="","",N(Products!I332))</f>
        <v/>
      </c>
      <c r="E332" s="16" t="str">
        <f aca="false">IF(A332="","",SUMIFS(Purchases!$D$2:$D$2001,Purchases!$B$2:$B$2001,A332))</f>
        <v/>
      </c>
      <c r="F332" s="16" t="str">
        <f aca="false">IF(A332="","",SUMIFS(Sales_Items!$E$2:$E$3001,Sales_Items!$C$2:$C$3001,A332))</f>
        <v/>
      </c>
      <c r="G332" s="16" t="str">
        <f aca="false">IF(A332="","",D332+E332-F332)</f>
        <v/>
      </c>
      <c r="H332" s="17" t="str">
        <f aca="false">IF(A332="","",N(Products!E332))</f>
        <v/>
      </c>
      <c r="I332" s="17" t="str">
        <f aca="false">IF(A332="","",G332*H332)</f>
        <v/>
      </c>
      <c r="J332" s="16" t="str">
        <f aca="false">IF(A332="","",IF(Products!G332="",Settings!$B$8,Products!G332))</f>
        <v/>
      </c>
      <c r="K332" s="16" t="str">
        <f aca="false">IF(A332="","",IF(G332&lt;=0,"OUT",IF(G332&lt;=J332,"LOW","OK")))</f>
        <v/>
      </c>
      <c r="L332" s="16" t="str">
        <f aca="false">IF(A332="","",F332+ROW()/1000000)</f>
        <v/>
      </c>
      <c r="M332" s="16" t="str">
        <f aca="false">IF(OR(K332="LOW",K332="OUT"),COUNTIF($K$2:K332,"LOW")+COUNTIF($K$2:K332,"OUT"),"")</f>
        <v/>
      </c>
    </row>
    <row r="333" customFormat="false" ht="15" hidden="false" customHeight="true" outlineLevel="0" collapsed="false">
      <c r="A333" s="16" t="str">
        <f aca="false">IF(Products!A333="","",Products!A333)</f>
        <v/>
      </c>
      <c r="B333" s="16" t="str">
        <f aca="false">IF($A333="","",INDEX(Products!$B$2:$B$501,ROW()-1))</f>
        <v/>
      </c>
      <c r="C333" s="16" t="str">
        <f aca="false">IF($A333="","",INDEX(Products!$C$2:$C$501,ROW()-1))</f>
        <v/>
      </c>
      <c r="D333" s="16" t="str">
        <f aca="false">IF(A333="","",N(Products!I333))</f>
        <v/>
      </c>
      <c r="E333" s="16" t="str">
        <f aca="false">IF(A333="","",SUMIFS(Purchases!$D$2:$D$2001,Purchases!$B$2:$B$2001,A333))</f>
        <v/>
      </c>
      <c r="F333" s="16" t="str">
        <f aca="false">IF(A333="","",SUMIFS(Sales_Items!$E$2:$E$3001,Sales_Items!$C$2:$C$3001,A333))</f>
        <v/>
      </c>
      <c r="G333" s="16" t="str">
        <f aca="false">IF(A333="","",D333+E333-F333)</f>
        <v/>
      </c>
      <c r="H333" s="17" t="str">
        <f aca="false">IF(A333="","",N(Products!E333))</f>
        <v/>
      </c>
      <c r="I333" s="17" t="str">
        <f aca="false">IF(A333="","",G333*H333)</f>
        <v/>
      </c>
      <c r="J333" s="16" t="str">
        <f aca="false">IF(A333="","",IF(Products!G333="",Settings!$B$8,Products!G333))</f>
        <v/>
      </c>
      <c r="K333" s="16" t="str">
        <f aca="false">IF(A333="","",IF(G333&lt;=0,"OUT",IF(G333&lt;=J333,"LOW","OK")))</f>
        <v/>
      </c>
      <c r="L333" s="16" t="str">
        <f aca="false">IF(A333="","",F333+ROW()/1000000)</f>
        <v/>
      </c>
      <c r="M333" s="16" t="str">
        <f aca="false">IF(OR(K333="LOW",K333="OUT"),COUNTIF($K$2:K333,"LOW")+COUNTIF($K$2:K333,"OUT"),"")</f>
        <v/>
      </c>
    </row>
    <row r="334" customFormat="false" ht="15" hidden="false" customHeight="true" outlineLevel="0" collapsed="false">
      <c r="A334" s="16" t="str">
        <f aca="false">IF(Products!A334="","",Products!A334)</f>
        <v/>
      </c>
      <c r="B334" s="16" t="str">
        <f aca="false">IF($A334="","",INDEX(Products!$B$2:$B$501,ROW()-1))</f>
        <v/>
      </c>
      <c r="C334" s="16" t="str">
        <f aca="false">IF($A334="","",INDEX(Products!$C$2:$C$501,ROW()-1))</f>
        <v/>
      </c>
      <c r="D334" s="16" t="str">
        <f aca="false">IF(A334="","",N(Products!I334))</f>
        <v/>
      </c>
      <c r="E334" s="16" t="str">
        <f aca="false">IF(A334="","",SUMIFS(Purchases!$D$2:$D$2001,Purchases!$B$2:$B$2001,A334))</f>
        <v/>
      </c>
      <c r="F334" s="16" t="str">
        <f aca="false">IF(A334="","",SUMIFS(Sales_Items!$E$2:$E$3001,Sales_Items!$C$2:$C$3001,A334))</f>
        <v/>
      </c>
      <c r="G334" s="16" t="str">
        <f aca="false">IF(A334="","",D334+E334-F334)</f>
        <v/>
      </c>
      <c r="H334" s="17" t="str">
        <f aca="false">IF(A334="","",N(Products!E334))</f>
        <v/>
      </c>
      <c r="I334" s="17" t="str">
        <f aca="false">IF(A334="","",G334*H334)</f>
        <v/>
      </c>
      <c r="J334" s="16" t="str">
        <f aca="false">IF(A334="","",IF(Products!G334="",Settings!$B$8,Products!G334))</f>
        <v/>
      </c>
      <c r="K334" s="16" t="str">
        <f aca="false">IF(A334="","",IF(G334&lt;=0,"OUT",IF(G334&lt;=J334,"LOW","OK")))</f>
        <v/>
      </c>
      <c r="L334" s="16" t="str">
        <f aca="false">IF(A334="","",F334+ROW()/1000000)</f>
        <v/>
      </c>
      <c r="M334" s="16" t="str">
        <f aca="false">IF(OR(K334="LOW",K334="OUT"),COUNTIF($K$2:K334,"LOW")+COUNTIF($K$2:K334,"OUT"),"")</f>
        <v/>
      </c>
    </row>
    <row r="335" customFormat="false" ht="15" hidden="false" customHeight="true" outlineLevel="0" collapsed="false">
      <c r="A335" s="16" t="str">
        <f aca="false">IF(Products!A335="","",Products!A335)</f>
        <v/>
      </c>
      <c r="B335" s="16" t="str">
        <f aca="false">IF($A335="","",INDEX(Products!$B$2:$B$501,ROW()-1))</f>
        <v/>
      </c>
      <c r="C335" s="16" t="str">
        <f aca="false">IF($A335="","",INDEX(Products!$C$2:$C$501,ROW()-1))</f>
        <v/>
      </c>
      <c r="D335" s="16" t="str">
        <f aca="false">IF(A335="","",N(Products!I335))</f>
        <v/>
      </c>
      <c r="E335" s="16" t="str">
        <f aca="false">IF(A335="","",SUMIFS(Purchases!$D$2:$D$2001,Purchases!$B$2:$B$2001,A335))</f>
        <v/>
      </c>
      <c r="F335" s="16" t="str">
        <f aca="false">IF(A335="","",SUMIFS(Sales_Items!$E$2:$E$3001,Sales_Items!$C$2:$C$3001,A335))</f>
        <v/>
      </c>
      <c r="G335" s="16" t="str">
        <f aca="false">IF(A335="","",D335+E335-F335)</f>
        <v/>
      </c>
      <c r="H335" s="17" t="str">
        <f aca="false">IF(A335="","",N(Products!E335))</f>
        <v/>
      </c>
      <c r="I335" s="17" t="str">
        <f aca="false">IF(A335="","",G335*H335)</f>
        <v/>
      </c>
      <c r="J335" s="16" t="str">
        <f aca="false">IF(A335="","",IF(Products!G335="",Settings!$B$8,Products!G335))</f>
        <v/>
      </c>
      <c r="K335" s="16" t="str">
        <f aca="false">IF(A335="","",IF(G335&lt;=0,"OUT",IF(G335&lt;=J335,"LOW","OK")))</f>
        <v/>
      </c>
      <c r="L335" s="16" t="str">
        <f aca="false">IF(A335="","",F335+ROW()/1000000)</f>
        <v/>
      </c>
      <c r="M335" s="16" t="str">
        <f aca="false">IF(OR(K335="LOW",K335="OUT"),COUNTIF($K$2:K335,"LOW")+COUNTIF($K$2:K335,"OUT"),"")</f>
        <v/>
      </c>
    </row>
    <row r="336" customFormat="false" ht="15" hidden="false" customHeight="true" outlineLevel="0" collapsed="false">
      <c r="A336" s="16" t="str">
        <f aca="false">IF(Products!A336="","",Products!A336)</f>
        <v/>
      </c>
      <c r="B336" s="16" t="str">
        <f aca="false">IF($A336="","",INDEX(Products!$B$2:$B$501,ROW()-1))</f>
        <v/>
      </c>
      <c r="C336" s="16" t="str">
        <f aca="false">IF($A336="","",INDEX(Products!$C$2:$C$501,ROW()-1))</f>
        <v/>
      </c>
      <c r="D336" s="16" t="str">
        <f aca="false">IF(A336="","",N(Products!I336))</f>
        <v/>
      </c>
      <c r="E336" s="16" t="str">
        <f aca="false">IF(A336="","",SUMIFS(Purchases!$D$2:$D$2001,Purchases!$B$2:$B$2001,A336))</f>
        <v/>
      </c>
      <c r="F336" s="16" t="str">
        <f aca="false">IF(A336="","",SUMIFS(Sales_Items!$E$2:$E$3001,Sales_Items!$C$2:$C$3001,A336))</f>
        <v/>
      </c>
      <c r="G336" s="16" t="str">
        <f aca="false">IF(A336="","",D336+E336-F336)</f>
        <v/>
      </c>
      <c r="H336" s="17" t="str">
        <f aca="false">IF(A336="","",N(Products!E336))</f>
        <v/>
      </c>
      <c r="I336" s="17" t="str">
        <f aca="false">IF(A336="","",G336*H336)</f>
        <v/>
      </c>
      <c r="J336" s="16" t="str">
        <f aca="false">IF(A336="","",IF(Products!G336="",Settings!$B$8,Products!G336))</f>
        <v/>
      </c>
      <c r="K336" s="16" t="str">
        <f aca="false">IF(A336="","",IF(G336&lt;=0,"OUT",IF(G336&lt;=J336,"LOW","OK")))</f>
        <v/>
      </c>
      <c r="L336" s="16" t="str">
        <f aca="false">IF(A336="","",F336+ROW()/1000000)</f>
        <v/>
      </c>
      <c r="M336" s="16" t="str">
        <f aca="false">IF(OR(K336="LOW",K336="OUT"),COUNTIF($K$2:K336,"LOW")+COUNTIF($K$2:K336,"OUT"),"")</f>
        <v/>
      </c>
    </row>
    <row r="337" customFormat="false" ht="15" hidden="false" customHeight="true" outlineLevel="0" collapsed="false">
      <c r="A337" s="16" t="str">
        <f aca="false">IF(Products!A337="","",Products!A337)</f>
        <v/>
      </c>
      <c r="B337" s="16" t="str">
        <f aca="false">IF($A337="","",INDEX(Products!$B$2:$B$501,ROW()-1))</f>
        <v/>
      </c>
      <c r="C337" s="16" t="str">
        <f aca="false">IF($A337="","",INDEX(Products!$C$2:$C$501,ROW()-1))</f>
        <v/>
      </c>
      <c r="D337" s="16" t="str">
        <f aca="false">IF(A337="","",N(Products!I337))</f>
        <v/>
      </c>
      <c r="E337" s="16" t="str">
        <f aca="false">IF(A337="","",SUMIFS(Purchases!$D$2:$D$2001,Purchases!$B$2:$B$2001,A337))</f>
        <v/>
      </c>
      <c r="F337" s="16" t="str">
        <f aca="false">IF(A337="","",SUMIFS(Sales_Items!$E$2:$E$3001,Sales_Items!$C$2:$C$3001,A337))</f>
        <v/>
      </c>
      <c r="G337" s="16" t="str">
        <f aca="false">IF(A337="","",D337+E337-F337)</f>
        <v/>
      </c>
      <c r="H337" s="17" t="str">
        <f aca="false">IF(A337="","",N(Products!E337))</f>
        <v/>
      </c>
      <c r="I337" s="17" t="str">
        <f aca="false">IF(A337="","",G337*H337)</f>
        <v/>
      </c>
      <c r="J337" s="16" t="str">
        <f aca="false">IF(A337="","",IF(Products!G337="",Settings!$B$8,Products!G337))</f>
        <v/>
      </c>
      <c r="K337" s="16" t="str">
        <f aca="false">IF(A337="","",IF(G337&lt;=0,"OUT",IF(G337&lt;=J337,"LOW","OK")))</f>
        <v/>
      </c>
      <c r="L337" s="16" t="str">
        <f aca="false">IF(A337="","",F337+ROW()/1000000)</f>
        <v/>
      </c>
      <c r="M337" s="16" t="str">
        <f aca="false">IF(OR(K337="LOW",K337="OUT"),COUNTIF($K$2:K337,"LOW")+COUNTIF($K$2:K337,"OUT"),"")</f>
        <v/>
      </c>
    </row>
    <row r="338" customFormat="false" ht="15" hidden="false" customHeight="true" outlineLevel="0" collapsed="false">
      <c r="A338" s="16" t="str">
        <f aca="false">IF(Products!A338="","",Products!A338)</f>
        <v/>
      </c>
      <c r="B338" s="16" t="str">
        <f aca="false">IF($A338="","",INDEX(Products!$B$2:$B$501,ROW()-1))</f>
        <v/>
      </c>
      <c r="C338" s="16" t="str">
        <f aca="false">IF($A338="","",INDEX(Products!$C$2:$C$501,ROW()-1))</f>
        <v/>
      </c>
      <c r="D338" s="16" t="str">
        <f aca="false">IF(A338="","",N(Products!I338))</f>
        <v/>
      </c>
      <c r="E338" s="16" t="str">
        <f aca="false">IF(A338="","",SUMIFS(Purchases!$D$2:$D$2001,Purchases!$B$2:$B$2001,A338))</f>
        <v/>
      </c>
      <c r="F338" s="16" t="str">
        <f aca="false">IF(A338="","",SUMIFS(Sales_Items!$E$2:$E$3001,Sales_Items!$C$2:$C$3001,A338))</f>
        <v/>
      </c>
      <c r="G338" s="16" t="str">
        <f aca="false">IF(A338="","",D338+E338-F338)</f>
        <v/>
      </c>
      <c r="H338" s="17" t="str">
        <f aca="false">IF(A338="","",N(Products!E338))</f>
        <v/>
      </c>
      <c r="I338" s="17" t="str">
        <f aca="false">IF(A338="","",G338*H338)</f>
        <v/>
      </c>
      <c r="J338" s="16" t="str">
        <f aca="false">IF(A338="","",IF(Products!G338="",Settings!$B$8,Products!G338))</f>
        <v/>
      </c>
      <c r="K338" s="16" t="str">
        <f aca="false">IF(A338="","",IF(G338&lt;=0,"OUT",IF(G338&lt;=J338,"LOW","OK")))</f>
        <v/>
      </c>
      <c r="L338" s="16" t="str">
        <f aca="false">IF(A338="","",F338+ROW()/1000000)</f>
        <v/>
      </c>
      <c r="M338" s="16" t="str">
        <f aca="false">IF(OR(K338="LOW",K338="OUT"),COUNTIF($K$2:K338,"LOW")+COUNTIF($K$2:K338,"OUT"),"")</f>
        <v/>
      </c>
    </row>
    <row r="339" customFormat="false" ht="15" hidden="false" customHeight="true" outlineLevel="0" collapsed="false">
      <c r="A339" s="16" t="str">
        <f aca="false">IF(Products!A339="","",Products!A339)</f>
        <v/>
      </c>
      <c r="B339" s="16" t="str">
        <f aca="false">IF($A339="","",INDEX(Products!$B$2:$B$501,ROW()-1))</f>
        <v/>
      </c>
      <c r="C339" s="16" t="str">
        <f aca="false">IF($A339="","",INDEX(Products!$C$2:$C$501,ROW()-1))</f>
        <v/>
      </c>
      <c r="D339" s="16" t="str">
        <f aca="false">IF(A339="","",N(Products!I339))</f>
        <v/>
      </c>
      <c r="E339" s="16" t="str">
        <f aca="false">IF(A339="","",SUMIFS(Purchases!$D$2:$D$2001,Purchases!$B$2:$B$2001,A339))</f>
        <v/>
      </c>
      <c r="F339" s="16" t="str">
        <f aca="false">IF(A339="","",SUMIFS(Sales_Items!$E$2:$E$3001,Sales_Items!$C$2:$C$3001,A339))</f>
        <v/>
      </c>
      <c r="G339" s="16" t="str">
        <f aca="false">IF(A339="","",D339+E339-F339)</f>
        <v/>
      </c>
      <c r="H339" s="17" t="str">
        <f aca="false">IF(A339="","",N(Products!E339))</f>
        <v/>
      </c>
      <c r="I339" s="17" t="str">
        <f aca="false">IF(A339="","",G339*H339)</f>
        <v/>
      </c>
      <c r="J339" s="16" t="str">
        <f aca="false">IF(A339="","",IF(Products!G339="",Settings!$B$8,Products!G339))</f>
        <v/>
      </c>
      <c r="K339" s="16" t="str">
        <f aca="false">IF(A339="","",IF(G339&lt;=0,"OUT",IF(G339&lt;=J339,"LOW","OK")))</f>
        <v/>
      </c>
      <c r="L339" s="16" t="str">
        <f aca="false">IF(A339="","",F339+ROW()/1000000)</f>
        <v/>
      </c>
      <c r="M339" s="16" t="str">
        <f aca="false">IF(OR(K339="LOW",K339="OUT"),COUNTIF($K$2:K339,"LOW")+COUNTIF($K$2:K339,"OUT"),"")</f>
        <v/>
      </c>
    </row>
    <row r="340" customFormat="false" ht="15" hidden="false" customHeight="true" outlineLevel="0" collapsed="false">
      <c r="A340" s="16" t="str">
        <f aca="false">IF(Products!A340="","",Products!A340)</f>
        <v/>
      </c>
      <c r="B340" s="16" t="str">
        <f aca="false">IF($A340="","",INDEX(Products!$B$2:$B$501,ROW()-1))</f>
        <v/>
      </c>
      <c r="C340" s="16" t="str">
        <f aca="false">IF($A340="","",INDEX(Products!$C$2:$C$501,ROW()-1))</f>
        <v/>
      </c>
      <c r="D340" s="16" t="str">
        <f aca="false">IF(A340="","",N(Products!I340))</f>
        <v/>
      </c>
      <c r="E340" s="16" t="str">
        <f aca="false">IF(A340="","",SUMIFS(Purchases!$D$2:$D$2001,Purchases!$B$2:$B$2001,A340))</f>
        <v/>
      </c>
      <c r="F340" s="16" t="str">
        <f aca="false">IF(A340="","",SUMIFS(Sales_Items!$E$2:$E$3001,Sales_Items!$C$2:$C$3001,A340))</f>
        <v/>
      </c>
      <c r="G340" s="16" t="str">
        <f aca="false">IF(A340="","",D340+E340-F340)</f>
        <v/>
      </c>
      <c r="H340" s="17" t="str">
        <f aca="false">IF(A340="","",N(Products!E340))</f>
        <v/>
      </c>
      <c r="I340" s="17" t="str">
        <f aca="false">IF(A340="","",G340*H340)</f>
        <v/>
      </c>
      <c r="J340" s="16" t="str">
        <f aca="false">IF(A340="","",IF(Products!G340="",Settings!$B$8,Products!G340))</f>
        <v/>
      </c>
      <c r="K340" s="16" t="str">
        <f aca="false">IF(A340="","",IF(G340&lt;=0,"OUT",IF(G340&lt;=J340,"LOW","OK")))</f>
        <v/>
      </c>
      <c r="L340" s="16" t="str">
        <f aca="false">IF(A340="","",F340+ROW()/1000000)</f>
        <v/>
      </c>
      <c r="M340" s="16" t="str">
        <f aca="false">IF(OR(K340="LOW",K340="OUT"),COUNTIF($K$2:K340,"LOW")+COUNTIF($K$2:K340,"OUT"),"")</f>
        <v/>
      </c>
    </row>
    <row r="341" customFormat="false" ht="15" hidden="false" customHeight="true" outlineLevel="0" collapsed="false">
      <c r="A341" s="16" t="str">
        <f aca="false">IF(Products!A341="","",Products!A341)</f>
        <v/>
      </c>
      <c r="B341" s="16" t="str">
        <f aca="false">IF($A341="","",INDEX(Products!$B$2:$B$501,ROW()-1))</f>
        <v/>
      </c>
      <c r="C341" s="16" t="str">
        <f aca="false">IF($A341="","",INDEX(Products!$C$2:$C$501,ROW()-1))</f>
        <v/>
      </c>
      <c r="D341" s="16" t="str">
        <f aca="false">IF(A341="","",N(Products!I341))</f>
        <v/>
      </c>
      <c r="E341" s="16" t="str">
        <f aca="false">IF(A341="","",SUMIFS(Purchases!$D$2:$D$2001,Purchases!$B$2:$B$2001,A341))</f>
        <v/>
      </c>
      <c r="F341" s="16" t="str">
        <f aca="false">IF(A341="","",SUMIFS(Sales_Items!$E$2:$E$3001,Sales_Items!$C$2:$C$3001,A341))</f>
        <v/>
      </c>
      <c r="G341" s="16" t="str">
        <f aca="false">IF(A341="","",D341+E341-F341)</f>
        <v/>
      </c>
      <c r="H341" s="17" t="str">
        <f aca="false">IF(A341="","",N(Products!E341))</f>
        <v/>
      </c>
      <c r="I341" s="17" t="str">
        <f aca="false">IF(A341="","",G341*H341)</f>
        <v/>
      </c>
      <c r="J341" s="16" t="str">
        <f aca="false">IF(A341="","",IF(Products!G341="",Settings!$B$8,Products!G341))</f>
        <v/>
      </c>
      <c r="K341" s="16" t="str">
        <f aca="false">IF(A341="","",IF(G341&lt;=0,"OUT",IF(G341&lt;=J341,"LOW","OK")))</f>
        <v/>
      </c>
      <c r="L341" s="16" t="str">
        <f aca="false">IF(A341="","",F341+ROW()/1000000)</f>
        <v/>
      </c>
      <c r="M341" s="16" t="str">
        <f aca="false">IF(OR(K341="LOW",K341="OUT"),COUNTIF($K$2:K341,"LOW")+COUNTIF($K$2:K341,"OUT"),"")</f>
        <v/>
      </c>
    </row>
    <row r="342" customFormat="false" ht="15" hidden="false" customHeight="true" outlineLevel="0" collapsed="false">
      <c r="A342" s="16" t="str">
        <f aca="false">IF(Products!A342="","",Products!A342)</f>
        <v/>
      </c>
      <c r="B342" s="16" t="str">
        <f aca="false">IF($A342="","",INDEX(Products!$B$2:$B$501,ROW()-1))</f>
        <v/>
      </c>
      <c r="C342" s="16" t="str">
        <f aca="false">IF($A342="","",INDEX(Products!$C$2:$C$501,ROW()-1))</f>
        <v/>
      </c>
      <c r="D342" s="16" t="str">
        <f aca="false">IF(A342="","",N(Products!I342))</f>
        <v/>
      </c>
      <c r="E342" s="16" t="str">
        <f aca="false">IF(A342="","",SUMIFS(Purchases!$D$2:$D$2001,Purchases!$B$2:$B$2001,A342))</f>
        <v/>
      </c>
      <c r="F342" s="16" t="str">
        <f aca="false">IF(A342="","",SUMIFS(Sales_Items!$E$2:$E$3001,Sales_Items!$C$2:$C$3001,A342))</f>
        <v/>
      </c>
      <c r="G342" s="16" t="str">
        <f aca="false">IF(A342="","",D342+E342-F342)</f>
        <v/>
      </c>
      <c r="H342" s="17" t="str">
        <f aca="false">IF(A342="","",N(Products!E342))</f>
        <v/>
      </c>
      <c r="I342" s="17" t="str">
        <f aca="false">IF(A342="","",G342*H342)</f>
        <v/>
      </c>
      <c r="J342" s="16" t="str">
        <f aca="false">IF(A342="","",IF(Products!G342="",Settings!$B$8,Products!G342))</f>
        <v/>
      </c>
      <c r="K342" s="16" t="str">
        <f aca="false">IF(A342="","",IF(G342&lt;=0,"OUT",IF(G342&lt;=J342,"LOW","OK")))</f>
        <v/>
      </c>
      <c r="L342" s="16" t="str">
        <f aca="false">IF(A342="","",F342+ROW()/1000000)</f>
        <v/>
      </c>
      <c r="M342" s="16" t="str">
        <f aca="false">IF(OR(K342="LOW",K342="OUT"),COUNTIF($K$2:K342,"LOW")+COUNTIF($K$2:K342,"OUT"),"")</f>
        <v/>
      </c>
    </row>
    <row r="343" customFormat="false" ht="15" hidden="false" customHeight="true" outlineLevel="0" collapsed="false">
      <c r="A343" s="16" t="str">
        <f aca="false">IF(Products!A343="","",Products!A343)</f>
        <v/>
      </c>
      <c r="B343" s="16" t="str">
        <f aca="false">IF($A343="","",INDEX(Products!$B$2:$B$501,ROW()-1))</f>
        <v/>
      </c>
      <c r="C343" s="16" t="str">
        <f aca="false">IF($A343="","",INDEX(Products!$C$2:$C$501,ROW()-1))</f>
        <v/>
      </c>
      <c r="D343" s="16" t="str">
        <f aca="false">IF(A343="","",N(Products!I343))</f>
        <v/>
      </c>
      <c r="E343" s="16" t="str">
        <f aca="false">IF(A343="","",SUMIFS(Purchases!$D$2:$D$2001,Purchases!$B$2:$B$2001,A343))</f>
        <v/>
      </c>
      <c r="F343" s="16" t="str">
        <f aca="false">IF(A343="","",SUMIFS(Sales_Items!$E$2:$E$3001,Sales_Items!$C$2:$C$3001,A343))</f>
        <v/>
      </c>
      <c r="G343" s="16" t="str">
        <f aca="false">IF(A343="","",D343+E343-F343)</f>
        <v/>
      </c>
      <c r="H343" s="17" t="str">
        <f aca="false">IF(A343="","",N(Products!E343))</f>
        <v/>
      </c>
      <c r="I343" s="17" t="str">
        <f aca="false">IF(A343="","",G343*H343)</f>
        <v/>
      </c>
      <c r="J343" s="16" t="str">
        <f aca="false">IF(A343="","",IF(Products!G343="",Settings!$B$8,Products!G343))</f>
        <v/>
      </c>
      <c r="K343" s="16" t="str">
        <f aca="false">IF(A343="","",IF(G343&lt;=0,"OUT",IF(G343&lt;=J343,"LOW","OK")))</f>
        <v/>
      </c>
      <c r="L343" s="16" t="str">
        <f aca="false">IF(A343="","",F343+ROW()/1000000)</f>
        <v/>
      </c>
      <c r="M343" s="16" t="str">
        <f aca="false">IF(OR(K343="LOW",K343="OUT"),COUNTIF($K$2:K343,"LOW")+COUNTIF($K$2:K343,"OUT"),"")</f>
        <v/>
      </c>
    </row>
    <row r="344" customFormat="false" ht="15" hidden="false" customHeight="true" outlineLevel="0" collapsed="false">
      <c r="A344" s="16" t="str">
        <f aca="false">IF(Products!A344="","",Products!A344)</f>
        <v/>
      </c>
      <c r="B344" s="16" t="str">
        <f aca="false">IF($A344="","",INDEX(Products!$B$2:$B$501,ROW()-1))</f>
        <v/>
      </c>
      <c r="C344" s="16" t="str">
        <f aca="false">IF($A344="","",INDEX(Products!$C$2:$C$501,ROW()-1))</f>
        <v/>
      </c>
      <c r="D344" s="16" t="str">
        <f aca="false">IF(A344="","",N(Products!I344))</f>
        <v/>
      </c>
      <c r="E344" s="16" t="str">
        <f aca="false">IF(A344="","",SUMIFS(Purchases!$D$2:$D$2001,Purchases!$B$2:$B$2001,A344))</f>
        <v/>
      </c>
      <c r="F344" s="16" t="str">
        <f aca="false">IF(A344="","",SUMIFS(Sales_Items!$E$2:$E$3001,Sales_Items!$C$2:$C$3001,A344))</f>
        <v/>
      </c>
      <c r="G344" s="16" t="str">
        <f aca="false">IF(A344="","",D344+E344-F344)</f>
        <v/>
      </c>
      <c r="H344" s="17" t="str">
        <f aca="false">IF(A344="","",N(Products!E344))</f>
        <v/>
      </c>
      <c r="I344" s="17" t="str">
        <f aca="false">IF(A344="","",G344*H344)</f>
        <v/>
      </c>
      <c r="J344" s="16" t="str">
        <f aca="false">IF(A344="","",IF(Products!G344="",Settings!$B$8,Products!G344))</f>
        <v/>
      </c>
      <c r="K344" s="16" t="str">
        <f aca="false">IF(A344="","",IF(G344&lt;=0,"OUT",IF(G344&lt;=J344,"LOW","OK")))</f>
        <v/>
      </c>
      <c r="L344" s="16" t="str">
        <f aca="false">IF(A344="","",F344+ROW()/1000000)</f>
        <v/>
      </c>
      <c r="M344" s="16" t="str">
        <f aca="false">IF(OR(K344="LOW",K344="OUT"),COUNTIF($K$2:K344,"LOW")+COUNTIF($K$2:K344,"OUT"),"")</f>
        <v/>
      </c>
    </row>
    <row r="345" customFormat="false" ht="15" hidden="false" customHeight="true" outlineLevel="0" collapsed="false">
      <c r="A345" s="16" t="str">
        <f aca="false">IF(Products!A345="","",Products!A345)</f>
        <v/>
      </c>
      <c r="B345" s="16" t="str">
        <f aca="false">IF($A345="","",INDEX(Products!$B$2:$B$501,ROW()-1))</f>
        <v/>
      </c>
      <c r="C345" s="16" t="str">
        <f aca="false">IF($A345="","",INDEX(Products!$C$2:$C$501,ROW()-1))</f>
        <v/>
      </c>
      <c r="D345" s="16" t="str">
        <f aca="false">IF(A345="","",N(Products!I345))</f>
        <v/>
      </c>
      <c r="E345" s="16" t="str">
        <f aca="false">IF(A345="","",SUMIFS(Purchases!$D$2:$D$2001,Purchases!$B$2:$B$2001,A345))</f>
        <v/>
      </c>
      <c r="F345" s="16" t="str">
        <f aca="false">IF(A345="","",SUMIFS(Sales_Items!$E$2:$E$3001,Sales_Items!$C$2:$C$3001,A345))</f>
        <v/>
      </c>
      <c r="G345" s="16" t="str">
        <f aca="false">IF(A345="","",D345+E345-F345)</f>
        <v/>
      </c>
      <c r="H345" s="17" t="str">
        <f aca="false">IF(A345="","",N(Products!E345))</f>
        <v/>
      </c>
      <c r="I345" s="17" t="str">
        <f aca="false">IF(A345="","",G345*H345)</f>
        <v/>
      </c>
      <c r="J345" s="16" t="str">
        <f aca="false">IF(A345="","",IF(Products!G345="",Settings!$B$8,Products!G345))</f>
        <v/>
      </c>
      <c r="K345" s="16" t="str">
        <f aca="false">IF(A345="","",IF(G345&lt;=0,"OUT",IF(G345&lt;=J345,"LOW","OK")))</f>
        <v/>
      </c>
      <c r="L345" s="16" t="str">
        <f aca="false">IF(A345="","",F345+ROW()/1000000)</f>
        <v/>
      </c>
      <c r="M345" s="16" t="str">
        <f aca="false">IF(OR(K345="LOW",K345="OUT"),COUNTIF($K$2:K345,"LOW")+COUNTIF($K$2:K345,"OUT"),"")</f>
        <v/>
      </c>
    </row>
    <row r="346" customFormat="false" ht="15" hidden="false" customHeight="true" outlineLevel="0" collapsed="false">
      <c r="A346" s="16" t="str">
        <f aca="false">IF(Products!A346="","",Products!A346)</f>
        <v/>
      </c>
      <c r="B346" s="16" t="str">
        <f aca="false">IF($A346="","",INDEX(Products!$B$2:$B$501,ROW()-1))</f>
        <v/>
      </c>
      <c r="C346" s="16" t="str">
        <f aca="false">IF($A346="","",INDEX(Products!$C$2:$C$501,ROW()-1))</f>
        <v/>
      </c>
      <c r="D346" s="16" t="str">
        <f aca="false">IF(A346="","",N(Products!I346))</f>
        <v/>
      </c>
      <c r="E346" s="16" t="str">
        <f aca="false">IF(A346="","",SUMIFS(Purchases!$D$2:$D$2001,Purchases!$B$2:$B$2001,A346))</f>
        <v/>
      </c>
      <c r="F346" s="16" t="str">
        <f aca="false">IF(A346="","",SUMIFS(Sales_Items!$E$2:$E$3001,Sales_Items!$C$2:$C$3001,A346))</f>
        <v/>
      </c>
      <c r="G346" s="16" t="str">
        <f aca="false">IF(A346="","",D346+E346-F346)</f>
        <v/>
      </c>
      <c r="H346" s="17" t="str">
        <f aca="false">IF(A346="","",N(Products!E346))</f>
        <v/>
      </c>
      <c r="I346" s="17" t="str">
        <f aca="false">IF(A346="","",G346*H346)</f>
        <v/>
      </c>
      <c r="J346" s="16" t="str">
        <f aca="false">IF(A346="","",IF(Products!G346="",Settings!$B$8,Products!G346))</f>
        <v/>
      </c>
      <c r="K346" s="16" t="str">
        <f aca="false">IF(A346="","",IF(G346&lt;=0,"OUT",IF(G346&lt;=J346,"LOW","OK")))</f>
        <v/>
      </c>
      <c r="L346" s="16" t="str">
        <f aca="false">IF(A346="","",F346+ROW()/1000000)</f>
        <v/>
      </c>
      <c r="M346" s="16" t="str">
        <f aca="false">IF(OR(K346="LOW",K346="OUT"),COUNTIF($K$2:K346,"LOW")+COUNTIF($K$2:K346,"OUT"),"")</f>
        <v/>
      </c>
    </row>
    <row r="347" customFormat="false" ht="15" hidden="false" customHeight="true" outlineLevel="0" collapsed="false">
      <c r="A347" s="16" t="str">
        <f aca="false">IF(Products!A347="","",Products!A347)</f>
        <v/>
      </c>
      <c r="B347" s="16" t="str">
        <f aca="false">IF($A347="","",INDEX(Products!$B$2:$B$501,ROW()-1))</f>
        <v/>
      </c>
      <c r="C347" s="16" t="str">
        <f aca="false">IF($A347="","",INDEX(Products!$C$2:$C$501,ROW()-1))</f>
        <v/>
      </c>
      <c r="D347" s="16" t="str">
        <f aca="false">IF(A347="","",N(Products!I347))</f>
        <v/>
      </c>
      <c r="E347" s="16" t="str">
        <f aca="false">IF(A347="","",SUMIFS(Purchases!$D$2:$D$2001,Purchases!$B$2:$B$2001,A347))</f>
        <v/>
      </c>
      <c r="F347" s="16" t="str">
        <f aca="false">IF(A347="","",SUMIFS(Sales_Items!$E$2:$E$3001,Sales_Items!$C$2:$C$3001,A347))</f>
        <v/>
      </c>
      <c r="G347" s="16" t="str">
        <f aca="false">IF(A347="","",D347+E347-F347)</f>
        <v/>
      </c>
      <c r="H347" s="17" t="str">
        <f aca="false">IF(A347="","",N(Products!E347))</f>
        <v/>
      </c>
      <c r="I347" s="17" t="str">
        <f aca="false">IF(A347="","",G347*H347)</f>
        <v/>
      </c>
      <c r="J347" s="16" t="str">
        <f aca="false">IF(A347="","",IF(Products!G347="",Settings!$B$8,Products!G347))</f>
        <v/>
      </c>
      <c r="K347" s="16" t="str">
        <f aca="false">IF(A347="","",IF(G347&lt;=0,"OUT",IF(G347&lt;=J347,"LOW","OK")))</f>
        <v/>
      </c>
      <c r="L347" s="16" t="str">
        <f aca="false">IF(A347="","",F347+ROW()/1000000)</f>
        <v/>
      </c>
      <c r="M347" s="16" t="str">
        <f aca="false">IF(OR(K347="LOW",K347="OUT"),COUNTIF($K$2:K347,"LOW")+COUNTIF($K$2:K347,"OUT"),"")</f>
        <v/>
      </c>
    </row>
    <row r="348" customFormat="false" ht="15" hidden="false" customHeight="true" outlineLevel="0" collapsed="false">
      <c r="A348" s="16" t="str">
        <f aca="false">IF(Products!A348="","",Products!A348)</f>
        <v/>
      </c>
      <c r="B348" s="16" t="str">
        <f aca="false">IF($A348="","",INDEX(Products!$B$2:$B$501,ROW()-1))</f>
        <v/>
      </c>
      <c r="C348" s="16" t="str">
        <f aca="false">IF($A348="","",INDEX(Products!$C$2:$C$501,ROW()-1))</f>
        <v/>
      </c>
      <c r="D348" s="16" t="str">
        <f aca="false">IF(A348="","",N(Products!I348))</f>
        <v/>
      </c>
      <c r="E348" s="16" t="str">
        <f aca="false">IF(A348="","",SUMIFS(Purchases!$D$2:$D$2001,Purchases!$B$2:$B$2001,A348))</f>
        <v/>
      </c>
      <c r="F348" s="16" t="str">
        <f aca="false">IF(A348="","",SUMIFS(Sales_Items!$E$2:$E$3001,Sales_Items!$C$2:$C$3001,A348))</f>
        <v/>
      </c>
      <c r="G348" s="16" t="str">
        <f aca="false">IF(A348="","",D348+E348-F348)</f>
        <v/>
      </c>
      <c r="H348" s="17" t="str">
        <f aca="false">IF(A348="","",N(Products!E348))</f>
        <v/>
      </c>
      <c r="I348" s="17" t="str">
        <f aca="false">IF(A348="","",G348*H348)</f>
        <v/>
      </c>
      <c r="J348" s="16" t="str">
        <f aca="false">IF(A348="","",IF(Products!G348="",Settings!$B$8,Products!G348))</f>
        <v/>
      </c>
      <c r="K348" s="16" t="str">
        <f aca="false">IF(A348="","",IF(G348&lt;=0,"OUT",IF(G348&lt;=J348,"LOW","OK")))</f>
        <v/>
      </c>
      <c r="L348" s="16" t="str">
        <f aca="false">IF(A348="","",F348+ROW()/1000000)</f>
        <v/>
      </c>
      <c r="M348" s="16" t="str">
        <f aca="false">IF(OR(K348="LOW",K348="OUT"),COUNTIF($K$2:K348,"LOW")+COUNTIF($K$2:K348,"OUT"),"")</f>
        <v/>
      </c>
    </row>
    <row r="349" customFormat="false" ht="15" hidden="false" customHeight="true" outlineLevel="0" collapsed="false">
      <c r="A349" s="16" t="str">
        <f aca="false">IF(Products!A349="","",Products!A349)</f>
        <v/>
      </c>
      <c r="B349" s="16" t="str">
        <f aca="false">IF($A349="","",INDEX(Products!$B$2:$B$501,ROW()-1))</f>
        <v/>
      </c>
      <c r="C349" s="16" t="str">
        <f aca="false">IF($A349="","",INDEX(Products!$C$2:$C$501,ROW()-1))</f>
        <v/>
      </c>
      <c r="D349" s="16" t="str">
        <f aca="false">IF(A349="","",N(Products!I349))</f>
        <v/>
      </c>
      <c r="E349" s="16" t="str">
        <f aca="false">IF(A349="","",SUMIFS(Purchases!$D$2:$D$2001,Purchases!$B$2:$B$2001,A349))</f>
        <v/>
      </c>
      <c r="F349" s="16" t="str">
        <f aca="false">IF(A349="","",SUMIFS(Sales_Items!$E$2:$E$3001,Sales_Items!$C$2:$C$3001,A349))</f>
        <v/>
      </c>
      <c r="G349" s="16" t="str">
        <f aca="false">IF(A349="","",D349+E349-F349)</f>
        <v/>
      </c>
      <c r="H349" s="17" t="str">
        <f aca="false">IF(A349="","",N(Products!E349))</f>
        <v/>
      </c>
      <c r="I349" s="17" t="str">
        <f aca="false">IF(A349="","",G349*H349)</f>
        <v/>
      </c>
      <c r="J349" s="16" t="str">
        <f aca="false">IF(A349="","",IF(Products!G349="",Settings!$B$8,Products!G349))</f>
        <v/>
      </c>
      <c r="K349" s="16" t="str">
        <f aca="false">IF(A349="","",IF(G349&lt;=0,"OUT",IF(G349&lt;=J349,"LOW","OK")))</f>
        <v/>
      </c>
      <c r="L349" s="16" t="str">
        <f aca="false">IF(A349="","",F349+ROW()/1000000)</f>
        <v/>
      </c>
      <c r="M349" s="16" t="str">
        <f aca="false">IF(OR(K349="LOW",K349="OUT"),COUNTIF($K$2:K349,"LOW")+COUNTIF($K$2:K349,"OUT"),"")</f>
        <v/>
      </c>
    </row>
    <row r="350" customFormat="false" ht="15" hidden="false" customHeight="true" outlineLevel="0" collapsed="false">
      <c r="A350" s="16" t="str">
        <f aca="false">IF(Products!A350="","",Products!A350)</f>
        <v/>
      </c>
      <c r="B350" s="16" t="str">
        <f aca="false">IF($A350="","",INDEX(Products!$B$2:$B$501,ROW()-1))</f>
        <v/>
      </c>
      <c r="C350" s="16" t="str">
        <f aca="false">IF($A350="","",INDEX(Products!$C$2:$C$501,ROW()-1))</f>
        <v/>
      </c>
      <c r="D350" s="16" t="str">
        <f aca="false">IF(A350="","",N(Products!I350))</f>
        <v/>
      </c>
      <c r="E350" s="16" t="str">
        <f aca="false">IF(A350="","",SUMIFS(Purchases!$D$2:$D$2001,Purchases!$B$2:$B$2001,A350))</f>
        <v/>
      </c>
      <c r="F350" s="16" t="str">
        <f aca="false">IF(A350="","",SUMIFS(Sales_Items!$E$2:$E$3001,Sales_Items!$C$2:$C$3001,A350))</f>
        <v/>
      </c>
      <c r="G350" s="16" t="str">
        <f aca="false">IF(A350="","",D350+E350-F350)</f>
        <v/>
      </c>
      <c r="H350" s="17" t="str">
        <f aca="false">IF(A350="","",N(Products!E350))</f>
        <v/>
      </c>
      <c r="I350" s="17" t="str">
        <f aca="false">IF(A350="","",G350*H350)</f>
        <v/>
      </c>
      <c r="J350" s="16" t="str">
        <f aca="false">IF(A350="","",IF(Products!G350="",Settings!$B$8,Products!G350))</f>
        <v/>
      </c>
      <c r="K350" s="16" t="str">
        <f aca="false">IF(A350="","",IF(G350&lt;=0,"OUT",IF(G350&lt;=J350,"LOW","OK")))</f>
        <v/>
      </c>
      <c r="L350" s="16" t="str">
        <f aca="false">IF(A350="","",F350+ROW()/1000000)</f>
        <v/>
      </c>
      <c r="M350" s="16" t="str">
        <f aca="false">IF(OR(K350="LOW",K350="OUT"),COUNTIF($K$2:K350,"LOW")+COUNTIF($K$2:K350,"OUT"),"")</f>
        <v/>
      </c>
    </row>
    <row r="351" customFormat="false" ht="15" hidden="false" customHeight="true" outlineLevel="0" collapsed="false">
      <c r="A351" s="16" t="str">
        <f aca="false">IF(Products!A351="","",Products!A351)</f>
        <v/>
      </c>
      <c r="B351" s="16" t="str">
        <f aca="false">IF($A351="","",INDEX(Products!$B$2:$B$501,ROW()-1))</f>
        <v/>
      </c>
      <c r="C351" s="16" t="str">
        <f aca="false">IF($A351="","",INDEX(Products!$C$2:$C$501,ROW()-1))</f>
        <v/>
      </c>
      <c r="D351" s="16" t="str">
        <f aca="false">IF(A351="","",N(Products!I351))</f>
        <v/>
      </c>
      <c r="E351" s="16" t="str">
        <f aca="false">IF(A351="","",SUMIFS(Purchases!$D$2:$D$2001,Purchases!$B$2:$B$2001,A351))</f>
        <v/>
      </c>
      <c r="F351" s="16" t="str">
        <f aca="false">IF(A351="","",SUMIFS(Sales_Items!$E$2:$E$3001,Sales_Items!$C$2:$C$3001,A351))</f>
        <v/>
      </c>
      <c r="G351" s="16" t="str">
        <f aca="false">IF(A351="","",D351+E351-F351)</f>
        <v/>
      </c>
      <c r="H351" s="17" t="str">
        <f aca="false">IF(A351="","",N(Products!E351))</f>
        <v/>
      </c>
      <c r="I351" s="17" t="str">
        <f aca="false">IF(A351="","",G351*H351)</f>
        <v/>
      </c>
      <c r="J351" s="16" t="str">
        <f aca="false">IF(A351="","",IF(Products!G351="",Settings!$B$8,Products!G351))</f>
        <v/>
      </c>
      <c r="K351" s="16" t="str">
        <f aca="false">IF(A351="","",IF(G351&lt;=0,"OUT",IF(G351&lt;=J351,"LOW","OK")))</f>
        <v/>
      </c>
      <c r="L351" s="16" t="str">
        <f aca="false">IF(A351="","",F351+ROW()/1000000)</f>
        <v/>
      </c>
      <c r="M351" s="16" t="str">
        <f aca="false">IF(OR(K351="LOW",K351="OUT"),COUNTIF($K$2:K351,"LOW")+COUNTIF($K$2:K351,"OUT"),"")</f>
        <v/>
      </c>
    </row>
    <row r="352" customFormat="false" ht="15" hidden="false" customHeight="true" outlineLevel="0" collapsed="false">
      <c r="A352" s="16" t="str">
        <f aca="false">IF(Products!A352="","",Products!A352)</f>
        <v/>
      </c>
      <c r="B352" s="16" t="str">
        <f aca="false">IF($A352="","",INDEX(Products!$B$2:$B$501,ROW()-1))</f>
        <v/>
      </c>
      <c r="C352" s="16" t="str">
        <f aca="false">IF($A352="","",INDEX(Products!$C$2:$C$501,ROW()-1))</f>
        <v/>
      </c>
      <c r="D352" s="16" t="str">
        <f aca="false">IF(A352="","",N(Products!I352))</f>
        <v/>
      </c>
      <c r="E352" s="16" t="str">
        <f aca="false">IF(A352="","",SUMIFS(Purchases!$D$2:$D$2001,Purchases!$B$2:$B$2001,A352))</f>
        <v/>
      </c>
      <c r="F352" s="16" t="str">
        <f aca="false">IF(A352="","",SUMIFS(Sales_Items!$E$2:$E$3001,Sales_Items!$C$2:$C$3001,A352))</f>
        <v/>
      </c>
      <c r="G352" s="16" t="str">
        <f aca="false">IF(A352="","",D352+E352-F352)</f>
        <v/>
      </c>
      <c r="H352" s="17" t="str">
        <f aca="false">IF(A352="","",N(Products!E352))</f>
        <v/>
      </c>
      <c r="I352" s="17" t="str">
        <f aca="false">IF(A352="","",G352*H352)</f>
        <v/>
      </c>
      <c r="J352" s="16" t="str">
        <f aca="false">IF(A352="","",IF(Products!G352="",Settings!$B$8,Products!G352))</f>
        <v/>
      </c>
      <c r="K352" s="16" t="str">
        <f aca="false">IF(A352="","",IF(G352&lt;=0,"OUT",IF(G352&lt;=J352,"LOW","OK")))</f>
        <v/>
      </c>
      <c r="L352" s="16" t="str">
        <f aca="false">IF(A352="","",F352+ROW()/1000000)</f>
        <v/>
      </c>
      <c r="M352" s="16" t="str">
        <f aca="false">IF(OR(K352="LOW",K352="OUT"),COUNTIF($K$2:K352,"LOW")+COUNTIF($K$2:K352,"OUT"),"")</f>
        <v/>
      </c>
    </row>
    <row r="353" customFormat="false" ht="15" hidden="false" customHeight="true" outlineLevel="0" collapsed="false">
      <c r="A353" s="16" t="str">
        <f aca="false">IF(Products!A353="","",Products!A353)</f>
        <v/>
      </c>
      <c r="B353" s="16" t="str">
        <f aca="false">IF($A353="","",INDEX(Products!$B$2:$B$501,ROW()-1))</f>
        <v/>
      </c>
      <c r="C353" s="16" t="str">
        <f aca="false">IF($A353="","",INDEX(Products!$C$2:$C$501,ROW()-1))</f>
        <v/>
      </c>
      <c r="D353" s="16" t="str">
        <f aca="false">IF(A353="","",N(Products!I353))</f>
        <v/>
      </c>
      <c r="E353" s="16" t="str">
        <f aca="false">IF(A353="","",SUMIFS(Purchases!$D$2:$D$2001,Purchases!$B$2:$B$2001,A353))</f>
        <v/>
      </c>
      <c r="F353" s="16" t="str">
        <f aca="false">IF(A353="","",SUMIFS(Sales_Items!$E$2:$E$3001,Sales_Items!$C$2:$C$3001,A353))</f>
        <v/>
      </c>
      <c r="G353" s="16" t="str">
        <f aca="false">IF(A353="","",D353+E353-F353)</f>
        <v/>
      </c>
      <c r="H353" s="17" t="str">
        <f aca="false">IF(A353="","",N(Products!E353))</f>
        <v/>
      </c>
      <c r="I353" s="17" t="str">
        <f aca="false">IF(A353="","",G353*H353)</f>
        <v/>
      </c>
      <c r="J353" s="16" t="str">
        <f aca="false">IF(A353="","",IF(Products!G353="",Settings!$B$8,Products!G353))</f>
        <v/>
      </c>
      <c r="K353" s="16" t="str">
        <f aca="false">IF(A353="","",IF(G353&lt;=0,"OUT",IF(G353&lt;=J353,"LOW","OK")))</f>
        <v/>
      </c>
      <c r="L353" s="16" t="str">
        <f aca="false">IF(A353="","",F353+ROW()/1000000)</f>
        <v/>
      </c>
      <c r="M353" s="16" t="str">
        <f aca="false">IF(OR(K353="LOW",K353="OUT"),COUNTIF($K$2:K353,"LOW")+COUNTIF($K$2:K353,"OUT"),"")</f>
        <v/>
      </c>
    </row>
    <row r="354" customFormat="false" ht="15" hidden="false" customHeight="true" outlineLevel="0" collapsed="false">
      <c r="A354" s="16" t="str">
        <f aca="false">IF(Products!A354="","",Products!A354)</f>
        <v/>
      </c>
      <c r="B354" s="16" t="str">
        <f aca="false">IF($A354="","",INDEX(Products!$B$2:$B$501,ROW()-1))</f>
        <v/>
      </c>
      <c r="C354" s="16" t="str">
        <f aca="false">IF($A354="","",INDEX(Products!$C$2:$C$501,ROW()-1))</f>
        <v/>
      </c>
      <c r="D354" s="16" t="str">
        <f aca="false">IF(A354="","",N(Products!I354))</f>
        <v/>
      </c>
      <c r="E354" s="16" t="str">
        <f aca="false">IF(A354="","",SUMIFS(Purchases!$D$2:$D$2001,Purchases!$B$2:$B$2001,A354))</f>
        <v/>
      </c>
      <c r="F354" s="16" t="str">
        <f aca="false">IF(A354="","",SUMIFS(Sales_Items!$E$2:$E$3001,Sales_Items!$C$2:$C$3001,A354))</f>
        <v/>
      </c>
      <c r="G354" s="16" t="str">
        <f aca="false">IF(A354="","",D354+E354-F354)</f>
        <v/>
      </c>
      <c r="H354" s="17" t="str">
        <f aca="false">IF(A354="","",N(Products!E354))</f>
        <v/>
      </c>
      <c r="I354" s="17" t="str">
        <f aca="false">IF(A354="","",G354*H354)</f>
        <v/>
      </c>
      <c r="J354" s="16" t="str">
        <f aca="false">IF(A354="","",IF(Products!G354="",Settings!$B$8,Products!G354))</f>
        <v/>
      </c>
      <c r="K354" s="16" t="str">
        <f aca="false">IF(A354="","",IF(G354&lt;=0,"OUT",IF(G354&lt;=J354,"LOW","OK")))</f>
        <v/>
      </c>
      <c r="L354" s="16" t="str">
        <f aca="false">IF(A354="","",F354+ROW()/1000000)</f>
        <v/>
      </c>
      <c r="M354" s="16" t="str">
        <f aca="false">IF(OR(K354="LOW",K354="OUT"),COUNTIF($K$2:K354,"LOW")+COUNTIF($K$2:K354,"OUT"),"")</f>
        <v/>
      </c>
    </row>
    <row r="355" customFormat="false" ht="15" hidden="false" customHeight="true" outlineLevel="0" collapsed="false">
      <c r="A355" s="16" t="str">
        <f aca="false">IF(Products!A355="","",Products!A355)</f>
        <v/>
      </c>
      <c r="B355" s="16" t="str">
        <f aca="false">IF($A355="","",INDEX(Products!$B$2:$B$501,ROW()-1))</f>
        <v/>
      </c>
      <c r="C355" s="16" t="str">
        <f aca="false">IF($A355="","",INDEX(Products!$C$2:$C$501,ROW()-1))</f>
        <v/>
      </c>
      <c r="D355" s="16" t="str">
        <f aca="false">IF(A355="","",N(Products!I355))</f>
        <v/>
      </c>
      <c r="E355" s="16" t="str">
        <f aca="false">IF(A355="","",SUMIFS(Purchases!$D$2:$D$2001,Purchases!$B$2:$B$2001,A355))</f>
        <v/>
      </c>
      <c r="F355" s="16" t="str">
        <f aca="false">IF(A355="","",SUMIFS(Sales_Items!$E$2:$E$3001,Sales_Items!$C$2:$C$3001,A355))</f>
        <v/>
      </c>
      <c r="G355" s="16" t="str">
        <f aca="false">IF(A355="","",D355+E355-F355)</f>
        <v/>
      </c>
      <c r="H355" s="17" t="str">
        <f aca="false">IF(A355="","",N(Products!E355))</f>
        <v/>
      </c>
      <c r="I355" s="17" t="str">
        <f aca="false">IF(A355="","",G355*H355)</f>
        <v/>
      </c>
      <c r="J355" s="16" t="str">
        <f aca="false">IF(A355="","",IF(Products!G355="",Settings!$B$8,Products!G355))</f>
        <v/>
      </c>
      <c r="K355" s="16" t="str">
        <f aca="false">IF(A355="","",IF(G355&lt;=0,"OUT",IF(G355&lt;=J355,"LOW","OK")))</f>
        <v/>
      </c>
      <c r="L355" s="16" t="str">
        <f aca="false">IF(A355="","",F355+ROW()/1000000)</f>
        <v/>
      </c>
      <c r="M355" s="16" t="str">
        <f aca="false">IF(OR(K355="LOW",K355="OUT"),COUNTIF($K$2:K355,"LOW")+COUNTIF($K$2:K355,"OUT"),"")</f>
        <v/>
      </c>
    </row>
    <row r="356" customFormat="false" ht="15" hidden="false" customHeight="true" outlineLevel="0" collapsed="false">
      <c r="A356" s="16" t="str">
        <f aca="false">IF(Products!A356="","",Products!A356)</f>
        <v/>
      </c>
      <c r="B356" s="16" t="str">
        <f aca="false">IF($A356="","",INDEX(Products!$B$2:$B$501,ROW()-1))</f>
        <v/>
      </c>
      <c r="C356" s="16" t="str">
        <f aca="false">IF($A356="","",INDEX(Products!$C$2:$C$501,ROW()-1))</f>
        <v/>
      </c>
      <c r="D356" s="16" t="str">
        <f aca="false">IF(A356="","",N(Products!I356))</f>
        <v/>
      </c>
      <c r="E356" s="16" t="str">
        <f aca="false">IF(A356="","",SUMIFS(Purchases!$D$2:$D$2001,Purchases!$B$2:$B$2001,A356))</f>
        <v/>
      </c>
      <c r="F356" s="16" t="str">
        <f aca="false">IF(A356="","",SUMIFS(Sales_Items!$E$2:$E$3001,Sales_Items!$C$2:$C$3001,A356))</f>
        <v/>
      </c>
      <c r="G356" s="16" t="str">
        <f aca="false">IF(A356="","",D356+E356-F356)</f>
        <v/>
      </c>
      <c r="H356" s="17" t="str">
        <f aca="false">IF(A356="","",N(Products!E356))</f>
        <v/>
      </c>
      <c r="I356" s="17" t="str">
        <f aca="false">IF(A356="","",G356*H356)</f>
        <v/>
      </c>
      <c r="J356" s="16" t="str">
        <f aca="false">IF(A356="","",IF(Products!G356="",Settings!$B$8,Products!G356))</f>
        <v/>
      </c>
      <c r="K356" s="16" t="str">
        <f aca="false">IF(A356="","",IF(G356&lt;=0,"OUT",IF(G356&lt;=J356,"LOW","OK")))</f>
        <v/>
      </c>
      <c r="L356" s="16" t="str">
        <f aca="false">IF(A356="","",F356+ROW()/1000000)</f>
        <v/>
      </c>
      <c r="M356" s="16" t="str">
        <f aca="false">IF(OR(K356="LOW",K356="OUT"),COUNTIF($K$2:K356,"LOW")+COUNTIF($K$2:K356,"OUT"),"")</f>
        <v/>
      </c>
    </row>
    <row r="357" customFormat="false" ht="15" hidden="false" customHeight="true" outlineLevel="0" collapsed="false">
      <c r="A357" s="16" t="str">
        <f aca="false">IF(Products!A357="","",Products!A357)</f>
        <v/>
      </c>
      <c r="B357" s="16" t="str">
        <f aca="false">IF($A357="","",INDEX(Products!$B$2:$B$501,ROW()-1))</f>
        <v/>
      </c>
      <c r="C357" s="16" t="str">
        <f aca="false">IF($A357="","",INDEX(Products!$C$2:$C$501,ROW()-1))</f>
        <v/>
      </c>
      <c r="D357" s="16" t="str">
        <f aca="false">IF(A357="","",N(Products!I357))</f>
        <v/>
      </c>
      <c r="E357" s="16" t="str">
        <f aca="false">IF(A357="","",SUMIFS(Purchases!$D$2:$D$2001,Purchases!$B$2:$B$2001,A357))</f>
        <v/>
      </c>
      <c r="F357" s="16" t="str">
        <f aca="false">IF(A357="","",SUMIFS(Sales_Items!$E$2:$E$3001,Sales_Items!$C$2:$C$3001,A357))</f>
        <v/>
      </c>
      <c r="G357" s="16" t="str">
        <f aca="false">IF(A357="","",D357+E357-F357)</f>
        <v/>
      </c>
      <c r="H357" s="17" t="str">
        <f aca="false">IF(A357="","",N(Products!E357))</f>
        <v/>
      </c>
      <c r="I357" s="17" t="str">
        <f aca="false">IF(A357="","",G357*H357)</f>
        <v/>
      </c>
      <c r="J357" s="16" t="str">
        <f aca="false">IF(A357="","",IF(Products!G357="",Settings!$B$8,Products!G357))</f>
        <v/>
      </c>
      <c r="K357" s="16" t="str">
        <f aca="false">IF(A357="","",IF(G357&lt;=0,"OUT",IF(G357&lt;=J357,"LOW","OK")))</f>
        <v/>
      </c>
      <c r="L357" s="16" t="str">
        <f aca="false">IF(A357="","",F357+ROW()/1000000)</f>
        <v/>
      </c>
      <c r="M357" s="16" t="str">
        <f aca="false">IF(OR(K357="LOW",K357="OUT"),COUNTIF($K$2:K357,"LOW")+COUNTIF($K$2:K357,"OUT"),"")</f>
        <v/>
      </c>
    </row>
    <row r="358" customFormat="false" ht="15" hidden="false" customHeight="true" outlineLevel="0" collapsed="false">
      <c r="A358" s="16" t="str">
        <f aca="false">IF(Products!A358="","",Products!A358)</f>
        <v/>
      </c>
      <c r="B358" s="16" t="str">
        <f aca="false">IF($A358="","",INDEX(Products!$B$2:$B$501,ROW()-1))</f>
        <v/>
      </c>
      <c r="C358" s="16" t="str">
        <f aca="false">IF($A358="","",INDEX(Products!$C$2:$C$501,ROW()-1))</f>
        <v/>
      </c>
      <c r="D358" s="16" t="str">
        <f aca="false">IF(A358="","",N(Products!I358))</f>
        <v/>
      </c>
      <c r="E358" s="16" t="str">
        <f aca="false">IF(A358="","",SUMIFS(Purchases!$D$2:$D$2001,Purchases!$B$2:$B$2001,A358))</f>
        <v/>
      </c>
      <c r="F358" s="16" t="str">
        <f aca="false">IF(A358="","",SUMIFS(Sales_Items!$E$2:$E$3001,Sales_Items!$C$2:$C$3001,A358))</f>
        <v/>
      </c>
      <c r="G358" s="16" t="str">
        <f aca="false">IF(A358="","",D358+E358-F358)</f>
        <v/>
      </c>
      <c r="H358" s="17" t="str">
        <f aca="false">IF(A358="","",N(Products!E358))</f>
        <v/>
      </c>
      <c r="I358" s="17" t="str">
        <f aca="false">IF(A358="","",G358*H358)</f>
        <v/>
      </c>
      <c r="J358" s="16" t="str">
        <f aca="false">IF(A358="","",IF(Products!G358="",Settings!$B$8,Products!G358))</f>
        <v/>
      </c>
      <c r="K358" s="16" t="str">
        <f aca="false">IF(A358="","",IF(G358&lt;=0,"OUT",IF(G358&lt;=J358,"LOW","OK")))</f>
        <v/>
      </c>
      <c r="L358" s="16" t="str">
        <f aca="false">IF(A358="","",F358+ROW()/1000000)</f>
        <v/>
      </c>
      <c r="M358" s="16" t="str">
        <f aca="false">IF(OR(K358="LOW",K358="OUT"),COUNTIF($K$2:K358,"LOW")+COUNTIF($K$2:K358,"OUT"),"")</f>
        <v/>
      </c>
    </row>
    <row r="359" customFormat="false" ht="15" hidden="false" customHeight="true" outlineLevel="0" collapsed="false">
      <c r="A359" s="16" t="str">
        <f aca="false">IF(Products!A359="","",Products!A359)</f>
        <v/>
      </c>
      <c r="B359" s="16" t="str">
        <f aca="false">IF($A359="","",INDEX(Products!$B$2:$B$501,ROW()-1))</f>
        <v/>
      </c>
      <c r="C359" s="16" t="str">
        <f aca="false">IF($A359="","",INDEX(Products!$C$2:$C$501,ROW()-1))</f>
        <v/>
      </c>
      <c r="D359" s="16" t="str">
        <f aca="false">IF(A359="","",N(Products!I359))</f>
        <v/>
      </c>
      <c r="E359" s="16" t="str">
        <f aca="false">IF(A359="","",SUMIFS(Purchases!$D$2:$D$2001,Purchases!$B$2:$B$2001,A359))</f>
        <v/>
      </c>
      <c r="F359" s="16" t="str">
        <f aca="false">IF(A359="","",SUMIFS(Sales_Items!$E$2:$E$3001,Sales_Items!$C$2:$C$3001,A359))</f>
        <v/>
      </c>
      <c r="G359" s="16" t="str">
        <f aca="false">IF(A359="","",D359+E359-F359)</f>
        <v/>
      </c>
      <c r="H359" s="17" t="str">
        <f aca="false">IF(A359="","",N(Products!E359))</f>
        <v/>
      </c>
      <c r="I359" s="17" t="str">
        <f aca="false">IF(A359="","",G359*H359)</f>
        <v/>
      </c>
      <c r="J359" s="16" t="str">
        <f aca="false">IF(A359="","",IF(Products!G359="",Settings!$B$8,Products!G359))</f>
        <v/>
      </c>
      <c r="K359" s="16" t="str">
        <f aca="false">IF(A359="","",IF(G359&lt;=0,"OUT",IF(G359&lt;=J359,"LOW","OK")))</f>
        <v/>
      </c>
      <c r="L359" s="16" t="str">
        <f aca="false">IF(A359="","",F359+ROW()/1000000)</f>
        <v/>
      </c>
      <c r="M359" s="16" t="str">
        <f aca="false">IF(OR(K359="LOW",K359="OUT"),COUNTIF($K$2:K359,"LOW")+COUNTIF($K$2:K359,"OUT"),"")</f>
        <v/>
      </c>
    </row>
    <row r="360" customFormat="false" ht="15" hidden="false" customHeight="true" outlineLevel="0" collapsed="false">
      <c r="A360" s="16" t="str">
        <f aca="false">IF(Products!A360="","",Products!A360)</f>
        <v/>
      </c>
      <c r="B360" s="16" t="str">
        <f aca="false">IF($A360="","",INDEX(Products!$B$2:$B$501,ROW()-1))</f>
        <v/>
      </c>
      <c r="C360" s="16" t="str">
        <f aca="false">IF($A360="","",INDEX(Products!$C$2:$C$501,ROW()-1))</f>
        <v/>
      </c>
      <c r="D360" s="16" t="str">
        <f aca="false">IF(A360="","",N(Products!I360))</f>
        <v/>
      </c>
      <c r="E360" s="16" t="str">
        <f aca="false">IF(A360="","",SUMIFS(Purchases!$D$2:$D$2001,Purchases!$B$2:$B$2001,A360))</f>
        <v/>
      </c>
      <c r="F360" s="16" t="str">
        <f aca="false">IF(A360="","",SUMIFS(Sales_Items!$E$2:$E$3001,Sales_Items!$C$2:$C$3001,A360))</f>
        <v/>
      </c>
      <c r="G360" s="16" t="str">
        <f aca="false">IF(A360="","",D360+E360-F360)</f>
        <v/>
      </c>
      <c r="H360" s="17" t="str">
        <f aca="false">IF(A360="","",N(Products!E360))</f>
        <v/>
      </c>
      <c r="I360" s="17" t="str">
        <f aca="false">IF(A360="","",G360*H360)</f>
        <v/>
      </c>
      <c r="J360" s="16" t="str">
        <f aca="false">IF(A360="","",IF(Products!G360="",Settings!$B$8,Products!G360))</f>
        <v/>
      </c>
      <c r="K360" s="16" t="str">
        <f aca="false">IF(A360="","",IF(G360&lt;=0,"OUT",IF(G360&lt;=J360,"LOW","OK")))</f>
        <v/>
      </c>
      <c r="L360" s="16" t="str">
        <f aca="false">IF(A360="","",F360+ROW()/1000000)</f>
        <v/>
      </c>
      <c r="M360" s="16" t="str">
        <f aca="false">IF(OR(K360="LOW",K360="OUT"),COUNTIF($K$2:K360,"LOW")+COUNTIF($K$2:K360,"OUT"),"")</f>
        <v/>
      </c>
    </row>
    <row r="361" customFormat="false" ht="15" hidden="false" customHeight="true" outlineLevel="0" collapsed="false">
      <c r="A361" s="16" t="str">
        <f aca="false">IF(Products!A361="","",Products!A361)</f>
        <v/>
      </c>
      <c r="B361" s="16" t="str">
        <f aca="false">IF($A361="","",INDEX(Products!$B$2:$B$501,ROW()-1))</f>
        <v/>
      </c>
      <c r="C361" s="16" t="str">
        <f aca="false">IF($A361="","",INDEX(Products!$C$2:$C$501,ROW()-1))</f>
        <v/>
      </c>
      <c r="D361" s="16" t="str">
        <f aca="false">IF(A361="","",N(Products!I361))</f>
        <v/>
      </c>
      <c r="E361" s="16" t="str">
        <f aca="false">IF(A361="","",SUMIFS(Purchases!$D$2:$D$2001,Purchases!$B$2:$B$2001,A361))</f>
        <v/>
      </c>
      <c r="F361" s="16" t="str">
        <f aca="false">IF(A361="","",SUMIFS(Sales_Items!$E$2:$E$3001,Sales_Items!$C$2:$C$3001,A361))</f>
        <v/>
      </c>
      <c r="G361" s="16" t="str">
        <f aca="false">IF(A361="","",D361+E361-F361)</f>
        <v/>
      </c>
      <c r="H361" s="17" t="str">
        <f aca="false">IF(A361="","",N(Products!E361))</f>
        <v/>
      </c>
      <c r="I361" s="17" t="str">
        <f aca="false">IF(A361="","",G361*H361)</f>
        <v/>
      </c>
      <c r="J361" s="16" t="str">
        <f aca="false">IF(A361="","",IF(Products!G361="",Settings!$B$8,Products!G361))</f>
        <v/>
      </c>
      <c r="K361" s="16" t="str">
        <f aca="false">IF(A361="","",IF(G361&lt;=0,"OUT",IF(G361&lt;=J361,"LOW","OK")))</f>
        <v/>
      </c>
      <c r="L361" s="16" t="str">
        <f aca="false">IF(A361="","",F361+ROW()/1000000)</f>
        <v/>
      </c>
      <c r="M361" s="16" t="str">
        <f aca="false">IF(OR(K361="LOW",K361="OUT"),COUNTIF($K$2:K361,"LOW")+COUNTIF($K$2:K361,"OUT"),"")</f>
        <v/>
      </c>
    </row>
    <row r="362" customFormat="false" ht="15" hidden="false" customHeight="true" outlineLevel="0" collapsed="false">
      <c r="A362" s="16" t="str">
        <f aca="false">IF(Products!A362="","",Products!A362)</f>
        <v/>
      </c>
      <c r="B362" s="16" t="str">
        <f aca="false">IF($A362="","",INDEX(Products!$B$2:$B$501,ROW()-1))</f>
        <v/>
      </c>
      <c r="C362" s="16" t="str">
        <f aca="false">IF($A362="","",INDEX(Products!$C$2:$C$501,ROW()-1))</f>
        <v/>
      </c>
      <c r="D362" s="16" t="str">
        <f aca="false">IF(A362="","",N(Products!I362))</f>
        <v/>
      </c>
      <c r="E362" s="16" t="str">
        <f aca="false">IF(A362="","",SUMIFS(Purchases!$D$2:$D$2001,Purchases!$B$2:$B$2001,A362))</f>
        <v/>
      </c>
      <c r="F362" s="16" t="str">
        <f aca="false">IF(A362="","",SUMIFS(Sales_Items!$E$2:$E$3001,Sales_Items!$C$2:$C$3001,A362))</f>
        <v/>
      </c>
      <c r="G362" s="16" t="str">
        <f aca="false">IF(A362="","",D362+E362-F362)</f>
        <v/>
      </c>
      <c r="H362" s="17" t="str">
        <f aca="false">IF(A362="","",N(Products!E362))</f>
        <v/>
      </c>
      <c r="I362" s="17" t="str">
        <f aca="false">IF(A362="","",G362*H362)</f>
        <v/>
      </c>
      <c r="J362" s="16" t="str">
        <f aca="false">IF(A362="","",IF(Products!G362="",Settings!$B$8,Products!G362))</f>
        <v/>
      </c>
      <c r="K362" s="16" t="str">
        <f aca="false">IF(A362="","",IF(G362&lt;=0,"OUT",IF(G362&lt;=J362,"LOW","OK")))</f>
        <v/>
      </c>
      <c r="L362" s="16" t="str">
        <f aca="false">IF(A362="","",F362+ROW()/1000000)</f>
        <v/>
      </c>
      <c r="M362" s="16" t="str">
        <f aca="false">IF(OR(K362="LOW",K362="OUT"),COUNTIF($K$2:K362,"LOW")+COUNTIF($K$2:K362,"OUT"),"")</f>
        <v/>
      </c>
    </row>
    <row r="363" customFormat="false" ht="15" hidden="false" customHeight="true" outlineLevel="0" collapsed="false">
      <c r="A363" s="16" t="str">
        <f aca="false">IF(Products!A363="","",Products!A363)</f>
        <v/>
      </c>
      <c r="B363" s="16" t="str">
        <f aca="false">IF($A363="","",INDEX(Products!$B$2:$B$501,ROW()-1))</f>
        <v/>
      </c>
      <c r="C363" s="16" t="str">
        <f aca="false">IF($A363="","",INDEX(Products!$C$2:$C$501,ROW()-1))</f>
        <v/>
      </c>
      <c r="D363" s="16" t="str">
        <f aca="false">IF(A363="","",N(Products!I363))</f>
        <v/>
      </c>
      <c r="E363" s="16" t="str">
        <f aca="false">IF(A363="","",SUMIFS(Purchases!$D$2:$D$2001,Purchases!$B$2:$B$2001,A363))</f>
        <v/>
      </c>
      <c r="F363" s="16" t="str">
        <f aca="false">IF(A363="","",SUMIFS(Sales_Items!$E$2:$E$3001,Sales_Items!$C$2:$C$3001,A363))</f>
        <v/>
      </c>
      <c r="G363" s="16" t="str">
        <f aca="false">IF(A363="","",D363+E363-F363)</f>
        <v/>
      </c>
      <c r="H363" s="17" t="str">
        <f aca="false">IF(A363="","",N(Products!E363))</f>
        <v/>
      </c>
      <c r="I363" s="17" t="str">
        <f aca="false">IF(A363="","",G363*H363)</f>
        <v/>
      </c>
      <c r="J363" s="16" t="str">
        <f aca="false">IF(A363="","",IF(Products!G363="",Settings!$B$8,Products!G363))</f>
        <v/>
      </c>
      <c r="K363" s="16" t="str">
        <f aca="false">IF(A363="","",IF(G363&lt;=0,"OUT",IF(G363&lt;=J363,"LOW","OK")))</f>
        <v/>
      </c>
      <c r="L363" s="16" t="str">
        <f aca="false">IF(A363="","",F363+ROW()/1000000)</f>
        <v/>
      </c>
      <c r="M363" s="16" t="str">
        <f aca="false">IF(OR(K363="LOW",K363="OUT"),COUNTIF($K$2:K363,"LOW")+COUNTIF($K$2:K363,"OUT"),"")</f>
        <v/>
      </c>
    </row>
    <row r="364" customFormat="false" ht="15" hidden="false" customHeight="true" outlineLevel="0" collapsed="false">
      <c r="A364" s="16" t="str">
        <f aca="false">IF(Products!A364="","",Products!A364)</f>
        <v/>
      </c>
      <c r="B364" s="16" t="str">
        <f aca="false">IF($A364="","",INDEX(Products!$B$2:$B$501,ROW()-1))</f>
        <v/>
      </c>
      <c r="C364" s="16" t="str">
        <f aca="false">IF($A364="","",INDEX(Products!$C$2:$C$501,ROW()-1))</f>
        <v/>
      </c>
      <c r="D364" s="16" t="str">
        <f aca="false">IF(A364="","",N(Products!I364))</f>
        <v/>
      </c>
      <c r="E364" s="16" t="str">
        <f aca="false">IF(A364="","",SUMIFS(Purchases!$D$2:$D$2001,Purchases!$B$2:$B$2001,A364))</f>
        <v/>
      </c>
      <c r="F364" s="16" t="str">
        <f aca="false">IF(A364="","",SUMIFS(Sales_Items!$E$2:$E$3001,Sales_Items!$C$2:$C$3001,A364))</f>
        <v/>
      </c>
      <c r="G364" s="16" t="str">
        <f aca="false">IF(A364="","",D364+E364-F364)</f>
        <v/>
      </c>
      <c r="H364" s="17" t="str">
        <f aca="false">IF(A364="","",N(Products!E364))</f>
        <v/>
      </c>
      <c r="I364" s="17" t="str">
        <f aca="false">IF(A364="","",G364*H364)</f>
        <v/>
      </c>
      <c r="J364" s="16" t="str">
        <f aca="false">IF(A364="","",IF(Products!G364="",Settings!$B$8,Products!G364))</f>
        <v/>
      </c>
      <c r="K364" s="16" t="str">
        <f aca="false">IF(A364="","",IF(G364&lt;=0,"OUT",IF(G364&lt;=J364,"LOW","OK")))</f>
        <v/>
      </c>
      <c r="L364" s="16" t="str">
        <f aca="false">IF(A364="","",F364+ROW()/1000000)</f>
        <v/>
      </c>
      <c r="M364" s="16" t="str">
        <f aca="false">IF(OR(K364="LOW",K364="OUT"),COUNTIF($K$2:K364,"LOW")+COUNTIF($K$2:K364,"OUT"),"")</f>
        <v/>
      </c>
    </row>
    <row r="365" customFormat="false" ht="15" hidden="false" customHeight="true" outlineLevel="0" collapsed="false">
      <c r="A365" s="16" t="str">
        <f aca="false">IF(Products!A365="","",Products!A365)</f>
        <v/>
      </c>
      <c r="B365" s="16" t="str">
        <f aca="false">IF($A365="","",INDEX(Products!$B$2:$B$501,ROW()-1))</f>
        <v/>
      </c>
      <c r="C365" s="16" t="str">
        <f aca="false">IF($A365="","",INDEX(Products!$C$2:$C$501,ROW()-1))</f>
        <v/>
      </c>
      <c r="D365" s="16" t="str">
        <f aca="false">IF(A365="","",N(Products!I365))</f>
        <v/>
      </c>
      <c r="E365" s="16" t="str">
        <f aca="false">IF(A365="","",SUMIFS(Purchases!$D$2:$D$2001,Purchases!$B$2:$B$2001,A365))</f>
        <v/>
      </c>
      <c r="F365" s="16" t="str">
        <f aca="false">IF(A365="","",SUMIFS(Sales_Items!$E$2:$E$3001,Sales_Items!$C$2:$C$3001,A365))</f>
        <v/>
      </c>
      <c r="G365" s="16" t="str">
        <f aca="false">IF(A365="","",D365+E365-F365)</f>
        <v/>
      </c>
      <c r="H365" s="17" t="str">
        <f aca="false">IF(A365="","",N(Products!E365))</f>
        <v/>
      </c>
      <c r="I365" s="17" t="str">
        <f aca="false">IF(A365="","",G365*H365)</f>
        <v/>
      </c>
      <c r="J365" s="16" t="str">
        <f aca="false">IF(A365="","",IF(Products!G365="",Settings!$B$8,Products!G365))</f>
        <v/>
      </c>
      <c r="K365" s="16" t="str">
        <f aca="false">IF(A365="","",IF(G365&lt;=0,"OUT",IF(G365&lt;=J365,"LOW","OK")))</f>
        <v/>
      </c>
      <c r="L365" s="16" t="str">
        <f aca="false">IF(A365="","",F365+ROW()/1000000)</f>
        <v/>
      </c>
      <c r="M365" s="16" t="str">
        <f aca="false">IF(OR(K365="LOW",K365="OUT"),COUNTIF($K$2:K365,"LOW")+COUNTIF($K$2:K365,"OUT"),"")</f>
        <v/>
      </c>
    </row>
    <row r="366" customFormat="false" ht="15" hidden="false" customHeight="true" outlineLevel="0" collapsed="false">
      <c r="A366" s="16" t="str">
        <f aca="false">IF(Products!A366="","",Products!A366)</f>
        <v/>
      </c>
      <c r="B366" s="16" t="str">
        <f aca="false">IF($A366="","",INDEX(Products!$B$2:$B$501,ROW()-1))</f>
        <v/>
      </c>
      <c r="C366" s="16" t="str">
        <f aca="false">IF($A366="","",INDEX(Products!$C$2:$C$501,ROW()-1))</f>
        <v/>
      </c>
      <c r="D366" s="16" t="str">
        <f aca="false">IF(A366="","",N(Products!I366))</f>
        <v/>
      </c>
      <c r="E366" s="16" t="str">
        <f aca="false">IF(A366="","",SUMIFS(Purchases!$D$2:$D$2001,Purchases!$B$2:$B$2001,A366))</f>
        <v/>
      </c>
      <c r="F366" s="16" t="str">
        <f aca="false">IF(A366="","",SUMIFS(Sales_Items!$E$2:$E$3001,Sales_Items!$C$2:$C$3001,A366))</f>
        <v/>
      </c>
      <c r="G366" s="16" t="str">
        <f aca="false">IF(A366="","",D366+E366-F366)</f>
        <v/>
      </c>
      <c r="H366" s="17" t="str">
        <f aca="false">IF(A366="","",N(Products!E366))</f>
        <v/>
      </c>
      <c r="I366" s="17" t="str">
        <f aca="false">IF(A366="","",G366*H366)</f>
        <v/>
      </c>
      <c r="J366" s="16" t="str">
        <f aca="false">IF(A366="","",IF(Products!G366="",Settings!$B$8,Products!G366))</f>
        <v/>
      </c>
      <c r="K366" s="16" t="str">
        <f aca="false">IF(A366="","",IF(G366&lt;=0,"OUT",IF(G366&lt;=J366,"LOW","OK")))</f>
        <v/>
      </c>
      <c r="L366" s="16" t="str">
        <f aca="false">IF(A366="","",F366+ROW()/1000000)</f>
        <v/>
      </c>
      <c r="M366" s="16" t="str">
        <f aca="false">IF(OR(K366="LOW",K366="OUT"),COUNTIF($K$2:K366,"LOW")+COUNTIF($K$2:K366,"OUT"),"")</f>
        <v/>
      </c>
    </row>
    <row r="367" customFormat="false" ht="15" hidden="false" customHeight="true" outlineLevel="0" collapsed="false">
      <c r="A367" s="16" t="str">
        <f aca="false">IF(Products!A367="","",Products!A367)</f>
        <v/>
      </c>
      <c r="B367" s="16" t="str">
        <f aca="false">IF($A367="","",INDEX(Products!$B$2:$B$501,ROW()-1))</f>
        <v/>
      </c>
      <c r="C367" s="16" t="str">
        <f aca="false">IF($A367="","",INDEX(Products!$C$2:$C$501,ROW()-1))</f>
        <v/>
      </c>
      <c r="D367" s="16" t="str">
        <f aca="false">IF(A367="","",N(Products!I367))</f>
        <v/>
      </c>
      <c r="E367" s="16" t="str">
        <f aca="false">IF(A367="","",SUMIFS(Purchases!$D$2:$D$2001,Purchases!$B$2:$B$2001,A367))</f>
        <v/>
      </c>
      <c r="F367" s="16" t="str">
        <f aca="false">IF(A367="","",SUMIFS(Sales_Items!$E$2:$E$3001,Sales_Items!$C$2:$C$3001,A367))</f>
        <v/>
      </c>
      <c r="G367" s="16" t="str">
        <f aca="false">IF(A367="","",D367+E367-F367)</f>
        <v/>
      </c>
      <c r="H367" s="17" t="str">
        <f aca="false">IF(A367="","",N(Products!E367))</f>
        <v/>
      </c>
      <c r="I367" s="17" t="str">
        <f aca="false">IF(A367="","",G367*H367)</f>
        <v/>
      </c>
      <c r="J367" s="16" t="str">
        <f aca="false">IF(A367="","",IF(Products!G367="",Settings!$B$8,Products!G367))</f>
        <v/>
      </c>
      <c r="K367" s="16" t="str">
        <f aca="false">IF(A367="","",IF(G367&lt;=0,"OUT",IF(G367&lt;=J367,"LOW","OK")))</f>
        <v/>
      </c>
      <c r="L367" s="16" t="str">
        <f aca="false">IF(A367="","",F367+ROW()/1000000)</f>
        <v/>
      </c>
      <c r="M367" s="16" t="str">
        <f aca="false">IF(OR(K367="LOW",K367="OUT"),COUNTIF($K$2:K367,"LOW")+COUNTIF($K$2:K367,"OUT"),"")</f>
        <v/>
      </c>
    </row>
    <row r="368" customFormat="false" ht="15" hidden="false" customHeight="true" outlineLevel="0" collapsed="false">
      <c r="A368" s="16" t="str">
        <f aca="false">IF(Products!A368="","",Products!A368)</f>
        <v/>
      </c>
      <c r="B368" s="16" t="str">
        <f aca="false">IF($A368="","",INDEX(Products!$B$2:$B$501,ROW()-1))</f>
        <v/>
      </c>
      <c r="C368" s="16" t="str">
        <f aca="false">IF($A368="","",INDEX(Products!$C$2:$C$501,ROW()-1))</f>
        <v/>
      </c>
      <c r="D368" s="16" t="str">
        <f aca="false">IF(A368="","",N(Products!I368))</f>
        <v/>
      </c>
      <c r="E368" s="16" t="str">
        <f aca="false">IF(A368="","",SUMIFS(Purchases!$D$2:$D$2001,Purchases!$B$2:$B$2001,A368))</f>
        <v/>
      </c>
      <c r="F368" s="16" t="str">
        <f aca="false">IF(A368="","",SUMIFS(Sales_Items!$E$2:$E$3001,Sales_Items!$C$2:$C$3001,A368))</f>
        <v/>
      </c>
      <c r="G368" s="16" t="str">
        <f aca="false">IF(A368="","",D368+E368-F368)</f>
        <v/>
      </c>
      <c r="H368" s="17" t="str">
        <f aca="false">IF(A368="","",N(Products!E368))</f>
        <v/>
      </c>
      <c r="I368" s="17" t="str">
        <f aca="false">IF(A368="","",G368*H368)</f>
        <v/>
      </c>
      <c r="J368" s="16" t="str">
        <f aca="false">IF(A368="","",IF(Products!G368="",Settings!$B$8,Products!G368))</f>
        <v/>
      </c>
      <c r="K368" s="16" t="str">
        <f aca="false">IF(A368="","",IF(G368&lt;=0,"OUT",IF(G368&lt;=J368,"LOW","OK")))</f>
        <v/>
      </c>
      <c r="L368" s="16" t="str">
        <f aca="false">IF(A368="","",F368+ROW()/1000000)</f>
        <v/>
      </c>
      <c r="M368" s="16" t="str">
        <f aca="false">IF(OR(K368="LOW",K368="OUT"),COUNTIF($K$2:K368,"LOW")+COUNTIF($K$2:K368,"OUT"),"")</f>
        <v/>
      </c>
    </row>
    <row r="369" customFormat="false" ht="15" hidden="false" customHeight="true" outlineLevel="0" collapsed="false">
      <c r="A369" s="16" t="str">
        <f aca="false">IF(Products!A369="","",Products!A369)</f>
        <v/>
      </c>
      <c r="B369" s="16" t="str">
        <f aca="false">IF($A369="","",INDEX(Products!$B$2:$B$501,ROW()-1))</f>
        <v/>
      </c>
      <c r="C369" s="16" t="str">
        <f aca="false">IF($A369="","",INDEX(Products!$C$2:$C$501,ROW()-1))</f>
        <v/>
      </c>
      <c r="D369" s="16" t="str">
        <f aca="false">IF(A369="","",N(Products!I369))</f>
        <v/>
      </c>
      <c r="E369" s="16" t="str">
        <f aca="false">IF(A369="","",SUMIFS(Purchases!$D$2:$D$2001,Purchases!$B$2:$B$2001,A369))</f>
        <v/>
      </c>
      <c r="F369" s="16" t="str">
        <f aca="false">IF(A369="","",SUMIFS(Sales_Items!$E$2:$E$3001,Sales_Items!$C$2:$C$3001,A369))</f>
        <v/>
      </c>
      <c r="G369" s="16" t="str">
        <f aca="false">IF(A369="","",D369+E369-F369)</f>
        <v/>
      </c>
      <c r="H369" s="17" t="str">
        <f aca="false">IF(A369="","",N(Products!E369))</f>
        <v/>
      </c>
      <c r="I369" s="17" t="str">
        <f aca="false">IF(A369="","",G369*H369)</f>
        <v/>
      </c>
      <c r="J369" s="16" t="str">
        <f aca="false">IF(A369="","",IF(Products!G369="",Settings!$B$8,Products!G369))</f>
        <v/>
      </c>
      <c r="K369" s="16" t="str">
        <f aca="false">IF(A369="","",IF(G369&lt;=0,"OUT",IF(G369&lt;=J369,"LOW","OK")))</f>
        <v/>
      </c>
      <c r="L369" s="16" t="str">
        <f aca="false">IF(A369="","",F369+ROW()/1000000)</f>
        <v/>
      </c>
      <c r="M369" s="16" t="str">
        <f aca="false">IF(OR(K369="LOW",K369="OUT"),COUNTIF($K$2:K369,"LOW")+COUNTIF($K$2:K369,"OUT"),"")</f>
        <v/>
      </c>
    </row>
    <row r="370" customFormat="false" ht="15" hidden="false" customHeight="true" outlineLevel="0" collapsed="false">
      <c r="A370" s="16" t="str">
        <f aca="false">IF(Products!A370="","",Products!A370)</f>
        <v/>
      </c>
      <c r="B370" s="16" t="str">
        <f aca="false">IF($A370="","",INDEX(Products!$B$2:$B$501,ROW()-1))</f>
        <v/>
      </c>
      <c r="C370" s="16" t="str">
        <f aca="false">IF($A370="","",INDEX(Products!$C$2:$C$501,ROW()-1))</f>
        <v/>
      </c>
      <c r="D370" s="16" t="str">
        <f aca="false">IF(A370="","",N(Products!I370))</f>
        <v/>
      </c>
      <c r="E370" s="16" t="str">
        <f aca="false">IF(A370="","",SUMIFS(Purchases!$D$2:$D$2001,Purchases!$B$2:$B$2001,A370))</f>
        <v/>
      </c>
      <c r="F370" s="16" t="str">
        <f aca="false">IF(A370="","",SUMIFS(Sales_Items!$E$2:$E$3001,Sales_Items!$C$2:$C$3001,A370))</f>
        <v/>
      </c>
      <c r="G370" s="16" t="str">
        <f aca="false">IF(A370="","",D370+E370-F370)</f>
        <v/>
      </c>
      <c r="H370" s="17" t="str">
        <f aca="false">IF(A370="","",N(Products!E370))</f>
        <v/>
      </c>
      <c r="I370" s="17" t="str">
        <f aca="false">IF(A370="","",G370*H370)</f>
        <v/>
      </c>
      <c r="J370" s="16" t="str">
        <f aca="false">IF(A370="","",IF(Products!G370="",Settings!$B$8,Products!G370))</f>
        <v/>
      </c>
      <c r="K370" s="16" t="str">
        <f aca="false">IF(A370="","",IF(G370&lt;=0,"OUT",IF(G370&lt;=J370,"LOW","OK")))</f>
        <v/>
      </c>
      <c r="L370" s="16" t="str">
        <f aca="false">IF(A370="","",F370+ROW()/1000000)</f>
        <v/>
      </c>
      <c r="M370" s="16" t="str">
        <f aca="false">IF(OR(K370="LOW",K370="OUT"),COUNTIF($K$2:K370,"LOW")+COUNTIF($K$2:K370,"OUT"),"")</f>
        <v/>
      </c>
    </row>
    <row r="371" customFormat="false" ht="15" hidden="false" customHeight="true" outlineLevel="0" collapsed="false">
      <c r="A371" s="16" t="str">
        <f aca="false">IF(Products!A371="","",Products!A371)</f>
        <v/>
      </c>
      <c r="B371" s="16" t="str">
        <f aca="false">IF($A371="","",INDEX(Products!$B$2:$B$501,ROW()-1))</f>
        <v/>
      </c>
      <c r="C371" s="16" t="str">
        <f aca="false">IF($A371="","",INDEX(Products!$C$2:$C$501,ROW()-1))</f>
        <v/>
      </c>
      <c r="D371" s="16" t="str">
        <f aca="false">IF(A371="","",N(Products!I371))</f>
        <v/>
      </c>
      <c r="E371" s="16" t="str">
        <f aca="false">IF(A371="","",SUMIFS(Purchases!$D$2:$D$2001,Purchases!$B$2:$B$2001,A371))</f>
        <v/>
      </c>
      <c r="F371" s="16" t="str">
        <f aca="false">IF(A371="","",SUMIFS(Sales_Items!$E$2:$E$3001,Sales_Items!$C$2:$C$3001,A371))</f>
        <v/>
      </c>
      <c r="G371" s="16" t="str">
        <f aca="false">IF(A371="","",D371+E371-F371)</f>
        <v/>
      </c>
      <c r="H371" s="17" t="str">
        <f aca="false">IF(A371="","",N(Products!E371))</f>
        <v/>
      </c>
      <c r="I371" s="17" t="str">
        <f aca="false">IF(A371="","",G371*H371)</f>
        <v/>
      </c>
      <c r="J371" s="16" t="str">
        <f aca="false">IF(A371="","",IF(Products!G371="",Settings!$B$8,Products!G371))</f>
        <v/>
      </c>
      <c r="K371" s="16" t="str">
        <f aca="false">IF(A371="","",IF(G371&lt;=0,"OUT",IF(G371&lt;=J371,"LOW","OK")))</f>
        <v/>
      </c>
      <c r="L371" s="16" t="str">
        <f aca="false">IF(A371="","",F371+ROW()/1000000)</f>
        <v/>
      </c>
      <c r="M371" s="16" t="str">
        <f aca="false">IF(OR(K371="LOW",K371="OUT"),COUNTIF($K$2:K371,"LOW")+COUNTIF($K$2:K371,"OUT"),"")</f>
        <v/>
      </c>
    </row>
    <row r="372" customFormat="false" ht="15" hidden="false" customHeight="true" outlineLevel="0" collapsed="false">
      <c r="A372" s="16" t="str">
        <f aca="false">IF(Products!A372="","",Products!A372)</f>
        <v/>
      </c>
      <c r="B372" s="16" t="str">
        <f aca="false">IF($A372="","",INDEX(Products!$B$2:$B$501,ROW()-1))</f>
        <v/>
      </c>
      <c r="C372" s="16" t="str">
        <f aca="false">IF($A372="","",INDEX(Products!$C$2:$C$501,ROW()-1))</f>
        <v/>
      </c>
      <c r="D372" s="16" t="str">
        <f aca="false">IF(A372="","",N(Products!I372))</f>
        <v/>
      </c>
      <c r="E372" s="16" t="str">
        <f aca="false">IF(A372="","",SUMIFS(Purchases!$D$2:$D$2001,Purchases!$B$2:$B$2001,A372))</f>
        <v/>
      </c>
      <c r="F372" s="16" t="str">
        <f aca="false">IF(A372="","",SUMIFS(Sales_Items!$E$2:$E$3001,Sales_Items!$C$2:$C$3001,A372))</f>
        <v/>
      </c>
      <c r="G372" s="16" t="str">
        <f aca="false">IF(A372="","",D372+E372-F372)</f>
        <v/>
      </c>
      <c r="H372" s="17" t="str">
        <f aca="false">IF(A372="","",N(Products!E372))</f>
        <v/>
      </c>
      <c r="I372" s="17" t="str">
        <f aca="false">IF(A372="","",G372*H372)</f>
        <v/>
      </c>
      <c r="J372" s="16" t="str">
        <f aca="false">IF(A372="","",IF(Products!G372="",Settings!$B$8,Products!G372))</f>
        <v/>
      </c>
      <c r="K372" s="16" t="str">
        <f aca="false">IF(A372="","",IF(G372&lt;=0,"OUT",IF(G372&lt;=J372,"LOW","OK")))</f>
        <v/>
      </c>
      <c r="L372" s="16" t="str">
        <f aca="false">IF(A372="","",F372+ROW()/1000000)</f>
        <v/>
      </c>
      <c r="M372" s="16" t="str">
        <f aca="false">IF(OR(K372="LOW",K372="OUT"),COUNTIF($K$2:K372,"LOW")+COUNTIF($K$2:K372,"OUT"),"")</f>
        <v/>
      </c>
    </row>
    <row r="373" customFormat="false" ht="15" hidden="false" customHeight="true" outlineLevel="0" collapsed="false">
      <c r="A373" s="16" t="str">
        <f aca="false">IF(Products!A373="","",Products!A373)</f>
        <v/>
      </c>
      <c r="B373" s="16" t="str">
        <f aca="false">IF($A373="","",INDEX(Products!$B$2:$B$501,ROW()-1))</f>
        <v/>
      </c>
      <c r="C373" s="16" t="str">
        <f aca="false">IF($A373="","",INDEX(Products!$C$2:$C$501,ROW()-1))</f>
        <v/>
      </c>
      <c r="D373" s="16" t="str">
        <f aca="false">IF(A373="","",N(Products!I373))</f>
        <v/>
      </c>
      <c r="E373" s="16" t="str">
        <f aca="false">IF(A373="","",SUMIFS(Purchases!$D$2:$D$2001,Purchases!$B$2:$B$2001,A373))</f>
        <v/>
      </c>
      <c r="F373" s="16" t="str">
        <f aca="false">IF(A373="","",SUMIFS(Sales_Items!$E$2:$E$3001,Sales_Items!$C$2:$C$3001,A373))</f>
        <v/>
      </c>
      <c r="G373" s="16" t="str">
        <f aca="false">IF(A373="","",D373+E373-F373)</f>
        <v/>
      </c>
      <c r="H373" s="17" t="str">
        <f aca="false">IF(A373="","",N(Products!E373))</f>
        <v/>
      </c>
      <c r="I373" s="17" t="str">
        <f aca="false">IF(A373="","",G373*H373)</f>
        <v/>
      </c>
      <c r="J373" s="16" t="str">
        <f aca="false">IF(A373="","",IF(Products!G373="",Settings!$B$8,Products!G373))</f>
        <v/>
      </c>
      <c r="K373" s="16" t="str">
        <f aca="false">IF(A373="","",IF(G373&lt;=0,"OUT",IF(G373&lt;=J373,"LOW","OK")))</f>
        <v/>
      </c>
      <c r="L373" s="16" t="str">
        <f aca="false">IF(A373="","",F373+ROW()/1000000)</f>
        <v/>
      </c>
      <c r="M373" s="16" t="str">
        <f aca="false">IF(OR(K373="LOW",K373="OUT"),COUNTIF($K$2:K373,"LOW")+COUNTIF($K$2:K373,"OUT"),"")</f>
        <v/>
      </c>
    </row>
    <row r="374" customFormat="false" ht="15" hidden="false" customHeight="true" outlineLevel="0" collapsed="false">
      <c r="A374" s="16" t="str">
        <f aca="false">IF(Products!A374="","",Products!A374)</f>
        <v/>
      </c>
      <c r="B374" s="16" t="str">
        <f aca="false">IF($A374="","",INDEX(Products!$B$2:$B$501,ROW()-1))</f>
        <v/>
      </c>
      <c r="C374" s="16" t="str">
        <f aca="false">IF($A374="","",INDEX(Products!$C$2:$C$501,ROW()-1))</f>
        <v/>
      </c>
      <c r="D374" s="16" t="str">
        <f aca="false">IF(A374="","",N(Products!I374))</f>
        <v/>
      </c>
      <c r="E374" s="16" t="str">
        <f aca="false">IF(A374="","",SUMIFS(Purchases!$D$2:$D$2001,Purchases!$B$2:$B$2001,A374))</f>
        <v/>
      </c>
      <c r="F374" s="16" t="str">
        <f aca="false">IF(A374="","",SUMIFS(Sales_Items!$E$2:$E$3001,Sales_Items!$C$2:$C$3001,A374))</f>
        <v/>
      </c>
      <c r="G374" s="16" t="str">
        <f aca="false">IF(A374="","",D374+E374-F374)</f>
        <v/>
      </c>
      <c r="H374" s="17" t="str">
        <f aca="false">IF(A374="","",N(Products!E374))</f>
        <v/>
      </c>
      <c r="I374" s="17" t="str">
        <f aca="false">IF(A374="","",G374*H374)</f>
        <v/>
      </c>
      <c r="J374" s="16" t="str">
        <f aca="false">IF(A374="","",IF(Products!G374="",Settings!$B$8,Products!G374))</f>
        <v/>
      </c>
      <c r="K374" s="16" t="str">
        <f aca="false">IF(A374="","",IF(G374&lt;=0,"OUT",IF(G374&lt;=J374,"LOW","OK")))</f>
        <v/>
      </c>
      <c r="L374" s="16" t="str">
        <f aca="false">IF(A374="","",F374+ROW()/1000000)</f>
        <v/>
      </c>
      <c r="M374" s="16" t="str">
        <f aca="false">IF(OR(K374="LOW",K374="OUT"),COUNTIF($K$2:K374,"LOW")+COUNTIF($K$2:K374,"OUT"),"")</f>
        <v/>
      </c>
    </row>
    <row r="375" customFormat="false" ht="15" hidden="false" customHeight="true" outlineLevel="0" collapsed="false">
      <c r="A375" s="16" t="str">
        <f aca="false">IF(Products!A375="","",Products!A375)</f>
        <v/>
      </c>
      <c r="B375" s="16" t="str">
        <f aca="false">IF($A375="","",INDEX(Products!$B$2:$B$501,ROW()-1))</f>
        <v/>
      </c>
      <c r="C375" s="16" t="str">
        <f aca="false">IF($A375="","",INDEX(Products!$C$2:$C$501,ROW()-1))</f>
        <v/>
      </c>
      <c r="D375" s="16" t="str">
        <f aca="false">IF(A375="","",N(Products!I375))</f>
        <v/>
      </c>
      <c r="E375" s="16" t="str">
        <f aca="false">IF(A375="","",SUMIFS(Purchases!$D$2:$D$2001,Purchases!$B$2:$B$2001,A375))</f>
        <v/>
      </c>
      <c r="F375" s="16" t="str">
        <f aca="false">IF(A375="","",SUMIFS(Sales_Items!$E$2:$E$3001,Sales_Items!$C$2:$C$3001,A375))</f>
        <v/>
      </c>
      <c r="G375" s="16" t="str">
        <f aca="false">IF(A375="","",D375+E375-F375)</f>
        <v/>
      </c>
      <c r="H375" s="17" t="str">
        <f aca="false">IF(A375="","",N(Products!E375))</f>
        <v/>
      </c>
      <c r="I375" s="17" t="str">
        <f aca="false">IF(A375="","",G375*H375)</f>
        <v/>
      </c>
      <c r="J375" s="16" t="str">
        <f aca="false">IF(A375="","",IF(Products!G375="",Settings!$B$8,Products!G375))</f>
        <v/>
      </c>
      <c r="K375" s="16" t="str">
        <f aca="false">IF(A375="","",IF(G375&lt;=0,"OUT",IF(G375&lt;=J375,"LOW","OK")))</f>
        <v/>
      </c>
      <c r="L375" s="16" t="str">
        <f aca="false">IF(A375="","",F375+ROW()/1000000)</f>
        <v/>
      </c>
      <c r="M375" s="16" t="str">
        <f aca="false">IF(OR(K375="LOW",K375="OUT"),COUNTIF($K$2:K375,"LOW")+COUNTIF($K$2:K375,"OUT"),"")</f>
        <v/>
      </c>
    </row>
    <row r="376" customFormat="false" ht="15" hidden="false" customHeight="true" outlineLevel="0" collapsed="false">
      <c r="A376" s="16" t="str">
        <f aca="false">IF(Products!A376="","",Products!A376)</f>
        <v/>
      </c>
      <c r="B376" s="16" t="str">
        <f aca="false">IF($A376="","",INDEX(Products!$B$2:$B$501,ROW()-1))</f>
        <v/>
      </c>
      <c r="C376" s="16" t="str">
        <f aca="false">IF($A376="","",INDEX(Products!$C$2:$C$501,ROW()-1))</f>
        <v/>
      </c>
      <c r="D376" s="16" t="str">
        <f aca="false">IF(A376="","",N(Products!I376))</f>
        <v/>
      </c>
      <c r="E376" s="16" t="str">
        <f aca="false">IF(A376="","",SUMIFS(Purchases!$D$2:$D$2001,Purchases!$B$2:$B$2001,A376))</f>
        <v/>
      </c>
      <c r="F376" s="16" t="str">
        <f aca="false">IF(A376="","",SUMIFS(Sales_Items!$E$2:$E$3001,Sales_Items!$C$2:$C$3001,A376))</f>
        <v/>
      </c>
      <c r="G376" s="16" t="str">
        <f aca="false">IF(A376="","",D376+E376-F376)</f>
        <v/>
      </c>
      <c r="H376" s="17" t="str">
        <f aca="false">IF(A376="","",N(Products!E376))</f>
        <v/>
      </c>
      <c r="I376" s="17" t="str">
        <f aca="false">IF(A376="","",G376*H376)</f>
        <v/>
      </c>
      <c r="J376" s="16" t="str">
        <f aca="false">IF(A376="","",IF(Products!G376="",Settings!$B$8,Products!G376))</f>
        <v/>
      </c>
      <c r="K376" s="16" t="str">
        <f aca="false">IF(A376="","",IF(G376&lt;=0,"OUT",IF(G376&lt;=J376,"LOW","OK")))</f>
        <v/>
      </c>
      <c r="L376" s="16" t="str">
        <f aca="false">IF(A376="","",F376+ROW()/1000000)</f>
        <v/>
      </c>
      <c r="M376" s="16" t="str">
        <f aca="false">IF(OR(K376="LOW",K376="OUT"),COUNTIF($K$2:K376,"LOW")+COUNTIF($K$2:K376,"OUT"),"")</f>
        <v/>
      </c>
    </row>
    <row r="377" customFormat="false" ht="15" hidden="false" customHeight="true" outlineLevel="0" collapsed="false">
      <c r="A377" s="16" t="str">
        <f aca="false">IF(Products!A377="","",Products!A377)</f>
        <v/>
      </c>
      <c r="B377" s="16" t="str">
        <f aca="false">IF($A377="","",INDEX(Products!$B$2:$B$501,ROW()-1))</f>
        <v/>
      </c>
      <c r="C377" s="16" t="str">
        <f aca="false">IF($A377="","",INDEX(Products!$C$2:$C$501,ROW()-1))</f>
        <v/>
      </c>
      <c r="D377" s="16" t="str">
        <f aca="false">IF(A377="","",N(Products!I377))</f>
        <v/>
      </c>
      <c r="E377" s="16" t="str">
        <f aca="false">IF(A377="","",SUMIFS(Purchases!$D$2:$D$2001,Purchases!$B$2:$B$2001,A377))</f>
        <v/>
      </c>
      <c r="F377" s="16" t="str">
        <f aca="false">IF(A377="","",SUMIFS(Sales_Items!$E$2:$E$3001,Sales_Items!$C$2:$C$3001,A377))</f>
        <v/>
      </c>
      <c r="G377" s="16" t="str">
        <f aca="false">IF(A377="","",D377+E377-F377)</f>
        <v/>
      </c>
      <c r="H377" s="17" t="str">
        <f aca="false">IF(A377="","",N(Products!E377))</f>
        <v/>
      </c>
      <c r="I377" s="17" t="str">
        <f aca="false">IF(A377="","",G377*H377)</f>
        <v/>
      </c>
      <c r="J377" s="16" t="str">
        <f aca="false">IF(A377="","",IF(Products!G377="",Settings!$B$8,Products!G377))</f>
        <v/>
      </c>
      <c r="K377" s="16" t="str">
        <f aca="false">IF(A377="","",IF(G377&lt;=0,"OUT",IF(G377&lt;=J377,"LOW","OK")))</f>
        <v/>
      </c>
      <c r="L377" s="16" t="str">
        <f aca="false">IF(A377="","",F377+ROW()/1000000)</f>
        <v/>
      </c>
      <c r="M377" s="16" t="str">
        <f aca="false">IF(OR(K377="LOW",K377="OUT"),COUNTIF($K$2:K377,"LOW")+COUNTIF($K$2:K377,"OUT"),"")</f>
        <v/>
      </c>
    </row>
    <row r="378" customFormat="false" ht="15" hidden="false" customHeight="true" outlineLevel="0" collapsed="false">
      <c r="A378" s="16" t="str">
        <f aca="false">IF(Products!A378="","",Products!A378)</f>
        <v/>
      </c>
      <c r="B378" s="16" t="str">
        <f aca="false">IF($A378="","",INDEX(Products!$B$2:$B$501,ROW()-1))</f>
        <v/>
      </c>
      <c r="C378" s="16" t="str">
        <f aca="false">IF($A378="","",INDEX(Products!$C$2:$C$501,ROW()-1))</f>
        <v/>
      </c>
      <c r="D378" s="16" t="str">
        <f aca="false">IF(A378="","",N(Products!I378))</f>
        <v/>
      </c>
      <c r="E378" s="16" t="str">
        <f aca="false">IF(A378="","",SUMIFS(Purchases!$D$2:$D$2001,Purchases!$B$2:$B$2001,A378))</f>
        <v/>
      </c>
      <c r="F378" s="16" t="str">
        <f aca="false">IF(A378="","",SUMIFS(Sales_Items!$E$2:$E$3001,Sales_Items!$C$2:$C$3001,A378))</f>
        <v/>
      </c>
      <c r="G378" s="16" t="str">
        <f aca="false">IF(A378="","",D378+E378-F378)</f>
        <v/>
      </c>
      <c r="H378" s="17" t="str">
        <f aca="false">IF(A378="","",N(Products!E378))</f>
        <v/>
      </c>
      <c r="I378" s="17" t="str">
        <f aca="false">IF(A378="","",G378*H378)</f>
        <v/>
      </c>
      <c r="J378" s="16" t="str">
        <f aca="false">IF(A378="","",IF(Products!G378="",Settings!$B$8,Products!G378))</f>
        <v/>
      </c>
      <c r="K378" s="16" t="str">
        <f aca="false">IF(A378="","",IF(G378&lt;=0,"OUT",IF(G378&lt;=J378,"LOW","OK")))</f>
        <v/>
      </c>
      <c r="L378" s="16" t="str">
        <f aca="false">IF(A378="","",F378+ROW()/1000000)</f>
        <v/>
      </c>
      <c r="M378" s="16" t="str">
        <f aca="false">IF(OR(K378="LOW",K378="OUT"),COUNTIF($K$2:K378,"LOW")+COUNTIF($K$2:K378,"OUT"),"")</f>
        <v/>
      </c>
    </row>
    <row r="379" customFormat="false" ht="15" hidden="false" customHeight="true" outlineLevel="0" collapsed="false">
      <c r="A379" s="16" t="str">
        <f aca="false">IF(Products!A379="","",Products!A379)</f>
        <v/>
      </c>
      <c r="B379" s="16" t="str">
        <f aca="false">IF($A379="","",INDEX(Products!$B$2:$B$501,ROW()-1))</f>
        <v/>
      </c>
      <c r="C379" s="16" t="str">
        <f aca="false">IF($A379="","",INDEX(Products!$C$2:$C$501,ROW()-1))</f>
        <v/>
      </c>
      <c r="D379" s="16" t="str">
        <f aca="false">IF(A379="","",N(Products!I379))</f>
        <v/>
      </c>
      <c r="E379" s="16" t="str">
        <f aca="false">IF(A379="","",SUMIFS(Purchases!$D$2:$D$2001,Purchases!$B$2:$B$2001,A379))</f>
        <v/>
      </c>
      <c r="F379" s="16" t="str">
        <f aca="false">IF(A379="","",SUMIFS(Sales_Items!$E$2:$E$3001,Sales_Items!$C$2:$C$3001,A379))</f>
        <v/>
      </c>
      <c r="G379" s="16" t="str">
        <f aca="false">IF(A379="","",D379+E379-F379)</f>
        <v/>
      </c>
      <c r="H379" s="17" t="str">
        <f aca="false">IF(A379="","",N(Products!E379))</f>
        <v/>
      </c>
      <c r="I379" s="17" t="str">
        <f aca="false">IF(A379="","",G379*H379)</f>
        <v/>
      </c>
      <c r="J379" s="16" t="str">
        <f aca="false">IF(A379="","",IF(Products!G379="",Settings!$B$8,Products!G379))</f>
        <v/>
      </c>
      <c r="K379" s="16" t="str">
        <f aca="false">IF(A379="","",IF(G379&lt;=0,"OUT",IF(G379&lt;=J379,"LOW","OK")))</f>
        <v/>
      </c>
      <c r="L379" s="16" t="str">
        <f aca="false">IF(A379="","",F379+ROW()/1000000)</f>
        <v/>
      </c>
      <c r="M379" s="16" t="str">
        <f aca="false">IF(OR(K379="LOW",K379="OUT"),COUNTIF($K$2:K379,"LOW")+COUNTIF($K$2:K379,"OUT"),"")</f>
        <v/>
      </c>
    </row>
    <row r="380" customFormat="false" ht="15" hidden="false" customHeight="true" outlineLevel="0" collapsed="false">
      <c r="A380" s="16" t="str">
        <f aca="false">IF(Products!A380="","",Products!A380)</f>
        <v/>
      </c>
      <c r="B380" s="16" t="str">
        <f aca="false">IF($A380="","",INDEX(Products!$B$2:$B$501,ROW()-1))</f>
        <v/>
      </c>
      <c r="C380" s="16" t="str">
        <f aca="false">IF($A380="","",INDEX(Products!$C$2:$C$501,ROW()-1))</f>
        <v/>
      </c>
      <c r="D380" s="16" t="str">
        <f aca="false">IF(A380="","",N(Products!I380))</f>
        <v/>
      </c>
      <c r="E380" s="16" t="str">
        <f aca="false">IF(A380="","",SUMIFS(Purchases!$D$2:$D$2001,Purchases!$B$2:$B$2001,A380))</f>
        <v/>
      </c>
      <c r="F380" s="16" t="str">
        <f aca="false">IF(A380="","",SUMIFS(Sales_Items!$E$2:$E$3001,Sales_Items!$C$2:$C$3001,A380))</f>
        <v/>
      </c>
      <c r="G380" s="16" t="str">
        <f aca="false">IF(A380="","",D380+E380-F380)</f>
        <v/>
      </c>
      <c r="H380" s="17" t="str">
        <f aca="false">IF(A380="","",N(Products!E380))</f>
        <v/>
      </c>
      <c r="I380" s="17" t="str">
        <f aca="false">IF(A380="","",G380*H380)</f>
        <v/>
      </c>
      <c r="J380" s="16" t="str">
        <f aca="false">IF(A380="","",IF(Products!G380="",Settings!$B$8,Products!G380))</f>
        <v/>
      </c>
      <c r="K380" s="16" t="str">
        <f aca="false">IF(A380="","",IF(G380&lt;=0,"OUT",IF(G380&lt;=J380,"LOW","OK")))</f>
        <v/>
      </c>
      <c r="L380" s="16" t="str">
        <f aca="false">IF(A380="","",F380+ROW()/1000000)</f>
        <v/>
      </c>
      <c r="M380" s="16" t="str">
        <f aca="false">IF(OR(K380="LOW",K380="OUT"),COUNTIF($K$2:K380,"LOW")+COUNTIF($K$2:K380,"OUT"),"")</f>
        <v/>
      </c>
    </row>
    <row r="381" customFormat="false" ht="15" hidden="false" customHeight="true" outlineLevel="0" collapsed="false">
      <c r="A381" s="16" t="str">
        <f aca="false">IF(Products!A381="","",Products!A381)</f>
        <v/>
      </c>
      <c r="B381" s="16" t="str">
        <f aca="false">IF($A381="","",INDEX(Products!$B$2:$B$501,ROW()-1))</f>
        <v/>
      </c>
      <c r="C381" s="16" t="str">
        <f aca="false">IF($A381="","",INDEX(Products!$C$2:$C$501,ROW()-1))</f>
        <v/>
      </c>
      <c r="D381" s="16" t="str">
        <f aca="false">IF(A381="","",N(Products!I381))</f>
        <v/>
      </c>
      <c r="E381" s="16" t="str">
        <f aca="false">IF(A381="","",SUMIFS(Purchases!$D$2:$D$2001,Purchases!$B$2:$B$2001,A381))</f>
        <v/>
      </c>
      <c r="F381" s="16" t="str">
        <f aca="false">IF(A381="","",SUMIFS(Sales_Items!$E$2:$E$3001,Sales_Items!$C$2:$C$3001,A381))</f>
        <v/>
      </c>
      <c r="G381" s="16" t="str">
        <f aca="false">IF(A381="","",D381+E381-F381)</f>
        <v/>
      </c>
      <c r="H381" s="17" t="str">
        <f aca="false">IF(A381="","",N(Products!E381))</f>
        <v/>
      </c>
      <c r="I381" s="17" t="str">
        <f aca="false">IF(A381="","",G381*H381)</f>
        <v/>
      </c>
      <c r="J381" s="16" t="str">
        <f aca="false">IF(A381="","",IF(Products!G381="",Settings!$B$8,Products!G381))</f>
        <v/>
      </c>
      <c r="K381" s="16" t="str">
        <f aca="false">IF(A381="","",IF(G381&lt;=0,"OUT",IF(G381&lt;=J381,"LOW","OK")))</f>
        <v/>
      </c>
      <c r="L381" s="16" t="str">
        <f aca="false">IF(A381="","",F381+ROW()/1000000)</f>
        <v/>
      </c>
      <c r="M381" s="16" t="str">
        <f aca="false">IF(OR(K381="LOW",K381="OUT"),COUNTIF($K$2:K381,"LOW")+COUNTIF($K$2:K381,"OUT"),"")</f>
        <v/>
      </c>
    </row>
    <row r="382" customFormat="false" ht="15" hidden="false" customHeight="true" outlineLevel="0" collapsed="false">
      <c r="A382" s="16" t="str">
        <f aca="false">IF(Products!A382="","",Products!A382)</f>
        <v/>
      </c>
      <c r="B382" s="16" t="str">
        <f aca="false">IF($A382="","",INDEX(Products!$B$2:$B$501,ROW()-1))</f>
        <v/>
      </c>
      <c r="C382" s="16" t="str">
        <f aca="false">IF($A382="","",INDEX(Products!$C$2:$C$501,ROW()-1))</f>
        <v/>
      </c>
      <c r="D382" s="16" t="str">
        <f aca="false">IF(A382="","",N(Products!I382))</f>
        <v/>
      </c>
      <c r="E382" s="16" t="str">
        <f aca="false">IF(A382="","",SUMIFS(Purchases!$D$2:$D$2001,Purchases!$B$2:$B$2001,A382))</f>
        <v/>
      </c>
      <c r="F382" s="16" t="str">
        <f aca="false">IF(A382="","",SUMIFS(Sales_Items!$E$2:$E$3001,Sales_Items!$C$2:$C$3001,A382))</f>
        <v/>
      </c>
      <c r="G382" s="16" t="str">
        <f aca="false">IF(A382="","",D382+E382-F382)</f>
        <v/>
      </c>
      <c r="H382" s="17" t="str">
        <f aca="false">IF(A382="","",N(Products!E382))</f>
        <v/>
      </c>
      <c r="I382" s="17" t="str">
        <f aca="false">IF(A382="","",G382*H382)</f>
        <v/>
      </c>
      <c r="J382" s="16" t="str">
        <f aca="false">IF(A382="","",IF(Products!G382="",Settings!$B$8,Products!G382))</f>
        <v/>
      </c>
      <c r="K382" s="16" t="str">
        <f aca="false">IF(A382="","",IF(G382&lt;=0,"OUT",IF(G382&lt;=J382,"LOW","OK")))</f>
        <v/>
      </c>
      <c r="L382" s="16" t="str">
        <f aca="false">IF(A382="","",F382+ROW()/1000000)</f>
        <v/>
      </c>
      <c r="M382" s="16" t="str">
        <f aca="false">IF(OR(K382="LOW",K382="OUT"),COUNTIF($K$2:K382,"LOW")+COUNTIF($K$2:K382,"OUT"),"")</f>
        <v/>
      </c>
    </row>
    <row r="383" customFormat="false" ht="15" hidden="false" customHeight="true" outlineLevel="0" collapsed="false">
      <c r="A383" s="16" t="str">
        <f aca="false">IF(Products!A383="","",Products!A383)</f>
        <v/>
      </c>
      <c r="B383" s="16" t="str">
        <f aca="false">IF($A383="","",INDEX(Products!$B$2:$B$501,ROW()-1))</f>
        <v/>
      </c>
      <c r="C383" s="16" t="str">
        <f aca="false">IF($A383="","",INDEX(Products!$C$2:$C$501,ROW()-1))</f>
        <v/>
      </c>
      <c r="D383" s="16" t="str">
        <f aca="false">IF(A383="","",N(Products!I383))</f>
        <v/>
      </c>
      <c r="E383" s="16" t="str">
        <f aca="false">IF(A383="","",SUMIFS(Purchases!$D$2:$D$2001,Purchases!$B$2:$B$2001,A383))</f>
        <v/>
      </c>
      <c r="F383" s="16" t="str">
        <f aca="false">IF(A383="","",SUMIFS(Sales_Items!$E$2:$E$3001,Sales_Items!$C$2:$C$3001,A383))</f>
        <v/>
      </c>
      <c r="G383" s="16" t="str">
        <f aca="false">IF(A383="","",D383+E383-F383)</f>
        <v/>
      </c>
      <c r="H383" s="17" t="str">
        <f aca="false">IF(A383="","",N(Products!E383))</f>
        <v/>
      </c>
      <c r="I383" s="17" t="str">
        <f aca="false">IF(A383="","",G383*H383)</f>
        <v/>
      </c>
      <c r="J383" s="16" t="str">
        <f aca="false">IF(A383="","",IF(Products!G383="",Settings!$B$8,Products!G383))</f>
        <v/>
      </c>
      <c r="K383" s="16" t="str">
        <f aca="false">IF(A383="","",IF(G383&lt;=0,"OUT",IF(G383&lt;=J383,"LOW","OK")))</f>
        <v/>
      </c>
      <c r="L383" s="16" t="str">
        <f aca="false">IF(A383="","",F383+ROW()/1000000)</f>
        <v/>
      </c>
      <c r="M383" s="16" t="str">
        <f aca="false">IF(OR(K383="LOW",K383="OUT"),COUNTIF($K$2:K383,"LOW")+COUNTIF($K$2:K383,"OUT"),"")</f>
        <v/>
      </c>
    </row>
    <row r="384" customFormat="false" ht="15" hidden="false" customHeight="true" outlineLevel="0" collapsed="false">
      <c r="A384" s="16" t="str">
        <f aca="false">IF(Products!A384="","",Products!A384)</f>
        <v/>
      </c>
      <c r="B384" s="16" t="str">
        <f aca="false">IF($A384="","",INDEX(Products!$B$2:$B$501,ROW()-1))</f>
        <v/>
      </c>
      <c r="C384" s="16" t="str">
        <f aca="false">IF($A384="","",INDEX(Products!$C$2:$C$501,ROW()-1))</f>
        <v/>
      </c>
      <c r="D384" s="16" t="str">
        <f aca="false">IF(A384="","",N(Products!I384))</f>
        <v/>
      </c>
      <c r="E384" s="16" t="str">
        <f aca="false">IF(A384="","",SUMIFS(Purchases!$D$2:$D$2001,Purchases!$B$2:$B$2001,A384))</f>
        <v/>
      </c>
      <c r="F384" s="16" t="str">
        <f aca="false">IF(A384="","",SUMIFS(Sales_Items!$E$2:$E$3001,Sales_Items!$C$2:$C$3001,A384))</f>
        <v/>
      </c>
      <c r="G384" s="16" t="str">
        <f aca="false">IF(A384="","",D384+E384-F384)</f>
        <v/>
      </c>
      <c r="H384" s="17" t="str">
        <f aca="false">IF(A384="","",N(Products!E384))</f>
        <v/>
      </c>
      <c r="I384" s="17" t="str">
        <f aca="false">IF(A384="","",G384*H384)</f>
        <v/>
      </c>
      <c r="J384" s="16" t="str">
        <f aca="false">IF(A384="","",IF(Products!G384="",Settings!$B$8,Products!G384))</f>
        <v/>
      </c>
      <c r="K384" s="16" t="str">
        <f aca="false">IF(A384="","",IF(G384&lt;=0,"OUT",IF(G384&lt;=J384,"LOW","OK")))</f>
        <v/>
      </c>
      <c r="L384" s="16" t="str">
        <f aca="false">IF(A384="","",F384+ROW()/1000000)</f>
        <v/>
      </c>
      <c r="M384" s="16" t="str">
        <f aca="false">IF(OR(K384="LOW",K384="OUT"),COUNTIF($K$2:K384,"LOW")+COUNTIF($K$2:K384,"OUT"),"")</f>
        <v/>
      </c>
    </row>
    <row r="385" customFormat="false" ht="15" hidden="false" customHeight="true" outlineLevel="0" collapsed="false">
      <c r="A385" s="16" t="str">
        <f aca="false">IF(Products!A385="","",Products!A385)</f>
        <v/>
      </c>
      <c r="B385" s="16" t="str">
        <f aca="false">IF($A385="","",INDEX(Products!$B$2:$B$501,ROW()-1))</f>
        <v/>
      </c>
      <c r="C385" s="16" t="str">
        <f aca="false">IF($A385="","",INDEX(Products!$C$2:$C$501,ROW()-1))</f>
        <v/>
      </c>
      <c r="D385" s="16" t="str">
        <f aca="false">IF(A385="","",N(Products!I385))</f>
        <v/>
      </c>
      <c r="E385" s="16" t="str">
        <f aca="false">IF(A385="","",SUMIFS(Purchases!$D$2:$D$2001,Purchases!$B$2:$B$2001,A385))</f>
        <v/>
      </c>
      <c r="F385" s="16" t="str">
        <f aca="false">IF(A385="","",SUMIFS(Sales_Items!$E$2:$E$3001,Sales_Items!$C$2:$C$3001,A385))</f>
        <v/>
      </c>
      <c r="G385" s="16" t="str">
        <f aca="false">IF(A385="","",D385+E385-F385)</f>
        <v/>
      </c>
      <c r="H385" s="17" t="str">
        <f aca="false">IF(A385="","",N(Products!E385))</f>
        <v/>
      </c>
      <c r="I385" s="17" t="str">
        <f aca="false">IF(A385="","",G385*H385)</f>
        <v/>
      </c>
      <c r="J385" s="16" t="str">
        <f aca="false">IF(A385="","",IF(Products!G385="",Settings!$B$8,Products!G385))</f>
        <v/>
      </c>
      <c r="K385" s="16" t="str">
        <f aca="false">IF(A385="","",IF(G385&lt;=0,"OUT",IF(G385&lt;=J385,"LOW","OK")))</f>
        <v/>
      </c>
      <c r="L385" s="16" t="str">
        <f aca="false">IF(A385="","",F385+ROW()/1000000)</f>
        <v/>
      </c>
      <c r="M385" s="16" t="str">
        <f aca="false">IF(OR(K385="LOW",K385="OUT"),COUNTIF($K$2:K385,"LOW")+COUNTIF($K$2:K385,"OUT"),"")</f>
        <v/>
      </c>
    </row>
    <row r="386" customFormat="false" ht="15" hidden="false" customHeight="true" outlineLevel="0" collapsed="false">
      <c r="A386" s="16" t="str">
        <f aca="false">IF(Products!A386="","",Products!A386)</f>
        <v/>
      </c>
      <c r="B386" s="16" t="str">
        <f aca="false">IF($A386="","",INDEX(Products!$B$2:$B$501,ROW()-1))</f>
        <v/>
      </c>
      <c r="C386" s="16" t="str">
        <f aca="false">IF($A386="","",INDEX(Products!$C$2:$C$501,ROW()-1))</f>
        <v/>
      </c>
      <c r="D386" s="16" t="str">
        <f aca="false">IF(A386="","",N(Products!I386))</f>
        <v/>
      </c>
      <c r="E386" s="16" t="str">
        <f aca="false">IF(A386="","",SUMIFS(Purchases!$D$2:$D$2001,Purchases!$B$2:$B$2001,A386))</f>
        <v/>
      </c>
      <c r="F386" s="16" t="str">
        <f aca="false">IF(A386="","",SUMIFS(Sales_Items!$E$2:$E$3001,Sales_Items!$C$2:$C$3001,A386))</f>
        <v/>
      </c>
      <c r="G386" s="16" t="str">
        <f aca="false">IF(A386="","",D386+E386-F386)</f>
        <v/>
      </c>
      <c r="H386" s="17" t="str">
        <f aca="false">IF(A386="","",N(Products!E386))</f>
        <v/>
      </c>
      <c r="I386" s="17" t="str">
        <f aca="false">IF(A386="","",G386*H386)</f>
        <v/>
      </c>
      <c r="J386" s="16" t="str">
        <f aca="false">IF(A386="","",IF(Products!G386="",Settings!$B$8,Products!G386))</f>
        <v/>
      </c>
      <c r="K386" s="16" t="str">
        <f aca="false">IF(A386="","",IF(G386&lt;=0,"OUT",IF(G386&lt;=J386,"LOW","OK")))</f>
        <v/>
      </c>
      <c r="L386" s="16" t="str">
        <f aca="false">IF(A386="","",F386+ROW()/1000000)</f>
        <v/>
      </c>
      <c r="M386" s="16" t="str">
        <f aca="false">IF(OR(K386="LOW",K386="OUT"),COUNTIF($K$2:K386,"LOW")+COUNTIF($K$2:K386,"OUT"),"")</f>
        <v/>
      </c>
    </row>
    <row r="387" customFormat="false" ht="15" hidden="false" customHeight="true" outlineLevel="0" collapsed="false">
      <c r="A387" s="16" t="str">
        <f aca="false">IF(Products!A387="","",Products!A387)</f>
        <v/>
      </c>
      <c r="B387" s="16" t="str">
        <f aca="false">IF($A387="","",INDEX(Products!$B$2:$B$501,ROW()-1))</f>
        <v/>
      </c>
      <c r="C387" s="16" t="str">
        <f aca="false">IF($A387="","",INDEX(Products!$C$2:$C$501,ROW()-1))</f>
        <v/>
      </c>
      <c r="D387" s="16" t="str">
        <f aca="false">IF(A387="","",N(Products!I387))</f>
        <v/>
      </c>
      <c r="E387" s="16" t="str">
        <f aca="false">IF(A387="","",SUMIFS(Purchases!$D$2:$D$2001,Purchases!$B$2:$B$2001,A387))</f>
        <v/>
      </c>
      <c r="F387" s="16" t="str">
        <f aca="false">IF(A387="","",SUMIFS(Sales_Items!$E$2:$E$3001,Sales_Items!$C$2:$C$3001,A387))</f>
        <v/>
      </c>
      <c r="G387" s="16" t="str">
        <f aca="false">IF(A387="","",D387+E387-F387)</f>
        <v/>
      </c>
      <c r="H387" s="17" t="str">
        <f aca="false">IF(A387="","",N(Products!E387))</f>
        <v/>
      </c>
      <c r="I387" s="17" t="str">
        <f aca="false">IF(A387="","",G387*H387)</f>
        <v/>
      </c>
      <c r="J387" s="16" t="str">
        <f aca="false">IF(A387="","",IF(Products!G387="",Settings!$B$8,Products!G387))</f>
        <v/>
      </c>
      <c r="K387" s="16" t="str">
        <f aca="false">IF(A387="","",IF(G387&lt;=0,"OUT",IF(G387&lt;=J387,"LOW","OK")))</f>
        <v/>
      </c>
      <c r="L387" s="16" t="str">
        <f aca="false">IF(A387="","",F387+ROW()/1000000)</f>
        <v/>
      </c>
      <c r="M387" s="16" t="str">
        <f aca="false">IF(OR(K387="LOW",K387="OUT"),COUNTIF($K$2:K387,"LOW")+COUNTIF($K$2:K387,"OUT"),"")</f>
        <v/>
      </c>
    </row>
    <row r="388" customFormat="false" ht="15" hidden="false" customHeight="true" outlineLevel="0" collapsed="false">
      <c r="A388" s="16" t="str">
        <f aca="false">IF(Products!A388="","",Products!A388)</f>
        <v/>
      </c>
      <c r="B388" s="16" t="str">
        <f aca="false">IF($A388="","",INDEX(Products!$B$2:$B$501,ROW()-1))</f>
        <v/>
      </c>
      <c r="C388" s="16" t="str">
        <f aca="false">IF($A388="","",INDEX(Products!$C$2:$C$501,ROW()-1))</f>
        <v/>
      </c>
      <c r="D388" s="16" t="str">
        <f aca="false">IF(A388="","",N(Products!I388))</f>
        <v/>
      </c>
      <c r="E388" s="16" t="str">
        <f aca="false">IF(A388="","",SUMIFS(Purchases!$D$2:$D$2001,Purchases!$B$2:$B$2001,A388))</f>
        <v/>
      </c>
      <c r="F388" s="16" t="str">
        <f aca="false">IF(A388="","",SUMIFS(Sales_Items!$E$2:$E$3001,Sales_Items!$C$2:$C$3001,A388))</f>
        <v/>
      </c>
      <c r="G388" s="16" t="str">
        <f aca="false">IF(A388="","",D388+E388-F388)</f>
        <v/>
      </c>
      <c r="H388" s="17" t="str">
        <f aca="false">IF(A388="","",N(Products!E388))</f>
        <v/>
      </c>
      <c r="I388" s="17" t="str">
        <f aca="false">IF(A388="","",G388*H388)</f>
        <v/>
      </c>
      <c r="J388" s="16" t="str">
        <f aca="false">IF(A388="","",IF(Products!G388="",Settings!$B$8,Products!G388))</f>
        <v/>
      </c>
      <c r="K388" s="16" t="str">
        <f aca="false">IF(A388="","",IF(G388&lt;=0,"OUT",IF(G388&lt;=J388,"LOW","OK")))</f>
        <v/>
      </c>
      <c r="L388" s="16" t="str">
        <f aca="false">IF(A388="","",F388+ROW()/1000000)</f>
        <v/>
      </c>
      <c r="M388" s="16" t="str">
        <f aca="false">IF(OR(K388="LOW",K388="OUT"),COUNTIF($K$2:K388,"LOW")+COUNTIF($K$2:K388,"OUT"),"")</f>
        <v/>
      </c>
    </row>
    <row r="389" customFormat="false" ht="15" hidden="false" customHeight="true" outlineLevel="0" collapsed="false">
      <c r="A389" s="16" t="str">
        <f aca="false">IF(Products!A389="","",Products!A389)</f>
        <v/>
      </c>
      <c r="B389" s="16" t="str">
        <f aca="false">IF($A389="","",INDEX(Products!$B$2:$B$501,ROW()-1))</f>
        <v/>
      </c>
      <c r="C389" s="16" t="str">
        <f aca="false">IF($A389="","",INDEX(Products!$C$2:$C$501,ROW()-1))</f>
        <v/>
      </c>
      <c r="D389" s="16" t="str">
        <f aca="false">IF(A389="","",N(Products!I389))</f>
        <v/>
      </c>
      <c r="E389" s="16" t="str">
        <f aca="false">IF(A389="","",SUMIFS(Purchases!$D$2:$D$2001,Purchases!$B$2:$B$2001,A389))</f>
        <v/>
      </c>
      <c r="F389" s="16" t="str">
        <f aca="false">IF(A389="","",SUMIFS(Sales_Items!$E$2:$E$3001,Sales_Items!$C$2:$C$3001,A389))</f>
        <v/>
      </c>
      <c r="G389" s="16" t="str">
        <f aca="false">IF(A389="","",D389+E389-F389)</f>
        <v/>
      </c>
      <c r="H389" s="17" t="str">
        <f aca="false">IF(A389="","",N(Products!E389))</f>
        <v/>
      </c>
      <c r="I389" s="17" t="str">
        <f aca="false">IF(A389="","",G389*H389)</f>
        <v/>
      </c>
      <c r="J389" s="16" t="str">
        <f aca="false">IF(A389="","",IF(Products!G389="",Settings!$B$8,Products!G389))</f>
        <v/>
      </c>
      <c r="K389" s="16" t="str">
        <f aca="false">IF(A389="","",IF(G389&lt;=0,"OUT",IF(G389&lt;=J389,"LOW","OK")))</f>
        <v/>
      </c>
      <c r="L389" s="16" t="str">
        <f aca="false">IF(A389="","",F389+ROW()/1000000)</f>
        <v/>
      </c>
      <c r="M389" s="16" t="str">
        <f aca="false">IF(OR(K389="LOW",K389="OUT"),COUNTIF($K$2:K389,"LOW")+COUNTIF($K$2:K389,"OUT"),"")</f>
        <v/>
      </c>
    </row>
    <row r="390" customFormat="false" ht="15" hidden="false" customHeight="true" outlineLevel="0" collapsed="false">
      <c r="A390" s="16" t="str">
        <f aca="false">IF(Products!A390="","",Products!A390)</f>
        <v/>
      </c>
      <c r="B390" s="16" t="str">
        <f aca="false">IF($A390="","",INDEX(Products!$B$2:$B$501,ROW()-1))</f>
        <v/>
      </c>
      <c r="C390" s="16" t="str">
        <f aca="false">IF($A390="","",INDEX(Products!$C$2:$C$501,ROW()-1))</f>
        <v/>
      </c>
      <c r="D390" s="16" t="str">
        <f aca="false">IF(A390="","",N(Products!I390))</f>
        <v/>
      </c>
      <c r="E390" s="16" t="str">
        <f aca="false">IF(A390="","",SUMIFS(Purchases!$D$2:$D$2001,Purchases!$B$2:$B$2001,A390))</f>
        <v/>
      </c>
      <c r="F390" s="16" t="str">
        <f aca="false">IF(A390="","",SUMIFS(Sales_Items!$E$2:$E$3001,Sales_Items!$C$2:$C$3001,A390))</f>
        <v/>
      </c>
      <c r="G390" s="16" t="str">
        <f aca="false">IF(A390="","",D390+E390-F390)</f>
        <v/>
      </c>
      <c r="H390" s="17" t="str">
        <f aca="false">IF(A390="","",N(Products!E390))</f>
        <v/>
      </c>
      <c r="I390" s="17" t="str">
        <f aca="false">IF(A390="","",G390*H390)</f>
        <v/>
      </c>
      <c r="J390" s="16" t="str">
        <f aca="false">IF(A390="","",IF(Products!G390="",Settings!$B$8,Products!G390))</f>
        <v/>
      </c>
      <c r="K390" s="16" t="str">
        <f aca="false">IF(A390="","",IF(G390&lt;=0,"OUT",IF(G390&lt;=J390,"LOW","OK")))</f>
        <v/>
      </c>
      <c r="L390" s="16" t="str">
        <f aca="false">IF(A390="","",F390+ROW()/1000000)</f>
        <v/>
      </c>
      <c r="M390" s="16" t="str">
        <f aca="false">IF(OR(K390="LOW",K390="OUT"),COUNTIF($K$2:K390,"LOW")+COUNTIF($K$2:K390,"OUT"),"")</f>
        <v/>
      </c>
    </row>
    <row r="391" customFormat="false" ht="15" hidden="false" customHeight="true" outlineLevel="0" collapsed="false">
      <c r="A391" s="16" t="str">
        <f aca="false">IF(Products!A391="","",Products!A391)</f>
        <v/>
      </c>
      <c r="B391" s="16" t="str">
        <f aca="false">IF($A391="","",INDEX(Products!$B$2:$B$501,ROW()-1))</f>
        <v/>
      </c>
      <c r="C391" s="16" t="str">
        <f aca="false">IF($A391="","",INDEX(Products!$C$2:$C$501,ROW()-1))</f>
        <v/>
      </c>
      <c r="D391" s="16" t="str">
        <f aca="false">IF(A391="","",N(Products!I391))</f>
        <v/>
      </c>
      <c r="E391" s="16" t="str">
        <f aca="false">IF(A391="","",SUMIFS(Purchases!$D$2:$D$2001,Purchases!$B$2:$B$2001,A391))</f>
        <v/>
      </c>
      <c r="F391" s="16" t="str">
        <f aca="false">IF(A391="","",SUMIFS(Sales_Items!$E$2:$E$3001,Sales_Items!$C$2:$C$3001,A391))</f>
        <v/>
      </c>
      <c r="G391" s="16" t="str">
        <f aca="false">IF(A391="","",D391+E391-F391)</f>
        <v/>
      </c>
      <c r="H391" s="17" t="str">
        <f aca="false">IF(A391="","",N(Products!E391))</f>
        <v/>
      </c>
      <c r="I391" s="17" t="str">
        <f aca="false">IF(A391="","",G391*H391)</f>
        <v/>
      </c>
      <c r="J391" s="16" t="str">
        <f aca="false">IF(A391="","",IF(Products!G391="",Settings!$B$8,Products!G391))</f>
        <v/>
      </c>
      <c r="K391" s="16" t="str">
        <f aca="false">IF(A391="","",IF(G391&lt;=0,"OUT",IF(G391&lt;=J391,"LOW","OK")))</f>
        <v/>
      </c>
      <c r="L391" s="16" t="str">
        <f aca="false">IF(A391="","",F391+ROW()/1000000)</f>
        <v/>
      </c>
      <c r="M391" s="16" t="str">
        <f aca="false">IF(OR(K391="LOW",K391="OUT"),COUNTIF($K$2:K391,"LOW")+COUNTIF($K$2:K391,"OUT"),"")</f>
        <v/>
      </c>
    </row>
    <row r="392" customFormat="false" ht="15" hidden="false" customHeight="true" outlineLevel="0" collapsed="false">
      <c r="A392" s="16" t="str">
        <f aca="false">IF(Products!A392="","",Products!A392)</f>
        <v/>
      </c>
      <c r="B392" s="16" t="str">
        <f aca="false">IF($A392="","",INDEX(Products!$B$2:$B$501,ROW()-1))</f>
        <v/>
      </c>
      <c r="C392" s="16" t="str">
        <f aca="false">IF($A392="","",INDEX(Products!$C$2:$C$501,ROW()-1))</f>
        <v/>
      </c>
      <c r="D392" s="16" t="str">
        <f aca="false">IF(A392="","",N(Products!I392))</f>
        <v/>
      </c>
      <c r="E392" s="16" t="str">
        <f aca="false">IF(A392="","",SUMIFS(Purchases!$D$2:$D$2001,Purchases!$B$2:$B$2001,A392))</f>
        <v/>
      </c>
      <c r="F392" s="16" t="str">
        <f aca="false">IF(A392="","",SUMIFS(Sales_Items!$E$2:$E$3001,Sales_Items!$C$2:$C$3001,A392))</f>
        <v/>
      </c>
      <c r="G392" s="16" t="str">
        <f aca="false">IF(A392="","",D392+E392-F392)</f>
        <v/>
      </c>
      <c r="H392" s="17" t="str">
        <f aca="false">IF(A392="","",N(Products!E392))</f>
        <v/>
      </c>
      <c r="I392" s="17" t="str">
        <f aca="false">IF(A392="","",G392*H392)</f>
        <v/>
      </c>
      <c r="J392" s="16" t="str">
        <f aca="false">IF(A392="","",IF(Products!G392="",Settings!$B$8,Products!G392))</f>
        <v/>
      </c>
      <c r="K392" s="16" t="str">
        <f aca="false">IF(A392="","",IF(G392&lt;=0,"OUT",IF(G392&lt;=J392,"LOW","OK")))</f>
        <v/>
      </c>
      <c r="L392" s="16" t="str">
        <f aca="false">IF(A392="","",F392+ROW()/1000000)</f>
        <v/>
      </c>
      <c r="M392" s="16" t="str">
        <f aca="false">IF(OR(K392="LOW",K392="OUT"),COUNTIF($K$2:K392,"LOW")+COUNTIF($K$2:K392,"OUT"),"")</f>
        <v/>
      </c>
    </row>
    <row r="393" customFormat="false" ht="15" hidden="false" customHeight="true" outlineLevel="0" collapsed="false">
      <c r="A393" s="16" t="str">
        <f aca="false">IF(Products!A393="","",Products!A393)</f>
        <v/>
      </c>
      <c r="B393" s="16" t="str">
        <f aca="false">IF($A393="","",INDEX(Products!$B$2:$B$501,ROW()-1))</f>
        <v/>
      </c>
      <c r="C393" s="16" t="str">
        <f aca="false">IF($A393="","",INDEX(Products!$C$2:$C$501,ROW()-1))</f>
        <v/>
      </c>
      <c r="D393" s="16" t="str">
        <f aca="false">IF(A393="","",N(Products!I393))</f>
        <v/>
      </c>
      <c r="E393" s="16" t="str">
        <f aca="false">IF(A393="","",SUMIFS(Purchases!$D$2:$D$2001,Purchases!$B$2:$B$2001,A393))</f>
        <v/>
      </c>
      <c r="F393" s="16" t="str">
        <f aca="false">IF(A393="","",SUMIFS(Sales_Items!$E$2:$E$3001,Sales_Items!$C$2:$C$3001,A393))</f>
        <v/>
      </c>
      <c r="G393" s="16" t="str">
        <f aca="false">IF(A393="","",D393+E393-F393)</f>
        <v/>
      </c>
      <c r="H393" s="17" t="str">
        <f aca="false">IF(A393="","",N(Products!E393))</f>
        <v/>
      </c>
      <c r="I393" s="17" t="str">
        <f aca="false">IF(A393="","",G393*H393)</f>
        <v/>
      </c>
      <c r="J393" s="16" t="str">
        <f aca="false">IF(A393="","",IF(Products!G393="",Settings!$B$8,Products!G393))</f>
        <v/>
      </c>
      <c r="K393" s="16" t="str">
        <f aca="false">IF(A393="","",IF(G393&lt;=0,"OUT",IF(G393&lt;=J393,"LOW","OK")))</f>
        <v/>
      </c>
      <c r="L393" s="16" t="str">
        <f aca="false">IF(A393="","",F393+ROW()/1000000)</f>
        <v/>
      </c>
      <c r="M393" s="16" t="str">
        <f aca="false">IF(OR(K393="LOW",K393="OUT"),COUNTIF($K$2:K393,"LOW")+COUNTIF($K$2:K393,"OUT"),"")</f>
        <v/>
      </c>
    </row>
    <row r="394" customFormat="false" ht="15" hidden="false" customHeight="true" outlineLevel="0" collapsed="false">
      <c r="A394" s="16" t="str">
        <f aca="false">IF(Products!A394="","",Products!A394)</f>
        <v/>
      </c>
      <c r="B394" s="16" t="str">
        <f aca="false">IF($A394="","",INDEX(Products!$B$2:$B$501,ROW()-1))</f>
        <v/>
      </c>
      <c r="C394" s="16" t="str">
        <f aca="false">IF($A394="","",INDEX(Products!$C$2:$C$501,ROW()-1))</f>
        <v/>
      </c>
      <c r="D394" s="16" t="str">
        <f aca="false">IF(A394="","",N(Products!I394))</f>
        <v/>
      </c>
      <c r="E394" s="16" t="str">
        <f aca="false">IF(A394="","",SUMIFS(Purchases!$D$2:$D$2001,Purchases!$B$2:$B$2001,A394))</f>
        <v/>
      </c>
      <c r="F394" s="16" t="str">
        <f aca="false">IF(A394="","",SUMIFS(Sales_Items!$E$2:$E$3001,Sales_Items!$C$2:$C$3001,A394))</f>
        <v/>
      </c>
      <c r="G394" s="16" t="str">
        <f aca="false">IF(A394="","",D394+E394-F394)</f>
        <v/>
      </c>
      <c r="H394" s="17" t="str">
        <f aca="false">IF(A394="","",N(Products!E394))</f>
        <v/>
      </c>
      <c r="I394" s="17" t="str">
        <f aca="false">IF(A394="","",G394*H394)</f>
        <v/>
      </c>
      <c r="J394" s="16" t="str">
        <f aca="false">IF(A394="","",IF(Products!G394="",Settings!$B$8,Products!G394))</f>
        <v/>
      </c>
      <c r="K394" s="16" t="str">
        <f aca="false">IF(A394="","",IF(G394&lt;=0,"OUT",IF(G394&lt;=J394,"LOW","OK")))</f>
        <v/>
      </c>
      <c r="L394" s="16" t="str">
        <f aca="false">IF(A394="","",F394+ROW()/1000000)</f>
        <v/>
      </c>
      <c r="M394" s="16" t="str">
        <f aca="false">IF(OR(K394="LOW",K394="OUT"),COUNTIF($K$2:K394,"LOW")+COUNTIF($K$2:K394,"OUT"),"")</f>
        <v/>
      </c>
    </row>
    <row r="395" customFormat="false" ht="15" hidden="false" customHeight="true" outlineLevel="0" collapsed="false">
      <c r="A395" s="16" t="str">
        <f aca="false">IF(Products!A395="","",Products!A395)</f>
        <v/>
      </c>
      <c r="B395" s="16" t="str">
        <f aca="false">IF($A395="","",INDEX(Products!$B$2:$B$501,ROW()-1))</f>
        <v/>
      </c>
      <c r="C395" s="16" t="str">
        <f aca="false">IF($A395="","",INDEX(Products!$C$2:$C$501,ROW()-1))</f>
        <v/>
      </c>
      <c r="D395" s="16" t="str">
        <f aca="false">IF(A395="","",N(Products!I395))</f>
        <v/>
      </c>
      <c r="E395" s="16" t="str">
        <f aca="false">IF(A395="","",SUMIFS(Purchases!$D$2:$D$2001,Purchases!$B$2:$B$2001,A395))</f>
        <v/>
      </c>
      <c r="F395" s="16" t="str">
        <f aca="false">IF(A395="","",SUMIFS(Sales_Items!$E$2:$E$3001,Sales_Items!$C$2:$C$3001,A395))</f>
        <v/>
      </c>
      <c r="G395" s="16" t="str">
        <f aca="false">IF(A395="","",D395+E395-F395)</f>
        <v/>
      </c>
      <c r="H395" s="17" t="str">
        <f aca="false">IF(A395="","",N(Products!E395))</f>
        <v/>
      </c>
      <c r="I395" s="17" t="str">
        <f aca="false">IF(A395="","",G395*H395)</f>
        <v/>
      </c>
      <c r="J395" s="16" t="str">
        <f aca="false">IF(A395="","",IF(Products!G395="",Settings!$B$8,Products!G395))</f>
        <v/>
      </c>
      <c r="K395" s="16" t="str">
        <f aca="false">IF(A395="","",IF(G395&lt;=0,"OUT",IF(G395&lt;=J395,"LOW","OK")))</f>
        <v/>
      </c>
      <c r="L395" s="16" t="str">
        <f aca="false">IF(A395="","",F395+ROW()/1000000)</f>
        <v/>
      </c>
      <c r="M395" s="16" t="str">
        <f aca="false">IF(OR(K395="LOW",K395="OUT"),COUNTIF($K$2:K395,"LOW")+COUNTIF($K$2:K395,"OUT"),"")</f>
        <v/>
      </c>
    </row>
    <row r="396" customFormat="false" ht="15" hidden="false" customHeight="true" outlineLevel="0" collapsed="false">
      <c r="A396" s="16" t="str">
        <f aca="false">IF(Products!A396="","",Products!A396)</f>
        <v/>
      </c>
      <c r="B396" s="16" t="str">
        <f aca="false">IF($A396="","",INDEX(Products!$B$2:$B$501,ROW()-1))</f>
        <v/>
      </c>
      <c r="C396" s="16" t="str">
        <f aca="false">IF($A396="","",INDEX(Products!$C$2:$C$501,ROW()-1))</f>
        <v/>
      </c>
      <c r="D396" s="16" t="str">
        <f aca="false">IF(A396="","",N(Products!I396))</f>
        <v/>
      </c>
      <c r="E396" s="16" t="str">
        <f aca="false">IF(A396="","",SUMIFS(Purchases!$D$2:$D$2001,Purchases!$B$2:$B$2001,A396))</f>
        <v/>
      </c>
      <c r="F396" s="16" t="str">
        <f aca="false">IF(A396="","",SUMIFS(Sales_Items!$E$2:$E$3001,Sales_Items!$C$2:$C$3001,A396))</f>
        <v/>
      </c>
      <c r="G396" s="16" t="str">
        <f aca="false">IF(A396="","",D396+E396-F396)</f>
        <v/>
      </c>
      <c r="H396" s="17" t="str">
        <f aca="false">IF(A396="","",N(Products!E396))</f>
        <v/>
      </c>
      <c r="I396" s="17" t="str">
        <f aca="false">IF(A396="","",G396*H396)</f>
        <v/>
      </c>
      <c r="J396" s="16" t="str">
        <f aca="false">IF(A396="","",IF(Products!G396="",Settings!$B$8,Products!G396))</f>
        <v/>
      </c>
      <c r="K396" s="16" t="str">
        <f aca="false">IF(A396="","",IF(G396&lt;=0,"OUT",IF(G396&lt;=J396,"LOW","OK")))</f>
        <v/>
      </c>
      <c r="L396" s="16" t="str">
        <f aca="false">IF(A396="","",F396+ROW()/1000000)</f>
        <v/>
      </c>
      <c r="M396" s="16" t="str">
        <f aca="false">IF(OR(K396="LOW",K396="OUT"),COUNTIF($K$2:K396,"LOW")+COUNTIF($K$2:K396,"OUT"),"")</f>
        <v/>
      </c>
    </row>
    <row r="397" customFormat="false" ht="15" hidden="false" customHeight="true" outlineLevel="0" collapsed="false">
      <c r="A397" s="16" t="str">
        <f aca="false">IF(Products!A397="","",Products!A397)</f>
        <v/>
      </c>
      <c r="B397" s="16" t="str">
        <f aca="false">IF($A397="","",INDEX(Products!$B$2:$B$501,ROW()-1))</f>
        <v/>
      </c>
      <c r="C397" s="16" t="str">
        <f aca="false">IF($A397="","",INDEX(Products!$C$2:$C$501,ROW()-1))</f>
        <v/>
      </c>
      <c r="D397" s="16" t="str">
        <f aca="false">IF(A397="","",N(Products!I397))</f>
        <v/>
      </c>
      <c r="E397" s="16" t="str">
        <f aca="false">IF(A397="","",SUMIFS(Purchases!$D$2:$D$2001,Purchases!$B$2:$B$2001,A397))</f>
        <v/>
      </c>
      <c r="F397" s="16" t="str">
        <f aca="false">IF(A397="","",SUMIFS(Sales_Items!$E$2:$E$3001,Sales_Items!$C$2:$C$3001,A397))</f>
        <v/>
      </c>
      <c r="G397" s="16" t="str">
        <f aca="false">IF(A397="","",D397+E397-F397)</f>
        <v/>
      </c>
      <c r="H397" s="17" t="str">
        <f aca="false">IF(A397="","",N(Products!E397))</f>
        <v/>
      </c>
      <c r="I397" s="17" t="str">
        <f aca="false">IF(A397="","",G397*H397)</f>
        <v/>
      </c>
      <c r="J397" s="16" t="str">
        <f aca="false">IF(A397="","",IF(Products!G397="",Settings!$B$8,Products!G397))</f>
        <v/>
      </c>
      <c r="K397" s="16" t="str">
        <f aca="false">IF(A397="","",IF(G397&lt;=0,"OUT",IF(G397&lt;=J397,"LOW","OK")))</f>
        <v/>
      </c>
      <c r="L397" s="16" t="str">
        <f aca="false">IF(A397="","",F397+ROW()/1000000)</f>
        <v/>
      </c>
      <c r="M397" s="16" t="str">
        <f aca="false">IF(OR(K397="LOW",K397="OUT"),COUNTIF($K$2:K397,"LOW")+COUNTIF($K$2:K397,"OUT"),"")</f>
        <v/>
      </c>
    </row>
    <row r="398" customFormat="false" ht="15" hidden="false" customHeight="true" outlineLevel="0" collapsed="false">
      <c r="A398" s="16" t="str">
        <f aca="false">IF(Products!A398="","",Products!A398)</f>
        <v/>
      </c>
      <c r="B398" s="16" t="str">
        <f aca="false">IF($A398="","",INDEX(Products!$B$2:$B$501,ROW()-1))</f>
        <v/>
      </c>
      <c r="C398" s="16" t="str">
        <f aca="false">IF($A398="","",INDEX(Products!$C$2:$C$501,ROW()-1))</f>
        <v/>
      </c>
      <c r="D398" s="16" t="str">
        <f aca="false">IF(A398="","",N(Products!I398))</f>
        <v/>
      </c>
      <c r="E398" s="16" t="str">
        <f aca="false">IF(A398="","",SUMIFS(Purchases!$D$2:$D$2001,Purchases!$B$2:$B$2001,A398))</f>
        <v/>
      </c>
      <c r="F398" s="16" t="str">
        <f aca="false">IF(A398="","",SUMIFS(Sales_Items!$E$2:$E$3001,Sales_Items!$C$2:$C$3001,A398))</f>
        <v/>
      </c>
      <c r="G398" s="16" t="str">
        <f aca="false">IF(A398="","",D398+E398-F398)</f>
        <v/>
      </c>
      <c r="H398" s="17" t="str">
        <f aca="false">IF(A398="","",N(Products!E398))</f>
        <v/>
      </c>
      <c r="I398" s="17" t="str">
        <f aca="false">IF(A398="","",G398*H398)</f>
        <v/>
      </c>
      <c r="J398" s="16" t="str">
        <f aca="false">IF(A398="","",IF(Products!G398="",Settings!$B$8,Products!G398))</f>
        <v/>
      </c>
      <c r="K398" s="16" t="str">
        <f aca="false">IF(A398="","",IF(G398&lt;=0,"OUT",IF(G398&lt;=J398,"LOW","OK")))</f>
        <v/>
      </c>
      <c r="L398" s="16" t="str">
        <f aca="false">IF(A398="","",F398+ROW()/1000000)</f>
        <v/>
      </c>
      <c r="M398" s="16" t="str">
        <f aca="false">IF(OR(K398="LOW",K398="OUT"),COUNTIF($K$2:K398,"LOW")+COUNTIF($K$2:K398,"OUT"),"")</f>
        <v/>
      </c>
    </row>
    <row r="399" customFormat="false" ht="15" hidden="false" customHeight="true" outlineLevel="0" collapsed="false">
      <c r="A399" s="16" t="str">
        <f aca="false">IF(Products!A399="","",Products!A399)</f>
        <v/>
      </c>
      <c r="B399" s="16" t="str">
        <f aca="false">IF($A399="","",INDEX(Products!$B$2:$B$501,ROW()-1))</f>
        <v/>
      </c>
      <c r="C399" s="16" t="str">
        <f aca="false">IF($A399="","",INDEX(Products!$C$2:$C$501,ROW()-1))</f>
        <v/>
      </c>
      <c r="D399" s="16" t="str">
        <f aca="false">IF(A399="","",N(Products!I399))</f>
        <v/>
      </c>
      <c r="E399" s="16" t="str">
        <f aca="false">IF(A399="","",SUMIFS(Purchases!$D$2:$D$2001,Purchases!$B$2:$B$2001,A399))</f>
        <v/>
      </c>
      <c r="F399" s="16" t="str">
        <f aca="false">IF(A399="","",SUMIFS(Sales_Items!$E$2:$E$3001,Sales_Items!$C$2:$C$3001,A399))</f>
        <v/>
      </c>
      <c r="G399" s="16" t="str">
        <f aca="false">IF(A399="","",D399+E399-F399)</f>
        <v/>
      </c>
      <c r="H399" s="17" t="str">
        <f aca="false">IF(A399="","",N(Products!E399))</f>
        <v/>
      </c>
      <c r="I399" s="17" t="str">
        <f aca="false">IF(A399="","",G399*H399)</f>
        <v/>
      </c>
      <c r="J399" s="16" t="str">
        <f aca="false">IF(A399="","",IF(Products!G399="",Settings!$B$8,Products!G399))</f>
        <v/>
      </c>
      <c r="K399" s="16" t="str">
        <f aca="false">IF(A399="","",IF(G399&lt;=0,"OUT",IF(G399&lt;=J399,"LOW","OK")))</f>
        <v/>
      </c>
      <c r="L399" s="16" t="str">
        <f aca="false">IF(A399="","",F399+ROW()/1000000)</f>
        <v/>
      </c>
      <c r="M399" s="16" t="str">
        <f aca="false">IF(OR(K399="LOW",K399="OUT"),COUNTIF($K$2:K399,"LOW")+COUNTIF($K$2:K399,"OUT"),"")</f>
        <v/>
      </c>
    </row>
    <row r="400" customFormat="false" ht="15" hidden="false" customHeight="true" outlineLevel="0" collapsed="false">
      <c r="A400" s="16" t="str">
        <f aca="false">IF(Products!A400="","",Products!A400)</f>
        <v/>
      </c>
      <c r="B400" s="16" t="str">
        <f aca="false">IF($A400="","",INDEX(Products!$B$2:$B$501,ROW()-1))</f>
        <v/>
      </c>
      <c r="C400" s="16" t="str">
        <f aca="false">IF($A400="","",INDEX(Products!$C$2:$C$501,ROW()-1))</f>
        <v/>
      </c>
      <c r="D400" s="16" t="str">
        <f aca="false">IF(A400="","",N(Products!I400))</f>
        <v/>
      </c>
      <c r="E400" s="16" t="str">
        <f aca="false">IF(A400="","",SUMIFS(Purchases!$D$2:$D$2001,Purchases!$B$2:$B$2001,A400))</f>
        <v/>
      </c>
      <c r="F400" s="16" t="str">
        <f aca="false">IF(A400="","",SUMIFS(Sales_Items!$E$2:$E$3001,Sales_Items!$C$2:$C$3001,A400))</f>
        <v/>
      </c>
      <c r="G400" s="16" t="str">
        <f aca="false">IF(A400="","",D400+E400-F400)</f>
        <v/>
      </c>
      <c r="H400" s="17" t="str">
        <f aca="false">IF(A400="","",N(Products!E400))</f>
        <v/>
      </c>
      <c r="I400" s="17" t="str">
        <f aca="false">IF(A400="","",G400*H400)</f>
        <v/>
      </c>
      <c r="J400" s="16" t="str">
        <f aca="false">IF(A400="","",IF(Products!G400="",Settings!$B$8,Products!G400))</f>
        <v/>
      </c>
      <c r="K400" s="16" t="str">
        <f aca="false">IF(A400="","",IF(G400&lt;=0,"OUT",IF(G400&lt;=J400,"LOW","OK")))</f>
        <v/>
      </c>
      <c r="L400" s="16" t="str">
        <f aca="false">IF(A400="","",F400+ROW()/1000000)</f>
        <v/>
      </c>
      <c r="M400" s="16" t="str">
        <f aca="false">IF(OR(K400="LOW",K400="OUT"),COUNTIF($K$2:K400,"LOW")+COUNTIF($K$2:K400,"OUT"),"")</f>
        <v/>
      </c>
    </row>
    <row r="401" customFormat="false" ht="15" hidden="false" customHeight="true" outlineLevel="0" collapsed="false">
      <c r="A401" s="16" t="str">
        <f aca="false">IF(Products!A401="","",Products!A401)</f>
        <v/>
      </c>
      <c r="B401" s="16" t="str">
        <f aca="false">IF($A401="","",INDEX(Products!$B$2:$B$501,ROW()-1))</f>
        <v/>
      </c>
      <c r="C401" s="16" t="str">
        <f aca="false">IF($A401="","",INDEX(Products!$C$2:$C$501,ROW()-1))</f>
        <v/>
      </c>
      <c r="D401" s="16" t="str">
        <f aca="false">IF(A401="","",N(Products!I401))</f>
        <v/>
      </c>
      <c r="E401" s="16" t="str">
        <f aca="false">IF(A401="","",SUMIFS(Purchases!$D$2:$D$2001,Purchases!$B$2:$B$2001,A401))</f>
        <v/>
      </c>
      <c r="F401" s="16" t="str">
        <f aca="false">IF(A401="","",SUMIFS(Sales_Items!$E$2:$E$3001,Sales_Items!$C$2:$C$3001,A401))</f>
        <v/>
      </c>
      <c r="G401" s="16" t="str">
        <f aca="false">IF(A401="","",D401+E401-F401)</f>
        <v/>
      </c>
      <c r="H401" s="17" t="str">
        <f aca="false">IF(A401="","",N(Products!E401))</f>
        <v/>
      </c>
      <c r="I401" s="17" t="str">
        <f aca="false">IF(A401="","",G401*H401)</f>
        <v/>
      </c>
      <c r="J401" s="16" t="str">
        <f aca="false">IF(A401="","",IF(Products!G401="",Settings!$B$8,Products!G401))</f>
        <v/>
      </c>
      <c r="K401" s="16" t="str">
        <f aca="false">IF(A401="","",IF(G401&lt;=0,"OUT",IF(G401&lt;=J401,"LOW","OK")))</f>
        <v/>
      </c>
      <c r="L401" s="16" t="str">
        <f aca="false">IF(A401="","",F401+ROW()/1000000)</f>
        <v/>
      </c>
      <c r="M401" s="16" t="str">
        <f aca="false">IF(OR(K401="LOW",K401="OUT"),COUNTIF($K$2:K401,"LOW")+COUNTIF($K$2:K401,"OUT"),"")</f>
        <v/>
      </c>
    </row>
    <row r="402" customFormat="false" ht="15" hidden="false" customHeight="true" outlineLevel="0" collapsed="false">
      <c r="A402" s="16" t="str">
        <f aca="false">IF(Products!A402="","",Products!A402)</f>
        <v/>
      </c>
      <c r="B402" s="16" t="str">
        <f aca="false">IF($A402="","",INDEX(Products!$B$2:$B$501,ROW()-1))</f>
        <v/>
      </c>
      <c r="C402" s="16" t="str">
        <f aca="false">IF($A402="","",INDEX(Products!$C$2:$C$501,ROW()-1))</f>
        <v/>
      </c>
      <c r="D402" s="16" t="str">
        <f aca="false">IF(A402="","",N(Products!I402))</f>
        <v/>
      </c>
      <c r="E402" s="16" t="str">
        <f aca="false">IF(A402="","",SUMIFS(Purchases!$D$2:$D$2001,Purchases!$B$2:$B$2001,A402))</f>
        <v/>
      </c>
      <c r="F402" s="16" t="str">
        <f aca="false">IF(A402="","",SUMIFS(Sales_Items!$E$2:$E$3001,Sales_Items!$C$2:$C$3001,A402))</f>
        <v/>
      </c>
      <c r="G402" s="16" t="str">
        <f aca="false">IF(A402="","",D402+E402-F402)</f>
        <v/>
      </c>
      <c r="H402" s="17" t="str">
        <f aca="false">IF(A402="","",N(Products!E402))</f>
        <v/>
      </c>
      <c r="I402" s="17" t="str">
        <f aca="false">IF(A402="","",G402*H402)</f>
        <v/>
      </c>
      <c r="J402" s="16" t="str">
        <f aca="false">IF(A402="","",IF(Products!G402="",Settings!$B$8,Products!G402))</f>
        <v/>
      </c>
      <c r="K402" s="16" t="str">
        <f aca="false">IF(A402="","",IF(G402&lt;=0,"OUT",IF(G402&lt;=J402,"LOW","OK")))</f>
        <v/>
      </c>
      <c r="L402" s="16" t="str">
        <f aca="false">IF(A402="","",F402+ROW()/1000000)</f>
        <v/>
      </c>
      <c r="M402" s="16" t="str">
        <f aca="false">IF(OR(K402="LOW",K402="OUT"),COUNTIF($K$2:K402,"LOW")+COUNTIF($K$2:K402,"OUT"),"")</f>
        <v/>
      </c>
    </row>
    <row r="403" customFormat="false" ht="15" hidden="false" customHeight="true" outlineLevel="0" collapsed="false">
      <c r="A403" s="16" t="str">
        <f aca="false">IF(Products!A403="","",Products!A403)</f>
        <v/>
      </c>
      <c r="B403" s="16" t="str">
        <f aca="false">IF($A403="","",INDEX(Products!$B$2:$B$501,ROW()-1))</f>
        <v/>
      </c>
      <c r="C403" s="16" t="str">
        <f aca="false">IF($A403="","",INDEX(Products!$C$2:$C$501,ROW()-1))</f>
        <v/>
      </c>
      <c r="D403" s="16" t="str">
        <f aca="false">IF(A403="","",N(Products!I403))</f>
        <v/>
      </c>
      <c r="E403" s="16" t="str">
        <f aca="false">IF(A403="","",SUMIFS(Purchases!$D$2:$D$2001,Purchases!$B$2:$B$2001,A403))</f>
        <v/>
      </c>
      <c r="F403" s="16" t="str">
        <f aca="false">IF(A403="","",SUMIFS(Sales_Items!$E$2:$E$3001,Sales_Items!$C$2:$C$3001,A403))</f>
        <v/>
      </c>
      <c r="G403" s="16" t="str">
        <f aca="false">IF(A403="","",D403+E403-F403)</f>
        <v/>
      </c>
      <c r="H403" s="17" t="str">
        <f aca="false">IF(A403="","",N(Products!E403))</f>
        <v/>
      </c>
      <c r="I403" s="17" t="str">
        <f aca="false">IF(A403="","",G403*H403)</f>
        <v/>
      </c>
      <c r="J403" s="16" t="str">
        <f aca="false">IF(A403="","",IF(Products!G403="",Settings!$B$8,Products!G403))</f>
        <v/>
      </c>
      <c r="K403" s="16" t="str">
        <f aca="false">IF(A403="","",IF(G403&lt;=0,"OUT",IF(G403&lt;=J403,"LOW","OK")))</f>
        <v/>
      </c>
      <c r="L403" s="16" t="str">
        <f aca="false">IF(A403="","",F403+ROW()/1000000)</f>
        <v/>
      </c>
      <c r="M403" s="16" t="str">
        <f aca="false">IF(OR(K403="LOW",K403="OUT"),COUNTIF($K$2:K403,"LOW")+COUNTIF($K$2:K403,"OUT"),"")</f>
        <v/>
      </c>
    </row>
    <row r="404" customFormat="false" ht="15" hidden="false" customHeight="true" outlineLevel="0" collapsed="false">
      <c r="A404" s="16" t="str">
        <f aca="false">IF(Products!A404="","",Products!A404)</f>
        <v/>
      </c>
      <c r="B404" s="16" t="str">
        <f aca="false">IF($A404="","",INDEX(Products!$B$2:$B$501,ROW()-1))</f>
        <v/>
      </c>
      <c r="C404" s="16" t="str">
        <f aca="false">IF($A404="","",INDEX(Products!$C$2:$C$501,ROW()-1))</f>
        <v/>
      </c>
      <c r="D404" s="16" t="str">
        <f aca="false">IF(A404="","",N(Products!I404))</f>
        <v/>
      </c>
      <c r="E404" s="16" t="str">
        <f aca="false">IF(A404="","",SUMIFS(Purchases!$D$2:$D$2001,Purchases!$B$2:$B$2001,A404))</f>
        <v/>
      </c>
      <c r="F404" s="16" t="str">
        <f aca="false">IF(A404="","",SUMIFS(Sales_Items!$E$2:$E$3001,Sales_Items!$C$2:$C$3001,A404))</f>
        <v/>
      </c>
      <c r="G404" s="16" t="str">
        <f aca="false">IF(A404="","",D404+E404-F404)</f>
        <v/>
      </c>
      <c r="H404" s="17" t="str">
        <f aca="false">IF(A404="","",N(Products!E404))</f>
        <v/>
      </c>
      <c r="I404" s="17" t="str">
        <f aca="false">IF(A404="","",G404*H404)</f>
        <v/>
      </c>
      <c r="J404" s="16" t="str">
        <f aca="false">IF(A404="","",IF(Products!G404="",Settings!$B$8,Products!G404))</f>
        <v/>
      </c>
      <c r="K404" s="16" t="str">
        <f aca="false">IF(A404="","",IF(G404&lt;=0,"OUT",IF(G404&lt;=J404,"LOW","OK")))</f>
        <v/>
      </c>
      <c r="L404" s="16" t="str">
        <f aca="false">IF(A404="","",F404+ROW()/1000000)</f>
        <v/>
      </c>
      <c r="M404" s="16" t="str">
        <f aca="false">IF(OR(K404="LOW",K404="OUT"),COUNTIF($K$2:K404,"LOW")+COUNTIF($K$2:K404,"OUT"),"")</f>
        <v/>
      </c>
    </row>
    <row r="405" customFormat="false" ht="15" hidden="false" customHeight="true" outlineLevel="0" collapsed="false">
      <c r="A405" s="16" t="str">
        <f aca="false">IF(Products!A405="","",Products!A405)</f>
        <v/>
      </c>
      <c r="B405" s="16" t="str">
        <f aca="false">IF($A405="","",INDEX(Products!$B$2:$B$501,ROW()-1))</f>
        <v/>
      </c>
      <c r="C405" s="16" t="str">
        <f aca="false">IF($A405="","",INDEX(Products!$C$2:$C$501,ROW()-1))</f>
        <v/>
      </c>
      <c r="D405" s="16" t="str">
        <f aca="false">IF(A405="","",N(Products!I405))</f>
        <v/>
      </c>
      <c r="E405" s="16" t="str">
        <f aca="false">IF(A405="","",SUMIFS(Purchases!$D$2:$D$2001,Purchases!$B$2:$B$2001,A405))</f>
        <v/>
      </c>
      <c r="F405" s="16" t="str">
        <f aca="false">IF(A405="","",SUMIFS(Sales_Items!$E$2:$E$3001,Sales_Items!$C$2:$C$3001,A405))</f>
        <v/>
      </c>
      <c r="G405" s="16" t="str">
        <f aca="false">IF(A405="","",D405+E405-F405)</f>
        <v/>
      </c>
      <c r="H405" s="17" t="str">
        <f aca="false">IF(A405="","",N(Products!E405))</f>
        <v/>
      </c>
      <c r="I405" s="17" t="str">
        <f aca="false">IF(A405="","",G405*H405)</f>
        <v/>
      </c>
      <c r="J405" s="16" t="str">
        <f aca="false">IF(A405="","",IF(Products!G405="",Settings!$B$8,Products!G405))</f>
        <v/>
      </c>
      <c r="K405" s="16" t="str">
        <f aca="false">IF(A405="","",IF(G405&lt;=0,"OUT",IF(G405&lt;=J405,"LOW","OK")))</f>
        <v/>
      </c>
      <c r="L405" s="16" t="str">
        <f aca="false">IF(A405="","",F405+ROW()/1000000)</f>
        <v/>
      </c>
      <c r="M405" s="16" t="str">
        <f aca="false">IF(OR(K405="LOW",K405="OUT"),COUNTIF($K$2:K405,"LOW")+COUNTIF($K$2:K405,"OUT"),"")</f>
        <v/>
      </c>
    </row>
    <row r="406" customFormat="false" ht="15" hidden="false" customHeight="true" outlineLevel="0" collapsed="false">
      <c r="A406" s="16" t="str">
        <f aca="false">IF(Products!A406="","",Products!A406)</f>
        <v/>
      </c>
      <c r="B406" s="16" t="str">
        <f aca="false">IF($A406="","",INDEX(Products!$B$2:$B$501,ROW()-1))</f>
        <v/>
      </c>
      <c r="C406" s="16" t="str">
        <f aca="false">IF($A406="","",INDEX(Products!$C$2:$C$501,ROW()-1))</f>
        <v/>
      </c>
      <c r="D406" s="16" t="str">
        <f aca="false">IF(A406="","",N(Products!I406))</f>
        <v/>
      </c>
      <c r="E406" s="16" t="str">
        <f aca="false">IF(A406="","",SUMIFS(Purchases!$D$2:$D$2001,Purchases!$B$2:$B$2001,A406))</f>
        <v/>
      </c>
      <c r="F406" s="16" t="str">
        <f aca="false">IF(A406="","",SUMIFS(Sales_Items!$E$2:$E$3001,Sales_Items!$C$2:$C$3001,A406))</f>
        <v/>
      </c>
      <c r="G406" s="16" t="str">
        <f aca="false">IF(A406="","",D406+E406-F406)</f>
        <v/>
      </c>
      <c r="H406" s="17" t="str">
        <f aca="false">IF(A406="","",N(Products!E406))</f>
        <v/>
      </c>
      <c r="I406" s="17" t="str">
        <f aca="false">IF(A406="","",G406*H406)</f>
        <v/>
      </c>
      <c r="J406" s="16" t="str">
        <f aca="false">IF(A406="","",IF(Products!G406="",Settings!$B$8,Products!G406))</f>
        <v/>
      </c>
      <c r="K406" s="16" t="str">
        <f aca="false">IF(A406="","",IF(G406&lt;=0,"OUT",IF(G406&lt;=J406,"LOW","OK")))</f>
        <v/>
      </c>
      <c r="L406" s="16" t="str">
        <f aca="false">IF(A406="","",F406+ROW()/1000000)</f>
        <v/>
      </c>
      <c r="M406" s="16" t="str">
        <f aca="false">IF(OR(K406="LOW",K406="OUT"),COUNTIF($K$2:K406,"LOW")+COUNTIF($K$2:K406,"OUT"),"")</f>
        <v/>
      </c>
    </row>
    <row r="407" customFormat="false" ht="15" hidden="false" customHeight="true" outlineLevel="0" collapsed="false">
      <c r="A407" s="16" t="str">
        <f aca="false">IF(Products!A407="","",Products!A407)</f>
        <v/>
      </c>
      <c r="B407" s="16" t="str">
        <f aca="false">IF($A407="","",INDEX(Products!$B$2:$B$501,ROW()-1))</f>
        <v/>
      </c>
      <c r="C407" s="16" t="str">
        <f aca="false">IF($A407="","",INDEX(Products!$C$2:$C$501,ROW()-1))</f>
        <v/>
      </c>
      <c r="D407" s="16" t="str">
        <f aca="false">IF(A407="","",N(Products!I407))</f>
        <v/>
      </c>
      <c r="E407" s="16" t="str">
        <f aca="false">IF(A407="","",SUMIFS(Purchases!$D$2:$D$2001,Purchases!$B$2:$B$2001,A407))</f>
        <v/>
      </c>
      <c r="F407" s="16" t="str">
        <f aca="false">IF(A407="","",SUMIFS(Sales_Items!$E$2:$E$3001,Sales_Items!$C$2:$C$3001,A407))</f>
        <v/>
      </c>
      <c r="G407" s="16" t="str">
        <f aca="false">IF(A407="","",D407+E407-F407)</f>
        <v/>
      </c>
      <c r="H407" s="17" t="str">
        <f aca="false">IF(A407="","",N(Products!E407))</f>
        <v/>
      </c>
      <c r="I407" s="17" t="str">
        <f aca="false">IF(A407="","",G407*H407)</f>
        <v/>
      </c>
      <c r="J407" s="16" t="str">
        <f aca="false">IF(A407="","",IF(Products!G407="",Settings!$B$8,Products!G407))</f>
        <v/>
      </c>
      <c r="K407" s="16" t="str">
        <f aca="false">IF(A407="","",IF(G407&lt;=0,"OUT",IF(G407&lt;=J407,"LOW","OK")))</f>
        <v/>
      </c>
      <c r="L407" s="16" t="str">
        <f aca="false">IF(A407="","",F407+ROW()/1000000)</f>
        <v/>
      </c>
      <c r="M407" s="16" t="str">
        <f aca="false">IF(OR(K407="LOW",K407="OUT"),COUNTIF($K$2:K407,"LOW")+COUNTIF($K$2:K407,"OUT"),"")</f>
        <v/>
      </c>
    </row>
    <row r="408" customFormat="false" ht="15" hidden="false" customHeight="true" outlineLevel="0" collapsed="false">
      <c r="A408" s="16" t="str">
        <f aca="false">IF(Products!A408="","",Products!A408)</f>
        <v/>
      </c>
      <c r="B408" s="16" t="str">
        <f aca="false">IF($A408="","",INDEX(Products!$B$2:$B$501,ROW()-1))</f>
        <v/>
      </c>
      <c r="C408" s="16" t="str">
        <f aca="false">IF($A408="","",INDEX(Products!$C$2:$C$501,ROW()-1))</f>
        <v/>
      </c>
      <c r="D408" s="16" t="str">
        <f aca="false">IF(A408="","",N(Products!I408))</f>
        <v/>
      </c>
      <c r="E408" s="16" t="str">
        <f aca="false">IF(A408="","",SUMIFS(Purchases!$D$2:$D$2001,Purchases!$B$2:$B$2001,A408))</f>
        <v/>
      </c>
      <c r="F408" s="16" t="str">
        <f aca="false">IF(A408="","",SUMIFS(Sales_Items!$E$2:$E$3001,Sales_Items!$C$2:$C$3001,A408))</f>
        <v/>
      </c>
      <c r="G408" s="16" t="str">
        <f aca="false">IF(A408="","",D408+E408-F408)</f>
        <v/>
      </c>
      <c r="H408" s="17" t="str">
        <f aca="false">IF(A408="","",N(Products!E408))</f>
        <v/>
      </c>
      <c r="I408" s="17" t="str">
        <f aca="false">IF(A408="","",G408*H408)</f>
        <v/>
      </c>
      <c r="J408" s="16" t="str">
        <f aca="false">IF(A408="","",IF(Products!G408="",Settings!$B$8,Products!G408))</f>
        <v/>
      </c>
      <c r="K408" s="16" t="str">
        <f aca="false">IF(A408="","",IF(G408&lt;=0,"OUT",IF(G408&lt;=J408,"LOW","OK")))</f>
        <v/>
      </c>
      <c r="L408" s="16" t="str">
        <f aca="false">IF(A408="","",F408+ROW()/1000000)</f>
        <v/>
      </c>
      <c r="M408" s="16" t="str">
        <f aca="false">IF(OR(K408="LOW",K408="OUT"),COUNTIF($K$2:K408,"LOW")+COUNTIF($K$2:K408,"OUT"),"")</f>
        <v/>
      </c>
    </row>
    <row r="409" customFormat="false" ht="15" hidden="false" customHeight="true" outlineLevel="0" collapsed="false">
      <c r="A409" s="16" t="str">
        <f aca="false">IF(Products!A409="","",Products!A409)</f>
        <v/>
      </c>
      <c r="B409" s="16" t="str">
        <f aca="false">IF($A409="","",INDEX(Products!$B$2:$B$501,ROW()-1))</f>
        <v/>
      </c>
      <c r="C409" s="16" t="str">
        <f aca="false">IF($A409="","",INDEX(Products!$C$2:$C$501,ROW()-1))</f>
        <v/>
      </c>
      <c r="D409" s="16" t="str">
        <f aca="false">IF(A409="","",N(Products!I409))</f>
        <v/>
      </c>
      <c r="E409" s="16" t="str">
        <f aca="false">IF(A409="","",SUMIFS(Purchases!$D$2:$D$2001,Purchases!$B$2:$B$2001,A409))</f>
        <v/>
      </c>
      <c r="F409" s="16" t="str">
        <f aca="false">IF(A409="","",SUMIFS(Sales_Items!$E$2:$E$3001,Sales_Items!$C$2:$C$3001,A409))</f>
        <v/>
      </c>
      <c r="G409" s="16" t="str">
        <f aca="false">IF(A409="","",D409+E409-F409)</f>
        <v/>
      </c>
      <c r="H409" s="17" t="str">
        <f aca="false">IF(A409="","",N(Products!E409))</f>
        <v/>
      </c>
      <c r="I409" s="17" t="str">
        <f aca="false">IF(A409="","",G409*H409)</f>
        <v/>
      </c>
      <c r="J409" s="16" t="str">
        <f aca="false">IF(A409="","",IF(Products!G409="",Settings!$B$8,Products!G409))</f>
        <v/>
      </c>
      <c r="K409" s="16" t="str">
        <f aca="false">IF(A409="","",IF(G409&lt;=0,"OUT",IF(G409&lt;=J409,"LOW","OK")))</f>
        <v/>
      </c>
      <c r="L409" s="16" t="str">
        <f aca="false">IF(A409="","",F409+ROW()/1000000)</f>
        <v/>
      </c>
      <c r="M409" s="16" t="str">
        <f aca="false">IF(OR(K409="LOW",K409="OUT"),COUNTIF($K$2:K409,"LOW")+COUNTIF($K$2:K409,"OUT"),"")</f>
        <v/>
      </c>
    </row>
    <row r="410" customFormat="false" ht="15" hidden="false" customHeight="true" outlineLevel="0" collapsed="false">
      <c r="A410" s="16" t="str">
        <f aca="false">IF(Products!A410="","",Products!A410)</f>
        <v/>
      </c>
      <c r="B410" s="16" t="str">
        <f aca="false">IF($A410="","",INDEX(Products!$B$2:$B$501,ROW()-1))</f>
        <v/>
      </c>
      <c r="C410" s="16" t="str">
        <f aca="false">IF($A410="","",INDEX(Products!$C$2:$C$501,ROW()-1))</f>
        <v/>
      </c>
      <c r="D410" s="16" t="str">
        <f aca="false">IF(A410="","",N(Products!I410))</f>
        <v/>
      </c>
      <c r="E410" s="16" t="str">
        <f aca="false">IF(A410="","",SUMIFS(Purchases!$D$2:$D$2001,Purchases!$B$2:$B$2001,A410))</f>
        <v/>
      </c>
      <c r="F410" s="16" t="str">
        <f aca="false">IF(A410="","",SUMIFS(Sales_Items!$E$2:$E$3001,Sales_Items!$C$2:$C$3001,A410))</f>
        <v/>
      </c>
      <c r="G410" s="16" t="str">
        <f aca="false">IF(A410="","",D410+E410-F410)</f>
        <v/>
      </c>
      <c r="H410" s="17" t="str">
        <f aca="false">IF(A410="","",N(Products!E410))</f>
        <v/>
      </c>
      <c r="I410" s="17" t="str">
        <f aca="false">IF(A410="","",G410*H410)</f>
        <v/>
      </c>
      <c r="J410" s="16" t="str">
        <f aca="false">IF(A410="","",IF(Products!G410="",Settings!$B$8,Products!G410))</f>
        <v/>
      </c>
      <c r="K410" s="16" t="str">
        <f aca="false">IF(A410="","",IF(G410&lt;=0,"OUT",IF(G410&lt;=J410,"LOW","OK")))</f>
        <v/>
      </c>
      <c r="L410" s="16" t="str">
        <f aca="false">IF(A410="","",F410+ROW()/1000000)</f>
        <v/>
      </c>
      <c r="M410" s="16" t="str">
        <f aca="false">IF(OR(K410="LOW",K410="OUT"),COUNTIF($K$2:K410,"LOW")+COUNTIF($K$2:K410,"OUT"),"")</f>
        <v/>
      </c>
    </row>
    <row r="411" customFormat="false" ht="15" hidden="false" customHeight="true" outlineLevel="0" collapsed="false">
      <c r="A411" s="16" t="str">
        <f aca="false">IF(Products!A411="","",Products!A411)</f>
        <v/>
      </c>
      <c r="B411" s="16" t="str">
        <f aca="false">IF($A411="","",INDEX(Products!$B$2:$B$501,ROW()-1))</f>
        <v/>
      </c>
      <c r="C411" s="16" t="str">
        <f aca="false">IF($A411="","",INDEX(Products!$C$2:$C$501,ROW()-1))</f>
        <v/>
      </c>
      <c r="D411" s="16" t="str">
        <f aca="false">IF(A411="","",N(Products!I411))</f>
        <v/>
      </c>
      <c r="E411" s="16" t="str">
        <f aca="false">IF(A411="","",SUMIFS(Purchases!$D$2:$D$2001,Purchases!$B$2:$B$2001,A411))</f>
        <v/>
      </c>
      <c r="F411" s="16" t="str">
        <f aca="false">IF(A411="","",SUMIFS(Sales_Items!$E$2:$E$3001,Sales_Items!$C$2:$C$3001,A411))</f>
        <v/>
      </c>
      <c r="G411" s="16" t="str">
        <f aca="false">IF(A411="","",D411+E411-F411)</f>
        <v/>
      </c>
      <c r="H411" s="17" t="str">
        <f aca="false">IF(A411="","",N(Products!E411))</f>
        <v/>
      </c>
      <c r="I411" s="17" t="str">
        <f aca="false">IF(A411="","",G411*H411)</f>
        <v/>
      </c>
      <c r="J411" s="16" t="str">
        <f aca="false">IF(A411="","",IF(Products!G411="",Settings!$B$8,Products!G411))</f>
        <v/>
      </c>
      <c r="K411" s="16" t="str">
        <f aca="false">IF(A411="","",IF(G411&lt;=0,"OUT",IF(G411&lt;=J411,"LOW","OK")))</f>
        <v/>
      </c>
      <c r="L411" s="16" t="str">
        <f aca="false">IF(A411="","",F411+ROW()/1000000)</f>
        <v/>
      </c>
      <c r="M411" s="16" t="str">
        <f aca="false">IF(OR(K411="LOW",K411="OUT"),COUNTIF($K$2:K411,"LOW")+COUNTIF($K$2:K411,"OUT"),"")</f>
        <v/>
      </c>
    </row>
    <row r="412" customFormat="false" ht="15" hidden="false" customHeight="true" outlineLevel="0" collapsed="false">
      <c r="A412" s="16" t="str">
        <f aca="false">IF(Products!A412="","",Products!A412)</f>
        <v/>
      </c>
      <c r="B412" s="16" t="str">
        <f aca="false">IF($A412="","",INDEX(Products!$B$2:$B$501,ROW()-1))</f>
        <v/>
      </c>
      <c r="C412" s="16" t="str">
        <f aca="false">IF($A412="","",INDEX(Products!$C$2:$C$501,ROW()-1))</f>
        <v/>
      </c>
      <c r="D412" s="16" t="str">
        <f aca="false">IF(A412="","",N(Products!I412))</f>
        <v/>
      </c>
      <c r="E412" s="16" t="str">
        <f aca="false">IF(A412="","",SUMIFS(Purchases!$D$2:$D$2001,Purchases!$B$2:$B$2001,A412))</f>
        <v/>
      </c>
      <c r="F412" s="16" t="str">
        <f aca="false">IF(A412="","",SUMIFS(Sales_Items!$E$2:$E$3001,Sales_Items!$C$2:$C$3001,A412))</f>
        <v/>
      </c>
      <c r="G412" s="16" t="str">
        <f aca="false">IF(A412="","",D412+E412-F412)</f>
        <v/>
      </c>
      <c r="H412" s="17" t="str">
        <f aca="false">IF(A412="","",N(Products!E412))</f>
        <v/>
      </c>
      <c r="I412" s="17" t="str">
        <f aca="false">IF(A412="","",G412*H412)</f>
        <v/>
      </c>
      <c r="J412" s="16" t="str">
        <f aca="false">IF(A412="","",IF(Products!G412="",Settings!$B$8,Products!G412))</f>
        <v/>
      </c>
      <c r="K412" s="16" t="str">
        <f aca="false">IF(A412="","",IF(G412&lt;=0,"OUT",IF(G412&lt;=J412,"LOW","OK")))</f>
        <v/>
      </c>
      <c r="L412" s="16" t="str">
        <f aca="false">IF(A412="","",F412+ROW()/1000000)</f>
        <v/>
      </c>
      <c r="M412" s="16" t="str">
        <f aca="false">IF(OR(K412="LOW",K412="OUT"),COUNTIF($K$2:K412,"LOW")+COUNTIF($K$2:K412,"OUT"),"")</f>
        <v/>
      </c>
    </row>
    <row r="413" customFormat="false" ht="15" hidden="false" customHeight="true" outlineLevel="0" collapsed="false">
      <c r="A413" s="16" t="str">
        <f aca="false">IF(Products!A413="","",Products!A413)</f>
        <v/>
      </c>
      <c r="B413" s="16" t="str">
        <f aca="false">IF($A413="","",INDEX(Products!$B$2:$B$501,ROW()-1))</f>
        <v/>
      </c>
      <c r="C413" s="16" t="str">
        <f aca="false">IF($A413="","",INDEX(Products!$C$2:$C$501,ROW()-1))</f>
        <v/>
      </c>
      <c r="D413" s="16" t="str">
        <f aca="false">IF(A413="","",N(Products!I413))</f>
        <v/>
      </c>
      <c r="E413" s="16" t="str">
        <f aca="false">IF(A413="","",SUMIFS(Purchases!$D$2:$D$2001,Purchases!$B$2:$B$2001,A413))</f>
        <v/>
      </c>
      <c r="F413" s="16" t="str">
        <f aca="false">IF(A413="","",SUMIFS(Sales_Items!$E$2:$E$3001,Sales_Items!$C$2:$C$3001,A413))</f>
        <v/>
      </c>
      <c r="G413" s="16" t="str">
        <f aca="false">IF(A413="","",D413+E413-F413)</f>
        <v/>
      </c>
      <c r="H413" s="17" t="str">
        <f aca="false">IF(A413="","",N(Products!E413))</f>
        <v/>
      </c>
      <c r="I413" s="17" t="str">
        <f aca="false">IF(A413="","",G413*H413)</f>
        <v/>
      </c>
      <c r="J413" s="16" t="str">
        <f aca="false">IF(A413="","",IF(Products!G413="",Settings!$B$8,Products!G413))</f>
        <v/>
      </c>
      <c r="K413" s="16" t="str">
        <f aca="false">IF(A413="","",IF(G413&lt;=0,"OUT",IF(G413&lt;=J413,"LOW","OK")))</f>
        <v/>
      </c>
      <c r="L413" s="16" t="str">
        <f aca="false">IF(A413="","",F413+ROW()/1000000)</f>
        <v/>
      </c>
      <c r="M413" s="16" t="str">
        <f aca="false">IF(OR(K413="LOW",K413="OUT"),COUNTIF($K$2:K413,"LOW")+COUNTIF($K$2:K413,"OUT"),"")</f>
        <v/>
      </c>
    </row>
    <row r="414" customFormat="false" ht="15" hidden="false" customHeight="true" outlineLevel="0" collapsed="false">
      <c r="A414" s="16" t="str">
        <f aca="false">IF(Products!A414="","",Products!A414)</f>
        <v/>
      </c>
      <c r="B414" s="16" t="str">
        <f aca="false">IF($A414="","",INDEX(Products!$B$2:$B$501,ROW()-1))</f>
        <v/>
      </c>
      <c r="C414" s="16" t="str">
        <f aca="false">IF($A414="","",INDEX(Products!$C$2:$C$501,ROW()-1))</f>
        <v/>
      </c>
      <c r="D414" s="16" t="str">
        <f aca="false">IF(A414="","",N(Products!I414))</f>
        <v/>
      </c>
      <c r="E414" s="16" t="str">
        <f aca="false">IF(A414="","",SUMIFS(Purchases!$D$2:$D$2001,Purchases!$B$2:$B$2001,A414))</f>
        <v/>
      </c>
      <c r="F414" s="16" t="str">
        <f aca="false">IF(A414="","",SUMIFS(Sales_Items!$E$2:$E$3001,Sales_Items!$C$2:$C$3001,A414))</f>
        <v/>
      </c>
      <c r="G414" s="16" t="str">
        <f aca="false">IF(A414="","",D414+E414-F414)</f>
        <v/>
      </c>
      <c r="H414" s="17" t="str">
        <f aca="false">IF(A414="","",N(Products!E414))</f>
        <v/>
      </c>
      <c r="I414" s="17" t="str">
        <f aca="false">IF(A414="","",G414*H414)</f>
        <v/>
      </c>
      <c r="J414" s="16" t="str">
        <f aca="false">IF(A414="","",IF(Products!G414="",Settings!$B$8,Products!G414))</f>
        <v/>
      </c>
      <c r="K414" s="16" t="str">
        <f aca="false">IF(A414="","",IF(G414&lt;=0,"OUT",IF(G414&lt;=J414,"LOW","OK")))</f>
        <v/>
      </c>
      <c r="L414" s="16" t="str">
        <f aca="false">IF(A414="","",F414+ROW()/1000000)</f>
        <v/>
      </c>
      <c r="M414" s="16" t="str">
        <f aca="false">IF(OR(K414="LOW",K414="OUT"),COUNTIF($K$2:K414,"LOW")+COUNTIF($K$2:K414,"OUT"),"")</f>
        <v/>
      </c>
    </row>
    <row r="415" customFormat="false" ht="15" hidden="false" customHeight="true" outlineLevel="0" collapsed="false">
      <c r="A415" s="16" t="str">
        <f aca="false">IF(Products!A415="","",Products!A415)</f>
        <v/>
      </c>
      <c r="B415" s="16" t="str">
        <f aca="false">IF($A415="","",INDEX(Products!$B$2:$B$501,ROW()-1))</f>
        <v/>
      </c>
      <c r="C415" s="16" t="str">
        <f aca="false">IF($A415="","",INDEX(Products!$C$2:$C$501,ROW()-1))</f>
        <v/>
      </c>
      <c r="D415" s="16" t="str">
        <f aca="false">IF(A415="","",N(Products!I415))</f>
        <v/>
      </c>
      <c r="E415" s="16" t="str">
        <f aca="false">IF(A415="","",SUMIFS(Purchases!$D$2:$D$2001,Purchases!$B$2:$B$2001,A415))</f>
        <v/>
      </c>
      <c r="F415" s="16" t="str">
        <f aca="false">IF(A415="","",SUMIFS(Sales_Items!$E$2:$E$3001,Sales_Items!$C$2:$C$3001,A415))</f>
        <v/>
      </c>
      <c r="G415" s="16" t="str">
        <f aca="false">IF(A415="","",D415+E415-F415)</f>
        <v/>
      </c>
      <c r="H415" s="17" t="str">
        <f aca="false">IF(A415="","",N(Products!E415))</f>
        <v/>
      </c>
      <c r="I415" s="17" t="str">
        <f aca="false">IF(A415="","",G415*H415)</f>
        <v/>
      </c>
      <c r="J415" s="16" t="str">
        <f aca="false">IF(A415="","",IF(Products!G415="",Settings!$B$8,Products!G415))</f>
        <v/>
      </c>
      <c r="K415" s="16" t="str">
        <f aca="false">IF(A415="","",IF(G415&lt;=0,"OUT",IF(G415&lt;=J415,"LOW","OK")))</f>
        <v/>
      </c>
      <c r="L415" s="16" t="str">
        <f aca="false">IF(A415="","",F415+ROW()/1000000)</f>
        <v/>
      </c>
      <c r="M415" s="16" t="str">
        <f aca="false">IF(OR(K415="LOW",K415="OUT"),COUNTIF($K$2:K415,"LOW")+COUNTIF($K$2:K415,"OUT"),"")</f>
        <v/>
      </c>
    </row>
    <row r="416" customFormat="false" ht="15" hidden="false" customHeight="true" outlineLevel="0" collapsed="false">
      <c r="A416" s="16" t="str">
        <f aca="false">IF(Products!A416="","",Products!A416)</f>
        <v/>
      </c>
      <c r="B416" s="16" t="str">
        <f aca="false">IF($A416="","",INDEX(Products!$B$2:$B$501,ROW()-1))</f>
        <v/>
      </c>
      <c r="C416" s="16" t="str">
        <f aca="false">IF($A416="","",INDEX(Products!$C$2:$C$501,ROW()-1))</f>
        <v/>
      </c>
      <c r="D416" s="16" t="str">
        <f aca="false">IF(A416="","",N(Products!I416))</f>
        <v/>
      </c>
      <c r="E416" s="16" t="str">
        <f aca="false">IF(A416="","",SUMIFS(Purchases!$D$2:$D$2001,Purchases!$B$2:$B$2001,A416))</f>
        <v/>
      </c>
      <c r="F416" s="16" t="str">
        <f aca="false">IF(A416="","",SUMIFS(Sales_Items!$E$2:$E$3001,Sales_Items!$C$2:$C$3001,A416))</f>
        <v/>
      </c>
      <c r="G416" s="16" t="str">
        <f aca="false">IF(A416="","",D416+E416-F416)</f>
        <v/>
      </c>
      <c r="H416" s="17" t="str">
        <f aca="false">IF(A416="","",N(Products!E416))</f>
        <v/>
      </c>
      <c r="I416" s="17" t="str">
        <f aca="false">IF(A416="","",G416*H416)</f>
        <v/>
      </c>
      <c r="J416" s="16" t="str">
        <f aca="false">IF(A416="","",IF(Products!G416="",Settings!$B$8,Products!G416))</f>
        <v/>
      </c>
      <c r="K416" s="16" t="str">
        <f aca="false">IF(A416="","",IF(G416&lt;=0,"OUT",IF(G416&lt;=J416,"LOW","OK")))</f>
        <v/>
      </c>
      <c r="L416" s="16" t="str">
        <f aca="false">IF(A416="","",F416+ROW()/1000000)</f>
        <v/>
      </c>
      <c r="M416" s="16" t="str">
        <f aca="false">IF(OR(K416="LOW",K416="OUT"),COUNTIF($K$2:K416,"LOW")+COUNTIF($K$2:K416,"OUT"),"")</f>
        <v/>
      </c>
    </row>
    <row r="417" customFormat="false" ht="15" hidden="false" customHeight="true" outlineLevel="0" collapsed="false">
      <c r="A417" s="16" t="str">
        <f aca="false">IF(Products!A417="","",Products!A417)</f>
        <v/>
      </c>
      <c r="B417" s="16" t="str">
        <f aca="false">IF($A417="","",INDEX(Products!$B$2:$B$501,ROW()-1))</f>
        <v/>
      </c>
      <c r="C417" s="16" t="str">
        <f aca="false">IF($A417="","",INDEX(Products!$C$2:$C$501,ROW()-1))</f>
        <v/>
      </c>
      <c r="D417" s="16" t="str">
        <f aca="false">IF(A417="","",N(Products!I417))</f>
        <v/>
      </c>
      <c r="E417" s="16" t="str">
        <f aca="false">IF(A417="","",SUMIFS(Purchases!$D$2:$D$2001,Purchases!$B$2:$B$2001,A417))</f>
        <v/>
      </c>
      <c r="F417" s="16" t="str">
        <f aca="false">IF(A417="","",SUMIFS(Sales_Items!$E$2:$E$3001,Sales_Items!$C$2:$C$3001,A417))</f>
        <v/>
      </c>
      <c r="G417" s="16" t="str">
        <f aca="false">IF(A417="","",D417+E417-F417)</f>
        <v/>
      </c>
      <c r="H417" s="17" t="str">
        <f aca="false">IF(A417="","",N(Products!E417))</f>
        <v/>
      </c>
      <c r="I417" s="17" t="str">
        <f aca="false">IF(A417="","",G417*H417)</f>
        <v/>
      </c>
      <c r="J417" s="16" t="str">
        <f aca="false">IF(A417="","",IF(Products!G417="",Settings!$B$8,Products!G417))</f>
        <v/>
      </c>
      <c r="K417" s="16" t="str">
        <f aca="false">IF(A417="","",IF(G417&lt;=0,"OUT",IF(G417&lt;=J417,"LOW","OK")))</f>
        <v/>
      </c>
      <c r="L417" s="16" t="str">
        <f aca="false">IF(A417="","",F417+ROW()/1000000)</f>
        <v/>
      </c>
      <c r="M417" s="16" t="str">
        <f aca="false">IF(OR(K417="LOW",K417="OUT"),COUNTIF($K$2:K417,"LOW")+COUNTIF($K$2:K417,"OUT"),"")</f>
        <v/>
      </c>
    </row>
    <row r="418" customFormat="false" ht="15" hidden="false" customHeight="true" outlineLevel="0" collapsed="false">
      <c r="A418" s="16" t="str">
        <f aca="false">IF(Products!A418="","",Products!A418)</f>
        <v/>
      </c>
      <c r="B418" s="16" t="str">
        <f aca="false">IF($A418="","",INDEX(Products!$B$2:$B$501,ROW()-1))</f>
        <v/>
      </c>
      <c r="C418" s="16" t="str">
        <f aca="false">IF($A418="","",INDEX(Products!$C$2:$C$501,ROW()-1))</f>
        <v/>
      </c>
      <c r="D418" s="16" t="str">
        <f aca="false">IF(A418="","",N(Products!I418))</f>
        <v/>
      </c>
      <c r="E418" s="16" t="str">
        <f aca="false">IF(A418="","",SUMIFS(Purchases!$D$2:$D$2001,Purchases!$B$2:$B$2001,A418))</f>
        <v/>
      </c>
      <c r="F418" s="16" t="str">
        <f aca="false">IF(A418="","",SUMIFS(Sales_Items!$E$2:$E$3001,Sales_Items!$C$2:$C$3001,A418))</f>
        <v/>
      </c>
      <c r="G418" s="16" t="str">
        <f aca="false">IF(A418="","",D418+E418-F418)</f>
        <v/>
      </c>
      <c r="H418" s="17" t="str">
        <f aca="false">IF(A418="","",N(Products!E418))</f>
        <v/>
      </c>
      <c r="I418" s="17" t="str">
        <f aca="false">IF(A418="","",G418*H418)</f>
        <v/>
      </c>
      <c r="J418" s="16" t="str">
        <f aca="false">IF(A418="","",IF(Products!G418="",Settings!$B$8,Products!G418))</f>
        <v/>
      </c>
      <c r="K418" s="16" t="str">
        <f aca="false">IF(A418="","",IF(G418&lt;=0,"OUT",IF(G418&lt;=J418,"LOW","OK")))</f>
        <v/>
      </c>
      <c r="L418" s="16" t="str">
        <f aca="false">IF(A418="","",F418+ROW()/1000000)</f>
        <v/>
      </c>
      <c r="M418" s="16" t="str">
        <f aca="false">IF(OR(K418="LOW",K418="OUT"),COUNTIF($K$2:K418,"LOW")+COUNTIF($K$2:K418,"OUT"),"")</f>
        <v/>
      </c>
    </row>
    <row r="419" customFormat="false" ht="15" hidden="false" customHeight="true" outlineLevel="0" collapsed="false">
      <c r="A419" s="16" t="str">
        <f aca="false">IF(Products!A419="","",Products!A419)</f>
        <v/>
      </c>
      <c r="B419" s="16" t="str">
        <f aca="false">IF($A419="","",INDEX(Products!$B$2:$B$501,ROW()-1))</f>
        <v/>
      </c>
      <c r="C419" s="16" t="str">
        <f aca="false">IF($A419="","",INDEX(Products!$C$2:$C$501,ROW()-1))</f>
        <v/>
      </c>
      <c r="D419" s="16" t="str">
        <f aca="false">IF(A419="","",N(Products!I419))</f>
        <v/>
      </c>
      <c r="E419" s="16" t="str">
        <f aca="false">IF(A419="","",SUMIFS(Purchases!$D$2:$D$2001,Purchases!$B$2:$B$2001,A419))</f>
        <v/>
      </c>
      <c r="F419" s="16" t="str">
        <f aca="false">IF(A419="","",SUMIFS(Sales_Items!$E$2:$E$3001,Sales_Items!$C$2:$C$3001,A419))</f>
        <v/>
      </c>
      <c r="G419" s="16" t="str">
        <f aca="false">IF(A419="","",D419+E419-F419)</f>
        <v/>
      </c>
      <c r="H419" s="17" t="str">
        <f aca="false">IF(A419="","",N(Products!E419))</f>
        <v/>
      </c>
      <c r="I419" s="17" t="str">
        <f aca="false">IF(A419="","",G419*H419)</f>
        <v/>
      </c>
      <c r="J419" s="16" t="str">
        <f aca="false">IF(A419="","",IF(Products!G419="",Settings!$B$8,Products!G419))</f>
        <v/>
      </c>
      <c r="K419" s="16" t="str">
        <f aca="false">IF(A419="","",IF(G419&lt;=0,"OUT",IF(G419&lt;=J419,"LOW","OK")))</f>
        <v/>
      </c>
      <c r="L419" s="16" t="str">
        <f aca="false">IF(A419="","",F419+ROW()/1000000)</f>
        <v/>
      </c>
      <c r="M419" s="16" t="str">
        <f aca="false">IF(OR(K419="LOW",K419="OUT"),COUNTIF($K$2:K419,"LOW")+COUNTIF($K$2:K419,"OUT"),"")</f>
        <v/>
      </c>
    </row>
    <row r="420" customFormat="false" ht="15" hidden="false" customHeight="true" outlineLevel="0" collapsed="false">
      <c r="A420" s="16" t="str">
        <f aca="false">IF(Products!A420="","",Products!A420)</f>
        <v/>
      </c>
      <c r="B420" s="16" t="str">
        <f aca="false">IF($A420="","",INDEX(Products!$B$2:$B$501,ROW()-1))</f>
        <v/>
      </c>
      <c r="C420" s="16" t="str">
        <f aca="false">IF($A420="","",INDEX(Products!$C$2:$C$501,ROW()-1))</f>
        <v/>
      </c>
      <c r="D420" s="16" t="str">
        <f aca="false">IF(A420="","",N(Products!I420))</f>
        <v/>
      </c>
      <c r="E420" s="16" t="str">
        <f aca="false">IF(A420="","",SUMIFS(Purchases!$D$2:$D$2001,Purchases!$B$2:$B$2001,A420))</f>
        <v/>
      </c>
      <c r="F420" s="16" t="str">
        <f aca="false">IF(A420="","",SUMIFS(Sales_Items!$E$2:$E$3001,Sales_Items!$C$2:$C$3001,A420))</f>
        <v/>
      </c>
      <c r="G420" s="16" t="str">
        <f aca="false">IF(A420="","",D420+E420-F420)</f>
        <v/>
      </c>
      <c r="H420" s="17" t="str">
        <f aca="false">IF(A420="","",N(Products!E420))</f>
        <v/>
      </c>
      <c r="I420" s="17" t="str">
        <f aca="false">IF(A420="","",G420*H420)</f>
        <v/>
      </c>
      <c r="J420" s="16" t="str">
        <f aca="false">IF(A420="","",IF(Products!G420="",Settings!$B$8,Products!G420))</f>
        <v/>
      </c>
      <c r="K420" s="16" t="str">
        <f aca="false">IF(A420="","",IF(G420&lt;=0,"OUT",IF(G420&lt;=J420,"LOW","OK")))</f>
        <v/>
      </c>
      <c r="L420" s="16" t="str">
        <f aca="false">IF(A420="","",F420+ROW()/1000000)</f>
        <v/>
      </c>
      <c r="M420" s="16" t="str">
        <f aca="false">IF(OR(K420="LOW",K420="OUT"),COUNTIF($K$2:K420,"LOW")+COUNTIF($K$2:K420,"OUT"),"")</f>
        <v/>
      </c>
    </row>
    <row r="421" customFormat="false" ht="15" hidden="false" customHeight="true" outlineLevel="0" collapsed="false">
      <c r="A421" s="16" t="str">
        <f aca="false">IF(Products!A421="","",Products!A421)</f>
        <v/>
      </c>
      <c r="B421" s="16" t="str">
        <f aca="false">IF($A421="","",INDEX(Products!$B$2:$B$501,ROW()-1))</f>
        <v/>
      </c>
      <c r="C421" s="16" t="str">
        <f aca="false">IF($A421="","",INDEX(Products!$C$2:$C$501,ROW()-1))</f>
        <v/>
      </c>
      <c r="D421" s="16" t="str">
        <f aca="false">IF(A421="","",N(Products!I421))</f>
        <v/>
      </c>
      <c r="E421" s="16" t="str">
        <f aca="false">IF(A421="","",SUMIFS(Purchases!$D$2:$D$2001,Purchases!$B$2:$B$2001,A421))</f>
        <v/>
      </c>
      <c r="F421" s="16" t="str">
        <f aca="false">IF(A421="","",SUMIFS(Sales_Items!$E$2:$E$3001,Sales_Items!$C$2:$C$3001,A421))</f>
        <v/>
      </c>
      <c r="G421" s="16" t="str">
        <f aca="false">IF(A421="","",D421+E421-F421)</f>
        <v/>
      </c>
      <c r="H421" s="17" t="str">
        <f aca="false">IF(A421="","",N(Products!E421))</f>
        <v/>
      </c>
      <c r="I421" s="17" t="str">
        <f aca="false">IF(A421="","",G421*H421)</f>
        <v/>
      </c>
      <c r="J421" s="16" t="str">
        <f aca="false">IF(A421="","",IF(Products!G421="",Settings!$B$8,Products!G421))</f>
        <v/>
      </c>
      <c r="K421" s="16" t="str">
        <f aca="false">IF(A421="","",IF(G421&lt;=0,"OUT",IF(G421&lt;=J421,"LOW","OK")))</f>
        <v/>
      </c>
      <c r="L421" s="16" t="str">
        <f aca="false">IF(A421="","",F421+ROW()/1000000)</f>
        <v/>
      </c>
      <c r="M421" s="16" t="str">
        <f aca="false">IF(OR(K421="LOW",K421="OUT"),COUNTIF($K$2:K421,"LOW")+COUNTIF($K$2:K421,"OUT"),"")</f>
        <v/>
      </c>
    </row>
    <row r="422" customFormat="false" ht="15" hidden="false" customHeight="true" outlineLevel="0" collapsed="false">
      <c r="A422" s="16" t="str">
        <f aca="false">IF(Products!A422="","",Products!A422)</f>
        <v/>
      </c>
      <c r="B422" s="16" t="str">
        <f aca="false">IF($A422="","",INDEX(Products!$B$2:$B$501,ROW()-1))</f>
        <v/>
      </c>
      <c r="C422" s="16" t="str">
        <f aca="false">IF($A422="","",INDEX(Products!$C$2:$C$501,ROW()-1))</f>
        <v/>
      </c>
      <c r="D422" s="16" t="str">
        <f aca="false">IF(A422="","",N(Products!I422))</f>
        <v/>
      </c>
      <c r="E422" s="16" t="str">
        <f aca="false">IF(A422="","",SUMIFS(Purchases!$D$2:$D$2001,Purchases!$B$2:$B$2001,A422))</f>
        <v/>
      </c>
      <c r="F422" s="16" t="str">
        <f aca="false">IF(A422="","",SUMIFS(Sales_Items!$E$2:$E$3001,Sales_Items!$C$2:$C$3001,A422))</f>
        <v/>
      </c>
      <c r="G422" s="16" t="str">
        <f aca="false">IF(A422="","",D422+E422-F422)</f>
        <v/>
      </c>
      <c r="H422" s="17" t="str">
        <f aca="false">IF(A422="","",N(Products!E422))</f>
        <v/>
      </c>
      <c r="I422" s="17" t="str">
        <f aca="false">IF(A422="","",G422*H422)</f>
        <v/>
      </c>
      <c r="J422" s="16" t="str">
        <f aca="false">IF(A422="","",IF(Products!G422="",Settings!$B$8,Products!G422))</f>
        <v/>
      </c>
      <c r="K422" s="16" t="str">
        <f aca="false">IF(A422="","",IF(G422&lt;=0,"OUT",IF(G422&lt;=J422,"LOW","OK")))</f>
        <v/>
      </c>
      <c r="L422" s="16" t="str">
        <f aca="false">IF(A422="","",F422+ROW()/1000000)</f>
        <v/>
      </c>
      <c r="M422" s="16" t="str">
        <f aca="false">IF(OR(K422="LOW",K422="OUT"),COUNTIF($K$2:K422,"LOW")+COUNTIF($K$2:K422,"OUT"),"")</f>
        <v/>
      </c>
    </row>
    <row r="423" customFormat="false" ht="15" hidden="false" customHeight="true" outlineLevel="0" collapsed="false">
      <c r="A423" s="16" t="str">
        <f aca="false">IF(Products!A423="","",Products!A423)</f>
        <v/>
      </c>
      <c r="B423" s="16" t="str">
        <f aca="false">IF($A423="","",INDEX(Products!$B$2:$B$501,ROW()-1))</f>
        <v/>
      </c>
      <c r="C423" s="16" t="str">
        <f aca="false">IF($A423="","",INDEX(Products!$C$2:$C$501,ROW()-1))</f>
        <v/>
      </c>
      <c r="D423" s="16" t="str">
        <f aca="false">IF(A423="","",N(Products!I423))</f>
        <v/>
      </c>
      <c r="E423" s="16" t="str">
        <f aca="false">IF(A423="","",SUMIFS(Purchases!$D$2:$D$2001,Purchases!$B$2:$B$2001,A423))</f>
        <v/>
      </c>
      <c r="F423" s="16" t="str">
        <f aca="false">IF(A423="","",SUMIFS(Sales_Items!$E$2:$E$3001,Sales_Items!$C$2:$C$3001,A423))</f>
        <v/>
      </c>
      <c r="G423" s="16" t="str">
        <f aca="false">IF(A423="","",D423+E423-F423)</f>
        <v/>
      </c>
      <c r="H423" s="17" t="str">
        <f aca="false">IF(A423="","",N(Products!E423))</f>
        <v/>
      </c>
      <c r="I423" s="17" t="str">
        <f aca="false">IF(A423="","",G423*H423)</f>
        <v/>
      </c>
      <c r="J423" s="16" t="str">
        <f aca="false">IF(A423="","",IF(Products!G423="",Settings!$B$8,Products!G423))</f>
        <v/>
      </c>
      <c r="K423" s="16" t="str">
        <f aca="false">IF(A423="","",IF(G423&lt;=0,"OUT",IF(G423&lt;=J423,"LOW","OK")))</f>
        <v/>
      </c>
      <c r="L423" s="16" t="str">
        <f aca="false">IF(A423="","",F423+ROW()/1000000)</f>
        <v/>
      </c>
      <c r="M423" s="16" t="str">
        <f aca="false">IF(OR(K423="LOW",K423="OUT"),COUNTIF($K$2:K423,"LOW")+COUNTIF($K$2:K423,"OUT"),"")</f>
        <v/>
      </c>
    </row>
    <row r="424" customFormat="false" ht="15" hidden="false" customHeight="true" outlineLevel="0" collapsed="false">
      <c r="A424" s="16" t="str">
        <f aca="false">IF(Products!A424="","",Products!A424)</f>
        <v/>
      </c>
      <c r="B424" s="16" t="str">
        <f aca="false">IF($A424="","",INDEX(Products!$B$2:$B$501,ROW()-1))</f>
        <v/>
      </c>
      <c r="C424" s="16" t="str">
        <f aca="false">IF($A424="","",INDEX(Products!$C$2:$C$501,ROW()-1))</f>
        <v/>
      </c>
      <c r="D424" s="16" t="str">
        <f aca="false">IF(A424="","",N(Products!I424))</f>
        <v/>
      </c>
      <c r="E424" s="16" t="str">
        <f aca="false">IF(A424="","",SUMIFS(Purchases!$D$2:$D$2001,Purchases!$B$2:$B$2001,A424))</f>
        <v/>
      </c>
      <c r="F424" s="16" t="str">
        <f aca="false">IF(A424="","",SUMIFS(Sales_Items!$E$2:$E$3001,Sales_Items!$C$2:$C$3001,A424))</f>
        <v/>
      </c>
      <c r="G424" s="16" t="str">
        <f aca="false">IF(A424="","",D424+E424-F424)</f>
        <v/>
      </c>
      <c r="H424" s="17" t="str">
        <f aca="false">IF(A424="","",N(Products!E424))</f>
        <v/>
      </c>
      <c r="I424" s="17" t="str">
        <f aca="false">IF(A424="","",G424*H424)</f>
        <v/>
      </c>
      <c r="J424" s="16" t="str">
        <f aca="false">IF(A424="","",IF(Products!G424="",Settings!$B$8,Products!G424))</f>
        <v/>
      </c>
      <c r="K424" s="16" t="str">
        <f aca="false">IF(A424="","",IF(G424&lt;=0,"OUT",IF(G424&lt;=J424,"LOW","OK")))</f>
        <v/>
      </c>
      <c r="L424" s="16" t="str">
        <f aca="false">IF(A424="","",F424+ROW()/1000000)</f>
        <v/>
      </c>
      <c r="M424" s="16" t="str">
        <f aca="false">IF(OR(K424="LOW",K424="OUT"),COUNTIF($K$2:K424,"LOW")+COUNTIF($K$2:K424,"OUT"),"")</f>
        <v/>
      </c>
    </row>
    <row r="425" customFormat="false" ht="15" hidden="false" customHeight="true" outlineLevel="0" collapsed="false">
      <c r="A425" s="16" t="str">
        <f aca="false">IF(Products!A425="","",Products!A425)</f>
        <v/>
      </c>
      <c r="B425" s="16" t="str">
        <f aca="false">IF($A425="","",INDEX(Products!$B$2:$B$501,ROW()-1))</f>
        <v/>
      </c>
      <c r="C425" s="16" t="str">
        <f aca="false">IF($A425="","",INDEX(Products!$C$2:$C$501,ROW()-1))</f>
        <v/>
      </c>
      <c r="D425" s="16" t="str">
        <f aca="false">IF(A425="","",N(Products!I425))</f>
        <v/>
      </c>
      <c r="E425" s="16" t="str">
        <f aca="false">IF(A425="","",SUMIFS(Purchases!$D$2:$D$2001,Purchases!$B$2:$B$2001,A425))</f>
        <v/>
      </c>
      <c r="F425" s="16" t="str">
        <f aca="false">IF(A425="","",SUMIFS(Sales_Items!$E$2:$E$3001,Sales_Items!$C$2:$C$3001,A425))</f>
        <v/>
      </c>
      <c r="G425" s="16" t="str">
        <f aca="false">IF(A425="","",D425+E425-F425)</f>
        <v/>
      </c>
      <c r="H425" s="17" t="str">
        <f aca="false">IF(A425="","",N(Products!E425))</f>
        <v/>
      </c>
      <c r="I425" s="17" t="str">
        <f aca="false">IF(A425="","",G425*H425)</f>
        <v/>
      </c>
      <c r="J425" s="16" t="str">
        <f aca="false">IF(A425="","",IF(Products!G425="",Settings!$B$8,Products!G425))</f>
        <v/>
      </c>
      <c r="K425" s="16" t="str">
        <f aca="false">IF(A425="","",IF(G425&lt;=0,"OUT",IF(G425&lt;=J425,"LOW","OK")))</f>
        <v/>
      </c>
      <c r="L425" s="16" t="str">
        <f aca="false">IF(A425="","",F425+ROW()/1000000)</f>
        <v/>
      </c>
      <c r="M425" s="16" t="str">
        <f aca="false">IF(OR(K425="LOW",K425="OUT"),COUNTIF($K$2:K425,"LOW")+COUNTIF($K$2:K425,"OUT"),"")</f>
        <v/>
      </c>
    </row>
    <row r="426" customFormat="false" ht="15" hidden="false" customHeight="true" outlineLevel="0" collapsed="false">
      <c r="A426" s="16" t="str">
        <f aca="false">IF(Products!A426="","",Products!A426)</f>
        <v/>
      </c>
      <c r="B426" s="16" t="str">
        <f aca="false">IF($A426="","",INDEX(Products!$B$2:$B$501,ROW()-1))</f>
        <v/>
      </c>
      <c r="C426" s="16" t="str">
        <f aca="false">IF($A426="","",INDEX(Products!$C$2:$C$501,ROW()-1))</f>
        <v/>
      </c>
      <c r="D426" s="16" t="str">
        <f aca="false">IF(A426="","",N(Products!I426))</f>
        <v/>
      </c>
      <c r="E426" s="16" t="str">
        <f aca="false">IF(A426="","",SUMIFS(Purchases!$D$2:$D$2001,Purchases!$B$2:$B$2001,A426))</f>
        <v/>
      </c>
      <c r="F426" s="16" t="str">
        <f aca="false">IF(A426="","",SUMIFS(Sales_Items!$E$2:$E$3001,Sales_Items!$C$2:$C$3001,A426))</f>
        <v/>
      </c>
      <c r="G426" s="16" t="str">
        <f aca="false">IF(A426="","",D426+E426-F426)</f>
        <v/>
      </c>
      <c r="H426" s="17" t="str">
        <f aca="false">IF(A426="","",N(Products!E426))</f>
        <v/>
      </c>
      <c r="I426" s="17" t="str">
        <f aca="false">IF(A426="","",G426*H426)</f>
        <v/>
      </c>
      <c r="J426" s="16" t="str">
        <f aca="false">IF(A426="","",IF(Products!G426="",Settings!$B$8,Products!G426))</f>
        <v/>
      </c>
      <c r="K426" s="16" t="str">
        <f aca="false">IF(A426="","",IF(G426&lt;=0,"OUT",IF(G426&lt;=J426,"LOW","OK")))</f>
        <v/>
      </c>
      <c r="L426" s="16" t="str">
        <f aca="false">IF(A426="","",F426+ROW()/1000000)</f>
        <v/>
      </c>
      <c r="M426" s="16" t="str">
        <f aca="false">IF(OR(K426="LOW",K426="OUT"),COUNTIF($K$2:K426,"LOW")+COUNTIF($K$2:K426,"OUT"),"")</f>
        <v/>
      </c>
    </row>
    <row r="427" customFormat="false" ht="15" hidden="false" customHeight="true" outlineLevel="0" collapsed="false">
      <c r="A427" s="16" t="str">
        <f aca="false">IF(Products!A427="","",Products!A427)</f>
        <v/>
      </c>
      <c r="B427" s="16" t="str">
        <f aca="false">IF($A427="","",INDEX(Products!$B$2:$B$501,ROW()-1))</f>
        <v/>
      </c>
      <c r="C427" s="16" t="str">
        <f aca="false">IF($A427="","",INDEX(Products!$C$2:$C$501,ROW()-1))</f>
        <v/>
      </c>
      <c r="D427" s="16" t="str">
        <f aca="false">IF(A427="","",N(Products!I427))</f>
        <v/>
      </c>
      <c r="E427" s="16" t="str">
        <f aca="false">IF(A427="","",SUMIFS(Purchases!$D$2:$D$2001,Purchases!$B$2:$B$2001,A427))</f>
        <v/>
      </c>
      <c r="F427" s="16" t="str">
        <f aca="false">IF(A427="","",SUMIFS(Sales_Items!$E$2:$E$3001,Sales_Items!$C$2:$C$3001,A427))</f>
        <v/>
      </c>
      <c r="G427" s="16" t="str">
        <f aca="false">IF(A427="","",D427+E427-F427)</f>
        <v/>
      </c>
      <c r="H427" s="17" t="str">
        <f aca="false">IF(A427="","",N(Products!E427))</f>
        <v/>
      </c>
      <c r="I427" s="17" t="str">
        <f aca="false">IF(A427="","",G427*H427)</f>
        <v/>
      </c>
      <c r="J427" s="16" t="str">
        <f aca="false">IF(A427="","",IF(Products!G427="",Settings!$B$8,Products!G427))</f>
        <v/>
      </c>
      <c r="K427" s="16" t="str">
        <f aca="false">IF(A427="","",IF(G427&lt;=0,"OUT",IF(G427&lt;=J427,"LOW","OK")))</f>
        <v/>
      </c>
      <c r="L427" s="16" t="str">
        <f aca="false">IF(A427="","",F427+ROW()/1000000)</f>
        <v/>
      </c>
      <c r="M427" s="16" t="str">
        <f aca="false">IF(OR(K427="LOW",K427="OUT"),COUNTIF($K$2:K427,"LOW")+COUNTIF($K$2:K427,"OUT"),"")</f>
        <v/>
      </c>
    </row>
    <row r="428" customFormat="false" ht="15" hidden="false" customHeight="true" outlineLevel="0" collapsed="false">
      <c r="A428" s="16" t="str">
        <f aca="false">IF(Products!A428="","",Products!A428)</f>
        <v/>
      </c>
      <c r="B428" s="16" t="str">
        <f aca="false">IF($A428="","",INDEX(Products!$B$2:$B$501,ROW()-1))</f>
        <v/>
      </c>
      <c r="C428" s="16" t="str">
        <f aca="false">IF($A428="","",INDEX(Products!$C$2:$C$501,ROW()-1))</f>
        <v/>
      </c>
      <c r="D428" s="16" t="str">
        <f aca="false">IF(A428="","",N(Products!I428))</f>
        <v/>
      </c>
      <c r="E428" s="16" t="str">
        <f aca="false">IF(A428="","",SUMIFS(Purchases!$D$2:$D$2001,Purchases!$B$2:$B$2001,A428))</f>
        <v/>
      </c>
      <c r="F428" s="16" t="str">
        <f aca="false">IF(A428="","",SUMIFS(Sales_Items!$E$2:$E$3001,Sales_Items!$C$2:$C$3001,A428))</f>
        <v/>
      </c>
      <c r="G428" s="16" t="str">
        <f aca="false">IF(A428="","",D428+E428-F428)</f>
        <v/>
      </c>
      <c r="H428" s="17" t="str">
        <f aca="false">IF(A428="","",N(Products!E428))</f>
        <v/>
      </c>
      <c r="I428" s="17" t="str">
        <f aca="false">IF(A428="","",G428*H428)</f>
        <v/>
      </c>
      <c r="J428" s="16" t="str">
        <f aca="false">IF(A428="","",IF(Products!G428="",Settings!$B$8,Products!G428))</f>
        <v/>
      </c>
      <c r="K428" s="16" t="str">
        <f aca="false">IF(A428="","",IF(G428&lt;=0,"OUT",IF(G428&lt;=J428,"LOW","OK")))</f>
        <v/>
      </c>
      <c r="L428" s="16" t="str">
        <f aca="false">IF(A428="","",F428+ROW()/1000000)</f>
        <v/>
      </c>
      <c r="M428" s="16" t="str">
        <f aca="false">IF(OR(K428="LOW",K428="OUT"),COUNTIF($K$2:K428,"LOW")+COUNTIF($K$2:K428,"OUT"),"")</f>
        <v/>
      </c>
    </row>
    <row r="429" customFormat="false" ht="15" hidden="false" customHeight="true" outlineLevel="0" collapsed="false">
      <c r="A429" s="16" t="str">
        <f aca="false">IF(Products!A429="","",Products!A429)</f>
        <v/>
      </c>
      <c r="B429" s="16" t="str">
        <f aca="false">IF($A429="","",INDEX(Products!$B$2:$B$501,ROW()-1))</f>
        <v/>
      </c>
      <c r="C429" s="16" t="str">
        <f aca="false">IF($A429="","",INDEX(Products!$C$2:$C$501,ROW()-1))</f>
        <v/>
      </c>
      <c r="D429" s="16" t="str">
        <f aca="false">IF(A429="","",N(Products!I429))</f>
        <v/>
      </c>
      <c r="E429" s="16" t="str">
        <f aca="false">IF(A429="","",SUMIFS(Purchases!$D$2:$D$2001,Purchases!$B$2:$B$2001,A429))</f>
        <v/>
      </c>
      <c r="F429" s="16" t="str">
        <f aca="false">IF(A429="","",SUMIFS(Sales_Items!$E$2:$E$3001,Sales_Items!$C$2:$C$3001,A429))</f>
        <v/>
      </c>
      <c r="G429" s="16" t="str">
        <f aca="false">IF(A429="","",D429+E429-F429)</f>
        <v/>
      </c>
      <c r="H429" s="17" t="str">
        <f aca="false">IF(A429="","",N(Products!E429))</f>
        <v/>
      </c>
      <c r="I429" s="17" t="str">
        <f aca="false">IF(A429="","",G429*H429)</f>
        <v/>
      </c>
      <c r="J429" s="16" t="str">
        <f aca="false">IF(A429="","",IF(Products!G429="",Settings!$B$8,Products!G429))</f>
        <v/>
      </c>
      <c r="K429" s="16" t="str">
        <f aca="false">IF(A429="","",IF(G429&lt;=0,"OUT",IF(G429&lt;=J429,"LOW","OK")))</f>
        <v/>
      </c>
      <c r="L429" s="16" t="str">
        <f aca="false">IF(A429="","",F429+ROW()/1000000)</f>
        <v/>
      </c>
      <c r="M429" s="16" t="str">
        <f aca="false">IF(OR(K429="LOW",K429="OUT"),COUNTIF($K$2:K429,"LOW")+COUNTIF($K$2:K429,"OUT"),"")</f>
        <v/>
      </c>
    </row>
    <row r="430" customFormat="false" ht="15" hidden="false" customHeight="true" outlineLevel="0" collapsed="false">
      <c r="A430" s="16" t="str">
        <f aca="false">IF(Products!A430="","",Products!A430)</f>
        <v/>
      </c>
      <c r="B430" s="16" t="str">
        <f aca="false">IF($A430="","",INDEX(Products!$B$2:$B$501,ROW()-1))</f>
        <v/>
      </c>
      <c r="C430" s="16" t="str">
        <f aca="false">IF($A430="","",INDEX(Products!$C$2:$C$501,ROW()-1))</f>
        <v/>
      </c>
      <c r="D430" s="16" t="str">
        <f aca="false">IF(A430="","",N(Products!I430))</f>
        <v/>
      </c>
      <c r="E430" s="16" t="str">
        <f aca="false">IF(A430="","",SUMIFS(Purchases!$D$2:$D$2001,Purchases!$B$2:$B$2001,A430))</f>
        <v/>
      </c>
      <c r="F430" s="16" t="str">
        <f aca="false">IF(A430="","",SUMIFS(Sales_Items!$E$2:$E$3001,Sales_Items!$C$2:$C$3001,A430))</f>
        <v/>
      </c>
      <c r="G430" s="16" t="str">
        <f aca="false">IF(A430="","",D430+E430-F430)</f>
        <v/>
      </c>
      <c r="H430" s="17" t="str">
        <f aca="false">IF(A430="","",N(Products!E430))</f>
        <v/>
      </c>
      <c r="I430" s="17" t="str">
        <f aca="false">IF(A430="","",G430*H430)</f>
        <v/>
      </c>
      <c r="J430" s="16" t="str">
        <f aca="false">IF(A430="","",IF(Products!G430="",Settings!$B$8,Products!G430))</f>
        <v/>
      </c>
      <c r="K430" s="16" t="str">
        <f aca="false">IF(A430="","",IF(G430&lt;=0,"OUT",IF(G430&lt;=J430,"LOW","OK")))</f>
        <v/>
      </c>
      <c r="L430" s="16" t="str">
        <f aca="false">IF(A430="","",F430+ROW()/1000000)</f>
        <v/>
      </c>
      <c r="M430" s="16" t="str">
        <f aca="false">IF(OR(K430="LOW",K430="OUT"),COUNTIF($K$2:K430,"LOW")+COUNTIF($K$2:K430,"OUT"),"")</f>
        <v/>
      </c>
    </row>
    <row r="431" customFormat="false" ht="15" hidden="false" customHeight="true" outlineLevel="0" collapsed="false">
      <c r="A431" s="16" t="str">
        <f aca="false">IF(Products!A431="","",Products!A431)</f>
        <v/>
      </c>
      <c r="B431" s="16" t="str">
        <f aca="false">IF($A431="","",INDEX(Products!$B$2:$B$501,ROW()-1))</f>
        <v/>
      </c>
      <c r="C431" s="16" t="str">
        <f aca="false">IF($A431="","",INDEX(Products!$C$2:$C$501,ROW()-1))</f>
        <v/>
      </c>
      <c r="D431" s="16" t="str">
        <f aca="false">IF(A431="","",N(Products!I431))</f>
        <v/>
      </c>
      <c r="E431" s="16" t="str">
        <f aca="false">IF(A431="","",SUMIFS(Purchases!$D$2:$D$2001,Purchases!$B$2:$B$2001,A431))</f>
        <v/>
      </c>
      <c r="F431" s="16" t="str">
        <f aca="false">IF(A431="","",SUMIFS(Sales_Items!$E$2:$E$3001,Sales_Items!$C$2:$C$3001,A431))</f>
        <v/>
      </c>
      <c r="G431" s="16" t="str">
        <f aca="false">IF(A431="","",D431+E431-F431)</f>
        <v/>
      </c>
      <c r="H431" s="17" t="str">
        <f aca="false">IF(A431="","",N(Products!E431))</f>
        <v/>
      </c>
      <c r="I431" s="17" t="str">
        <f aca="false">IF(A431="","",G431*H431)</f>
        <v/>
      </c>
      <c r="J431" s="16" t="str">
        <f aca="false">IF(A431="","",IF(Products!G431="",Settings!$B$8,Products!G431))</f>
        <v/>
      </c>
      <c r="K431" s="16" t="str">
        <f aca="false">IF(A431="","",IF(G431&lt;=0,"OUT",IF(G431&lt;=J431,"LOW","OK")))</f>
        <v/>
      </c>
      <c r="L431" s="16" t="str">
        <f aca="false">IF(A431="","",F431+ROW()/1000000)</f>
        <v/>
      </c>
      <c r="M431" s="16" t="str">
        <f aca="false">IF(OR(K431="LOW",K431="OUT"),COUNTIF($K$2:K431,"LOW")+COUNTIF($K$2:K431,"OUT"),"")</f>
        <v/>
      </c>
    </row>
    <row r="432" customFormat="false" ht="15" hidden="false" customHeight="true" outlineLevel="0" collapsed="false">
      <c r="A432" s="16" t="str">
        <f aca="false">IF(Products!A432="","",Products!A432)</f>
        <v/>
      </c>
      <c r="B432" s="16" t="str">
        <f aca="false">IF($A432="","",INDEX(Products!$B$2:$B$501,ROW()-1))</f>
        <v/>
      </c>
      <c r="C432" s="16" t="str">
        <f aca="false">IF($A432="","",INDEX(Products!$C$2:$C$501,ROW()-1))</f>
        <v/>
      </c>
      <c r="D432" s="16" t="str">
        <f aca="false">IF(A432="","",N(Products!I432))</f>
        <v/>
      </c>
      <c r="E432" s="16" t="str">
        <f aca="false">IF(A432="","",SUMIFS(Purchases!$D$2:$D$2001,Purchases!$B$2:$B$2001,A432))</f>
        <v/>
      </c>
      <c r="F432" s="16" t="str">
        <f aca="false">IF(A432="","",SUMIFS(Sales_Items!$E$2:$E$3001,Sales_Items!$C$2:$C$3001,A432))</f>
        <v/>
      </c>
      <c r="G432" s="16" t="str">
        <f aca="false">IF(A432="","",D432+E432-F432)</f>
        <v/>
      </c>
      <c r="H432" s="17" t="str">
        <f aca="false">IF(A432="","",N(Products!E432))</f>
        <v/>
      </c>
      <c r="I432" s="17" t="str">
        <f aca="false">IF(A432="","",G432*H432)</f>
        <v/>
      </c>
      <c r="J432" s="16" t="str">
        <f aca="false">IF(A432="","",IF(Products!G432="",Settings!$B$8,Products!G432))</f>
        <v/>
      </c>
      <c r="K432" s="16" t="str">
        <f aca="false">IF(A432="","",IF(G432&lt;=0,"OUT",IF(G432&lt;=J432,"LOW","OK")))</f>
        <v/>
      </c>
      <c r="L432" s="16" t="str">
        <f aca="false">IF(A432="","",F432+ROW()/1000000)</f>
        <v/>
      </c>
      <c r="M432" s="16" t="str">
        <f aca="false">IF(OR(K432="LOW",K432="OUT"),COUNTIF($K$2:K432,"LOW")+COUNTIF($K$2:K432,"OUT"),"")</f>
        <v/>
      </c>
    </row>
    <row r="433" customFormat="false" ht="15" hidden="false" customHeight="true" outlineLevel="0" collapsed="false">
      <c r="A433" s="16" t="str">
        <f aca="false">IF(Products!A433="","",Products!A433)</f>
        <v/>
      </c>
      <c r="B433" s="16" t="str">
        <f aca="false">IF($A433="","",INDEX(Products!$B$2:$B$501,ROW()-1))</f>
        <v/>
      </c>
      <c r="C433" s="16" t="str">
        <f aca="false">IF($A433="","",INDEX(Products!$C$2:$C$501,ROW()-1))</f>
        <v/>
      </c>
      <c r="D433" s="16" t="str">
        <f aca="false">IF(A433="","",N(Products!I433))</f>
        <v/>
      </c>
      <c r="E433" s="16" t="str">
        <f aca="false">IF(A433="","",SUMIFS(Purchases!$D$2:$D$2001,Purchases!$B$2:$B$2001,A433))</f>
        <v/>
      </c>
      <c r="F433" s="16" t="str">
        <f aca="false">IF(A433="","",SUMIFS(Sales_Items!$E$2:$E$3001,Sales_Items!$C$2:$C$3001,A433))</f>
        <v/>
      </c>
      <c r="G433" s="16" t="str">
        <f aca="false">IF(A433="","",D433+E433-F433)</f>
        <v/>
      </c>
      <c r="H433" s="17" t="str">
        <f aca="false">IF(A433="","",N(Products!E433))</f>
        <v/>
      </c>
      <c r="I433" s="17" t="str">
        <f aca="false">IF(A433="","",G433*H433)</f>
        <v/>
      </c>
      <c r="J433" s="16" t="str">
        <f aca="false">IF(A433="","",IF(Products!G433="",Settings!$B$8,Products!G433))</f>
        <v/>
      </c>
      <c r="K433" s="16" t="str">
        <f aca="false">IF(A433="","",IF(G433&lt;=0,"OUT",IF(G433&lt;=J433,"LOW","OK")))</f>
        <v/>
      </c>
      <c r="L433" s="16" t="str">
        <f aca="false">IF(A433="","",F433+ROW()/1000000)</f>
        <v/>
      </c>
      <c r="M433" s="16" t="str">
        <f aca="false">IF(OR(K433="LOW",K433="OUT"),COUNTIF($K$2:K433,"LOW")+COUNTIF($K$2:K433,"OUT"),"")</f>
        <v/>
      </c>
    </row>
    <row r="434" customFormat="false" ht="15" hidden="false" customHeight="true" outlineLevel="0" collapsed="false">
      <c r="A434" s="16" t="str">
        <f aca="false">IF(Products!A434="","",Products!A434)</f>
        <v/>
      </c>
      <c r="B434" s="16" t="str">
        <f aca="false">IF($A434="","",INDEX(Products!$B$2:$B$501,ROW()-1))</f>
        <v/>
      </c>
      <c r="C434" s="16" t="str">
        <f aca="false">IF($A434="","",INDEX(Products!$C$2:$C$501,ROW()-1))</f>
        <v/>
      </c>
      <c r="D434" s="16" t="str">
        <f aca="false">IF(A434="","",N(Products!I434))</f>
        <v/>
      </c>
      <c r="E434" s="16" t="str">
        <f aca="false">IF(A434="","",SUMIFS(Purchases!$D$2:$D$2001,Purchases!$B$2:$B$2001,A434))</f>
        <v/>
      </c>
      <c r="F434" s="16" t="str">
        <f aca="false">IF(A434="","",SUMIFS(Sales_Items!$E$2:$E$3001,Sales_Items!$C$2:$C$3001,A434))</f>
        <v/>
      </c>
      <c r="G434" s="16" t="str">
        <f aca="false">IF(A434="","",D434+E434-F434)</f>
        <v/>
      </c>
      <c r="H434" s="17" t="str">
        <f aca="false">IF(A434="","",N(Products!E434))</f>
        <v/>
      </c>
      <c r="I434" s="17" t="str">
        <f aca="false">IF(A434="","",G434*H434)</f>
        <v/>
      </c>
      <c r="J434" s="16" t="str">
        <f aca="false">IF(A434="","",IF(Products!G434="",Settings!$B$8,Products!G434))</f>
        <v/>
      </c>
      <c r="K434" s="16" t="str">
        <f aca="false">IF(A434="","",IF(G434&lt;=0,"OUT",IF(G434&lt;=J434,"LOW","OK")))</f>
        <v/>
      </c>
      <c r="L434" s="16" t="str">
        <f aca="false">IF(A434="","",F434+ROW()/1000000)</f>
        <v/>
      </c>
      <c r="M434" s="16" t="str">
        <f aca="false">IF(OR(K434="LOW",K434="OUT"),COUNTIF($K$2:K434,"LOW")+COUNTIF($K$2:K434,"OUT"),"")</f>
        <v/>
      </c>
    </row>
    <row r="435" customFormat="false" ht="15" hidden="false" customHeight="true" outlineLevel="0" collapsed="false">
      <c r="A435" s="16" t="str">
        <f aca="false">IF(Products!A435="","",Products!A435)</f>
        <v/>
      </c>
      <c r="B435" s="16" t="str">
        <f aca="false">IF($A435="","",INDEX(Products!$B$2:$B$501,ROW()-1))</f>
        <v/>
      </c>
      <c r="C435" s="16" t="str">
        <f aca="false">IF($A435="","",INDEX(Products!$C$2:$C$501,ROW()-1))</f>
        <v/>
      </c>
      <c r="D435" s="16" t="str">
        <f aca="false">IF(A435="","",N(Products!I435))</f>
        <v/>
      </c>
      <c r="E435" s="16" t="str">
        <f aca="false">IF(A435="","",SUMIFS(Purchases!$D$2:$D$2001,Purchases!$B$2:$B$2001,A435))</f>
        <v/>
      </c>
      <c r="F435" s="16" t="str">
        <f aca="false">IF(A435="","",SUMIFS(Sales_Items!$E$2:$E$3001,Sales_Items!$C$2:$C$3001,A435))</f>
        <v/>
      </c>
      <c r="G435" s="16" t="str">
        <f aca="false">IF(A435="","",D435+E435-F435)</f>
        <v/>
      </c>
      <c r="H435" s="17" t="str">
        <f aca="false">IF(A435="","",N(Products!E435))</f>
        <v/>
      </c>
      <c r="I435" s="17" t="str">
        <f aca="false">IF(A435="","",G435*H435)</f>
        <v/>
      </c>
      <c r="J435" s="16" t="str">
        <f aca="false">IF(A435="","",IF(Products!G435="",Settings!$B$8,Products!G435))</f>
        <v/>
      </c>
      <c r="K435" s="16" t="str">
        <f aca="false">IF(A435="","",IF(G435&lt;=0,"OUT",IF(G435&lt;=J435,"LOW","OK")))</f>
        <v/>
      </c>
      <c r="L435" s="16" t="str">
        <f aca="false">IF(A435="","",F435+ROW()/1000000)</f>
        <v/>
      </c>
      <c r="M435" s="16" t="str">
        <f aca="false">IF(OR(K435="LOW",K435="OUT"),COUNTIF($K$2:K435,"LOW")+COUNTIF($K$2:K435,"OUT"),"")</f>
        <v/>
      </c>
    </row>
    <row r="436" customFormat="false" ht="15" hidden="false" customHeight="true" outlineLevel="0" collapsed="false">
      <c r="A436" s="16" t="str">
        <f aca="false">IF(Products!A436="","",Products!A436)</f>
        <v/>
      </c>
      <c r="B436" s="16" t="str">
        <f aca="false">IF($A436="","",INDEX(Products!$B$2:$B$501,ROW()-1))</f>
        <v/>
      </c>
      <c r="C436" s="16" t="str">
        <f aca="false">IF($A436="","",INDEX(Products!$C$2:$C$501,ROW()-1))</f>
        <v/>
      </c>
      <c r="D436" s="16" t="str">
        <f aca="false">IF(A436="","",N(Products!I436))</f>
        <v/>
      </c>
      <c r="E436" s="16" t="str">
        <f aca="false">IF(A436="","",SUMIFS(Purchases!$D$2:$D$2001,Purchases!$B$2:$B$2001,A436))</f>
        <v/>
      </c>
      <c r="F436" s="16" t="str">
        <f aca="false">IF(A436="","",SUMIFS(Sales_Items!$E$2:$E$3001,Sales_Items!$C$2:$C$3001,A436))</f>
        <v/>
      </c>
      <c r="G436" s="16" t="str">
        <f aca="false">IF(A436="","",D436+E436-F436)</f>
        <v/>
      </c>
      <c r="H436" s="17" t="str">
        <f aca="false">IF(A436="","",N(Products!E436))</f>
        <v/>
      </c>
      <c r="I436" s="17" t="str">
        <f aca="false">IF(A436="","",G436*H436)</f>
        <v/>
      </c>
      <c r="J436" s="16" t="str">
        <f aca="false">IF(A436="","",IF(Products!G436="",Settings!$B$8,Products!G436))</f>
        <v/>
      </c>
      <c r="K436" s="16" t="str">
        <f aca="false">IF(A436="","",IF(G436&lt;=0,"OUT",IF(G436&lt;=J436,"LOW","OK")))</f>
        <v/>
      </c>
      <c r="L436" s="16" t="str">
        <f aca="false">IF(A436="","",F436+ROW()/1000000)</f>
        <v/>
      </c>
      <c r="M436" s="16" t="str">
        <f aca="false">IF(OR(K436="LOW",K436="OUT"),COUNTIF($K$2:K436,"LOW")+COUNTIF($K$2:K436,"OUT"),"")</f>
        <v/>
      </c>
    </row>
    <row r="437" customFormat="false" ht="15" hidden="false" customHeight="true" outlineLevel="0" collapsed="false">
      <c r="A437" s="16" t="str">
        <f aca="false">IF(Products!A437="","",Products!A437)</f>
        <v/>
      </c>
      <c r="B437" s="16" t="str">
        <f aca="false">IF($A437="","",INDEX(Products!$B$2:$B$501,ROW()-1))</f>
        <v/>
      </c>
      <c r="C437" s="16" t="str">
        <f aca="false">IF($A437="","",INDEX(Products!$C$2:$C$501,ROW()-1))</f>
        <v/>
      </c>
      <c r="D437" s="16" t="str">
        <f aca="false">IF(A437="","",N(Products!I437))</f>
        <v/>
      </c>
      <c r="E437" s="16" t="str">
        <f aca="false">IF(A437="","",SUMIFS(Purchases!$D$2:$D$2001,Purchases!$B$2:$B$2001,A437))</f>
        <v/>
      </c>
      <c r="F437" s="16" t="str">
        <f aca="false">IF(A437="","",SUMIFS(Sales_Items!$E$2:$E$3001,Sales_Items!$C$2:$C$3001,A437))</f>
        <v/>
      </c>
      <c r="G437" s="16" t="str">
        <f aca="false">IF(A437="","",D437+E437-F437)</f>
        <v/>
      </c>
      <c r="H437" s="17" t="str">
        <f aca="false">IF(A437="","",N(Products!E437))</f>
        <v/>
      </c>
      <c r="I437" s="17" t="str">
        <f aca="false">IF(A437="","",G437*H437)</f>
        <v/>
      </c>
      <c r="J437" s="16" t="str">
        <f aca="false">IF(A437="","",IF(Products!G437="",Settings!$B$8,Products!G437))</f>
        <v/>
      </c>
      <c r="K437" s="16" t="str">
        <f aca="false">IF(A437="","",IF(G437&lt;=0,"OUT",IF(G437&lt;=J437,"LOW","OK")))</f>
        <v/>
      </c>
      <c r="L437" s="16" t="str">
        <f aca="false">IF(A437="","",F437+ROW()/1000000)</f>
        <v/>
      </c>
      <c r="M437" s="16" t="str">
        <f aca="false">IF(OR(K437="LOW",K437="OUT"),COUNTIF($K$2:K437,"LOW")+COUNTIF($K$2:K437,"OUT"),"")</f>
        <v/>
      </c>
    </row>
    <row r="438" customFormat="false" ht="15" hidden="false" customHeight="true" outlineLevel="0" collapsed="false">
      <c r="A438" s="16" t="str">
        <f aca="false">IF(Products!A438="","",Products!A438)</f>
        <v/>
      </c>
      <c r="B438" s="16" t="str">
        <f aca="false">IF($A438="","",INDEX(Products!$B$2:$B$501,ROW()-1))</f>
        <v/>
      </c>
      <c r="C438" s="16" t="str">
        <f aca="false">IF($A438="","",INDEX(Products!$C$2:$C$501,ROW()-1))</f>
        <v/>
      </c>
      <c r="D438" s="16" t="str">
        <f aca="false">IF(A438="","",N(Products!I438))</f>
        <v/>
      </c>
      <c r="E438" s="16" t="str">
        <f aca="false">IF(A438="","",SUMIFS(Purchases!$D$2:$D$2001,Purchases!$B$2:$B$2001,A438))</f>
        <v/>
      </c>
      <c r="F438" s="16" t="str">
        <f aca="false">IF(A438="","",SUMIFS(Sales_Items!$E$2:$E$3001,Sales_Items!$C$2:$C$3001,A438))</f>
        <v/>
      </c>
      <c r="G438" s="16" t="str">
        <f aca="false">IF(A438="","",D438+E438-F438)</f>
        <v/>
      </c>
      <c r="H438" s="17" t="str">
        <f aca="false">IF(A438="","",N(Products!E438))</f>
        <v/>
      </c>
      <c r="I438" s="17" t="str">
        <f aca="false">IF(A438="","",G438*H438)</f>
        <v/>
      </c>
      <c r="J438" s="16" t="str">
        <f aca="false">IF(A438="","",IF(Products!G438="",Settings!$B$8,Products!G438))</f>
        <v/>
      </c>
      <c r="K438" s="16" t="str">
        <f aca="false">IF(A438="","",IF(G438&lt;=0,"OUT",IF(G438&lt;=J438,"LOW","OK")))</f>
        <v/>
      </c>
      <c r="L438" s="16" t="str">
        <f aca="false">IF(A438="","",F438+ROW()/1000000)</f>
        <v/>
      </c>
      <c r="M438" s="16" t="str">
        <f aca="false">IF(OR(K438="LOW",K438="OUT"),COUNTIF($K$2:K438,"LOW")+COUNTIF($K$2:K438,"OUT"),"")</f>
        <v/>
      </c>
    </row>
    <row r="439" customFormat="false" ht="15" hidden="false" customHeight="true" outlineLevel="0" collapsed="false">
      <c r="A439" s="16" t="str">
        <f aca="false">IF(Products!A439="","",Products!A439)</f>
        <v/>
      </c>
      <c r="B439" s="16" t="str">
        <f aca="false">IF($A439="","",INDEX(Products!$B$2:$B$501,ROW()-1))</f>
        <v/>
      </c>
      <c r="C439" s="16" t="str">
        <f aca="false">IF($A439="","",INDEX(Products!$C$2:$C$501,ROW()-1))</f>
        <v/>
      </c>
      <c r="D439" s="16" t="str">
        <f aca="false">IF(A439="","",N(Products!I439))</f>
        <v/>
      </c>
      <c r="E439" s="16" t="str">
        <f aca="false">IF(A439="","",SUMIFS(Purchases!$D$2:$D$2001,Purchases!$B$2:$B$2001,A439))</f>
        <v/>
      </c>
      <c r="F439" s="16" t="str">
        <f aca="false">IF(A439="","",SUMIFS(Sales_Items!$E$2:$E$3001,Sales_Items!$C$2:$C$3001,A439))</f>
        <v/>
      </c>
      <c r="G439" s="16" t="str">
        <f aca="false">IF(A439="","",D439+E439-F439)</f>
        <v/>
      </c>
      <c r="H439" s="17" t="str">
        <f aca="false">IF(A439="","",N(Products!E439))</f>
        <v/>
      </c>
      <c r="I439" s="17" t="str">
        <f aca="false">IF(A439="","",G439*H439)</f>
        <v/>
      </c>
      <c r="J439" s="16" t="str">
        <f aca="false">IF(A439="","",IF(Products!G439="",Settings!$B$8,Products!G439))</f>
        <v/>
      </c>
      <c r="K439" s="16" t="str">
        <f aca="false">IF(A439="","",IF(G439&lt;=0,"OUT",IF(G439&lt;=J439,"LOW","OK")))</f>
        <v/>
      </c>
      <c r="L439" s="16" t="str">
        <f aca="false">IF(A439="","",F439+ROW()/1000000)</f>
        <v/>
      </c>
      <c r="M439" s="16" t="str">
        <f aca="false">IF(OR(K439="LOW",K439="OUT"),COUNTIF($K$2:K439,"LOW")+COUNTIF($K$2:K439,"OUT"),"")</f>
        <v/>
      </c>
    </row>
    <row r="440" customFormat="false" ht="15" hidden="false" customHeight="true" outlineLevel="0" collapsed="false">
      <c r="A440" s="16" t="str">
        <f aca="false">IF(Products!A440="","",Products!A440)</f>
        <v/>
      </c>
      <c r="B440" s="16" t="str">
        <f aca="false">IF($A440="","",INDEX(Products!$B$2:$B$501,ROW()-1))</f>
        <v/>
      </c>
      <c r="C440" s="16" t="str">
        <f aca="false">IF($A440="","",INDEX(Products!$C$2:$C$501,ROW()-1))</f>
        <v/>
      </c>
      <c r="D440" s="16" t="str">
        <f aca="false">IF(A440="","",N(Products!I440))</f>
        <v/>
      </c>
      <c r="E440" s="16" t="str">
        <f aca="false">IF(A440="","",SUMIFS(Purchases!$D$2:$D$2001,Purchases!$B$2:$B$2001,A440))</f>
        <v/>
      </c>
      <c r="F440" s="16" t="str">
        <f aca="false">IF(A440="","",SUMIFS(Sales_Items!$E$2:$E$3001,Sales_Items!$C$2:$C$3001,A440))</f>
        <v/>
      </c>
      <c r="G440" s="16" t="str">
        <f aca="false">IF(A440="","",D440+E440-F440)</f>
        <v/>
      </c>
      <c r="H440" s="17" t="str">
        <f aca="false">IF(A440="","",N(Products!E440))</f>
        <v/>
      </c>
      <c r="I440" s="17" t="str">
        <f aca="false">IF(A440="","",G440*H440)</f>
        <v/>
      </c>
      <c r="J440" s="16" t="str">
        <f aca="false">IF(A440="","",IF(Products!G440="",Settings!$B$8,Products!G440))</f>
        <v/>
      </c>
      <c r="K440" s="16" t="str">
        <f aca="false">IF(A440="","",IF(G440&lt;=0,"OUT",IF(G440&lt;=J440,"LOW","OK")))</f>
        <v/>
      </c>
      <c r="L440" s="16" t="str">
        <f aca="false">IF(A440="","",F440+ROW()/1000000)</f>
        <v/>
      </c>
      <c r="M440" s="16" t="str">
        <f aca="false">IF(OR(K440="LOW",K440="OUT"),COUNTIF($K$2:K440,"LOW")+COUNTIF($K$2:K440,"OUT"),"")</f>
        <v/>
      </c>
    </row>
    <row r="441" customFormat="false" ht="15" hidden="false" customHeight="true" outlineLevel="0" collapsed="false">
      <c r="A441" s="16" t="str">
        <f aca="false">IF(Products!A441="","",Products!A441)</f>
        <v/>
      </c>
      <c r="B441" s="16" t="str">
        <f aca="false">IF($A441="","",INDEX(Products!$B$2:$B$501,ROW()-1))</f>
        <v/>
      </c>
      <c r="C441" s="16" t="str">
        <f aca="false">IF($A441="","",INDEX(Products!$C$2:$C$501,ROW()-1))</f>
        <v/>
      </c>
      <c r="D441" s="16" t="str">
        <f aca="false">IF(A441="","",N(Products!I441))</f>
        <v/>
      </c>
      <c r="E441" s="16" t="str">
        <f aca="false">IF(A441="","",SUMIFS(Purchases!$D$2:$D$2001,Purchases!$B$2:$B$2001,A441))</f>
        <v/>
      </c>
      <c r="F441" s="16" t="str">
        <f aca="false">IF(A441="","",SUMIFS(Sales_Items!$E$2:$E$3001,Sales_Items!$C$2:$C$3001,A441))</f>
        <v/>
      </c>
      <c r="G441" s="16" t="str">
        <f aca="false">IF(A441="","",D441+E441-F441)</f>
        <v/>
      </c>
      <c r="H441" s="17" t="str">
        <f aca="false">IF(A441="","",N(Products!E441))</f>
        <v/>
      </c>
      <c r="I441" s="17" t="str">
        <f aca="false">IF(A441="","",G441*H441)</f>
        <v/>
      </c>
      <c r="J441" s="16" t="str">
        <f aca="false">IF(A441="","",IF(Products!G441="",Settings!$B$8,Products!G441))</f>
        <v/>
      </c>
      <c r="K441" s="16" t="str">
        <f aca="false">IF(A441="","",IF(G441&lt;=0,"OUT",IF(G441&lt;=J441,"LOW","OK")))</f>
        <v/>
      </c>
      <c r="L441" s="16" t="str">
        <f aca="false">IF(A441="","",F441+ROW()/1000000)</f>
        <v/>
      </c>
      <c r="M441" s="16" t="str">
        <f aca="false">IF(OR(K441="LOW",K441="OUT"),COUNTIF($K$2:K441,"LOW")+COUNTIF($K$2:K441,"OUT"),"")</f>
        <v/>
      </c>
    </row>
    <row r="442" customFormat="false" ht="15" hidden="false" customHeight="true" outlineLevel="0" collapsed="false">
      <c r="A442" s="16" t="str">
        <f aca="false">IF(Products!A442="","",Products!A442)</f>
        <v/>
      </c>
      <c r="B442" s="16" t="str">
        <f aca="false">IF($A442="","",INDEX(Products!$B$2:$B$501,ROW()-1))</f>
        <v/>
      </c>
      <c r="C442" s="16" t="str">
        <f aca="false">IF($A442="","",INDEX(Products!$C$2:$C$501,ROW()-1))</f>
        <v/>
      </c>
      <c r="D442" s="16" t="str">
        <f aca="false">IF(A442="","",N(Products!I442))</f>
        <v/>
      </c>
      <c r="E442" s="16" t="str">
        <f aca="false">IF(A442="","",SUMIFS(Purchases!$D$2:$D$2001,Purchases!$B$2:$B$2001,A442))</f>
        <v/>
      </c>
      <c r="F442" s="16" t="str">
        <f aca="false">IF(A442="","",SUMIFS(Sales_Items!$E$2:$E$3001,Sales_Items!$C$2:$C$3001,A442))</f>
        <v/>
      </c>
      <c r="G442" s="16" t="str">
        <f aca="false">IF(A442="","",D442+E442-F442)</f>
        <v/>
      </c>
      <c r="H442" s="17" t="str">
        <f aca="false">IF(A442="","",N(Products!E442))</f>
        <v/>
      </c>
      <c r="I442" s="17" t="str">
        <f aca="false">IF(A442="","",G442*H442)</f>
        <v/>
      </c>
      <c r="J442" s="16" t="str">
        <f aca="false">IF(A442="","",IF(Products!G442="",Settings!$B$8,Products!G442))</f>
        <v/>
      </c>
      <c r="K442" s="16" t="str">
        <f aca="false">IF(A442="","",IF(G442&lt;=0,"OUT",IF(G442&lt;=J442,"LOW","OK")))</f>
        <v/>
      </c>
      <c r="L442" s="16" t="str">
        <f aca="false">IF(A442="","",F442+ROW()/1000000)</f>
        <v/>
      </c>
      <c r="M442" s="16" t="str">
        <f aca="false">IF(OR(K442="LOW",K442="OUT"),COUNTIF($K$2:K442,"LOW")+COUNTIF($K$2:K442,"OUT"),"")</f>
        <v/>
      </c>
    </row>
    <row r="443" customFormat="false" ht="15" hidden="false" customHeight="true" outlineLevel="0" collapsed="false">
      <c r="A443" s="16" t="str">
        <f aca="false">IF(Products!A443="","",Products!A443)</f>
        <v/>
      </c>
      <c r="B443" s="16" t="str">
        <f aca="false">IF($A443="","",INDEX(Products!$B$2:$B$501,ROW()-1))</f>
        <v/>
      </c>
      <c r="C443" s="16" t="str">
        <f aca="false">IF($A443="","",INDEX(Products!$C$2:$C$501,ROW()-1))</f>
        <v/>
      </c>
      <c r="D443" s="16" t="str">
        <f aca="false">IF(A443="","",N(Products!I443))</f>
        <v/>
      </c>
      <c r="E443" s="16" t="str">
        <f aca="false">IF(A443="","",SUMIFS(Purchases!$D$2:$D$2001,Purchases!$B$2:$B$2001,A443))</f>
        <v/>
      </c>
      <c r="F443" s="16" t="str">
        <f aca="false">IF(A443="","",SUMIFS(Sales_Items!$E$2:$E$3001,Sales_Items!$C$2:$C$3001,A443))</f>
        <v/>
      </c>
      <c r="G443" s="16" t="str">
        <f aca="false">IF(A443="","",D443+E443-F443)</f>
        <v/>
      </c>
      <c r="H443" s="17" t="str">
        <f aca="false">IF(A443="","",N(Products!E443))</f>
        <v/>
      </c>
      <c r="I443" s="17" t="str">
        <f aca="false">IF(A443="","",G443*H443)</f>
        <v/>
      </c>
      <c r="J443" s="16" t="str">
        <f aca="false">IF(A443="","",IF(Products!G443="",Settings!$B$8,Products!G443))</f>
        <v/>
      </c>
      <c r="K443" s="16" t="str">
        <f aca="false">IF(A443="","",IF(G443&lt;=0,"OUT",IF(G443&lt;=J443,"LOW","OK")))</f>
        <v/>
      </c>
      <c r="L443" s="16" t="str">
        <f aca="false">IF(A443="","",F443+ROW()/1000000)</f>
        <v/>
      </c>
      <c r="M443" s="16" t="str">
        <f aca="false">IF(OR(K443="LOW",K443="OUT"),COUNTIF($K$2:K443,"LOW")+COUNTIF($K$2:K443,"OUT"),"")</f>
        <v/>
      </c>
    </row>
    <row r="444" customFormat="false" ht="15" hidden="false" customHeight="true" outlineLevel="0" collapsed="false">
      <c r="A444" s="16" t="str">
        <f aca="false">IF(Products!A444="","",Products!A444)</f>
        <v/>
      </c>
      <c r="B444" s="16" t="str">
        <f aca="false">IF($A444="","",INDEX(Products!$B$2:$B$501,ROW()-1))</f>
        <v/>
      </c>
      <c r="C444" s="16" t="str">
        <f aca="false">IF($A444="","",INDEX(Products!$C$2:$C$501,ROW()-1))</f>
        <v/>
      </c>
      <c r="D444" s="16" t="str">
        <f aca="false">IF(A444="","",N(Products!I444))</f>
        <v/>
      </c>
      <c r="E444" s="16" t="str">
        <f aca="false">IF(A444="","",SUMIFS(Purchases!$D$2:$D$2001,Purchases!$B$2:$B$2001,A444))</f>
        <v/>
      </c>
      <c r="F444" s="16" t="str">
        <f aca="false">IF(A444="","",SUMIFS(Sales_Items!$E$2:$E$3001,Sales_Items!$C$2:$C$3001,A444))</f>
        <v/>
      </c>
      <c r="G444" s="16" t="str">
        <f aca="false">IF(A444="","",D444+E444-F444)</f>
        <v/>
      </c>
      <c r="H444" s="17" t="str">
        <f aca="false">IF(A444="","",N(Products!E444))</f>
        <v/>
      </c>
      <c r="I444" s="17" t="str">
        <f aca="false">IF(A444="","",G444*H444)</f>
        <v/>
      </c>
      <c r="J444" s="16" t="str">
        <f aca="false">IF(A444="","",IF(Products!G444="",Settings!$B$8,Products!G444))</f>
        <v/>
      </c>
      <c r="K444" s="16" t="str">
        <f aca="false">IF(A444="","",IF(G444&lt;=0,"OUT",IF(G444&lt;=J444,"LOW","OK")))</f>
        <v/>
      </c>
      <c r="L444" s="16" t="str">
        <f aca="false">IF(A444="","",F444+ROW()/1000000)</f>
        <v/>
      </c>
      <c r="M444" s="16" t="str">
        <f aca="false">IF(OR(K444="LOW",K444="OUT"),COUNTIF($K$2:K444,"LOW")+COUNTIF($K$2:K444,"OUT"),"")</f>
        <v/>
      </c>
    </row>
    <row r="445" customFormat="false" ht="15" hidden="false" customHeight="true" outlineLevel="0" collapsed="false">
      <c r="A445" s="16" t="str">
        <f aca="false">IF(Products!A445="","",Products!A445)</f>
        <v/>
      </c>
      <c r="B445" s="16" t="str">
        <f aca="false">IF($A445="","",INDEX(Products!$B$2:$B$501,ROW()-1))</f>
        <v/>
      </c>
      <c r="C445" s="16" t="str">
        <f aca="false">IF($A445="","",INDEX(Products!$C$2:$C$501,ROW()-1))</f>
        <v/>
      </c>
      <c r="D445" s="16" t="str">
        <f aca="false">IF(A445="","",N(Products!I445))</f>
        <v/>
      </c>
      <c r="E445" s="16" t="str">
        <f aca="false">IF(A445="","",SUMIFS(Purchases!$D$2:$D$2001,Purchases!$B$2:$B$2001,A445))</f>
        <v/>
      </c>
      <c r="F445" s="16" t="str">
        <f aca="false">IF(A445="","",SUMIFS(Sales_Items!$E$2:$E$3001,Sales_Items!$C$2:$C$3001,A445))</f>
        <v/>
      </c>
      <c r="G445" s="16" t="str">
        <f aca="false">IF(A445="","",D445+E445-F445)</f>
        <v/>
      </c>
      <c r="H445" s="17" t="str">
        <f aca="false">IF(A445="","",N(Products!E445))</f>
        <v/>
      </c>
      <c r="I445" s="17" t="str">
        <f aca="false">IF(A445="","",G445*H445)</f>
        <v/>
      </c>
      <c r="J445" s="16" t="str">
        <f aca="false">IF(A445="","",IF(Products!G445="",Settings!$B$8,Products!G445))</f>
        <v/>
      </c>
      <c r="K445" s="16" t="str">
        <f aca="false">IF(A445="","",IF(G445&lt;=0,"OUT",IF(G445&lt;=J445,"LOW","OK")))</f>
        <v/>
      </c>
      <c r="L445" s="16" t="str">
        <f aca="false">IF(A445="","",F445+ROW()/1000000)</f>
        <v/>
      </c>
      <c r="M445" s="16" t="str">
        <f aca="false">IF(OR(K445="LOW",K445="OUT"),COUNTIF($K$2:K445,"LOW")+COUNTIF($K$2:K445,"OUT"),"")</f>
        <v/>
      </c>
    </row>
    <row r="446" customFormat="false" ht="15" hidden="false" customHeight="true" outlineLevel="0" collapsed="false">
      <c r="A446" s="16" t="str">
        <f aca="false">IF(Products!A446="","",Products!A446)</f>
        <v/>
      </c>
      <c r="B446" s="16" t="str">
        <f aca="false">IF($A446="","",INDEX(Products!$B$2:$B$501,ROW()-1))</f>
        <v/>
      </c>
      <c r="C446" s="16" t="str">
        <f aca="false">IF($A446="","",INDEX(Products!$C$2:$C$501,ROW()-1))</f>
        <v/>
      </c>
      <c r="D446" s="16" t="str">
        <f aca="false">IF(A446="","",N(Products!I446))</f>
        <v/>
      </c>
      <c r="E446" s="16" t="str">
        <f aca="false">IF(A446="","",SUMIFS(Purchases!$D$2:$D$2001,Purchases!$B$2:$B$2001,A446))</f>
        <v/>
      </c>
      <c r="F446" s="16" t="str">
        <f aca="false">IF(A446="","",SUMIFS(Sales_Items!$E$2:$E$3001,Sales_Items!$C$2:$C$3001,A446))</f>
        <v/>
      </c>
      <c r="G446" s="16" t="str">
        <f aca="false">IF(A446="","",D446+E446-F446)</f>
        <v/>
      </c>
      <c r="H446" s="17" t="str">
        <f aca="false">IF(A446="","",N(Products!E446))</f>
        <v/>
      </c>
      <c r="I446" s="17" t="str">
        <f aca="false">IF(A446="","",G446*H446)</f>
        <v/>
      </c>
      <c r="J446" s="16" t="str">
        <f aca="false">IF(A446="","",IF(Products!G446="",Settings!$B$8,Products!G446))</f>
        <v/>
      </c>
      <c r="K446" s="16" t="str">
        <f aca="false">IF(A446="","",IF(G446&lt;=0,"OUT",IF(G446&lt;=J446,"LOW","OK")))</f>
        <v/>
      </c>
      <c r="L446" s="16" t="str">
        <f aca="false">IF(A446="","",F446+ROW()/1000000)</f>
        <v/>
      </c>
      <c r="M446" s="16" t="str">
        <f aca="false">IF(OR(K446="LOW",K446="OUT"),COUNTIF($K$2:K446,"LOW")+COUNTIF($K$2:K446,"OUT"),"")</f>
        <v/>
      </c>
    </row>
    <row r="447" customFormat="false" ht="15" hidden="false" customHeight="true" outlineLevel="0" collapsed="false">
      <c r="A447" s="16" t="str">
        <f aca="false">IF(Products!A447="","",Products!A447)</f>
        <v/>
      </c>
      <c r="B447" s="16" t="str">
        <f aca="false">IF($A447="","",INDEX(Products!$B$2:$B$501,ROW()-1))</f>
        <v/>
      </c>
      <c r="C447" s="16" t="str">
        <f aca="false">IF($A447="","",INDEX(Products!$C$2:$C$501,ROW()-1))</f>
        <v/>
      </c>
      <c r="D447" s="16" t="str">
        <f aca="false">IF(A447="","",N(Products!I447))</f>
        <v/>
      </c>
      <c r="E447" s="16" t="str">
        <f aca="false">IF(A447="","",SUMIFS(Purchases!$D$2:$D$2001,Purchases!$B$2:$B$2001,A447))</f>
        <v/>
      </c>
      <c r="F447" s="16" t="str">
        <f aca="false">IF(A447="","",SUMIFS(Sales_Items!$E$2:$E$3001,Sales_Items!$C$2:$C$3001,A447))</f>
        <v/>
      </c>
      <c r="G447" s="16" t="str">
        <f aca="false">IF(A447="","",D447+E447-F447)</f>
        <v/>
      </c>
      <c r="H447" s="17" t="str">
        <f aca="false">IF(A447="","",N(Products!E447))</f>
        <v/>
      </c>
      <c r="I447" s="17" t="str">
        <f aca="false">IF(A447="","",G447*H447)</f>
        <v/>
      </c>
      <c r="J447" s="16" t="str">
        <f aca="false">IF(A447="","",IF(Products!G447="",Settings!$B$8,Products!G447))</f>
        <v/>
      </c>
      <c r="K447" s="16" t="str">
        <f aca="false">IF(A447="","",IF(G447&lt;=0,"OUT",IF(G447&lt;=J447,"LOW","OK")))</f>
        <v/>
      </c>
      <c r="L447" s="16" t="str">
        <f aca="false">IF(A447="","",F447+ROW()/1000000)</f>
        <v/>
      </c>
      <c r="M447" s="16" t="str">
        <f aca="false">IF(OR(K447="LOW",K447="OUT"),COUNTIF($K$2:K447,"LOW")+COUNTIF($K$2:K447,"OUT"),"")</f>
        <v/>
      </c>
    </row>
    <row r="448" customFormat="false" ht="15" hidden="false" customHeight="true" outlineLevel="0" collapsed="false">
      <c r="A448" s="16" t="str">
        <f aca="false">IF(Products!A448="","",Products!A448)</f>
        <v/>
      </c>
      <c r="B448" s="16" t="str">
        <f aca="false">IF($A448="","",INDEX(Products!$B$2:$B$501,ROW()-1))</f>
        <v/>
      </c>
      <c r="C448" s="16" t="str">
        <f aca="false">IF($A448="","",INDEX(Products!$C$2:$C$501,ROW()-1))</f>
        <v/>
      </c>
      <c r="D448" s="16" t="str">
        <f aca="false">IF(A448="","",N(Products!I448))</f>
        <v/>
      </c>
      <c r="E448" s="16" t="str">
        <f aca="false">IF(A448="","",SUMIFS(Purchases!$D$2:$D$2001,Purchases!$B$2:$B$2001,A448))</f>
        <v/>
      </c>
      <c r="F448" s="16" t="str">
        <f aca="false">IF(A448="","",SUMIFS(Sales_Items!$E$2:$E$3001,Sales_Items!$C$2:$C$3001,A448))</f>
        <v/>
      </c>
      <c r="G448" s="16" t="str">
        <f aca="false">IF(A448="","",D448+E448-F448)</f>
        <v/>
      </c>
      <c r="H448" s="17" t="str">
        <f aca="false">IF(A448="","",N(Products!E448))</f>
        <v/>
      </c>
      <c r="I448" s="17" t="str">
        <f aca="false">IF(A448="","",G448*H448)</f>
        <v/>
      </c>
      <c r="J448" s="16" t="str">
        <f aca="false">IF(A448="","",IF(Products!G448="",Settings!$B$8,Products!G448))</f>
        <v/>
      </c>
      <c r="K448" s="16" t="str">
        <f aca="false">IF(A448="","",IF(G448&lt;=0,"OUT",IF(G448&lt;=J448,"LOW","OK")))</f>
        <v/>
      </c>
      <c r="L448" s="16" t="str">
        <f aca="false">IF(A448="","",F448+ROW()/1000000)</f>
        <v/>
      </c>
      <c r="M448" s="16" t="str">
        <f aca="false">IF(OR(K448="LOW",K448="OUT"),COUNTIF($K$2:K448,"LOW")+COUNTIF($K$2:K448,"OUT"),"")</f>
        <v/>
      </c>
    </row>
    <row r="449" customFormat="false" ht="15" hidden="false" customHeight="true" outlineLevel="0" collapsed="false">
      <c r="A449" s="16" t="str">
        <f aca="false">IF(Products!A449="","",Products!A449)</f>
        <v/>
      </c>
      <c r="B449" s="16" t="str">
        <f aca="false">IF($A449="","",INDEX(Products!$B$2:$B$501,ROW()-1))</f>
        <v/>
      </c>
      <c r="C449" s="16" t="str">
        <f aca="false">IF($A449="","",INDEX(Products!$C$2:$C$501,ROW()-1))</f>
        <v/>
      </c>
      <c r="D449" s="16" t="str">
        <f aca="false">IF(A449="","",N(Products!I449))</f>
        <v/>
      </c>
      <c r="E449" s="16" t="str">
        <f aca="false">IF(A449="","",SUMIFS(Purchases!$D$2:$D$2001,Purchases!$B$2:$B$2001,A449))</f>
        <v/>
      </c>
      <c r="F449" s="16" t="str">
        <f aca="false">IF(A449="","",SUMIFS(Sales_Items!$E$2:$E$3001,Sales_Items!$C$2:$C$3001,A449))</f>
        <v/>
      </c>
      <c r="G449" s="16" t="str">
        <f aca="false">IF(A449="","",D449+E449-F449)</f>
        <v/>
      </c>
      <c r="H449" s="17" t="str">
        <f aca="false">IF(A449="","",N(Products!E449))</f>
        <v/>
      </c>
      <c r="I449" s="17" t="str">
        <f aca="false">IF(A449="","",G449*H449)</f>
        <v/>
      </c>
      <c r="J449" s="16" t="str">
        <f aca="false">IF(A449="","",IF(Products!G449="",Settings!$B$8,Products!G449))</f>
        <v/>
      </c>
      <c r="K449" s="16" t="str">
        <f aca="false">IF(A449="","",IF(G449&lt;=0,"OUT",IF(G449&lt;=J449,"LOW","OK")))</f>
        <v/>
      </c>
      <c r="L449" s="16" t="str">
        <f aca="false">IF(A449="","",F449+ROW()/1000000)</f>
        <v/>
      </c>
      <c r="M449" s="16" t="str">
        <f aca="false">IF(OR(K449="LOW",K449="OUT"),COUNTIF($K$2:K449,"LOW")+COUNTIF($K$2:K449,"OUT"),"")</f>
        <v/>
      </c>
    </row>
    <row r="450" customFormat="false" ht="15" hidden="false" customHeight="true" outlineLevel="0" collapsed="false">
      <c r="A450" s="16" t="str">
        <f aca="false">IF(Products!A450="","",Products!A450)</f>
        <v/>
      </c>
      <c r="B450" s="16" t="str">
        <f aca="false">IF($A450="","",INDEX(Products!$B$2:$B$501,ROW()-1))</f>
        <v/>
      </c>
      <c r="C450" s="16" t="str">
        <f aca="false">IF($A450="","",INDEX(Products!$C$2:$C$501,ROW()-1))</f>
        <v/>
      </c>
      <c r="D450" s="16" t="str">
        <f aca="false">IF(A450="","",N(Products!I450))</f>
        <v/>
      </c>
      <c r="E450" s="16" t="str">
        <f aca="false">IF(A450="","",SUMIFS(Purchases!$D$2:$D$2001,Purchases!$B$2:$B$2001,A450))</f>
        <v/>
      </c>
      <c r="F450" s="16" t="str">
        <f aca="false">IF(A450="","",SUMIFS(Sales_Items!$E$2:$E$3001,Sales_Items!$C$2:$C$3001,A450))</f>
        <v/>
      </c>
      <c r="G450" s="16" t="str">
        <f aca="false">IF(A450="","",D450+E450-F450)</f>
        <v/>
      </c>
      <c r="H450" s="17" t="str">
        <f aca="false">IF(A450="","",N(Products!E450))</f>
        <v/>
      </c>
      <c r="I450" s="17" t="str">
        <f aca="false">IF(A450="","",G450*H450)</f>
        <v/>
      </c>
      <c r="J450" s="16" t="str">
        <f aca="false">IF(A450="","",IF(Products!G450="",Settings!$B$8,Products!G450))</f>
        <v/>
      </c>
      <c r="K450" s="16" t="str">
        <f aca="false">IF(A450="","",IF(G450&lt;=0,"OUT",IF(G450&lt;=J450,"LOW","OK")))</f>
        <v/>
      </c>
      <c r="L450" s="16" t="str">
        <f aca="false">IF(A450="","",F450+ROW()/1000000)</f>
        <v/>
      </c>
      <c r="M450" s="16" t="str">
        <f aca="false">IF(OR(K450="LOW",K450="OUT"),COUNTIF($K$2:K450,"LOW")+COUNTIF($K$2:K450,"OUT"),"")</f>
        <v/>
      </c>
    </row>
    <row r="451" customFormat="false" ht="15" hidden="false" customHeight="true" outlineLevel="0" collapsed="false">
      <c r="A451" s="16" t="str">
        <f aca="false">IF(Products!A451="","",Products!A451)</f>
        <v/>
      </c>
      <c r="B451" s="16" t="str">
        <f aca="false">IF($A451="","",INDEX(Products!$B$2:$B$501,ROW()-1))</f>
        <v/>
      </c>
      <c r="C451" s="16" t="str">
        <f aca="false">IF($A451="","",INDEX(Products!$C$2:$C$501,ROW()-1))</f>
        <v/>
      </c>
      <c r="D451" s="16" t="str">
        <f aca="false">IF(A451="","",N(Products!I451))</f>
        <v/>
      </c>
      <c r="E451" s="16" t="str">
        <f aca="false">IF(A451="","",SUMIFS(Purchases!$D$2:$D$2001,Purchases!$B$2:$B$2001,A451))</f>
        <v/>
      </c>
      <c r="F451" s="16" t="str">
        <f aca="false">IF(A451="","",SUMIFS(Sales_Items!$E$2:$E$3001,Sales_Items!$C$2:$C$3001,A451))</f>
        <v/>
      </c>
      <c r="G451" s="16" t="str">
        <f aca="false">IF(A451="","",D451+E451-F451)</f>
        <v/>
      </c>
      <c r="H451" s="17" t="str">
        <f aca="false">IF(A451="","",N(Products!E451))</f>
        <v/>
      </c>
      <c r="I451" s="17" t="str">
        <f aca="false">IF(A451="","",G451*H451)</f>
        <v/>
      </c>
      <c r="J451" s="16" t="str">
        <f aca="false">IF(A451="","",IF(Products!G451="",Settings!$B$8,Products!G451))</f>
        <v/>
      </c>
      <c r="K451" s="16" t="str">
        <f aca="false">IF(A451="","",IF(G451&lt;=0,"OUT",IF(G451&lt;=J451,"LOW","OK")))</f>
        <v/>
      </c>
      <c r="L451" s="16" t="str">
        <f aca="false">IF(A451="","",F451+ROW()/1000000)</f>
        <v/>
      </c>
      <c r="M451" s="16" t="str">
        <f aca="false">IF(OR(K451="LOW",K451="OUT"),COUNTIF($K$2:K451,"LOW")+COUNTIF($K$2:K451,"OUT"),"")</f>
        <v/>
      </c>
    </row>
    <row r="452" customFormat="false" ht="15" hidden="false" customHeight="true" outlineLevel="0" collapsed="false">
      <c r="A452" s="16" t="str">
        <f aca="false">IF(Products!A452="","",Products!A452)</f>
        <v/>
      </c>
      <c r="B452" s="16" t="str">
        <f aca="false">IF($A452="","",INDEX(Products!$B$2:$B$501,ROW()-1))</f>
        <v/>
      </c>
      <c r="C452" s="16" t="str">
        <f aca="false">IF($A452="","",INDEX(Products!$C$2:$C$501,ROW()-1))</f>
        <v/>
      </c>
      <c r="D452" s="16" t="str">
        <f aca="false">IF(A452="","",N(Products!I452))</f>
        <v/>
      </c>
      <c r="E452" s="16" t="str">
        <f aca="false">IF(A452="","",SUMIFS(Purchases!$D$2:$D$2001,Purchases!$B$2:$B$2001,A452))</f>
        <v/>
      </c>
      <c r="F452" s="16" t="str">
        <f aca="false">IF(A452="","",SUMIFS(Sales_Items!$E$2:$E$3001,Sales_Items!$C$2:$C$3001,A452))</f>
        <v/>
      </c>
      <c r="G452" s="16" t="str">
        <f aca="false">IF(A452="","",D452+E452-F452)</f>
        <v/>
      </c>
      <c r="H452" s="17" t="str">
        <f aca="false">IF(A452="","",N(Products!E452))</f>
        <v/>
      </c>
      <c r="I452" s="17" t="str">
        <f aca="false">IF(A452="","",G452*H452)</f>
        <v/>
      </c>
      <c r="J452" s="16" t="str">
        <f aca="false">IF(A452="","",IF(Products!G452="",Settings!$B$8,Products!G452))</f>
        <v/>
      </c>
      <c r="K452" s="16" t="str">
        <f aca="false">IF(A452="","",IF(G452&lt;=0,"OUT",IF(G452&lt;=J452,"LOW","OK")))</f>
        <v/>
      </c>
      <c r="L452" s="16" t="str">
        <f aca="false">IF(A452="","",F452+ROW()/1000000)</f>
        <v/>
      </c>
      <c r="M452" s="16" t="str">
        <f aca="false">IF(OR(K452="LOW",K452="OUT"),COUNTIF($K$2:K452,"LOW")+COUNTIF($K$2:K452,"OUT"),"")</f>
        <v/>
      </c>
    </row>
    <row r="453" customFormat="false" ht="15" hidden="false" customHeight="true" outlineLevel="0" collapsed="false">
      <c r="A453" s="16" t="str">
        <f aca="false">IF(Products!A453="","",Products!A453)</f>
        <v/>
      </c>
      <c r="B453" s="16" t="str">
        <f aca="false">IF($A453="","",INDEX(Products!$B$2:$B$501,ROW()-1))</f>
        <v/>
      </c>
      <c r="C453" s="16" t="str">
        <f aca="false">IF($A453="","",INDEX(Products!$C$2:$C$501,ROW()-1))</f>
        <v/>
      </c>
      <c r="D453" s="16" t="str">
        <f aca="false">IF(A453="","",N(Products!I453))</f>
        <v/>
      </c>
      <c r="E453" s="16" t="str">
        <f aca="false">IF(A453="","",SUMIFS(Purchases!$D$2:$D$2001,Purchases!$B$2:$B$2001,A453))</f>
        <v/>
      </c>
      <c r="F453" s="16" t="str">
        <f aca="false">IF(A453="","",SUMIFS(Sales_Items!$E$2:$E$3001,Sales_Items!$C$2:$C$3001,A453))</f>
        <v/>
      </c>
      <c r="G453" s="16" t="str">
        <f aca="false">IF(A453="","",D453+E453-F453)</f>
        <v/>
      </c>
      <c r="H453" s="17" t="str">
        <f aca="false">IF(A453="","",N(Products!E453))</f>
        <v/>
      </c>
      <c r="I453" s="17" t="str">
        <f aca="false">IF(A453="","",G453*H453)</f>
        <v/>
      </c>
      <c r="J453" s="16" t="str">
        <f aca="false">IF(A453="","",IF(Products!G453="",Settings!$B$8,Products!G453))</f>
        <v/>
      </c>
      <c r="K453" s="16" t="str">
        <f aca="false">IF(A453="","",IF(G453&lt;=0,"OUT",IF(G453&lt;=J453,"LOW","OK")))</f>
        <v/>
      </c>
      <c r="L453" s="16" t="str">
        <f aca="false">IF(A453="","",F453+ROW()/1000000)</f>
        <v/>
      </c>
      <c r="M453" s="16" t="str">
        <f aca="false">IF(OR(K453="LOW",K453="OUT"),COUNTIF($K$2:K453,"LOW")+COUNTIF($K$2:K453,"OUT"),"")</f>
        <v/>
      </c>
    </row>
    <row r="454" customFormat="false" ht="15" hidden="false" customHeight="true" outlineLevel="0" collapsed="false">
      <c r="A454" s="16" t="str">
        <f aca="false">IF(Products!A454="","",Products!A454)</f>
        <v/>
      </c>
      <c r="B454" s="16" t="str">
        <f aca="false">IF($A454="","",INDEX(Products!$B$2:$B$501,ROW()-1))</f>
        <v/>
      </c>
      <c r="C454" s="16" t="str">
        <f aca="false">IF($A454="","",INDEX(Products!$C$2:$C$501,ROW()-1))</f>
        <v/>
      </c>
      <c r="D454" s="16" t="str">
        <f aca="false">IF(A454="","",N(Products!I454))</f>
        <v/>
      </c>
      <c r="E454" s="16" t="str">
        <f aca="false">IF(A454="","",SUMIFS(Purchases!$D$2:$D$2001,Purchases!$B$2:$B$2001,A454))</f>
        <v/>
      </c>
      <c r="F454" s="16" t="str">
        <f aca="false">IF(A454="","",SUMIFS(Sales_Items!$E$2:$E$3001,Sales_Items!$C$2:$C$3001,A454))</f>
        <v/>
      </c>
      <c r="G454" s="16" t="str">
        <f aca="false">IF(A454="","",D454+E454-F454)</f>
        <v/>
      </c>
      <c r="H454" s="17" t="str">
        <f aca="false">IF(A454="","",N(Products!E454))</f>
        <v/>
      </c>
      <c r="I454" s="17" t="str">
        <f aca="false">IF(A454="","",G454*H454)</f>
        <v/>
      </c>
      <c r="J454" s="16" t="str">
        <f aca="false">IF(A454="","",IF(Products!G454="",Settings!$B$8,Products!G454))</f>
        <v/>
      </c>
      <c r="K454" s="16" t="str">
        <f aca="false">IF(A454="","",IF(G454&lt;=0,"OUT",IF(G454&lt;=J454,"LOW","OK")))</f>
        <v/>
      </c>
      <c r="L454" s="16" t="str">
        <f aca="false">IF(A454="","",F454+ROW()/1000000)</f>
        <v/>
      </c>
      <c r="M454" s="16" t="str">
        <f aca="false">IF(OR(K454="LOW",K454="OUT"),COUNTIF($K$2:K454,"LOW")+COUNTIF($K$2:K454,"OUT"),"")</f>
        <v/>
      </c>
    </row>
    <row r="455" customFormat="false" ht="15" hidden="false" customHeight="true" outlineLevel="0" collapsed="false">
      <c r="A455" s="16" t="str">
        <f aca="false">IF(Products!A455="","",Products!A455)</f>
        <v/>
      </c>
      <c r="B455" s="16" t="str">
        <f aca="false">IF($A455="","",INDEX(Products!$B$2:$B$501,ROW()-1))</f>
        <v/>
      </c>
      <c r="C455" s="16" t="str">
        <f aca="false">IF($A455="","",INDEX(Products!$C$2:$C$501,ROW()-1))</f>
        <v/>
      </c>
      <c r="D455" s="16" t="str">
        <f aca="false">IF(A455="","",N(Products!I455))</f>
        <v/>
      </c>
      <c r="E455" s="16" t="str">
        <f aca="false">IF(A455="","",SUMIFS(Purchases!$D$2:$D$2001,Purchases!$B$2:$B$2001,A455))</f>
        <v/>
      </c>
      <c r="F455" s="16" t="str">
        <f aca="false">IF(A455="","",SUMIFS(Sales_Items!$E$2:$E$3001,Sales_Items!$C$2:$C$3001,A455))</f>
        <v/>
      </c>
      <c r="G455" s="16" t="str">
        <f aca="false">IF(A455="","",D455+E455-F455)</f>
        <v/>
      </c>
      <c r="H455" s="17" t="str">
        <f aca="false">IF(A455="","",N(Products!E455))</f>
        <v/>
      </c>
      <c r="I455" s="17" t="str">
        <f aca="false">IF(A455="","",G455*H455)</f>
        <v/>
      </c>
      <c r="J455" s="16" t="str">
        <f aca="false">IF(A455="","",IF(Products!G455="",Settings!$B$8,Products!G455))</f>
        <v/>
      </c>
      <c r="K455" s="16" t="str">
        <f aca="false">IF(A455="","",IF(G455&lt;=0,"OUT",IF(G455&lt;=J455,"LOW","OK")))</f>
        <v/>
      </c>
      <c r="L455" s="16" t="str">
        <f aca="false">IF(A455="","",F455+ROW()/1000000)</f>
        <v/>
      </c>
      <c r="M455" s="16" t="str">
        <f aca="false">IF(OR(K455="LOW",K455="OUT"),COUNTIF($K$2:K455,"LOW")+COUNTIF($K$2:K455,"OUT"),"")</f>
        <v/>
      </c>
    </row>
    <row r="456" customFormat="false" ht="15" hidden="false" customHeight="true" outlineLevel="0" collapsed="false">
      <c r="A456" s="16" t="str">
        <f aca="false">IF(Products!A456="","",Products!A456)</f>
        <v/>
      </c>
      <c r="B456" s="16" t="str">
        <f aca="false">IF($A456="","",INDEX(Products!$B$2:$B$501,ROW()-1))</f>
        <v/>
      </c>
      <c r="C456" s="16" t="str">
        <f aca="false">IF($A456="","",INDEX(Products!$C$2:$C$501,ROW()-1))</f>
        <v/>
      </c>
      <c r="D456" s="16" t="str">
        <f aca="false">IF(A456="","",N(Products!I456))</f>
        <v/>
      </c>
      <c r="E456" s="16" t="str">
        <f aca="false">IF(A456="","",SUMIFS(Purchases!$D$2:$D$2001,Purchases!$B$2:$B$2001,A456))</f>
        <v/>
      </c>
      <c r="F456" s="16" t="str">
        <f aca="false">IF(A456="","",SUMIFS(Sales_Items!$E$2:$E$3001,Sales_Items!$C$2:$C$3001,A456))</f>
        <v/>
      </c>
      <c r="G456" s="16" t="str">
        <f aca="false">IF(A456="","",D456+E456-F456)</f>
        <v/>
      </c>
      <c r="H456" s="17" t="str">
        <f aca="false">IF(A456="","",N(Products!E456))</f>
        <v/>
      </c>
      <c r="I456" s="17" t="str">
        <f aca="false">IF(A456="","",G456*H456)</f>
        <v/>
      </c>
      <c r="J456" s="16" t="str">
        <f aca="false">IF(A456="","",IF(Products!G456="",Settings!$B$8,Products!G456))</f>
        <v/>
      </c>
      <c r="K456" s="16" t="str">
        <f aca="false">IF(A456="","",IF(G456&lt;=0,"OUT",IF(G456&lt;=J456,"LOW","OK")))</f>
        <v/>
      </c>
      <c r="L456" s="16" t="str">
        <f aca="false">IF(A456="","",F456+ROW()/1000000)</f>
        <v/>
      </c>
      <c r="M456" s="16" t="str">
        <f aca="false">IF(OR(K456="LOW",K456="OUT"),COUNTIF($K$2:K456,"LOW")+COUNTIF($K$2:K456,"OUT"),"")</f>
        <v/>
      </c>
    </row>
    <row r="457" customFormat="false" ht="15" hidden="false" customHeight="true" outlineLevel="0" collapsed="false">
      <c r="A457" s="16" t="str">
        <f aca="false">IF(Products!A457="","",Products!A457)</f>
        <v/>
      </c>
      <c r="B457" s="16" t="str">
        <f aca="false">IF($A457="","",INDEX(Products!$B$2:$B$501,ROW()-1))</f>
        <v/>
      </c>
      <c r="C457" s="16" t="str">
        <f aca="false">IF($A457="","",INDEX(Products!$C$2:$C$501,ROW()-1))</f>
        <v/>
      </c>
      <c r="D457" s="16" t="str">
        <f aca="false">IF(A457="","",N(Products!I457))</f>
        <v/>
      </c>
      <c r="E457" s="16" t="str">
        <f aca="false">IF(A457="","",SUMIFS(Purchases!$D$2:$D$2001,Purchases!$B$2:$B$2001,A457))</f>
        <v/>
      </c>
      <c r="F457" s="16" t="str">
        <f aca="false">IF(A457="","",SUMIFS(Sales_Items!$E$2:$E$3001,Sales_Items!$C$2:$C$3001,A457))</f>
        <v/>
      </c>
      <c r="G457" s="16" t="str">
        <f aca="false">IF(A457="","",D457+E457-F457)</f>
        <v/>
      </c>
      <c r="H457" s="17" t="str">
        <f aca="false">IF(A457="","",N(Products!E457))</f>
        <v/>
      </c>
      <c r="I457" s="17" t="str">
        <f aca="false">IF(A457="","",G457*H457)</f>
        <v/>
      </c>
      <c r="J457" s="16" t="str">
        <f aca="false">IF(A457="","",IF(Products!G457="",Settings!$B$8,Products!G457))</f>
        <v/>
      </c>
      <c r="K457" s="16" t="str">
        <f aca="false">IF(A457="","",IF(G457&lt;=0,"OUT",IF(G457&lt;=J457,"LOW","OK")))</f>
        <v/>
      </c>
      <c r="L457" s="16" t="str">
        <f aca="false">IF(A457="","",F457+ROW()/1000000)</f>
        <v/>
      </c>
      <c r="M457" s="16" t="str">
        <f aca="false">IF(OR(K457="LOW",K457="OUT"),COUNTIF($K$2:K457,"LOW")+COUNTIF($K$2:K457,"OUT"),"")</f>
        <v/>
      </c>
    </row>
    <row r="458" customFormat="false" ht="15" hidden="false" customHeight="true" outlineLevel="0" collapsed="false">
      <c r="A458" s="16" t="str">
        <f aca="false">IF(Products!A458="","",Products!A458)</f>
        <v/>
      </c>
      <c r="B458" s="16" t="str">
        <f aca="false">IF($A458="","",INDEX(Products!$B$2:$B$501,ROW()-1))</f>
        <v/>
      </c>
      <c r="C458" s="16" t="str">
        <f aca="false">IF($A458="","",INDEX(Products!$C$2:$C$501,ROW()-1))</f>
        <v/>
      </c>
      <c r="D458" s="16" t="str">
        <f aca="false">IF(A458="","",N(Products!I458))</f>
        <v/>
      </c>
      <c r="E458" s="16" t="str">
        <f aca="false">IF(A458="","",SUMIFS(Purchases!$D$2:$D$2001,Purchases!$B$2:$B$2001,A458))</f>
        <v/>
      </c>
      <c r="F458" s="16" t="str">
        <f aca="false">IF(A458="","",SUMIFS(Sales_Items!$E$2:$E$3001,Sales_Items!$C$2:$C$3001,A458))</f>
        <v/>
      </c>
      <c r="G458" s="16" t="str">
        <f aca="false">IF(A458="","",D458+E458-F458)</f>
        <v/>
      </c>
      <c r="H458" s="17" t="str">
        <f aca="false">IF(A458="","",N(Products!E458))</f>
        <v/>
      </c>
      <c r="I458" s="17" t="str">
        <f aca="false">IF(A458="","",G458*H458)</f>
        <v/>
      </c>
      <c r="J458" s="16" t="str">
        <f aca="false">IF(A458="","",IF(Products!G458="",Settings!$B$8,Products!G458))</f>
        <v/>
      </c>
      <c r="K458" s="16" t="str">
        <f aca="false">IF(A458="","",IF(G458&lt;=0,"OUT",IF(G458&lt;=J458,"LOW","OK")))</f>
        <v/>
      </c>
      <c r="L458" s="16" t="str">
        <f aca="false">IF(A458="","",F458+ROW()/1000000)</f>
        <v/>
      </c>
      <c r="M458" s="16" t="str">
        <f aca="false">IF(OR(K458="LOW",K458="OUT"),COUNTIF($K$2:K458,"LOW")+COUNTIF($K$2:K458,"OUT"),"")</f>
        <v/>
      </c>
    </row>
    <row r="459" customFormat="false" ht="15" hidden="false" customHeight="true" outlineLevel="0" collapsed="false">
      <c r="A459" s="16" t="str">
        <f aca="false">IF(Products!A459="","",Products!A459)</f>
        <v/>
      </c>
      <c r="B459" s="16" t="str">
        <f aca="false">IF($A459="","",INDEX(Products!$B$2:$B$501,ROW()-1))</f>
        <v/>
      </c>
      <c r="C459" s="16" t="str">
        <f aca="false">IF($A459="","",INDEX(Products!$C$2:$C$501,ROW()-1))</f>
        <v/>
      </c>
      <c r="D459" s="16" t="str">
        <f aca="false">IF(A459="","",N(Products!I459))</f>
        <v/>
      </c>
      <c r="E459" s="16" t="str">
        <f aca="false">IF(A459="","",SUMIFS(Purchases!$D$2:$D$2001,Purchases!$B$2:$B$2001,A459))</f>
        <v/>
      </c>
      <c r="F459" s="16" t="str">
        <f aca="false">IF(A459="","",SUMIFS(Sales_Items!$E$2:$E$3001,Sales_Items!$C$2:$C$3001,A459))</f>
        <v/>
      </c>
      <c r="G459" s="16" t="str">
        <f aca="false">IF(A459="","",D459+E459-F459)</f>
        <v/>
      </c>
      <c r="H459" s="17" t="str">
        <f aca="false">IF(A459="","",N(Products!E459))</f>
        <v/>
      </c>
      <c r="I459" s="17" t="str">
        <f aca="false">IF(A459="","",G459*H459)</f>
        <v/>
      </c>
      <c r="J459" s="16" t="str">
        <f aca="false">IF(A459="","",IF(Products!G459="",Settings!$B$8,Products!G459))</f>
        <v/>
      </c>
      <c r="K459" s="16" t="str">
        <f aca="false">IF(A459="","",IF(G459&lt;=0,"OUT",IF(G459&lt;=J459,"LOW","OK")))</f>
        <v/>
      </c>
      <c r="L459" s="16" t="str">
        <f aca="false">IF(A459="","",F459+ROW()/1000000)</f>
        <v/>
      </c>
      <c r="M459" s="16" t="str">
        <f aca="false">IF(OR(K459="LOW",K459="OUT"),COUNTIF($K$2:K459,"LOW")+COUNTIF($K$2:K459,"OUT"),"")</f>
        <v/>
      </c>
    </row>
    <row r="460" customFormat="false" ht="15" hidden="false" customHeight="true" outlineLevel="0" collapsed="false">
      <c r="A460" s="16" t="str">
        <f aca="false">IF(Products!A460="","",Products!A460)</f>
        <v/>
      </c>
      <c r="B460" s="16" t="str">
        <f aca="false">IF($A460="","",INDEX(Products!$B$2:$B$501,ROW()-1))</f>
        <v/>
      </c>
      <c r="C460" s="16" t="str">
        <f aca="false">IF($A460="","",INDEX(Products!$C$2:$C$501,ROW()-1))</f>
        <v/>
      </c>
      <c r="D460" s="16" t="str">
        <f aca="false">IF(A460="","",N(Products!I460))</f>
        <v/>
      </c>
      <c r="E460" s="16" t="str">
        <f aca="false">IF(A460="","",SUMIFS(Purchases!$D$2:$D$2001,Purchases!$B$2:$B$2001,A460))</f>
        <v/>
      </c>
      <c r="F460" s="16" t="str">
        <f aca="false">IF(A460="","",SUMIFS(Sales_Items!$E$2:$E$3001,Sales_Items!$C$2:$C$3001,A460))</f>
        <v/>
      </c>
      <c r="G460" s="16" t="str">
        <f aca="false">IF(A460="","",D460+E460-F460)</f>
        <v/>
      </c>
      <c r="H460" s="17" t="str">
        <f aca="false">IF(A460="","",N(Products!E460))</f>
        <v/>
      </c>
      <c r="I460" s="17" t="str">
        <f aca="false">IF(A460="","",G460*H460)</f>
        <v/>
      </c>
      <c r="J460" s="16" t="str">
        <f aca="false">IF(A460="","",IF(Products!G460="",Settings!$B$8,Products!G460))</f>
        <v/>
      </c>
      <c r="K460" s="16" t="str">
        <f aca="false">IF(A460="","",IF(G460&lt;=0,"OUT",IF(G460&lt;=J460,"LOW","OK")))</f>
        <v/>
      </c>
      <c r="L460" s="16" t="str">
        <f aca="false">IF(A460="","",F460+ROW()/1000000)</f>
        <v/>
      </c>
      <c r="M460" s="16" t="str">
        <f aca="false">IF(OR(K460="LOW",K460="OUT"),COUNTIF($K$2:K460,"LOW")+COUNTIF($K$2:K460,"OUT"),"")</f>
        <v/>
      </c>
    </row>
    <row r="461" customFormat="false" ht="15" hidden="false" customHeight="true" outlineLevel="0" collapsed="false">
      <c r="A461" s="16" t="str">
        <f aca="false">IF(Products!A461="","",Products!A461)</f>
        <v/>
      </c>
      <c r="B461" s="16" t="str">
        <f aca="false">IF($A461="","",INDEX(Products!$B$2:$B$501,ROW()-1))</f>
        <v/>
      </c>
      <c r="C461" s="16" t="str">
        <f aca="false">IF($A461="","",INDEX(Products!$C$2:$C$501,ROW()-1))</f>
        <v/>
      </c>
      <c r="D461" s="16" t="str">
        <f aca="false">IF(A461="","",N(Products!I461))</f>
        <v/>
      </c>
      <c r="E461" s="16" t="str">
        <f aca="false">IF(A461="","",SUMIFS(Purchases!$D$2:$D$2001,Purchases!$B$2:$B$2001,A461))</f>
        <v/>
      </c>
      <c r="F461" s="16" t="str">
        <f aca="false">IF(A461="","",SUMIFS(Sales_Items!$E$2:$E$3001,Sales_Items!$C$2:$C$3001,A461))</f>
        <v/>
      </c>
      <c r="G461" s="16" t="str">
        <f aca="false">IF(A461="","",D461+E461-F461)</f>
        <v/>
      </c>
      <c r="H461" s="17" t="str">
        <f aca="false">IF(A461="","",N(Products!E461))</f>
        <v/>
      </c>
      <c r="I461" s="17" t="str">
        <f aca="false">IF(A461="","",G461*H461)</f>
        <v/>
      </c>
      <c r="J461" s="16" t="str">
        <f aca="false">IF(A461="","",IF(Products!G461="",Settings!$B$8,Products!G461))</f>
        <v/>
      </c>
      <c r="K461" s="16" t="str">
        <f aca="false">IF(A461="","",IF(G461&lt;=0,"OUT",IF(G461&lt;=J461,"LOW","OK")))</f>
        <v/>
      </c>
      <c r="L461" s="16" t="str">
        <f aca="false">IF(A461="","",F461+ROW()/1000000)</f>
        <v/>
      </c>
      <c r="M461" s="16" t="str">
        <f aca="false">IF(OR(K461="LOW",K461="OUT"),COUNTIF($K$2:K461,"LOW")+COUNTIF($K$2:K461,"OUT"),"")</f>
        <v/>
      </c>
    </row>
    <row r="462" customFormat="false" ht="15" hidden="false" customHeight="true" outlineLevel="0" collapsed="false">
      <c r="A462" s="16" t="str">
        <f aca="false">IF(Products!A462="","",Products!A462)</f>
        <v/>
      </c>
      <c r="B462" s="16" t="str">
        <f aca="false">IF($A462="","",INDEX(Products!$B$2:$B$501,ROW()-1))</f>
        <v/>
      </c>
      <c r="C462" s="16" t="str">
        <f aca="false">IF($A462="","",INDEX(Products!$C$2:$C$501,ROW()-1))</f>
        <v/>
      </c>
      <c r="D462" s="16" t="str">
        <f aca="false">IF(A462="","",N(Products!I462))</f>
        <v/>
      </c>
      <c r="E462" s="16" t="str">
        <f aca="false">IF(A462="","",SUMIFS(Purchases!$D$2:$D$2001,Purchases!$B$2:$B$2001,A462))</f>
        <v/>
      </c>
      <c r="F462" s="16" t="str">
        <f aca="false">IF(A462="","",SUMIFS(Sales_Items!$E$2:$E$3001,Sales_Items!$C$2:$C$3001,A462))</f>
        <v/>
      </c>
      <c r="G462" s="16" t="str">
        <f aca="false">IF(A462="","",D462+E462-F462)</f>
        <v/>
      </c>
      <c r="H462" s="17" t="str">
        <f aca="false">IF(A462="","",N(Products!E462))</f>
        <v/>
      </c>
      <c r="I462" s="17" t="str">
        <f aca="false">IF(A462="","",G462*H462)</f>
        <v/>
      </c>
      <c r="J462" s="16" t="str">
        <f aca="false">IF(A462="","",IF(Products!G462="",Settings!$B$8,Products!G462))</f>
        <v/>
      </c>
      <c r="K462" s="16" t="str">
        <f aca="false">IF(A462="","",IF(G462&lt;=0,"OUT",IF(G462&lt;=J462,"LOW","OK")))</f>
        <v/>
      </c>
      <c r="L462" s="16" t="str">
        <f aca="false">IF(A462="","",F462+ROW()/1000000)</f>
        <v/>
      </c>
      <c r="M462" s="16" t="str">
        <f aca="false">IF(OR(K462="LOW",K462="OUT"),COUNTIF($K$2:K462,"LOW")+COUNTIF($K$2:K462,"OUT"),"")</f>
        <v/>
      </c>
    </row>
    <row r="463" customFormat="false" ht="15" hidden="false" customHeight="true" outlineLevel="0" collapsed="false">
      <c r="A463" s="16" t="str">
        <f aca="false">IF(Products!A463="","",Products!A463)</f>
        <v/>
      </c>
      <c r="B463" s="16" t="str">
        <f aca="false">IF($A463="","",INDEX(Products!$B$2:$B$501,ROW()-1))</f>
        <v/>
      </c>
      <c r="C463" s="16" t="str">
        <f aca="false">IF($A463="","",INDEX(Products!$C$2:$C$501,ROW()-1))</f>
        <v/>
      </c>
      <c r="D463" s="16" t="str">
        <f aca="false">IF(A463="","",N(Products!I463))</f>
        <v/>
      </c>
      <c r="E463" s="16" t="str">
        <f aca="false">IF(A463="","",SUMIFS(Purchases!$D$2:$D$2001,Purchases!$B$2:$B$2001,A463))</f>
        <v/>
      </c>
      <c r="F463" s="16" t="str">
        <f aca="false">IF(A463="","",SUMIFS(Sales_Items!$E$2:$E$3001,Sales_Items!$C$2:$C$3001,A463))</f>
        <v/>
      </c>
      <c r="G463" s="16" t="str">
        <f aca="false">IF(A463="","",D463+E463-F463)</f>
        <v/>
      </c>
      <c r="H463" s="17" t="str">
        <f aca="false">IF(A463="","",N(Products!E463))</f>
        <v/>
      </c>
      <c r="I463" s="17" t="str">
        <f aca="false">IF(A463="","",G463*H463)</f>
        <v/>
      </c>
      <c r="J463" s="16" t="str">
        <f aca="false">IF(A463="","",IF(Products!G463="",Settings!$B$8,Products!G463))</f>
        <v/>
      </c>
      <c r="K463" s="16" t="str">
        <f aca="false">IF(A463="","",IF(G463&lt;=0,"OUT",IF(G463&lt;=J463,"LOW","OK")))</f>
        <v/>
      </c>
      <c r="L463" s="16" t="str">
        <f aca="false">IF(A463="","",F463+ROW()/1000000)</f>
        <v/>
      </c>
      <c r="M463" s="16" t="str">
        <f aca="false">IF(OR(K463="LOW",K463="OUT"),COUNTIF($K$2:K463,"LOW")+COUNTIF($K$2:K463,"OUT"),"")</f>
        <v/>
      </c>
    </row>
    <row r="464" customFormat="false" ht="15" hidden="false" customHeight="true" outlineLevel="0" collapsed="false">
      <c r="A464" s="16" t="str">
        <f aca="false">IF(Products!A464="","",Products!A464)</f>
        <v/>
      </c>
      <c r="B464" s="16" t="str">
        <f aca="false">IF($A464="","",INDEX(Products!$B$2:$B$501,ROW()-1))</f>
        <v/>
      </c>
      <c r="C464" s="16" t="str">
        <f aca="false">IF($A464="","",INDEX(Products!$C$2:$C$501,ROW()-1))</f>
        <v/>
      </c>
      <c r="D464" s="16" t="str">
        <f aca="false">IF(A464="","",N(Products!I464))</f>
        <v/>
      </c>
      <c r="E464" s="16" t="str">
        <f aca="false">IF(A464="","",SUMIFS(Purchases!$D$2:$D$2001,Purchases!$B$2:$B$2001,A464))</f>
        <v/>
      </c>
      <c r="F464" s="16" t="str">
        <f aca="false">IF(A464="","",SUMIFS(Sales_Items!$E$2:$E$3001,Sales_Items!$C$2:$C$3001,A464))</f>
        <v/>
      </c>
      <c r="G464" s="16" t="str">
        <f aca="false">IF(A464="","",D464+E464-F464)</f>
        <v/>
      </c>
      <c r="H464" s="17" t="str">
        <f aca="false">IF(A464="","",N(Products!E464))</f>
        <v/>
      </c>
      <c r="I464" s="17" t="str">
        <f aca="false">IF(A464="","",G464*H464)</f>
        <v/>
      </c>
      <c r="J464" s="16" t="str">
        <f aca="false">IF(A464="","",IF(Products!G464="",Settings!$B$8,Products!G464))</f>
        <v/>
      </c>
      <c r="K464" s="16" t="str">
        <f aca="false">IF(A464="","",IF(G464&lt;=0,"OUT",IF(G464&lt;=J464,"LOW","OK")))</f>
        <v/>
      </c>
      <c r="L464" s="16" t="str">
        <f aca="false">IF(A464="","",F464+ROW()/1000000)</f>
        <v/>
      </c>
      <c r="M464" s="16" t="str">
        <f aca="false">IF(OR(K464="LOW",K464="OUT"),COUNTIF($K$2:K464,"LOW")+COUNTIF($K$2:K464,"OUT"),"")</f>
        <v/>
      </c>
    </row>
    <row r="465" customFormat="false" ht="15" hidden="false" customHeight="true" outlineLevel="0" collapsed="false">
      <c r="A465" s="16" t="str">
        <f aca="false">IF(Products!A465="","",Products!A465)</f>
        <v/>
      </c>
      <c r="B465" s="16" t="str">
        <f aca="false">IF($A465="","",INDEX(Products!$B$2:$B$501,ROW()-1))</f>
        <v/>
      </c>
      <c r="C465" s="16" t="str">
        <f aca="false">IF($A465="","",INDEX(Products!$C$2:$C$501,ROW()-1))</f>
        <v/>
      </c>
      <c r="D465" s="16" t="str">
        <f aca="false">IF(A465="","",N(Products!I465))</f>
        <v/>
      </c>
      <c r="E465" s="16" t="str">
        <f aca="false">IF(A465="","",SUMIFS(Purchases!$D$2:$D$2001,Purchases!$B$2:$B$2001,A465))</f>
        <v/>
      </c>
      <c r="F465" s="16" t="str">
        <f aca="false">IF(A465="","",SUMIFS(Sales_Items!$E$2:$E$3001,Sales_Items!$C$2:$C$3001,A465))</f>
        <v/>
      </c>
      <c r="G465" s="16" t="str">
        <f aca="false">IF(A465="","",D465+E465-F465)</f>
        <v/>
      </c>
      <c r="H465" s="17" t="str">
        <f aca="false">IF(A465="","",N(Products!E465))</f>
        <v/>
      </c>
      <c r="I465" s="17" t="str">
        <f aca="false">IF(A465="","",G465*H465)</f>
        <v/>
      </c>
      <c r="J465" s="16" t="str">
        <f aca="false">IF(A465="","",IF(Products!G465="",Settings!$B$8,Products!G465))</f>
        <v/>
      </c>
      <c r="K465" s="16" t="str">
        <f aca="false">IF(A465="","",IF(G465&lt;=0,"OUT",IF(G465&lt;=J465,"LOW","OK")))</f>
        <v/>
      </c>
      <c r="L465" s="16" t="str">
        <f aca="false">IF(A465="","",F465+ROW()/1000000)</f>
        <v/>
      </c>
      <c r="M465" s="16" t="str">
        <f aca="false">IF(OR(K465="LOW",K465="OUT"),COUNTIF($K$2:K465,"LOW")+COUNTIF($K$2:K465,"OUT"),"")</f>
        <v/>
      </c>
    </row>
    <row r="466" customFormat="false" ht="15" hidden="false" customHeight="true" outlineLevel="0" collapsed="false">
      <c r="A466" s="16" t="str">
        <f aca="false">IF(Products!A466="","",Products!A466)</f>
        <v/>
      </c>
      <c r="B466" s="16" t="str">
        <f aca="false">IF($A466="","",INDEX(Products!$B$2:$B$501,ROW()-1))</f>
        <v/>
      </c>
      <c r="C466" s="16" t="str">
        <f aca="false">IF($A466="","",INDEX(Products!$C$2:$C$501,ROW()-1))</f>
        <v/>
      </c>
      <c r="D466" s="16" t="str">
        <f aca="false">IF(A466="","",N(Products!I466))</f>
        <v/>
      </c>
      <c r="E466" s="16" t="str">
        <f aca="false">IF(A466="","",SUMIFS(Purchases!$D$2:$D$2001,Purchases!$B$2:$B$2001,A466))</f>
        <v/>
      </c>
      <c r="F466" s="16" t="str">
        <f aca="false">IF(A466="","",SUMIFS(Sales_Items!$E$2:$E$3001,Sales_Items!$C$2:$C$3001,A466))</f>
        <v/>
      </c>
      <c r="G466" s="16" t="str">
        <f aca="false">IF(A466="","",D466+E466-F466)</f>
        <v/>
      </c>
      <c r="H466" s="17" t="str">
        <f aca="false">IF(A466="","",N(Products!E466))</f>
        <v/>
      </c>
      <c r="I466" s="17" t="str">
        <f aca="false">IF(A466="","",G466*H466)</f>
        <v/>
      </c>
      <c r="J466" s="16" t="str">
        <f aca="false">IF(A466="","",IF(Products!G466="",Settings!$B$8,Products!G466))</f>
        <v/>
      </c>
      <c r="K466" s="16" t="str">
        <f aca="false">IF(A466="","",IF(G466&lt;=0,"OUT",IF(G466&lt;=J466,"LOW","OK")))</f>
        <v/>
      </c>
      <c r="L466" s="16" t="str">
        <f aca="false">IF(A466="","",F466+ROW()/1000000)</f>
        <v/>
      </c>
      <c r="M466" s="16" t="str">
        <f aca="false">IF(OR(K466="LOW",K466="OUT"),COUNTIF($K$2:K466,"LOW")+COUNTIF($K$2:K466,"OUT"),"")</f>
        <v/>
      </c>
    </row>
    <row r="467" customFormat="false" ht="15" hidden="false" customHeight="true" outlineLevel="0" collapsed="false">
      <c r="A467" s="16" t="str">
        <f aca="false">IF(Products!A467="","",Products!A467)</f>
        <v/>
      </c>
      <c r="B467" s="16" t="str">
        <f aca="false">IF($A467="","",INDEX(Products!$B$2:$B$501,ROW()-1))</f>
        <v/>
      </c>
      <c r="C467" s="16" t="str">
        <f aca="false">IF($A467="","",INDEX(Products!$C$2:$C$501,ROW()-1))</f>
        <v/>
      </c>
      <c r="D467" s="16" t="str">
        <f aca="false">IF(A467="","",N(Products!I467))</f>
        <v/>
      </c>
      <c r="E467" s="16" t="str">
        <f aca="false">IF(A467="","",SUMIFS(Purchases!$D$2:$D$2001,Purchases!$B$2:$B$2001,A467))</f>
        <v/>
      </c>
      <c r="F467" s="16" t="str">
        <f aca="false">IF(A467="","",SUMIFS(Sales_Items!$E$2:$E$3001,Sales_Items!$C$2:$C$3001,A467))</f>
        <v/>
      </c>
      <c r="G467" s="16" t="str">
        <f aca="false">IF(A467="","",D467+E467-F467)</f>
        <v/>
      </c>
      <c r="H467" s="17" t="str">
        <f aca="false">IF(A467="","",N(Products!E467))</f>
        <v/>
      </c>
      <c r="I467" s="17" t="str">
        <f aca="false">IF(A467="","",G467*H467)</f>
        <v/>
      </c>
      <c r="J467" s="16" t="str">
        <f aca="false">IF(A467="","",IF(Products!G467="",Settings!$B$8,Products!G467))</f>
        <v/>
      </c>
      <c r="K467" s="16" t="str">
        <f aca="false">IF(A467="","",IF(G467&lt;=0,"OUT",IF(G467&lt;=J467,"LOW","OK")))</f>
        <v/>
      </c>
      <c r="L467" s="16" t="str">
        <f aca="false">IF(A467="","",F467+ROW()/1000000)</f>
        <v/>
      </c>
      <c r="M467" s="16" t="str">
        <f aca="false">IF(OR(K467="LOW",K467="OUT"),COUNTIF($K$2:K467,"LOW")+COUNTIF($K$2:K467,"OUT"),"")</f>
        <v/>
      </c>
    </row>
    <row r="468" customFormat="false" ht="15" hidden="false" customHeight="true" outlineLevel="0" collapsed="false">
      <c r="A468" s="16" t="str">
        <f aca="false">IF(Products!A468="","",Products!A468)</f>
        <v/>
      </c>
      <c r="B468" s="16" t="str">
        <f aca="false">IF($A468="","",INDEX(Products!$B$2:$B$501,ROW()-1))</f>
        <v/>
      </c>
      <c r="C468" s="16" t="str">
        <f aca="false">IF($A468="","",INDEX(Products!$C$2:$C$501,ROW()-1))</f>
        <v/>
      </c>
      <c r="D468" s="16" t="str">
        <f aca="false">IF(A468="","",N(Products!I468))</f>
        <v/>
      </c>
      <c r="E468" s="16" t="str">
        <f aca="false">IF(A468="","",SUMIFS(Purchases!$D$2:$D$2001,Purchases!$B$2:$B$2001,A468))</f>
        <v/>
      </c>
      <c r="F468" s="16" t="str">
        <f aca="false">IF(A468="","",SUMIFS(Sales_Items!$E$2:$E$3001,Sales_Items!$C$2:$C$3001,A468))</f>
        <v/>
      </c>
      <c r="G468" s="16" t="str">
        <f aca="false">IF(A468="","",D468+E468-F468)</f>
        <v/>
      </c>
      <c r="H468" s="17" t="str">
        <f aca="false">IF(A468="","",N(Products!E468))</f>
        <v/>
      </c>
      <c r="I468" s="17" t="str">
        <f aca="false">IF(A468="","",G468*H468)</f>
        <v/>
      </c>
      <c r="J468" s="16" t="str">
        <f aca="false">IF(A468="","",IF(Products!G468="",Settings!$B$8,Products!G468))</f>
        <v/>
      </c>
      <c r="K468" s="16" t="str">
        <f aca="false">IF(A468="","",IF(G468&lt;=0,"OUT",IF(G468&lt;=J468,"LOW","OK")))</f>
        <v/>
      </c>
      <c r="L468" s="16" t="str">
        <f aca="false">IF(A468="","",F468+ROW()/1000000)</f>
        <v/>
      </c>
      <c r="M468" s="16" t="str">
        <f aca="false">IF(OR(K468="LOW",K468="OUT"),COUNTIF($K$2:K468,"LOW")+COUNTIF($K$2:K468,"OUT"),"")</f>
        <v/>
      </c>
    </row>
    <row r="469" customFormat="false" ht="15" hidden="false" customHeight="true" outlineLevel="0" collapsed="false">
      <c r="A469" s="16" t="str">
        <f aca="false">IF(Products!A469="","",Products!A469)</f>
        <v/>
      </c>
      <c r="B469" s="16" t="str">
        <f aca="false">IF($A469="","",INDEX(Products!$B$2:$B$501,ROW()-1))</f>
        <v/>
      </c>
      <c r="C469" s="16" t="str">
        <f aca="false">IF($A469="","",INDEX(Products!$C$2:$C$501,ROW()-1))</f>
        <v/>
      </c>
      <c r="D469" s="16" t="str">
        <f aca="false">IF(A469="","",N(Products!I469))</f>
        <v/>
      </c>
      <c r="E469" s="16" t="str">
        <f aca="false">IF(A469="","",SUMIFS(Purchases!$D$2:$D$2001,Purchases!$B$2:$B$2001,A469))</f>
        <v/>
      </c>
      <c r="F469" s="16" t="str">
        <f aca="false">IF(A469="","",SUMIFS(Sales_Items!$E$2:$E$3001,Sales_Items!$C$2:$C$3001,A469))</f>
        <v/>
      </c>
      <c r="G469" s="16" t="str">
        <f aca="false">IF(A469="","",D469+E469-F469)</f>
        <v/>
      </c>
      <c r="H469" s="17" t="str">
        <f aca="false">IF(A469="","",N(Products!E469))</f>
        <v/>
      </c>
      <c r="I469" s="17" t="str">
        <f aca="false">IF(A469="","",G469*H469)</f>
        <v/>
      </c>
      <c r="J469" s="16" t="str">
        <f aca="false">IF(A469="","",IF(Products!G469="",Settings!$B$8,Products!G469))</f>
        <v/>
      </c>
      <c r="K469" s="16" t="str">
        <f aca="false">IF(A469="","",IF(G469&lt;=0,"OUT",IF(G469&lt;=J469,"LOW","OK")))</f>
        <v/>
      </c>
      <c r="L469" s="16" t="str">
        <f aca="false">IF(A469="","",F469+ROW()/1000000)</f>
        <v/>
      </c>
      <c r="M469" s="16" t="str">
        <f aca="false">IF(OR(K469="LOW",K469="OUT"),COUNTIF($K$2:K469,"LOW")+COUNTIF($K$2:K469,"OUT"),"")</f>
        <v/>
      </c>
    </row>
    <row r="470" customFormat="false" ht="15" hidden="false" customHeight="true" outlineLevel="0" collapsed="false">
      <c r="A470" s="16" t="str">
        <f aca="false">IF(Products!A470="","",Products!A470)</f>
        <v/>
      </c>
      <c r="B470" s="16" t="str">
        <f aca="false">IF($A470="","",INDEX(Products!$B$2:$B$501,ROW()-1))</f>
        <v/>
      </c>
      <c r="C470" s="16" t="str">
        <f aca="false">IF($A470="","",INDEX(Products!$C$2:$C$501,ROW()-1))</f>
        <v/>
      </c>
      <c r="D470" s="16" t="str">
        <f aca="false">IF(A470="","",N(Products!I470))</f>
        <v/>
      </c>
      <c r="E470" s="16" t="str">
        <f aca="false">IF(A470="","",SUMIFS(Purchases!$D$2:$D$2001,Purchases!$B$2:$B$2001,A470))</f>
        <v/>
      </c>
      <c r="F470" s="16" t="str">
        <f aca="false">IF(A470="","",SUMIFS(Sales_Items!$E$2:$E$3001,Sales_Items!$C$2:$C$3001,A470))</f>
        <v/>
      </c>
      <c r="G470" s="16" t="str">
        <f aca="false">IF(A470="","",D470+E470-F470)</f>
        <v/>
      </c>
      <c r="H470" s="17" t="str">
        <f aca="false">IF(A470="","",N(Products!E470))</f>
        <v/>
      </c>
      <c r="I470" s="17" t="str">
        <f aca="false">IF(A470="","",G470*H470)</f>
        <v/>
      </c>
      <c r="J470" s="16" t="str">
        <f aca="false">IF(A470="","",IF(Products!G470="",Settings!$B$8,Products!G470))</f>
        <v/>
      </c>
      <c r="K470" s="16" t="str">
        <f aca="false">IF(A470="","",IF(G470&lt;=0,"OUT",IF(G470&lt;=J470,"LOW","OK")))</f>
        <v/>
      </c>
      <c r="L470" s="16" t="str">
        <f aca="false">IF(A470="","",F470+ROW()/1000000)</f>
        <v/>
      </c>
      <c r="M470" s="16" t="str">
        <f aca="false">IF(OR(K470="LOW",K470="OUT"),COUNTIF($K$2:K470,"LOW")+COUNTIF($K$2:K470,"OUT"),"")</f>
        <v/>
      </c>
    </row>
    <row r="471" customFormat="false" ht="15" hidden="false" customHeight="true" outlineLevel="0" collapsed="false">
      <c r="A471" s="16" t="str">
        <f aca="false">IF(Products!A471="","",Products!A471)</f>
        <v/>
      </c>
      <c r="B471" s="16" t="str">
        <f aca="false">IF($A471="","",INDEX(Products!$B$2:$B$501,ROW()-1))</f>
        <v/>
      </c>
      <c r="C471" s="16" t="str">
        <f aca="false">IF($A471="","",INDEX(Products!$C$2:$C$501,ROW()-1))</f>
        <v/>
      </c>
      <c r="D471" s="16" t="str">
        <f aca="false">IF(A471="","",N(Products!I471))</f>
        <v/>
      </c>
      <c r="E471" s="16" t="str">
        <f aca="false">IF(A471="","",SUMIFS(Purchases!$D$2:$D$2001,Purchases!$B$2:$B$2001,A471))</f>
        <v/>
      </c>
      <c r="F471" s="16" t="str">
        <f aca="false">IF(A471="","",SUMIFS(Sales_Items!$E$2:$E$3001,Sales_Items!$C$2:$C$3001,A471))</f>
        <v/>
      </c>
      <c r="G471" s="16" t="str">
        <f aca="false">IF(A471="","",D471+E471-F471)</f>
        <v/>
      </c>
      <c r="H471" s="17" t="str">
        <f aca="false">IF(A471="","",N(Products!E471))</f>
        <v/>
      </c>
      <c r="I471" s="17" t="str">
        <f aca="false">IF(A471="","",G471*H471)</f>
        <v/>
      </c>
      <c r="J471" s="16" t="str">
        <f aca="false">IF(A471="","",IF(Products!G471="",Settings!$B$8,Products!G471))</f>
        <v/>
      </c>
      <c r="K471" s="16" t="str">
        <f aca="false">IF(A471="","",IF(G471&lt;=0,"OUT",IF(G471&lt;=J471,"LOW","OK")))</f>
        <v/>
      </c>
      <c r="L471" s="16" t="str">
        <f aca="false">IF(A471="","",F471+ROW()/1000000)</f>
        <v/>
      </c>
      <c r="M471" s="16" t="str">
        <f aca="false">IF(OR(K471="LOW",K471="OUT"),COUNTIF($K$2:K471,"LOW")+COUNTIF($K$2:K471,"OUT"),"")</f>
        <v/>
      </c>
    </row>
    <row r="472" customFormat="false" ht="15" hidden="false" customHeight="true" outlineLevel="0" collapsed="false">
      <c r="A472" s="16" t="str">
        <f aca="false">IF(Products!A472="","",Products!A472)</f>
        <v/>
      </c>
      <c r="B472" s="16" t="str">
        <f aca="false">IF($A472="","",INDEX(Products!$B$2:$B$501,ROW()-1))</f>
        <v/>
      </c>
      <c r="C472" s="16" t="str">
        <f aca="false">IF($A472="","",INDEX(Products!$C$2:$C$501,ROW()-1))</f>
        <v/>
      </c>
      <c r="D472" s="16" t="str">
        <f aca="false">IF(A472="","",N(Products!I472))</f>
        <v/>
      </c>
      <c r="E472" s="16" t="str">
        <f aca="false">IF(A472="","",SUMIFS(Purchases!$D$2:$D$2001,Purchases!$B$2:$B$2001,A472))</f>
        <v/>
      </c>
      <c r="F472" s="16" t="str">
        <f aca="false">IF(A472="","",SUMIFS(Sales_Items!$E$2:$E$3001,Sales_Items!$C$2:$C$3001,A472))</f>
        <v/>
      </c>
      <c r="G472" s="16" t="str">
        <f aca="false">IF(A472="","",D472+E472-F472)</f>
        <v/>
      </c>
      <c r="H472" s="17" t="str">
        <f aca="false">IF(A472="","",N(Products!E472))</f>
        <v/>
      </c>
      <c r="I472" s="17" t="str">
        <f aca="false">IF(A472="","",G472*H472)</f>
        <v/>
      </c>
      <c r="J472" s="16" t="str">
        <f aca="false">IF(A472="","",IF(Products!G472="",Settings!$B$8,Products!G472))</f>
        <v/>
      </c>
      <c r="K472" s="16" t="str">
        <f aca="false">IF(A472="","",IF(G472&lt;=0,"OUT",IF(G472&lt;=J472,"LOW","OK")))</f>
        <v/>
      </c>
      <c r="L472" s="16" t="str">
        <f aca="false">IF(A472="","",F472+ROW()/1000000)</f>
        <v/>
      </c>
      <c r="M472" s="16" t="str">
        <f aca="false">IF(OR(K472="LOW",K472="OUT"),COUNTIF($K$2:K472,"LOW")+COUNTIF($K$2:K472,"OUT"),"")</f>
        <v/>
      </c>
    </row>
    <row r="473" customFormat="false" ht="15" hidden="false" customHeight="true" outlineLevel="0" collapsed="false">
      <c r="A473" s="16" t="str">
        <f aca="false">IF(Products!A473="","",Products!A473)</f>
        <v/>
      </c>
      <c r="B473" s="16" t="str">
        <f aca="false">IF($A473="","",INDEX(Products!$B$2:$B$501,ROW()-1))</f>
        <v/>
      </c>
      <c r="C473" s="16" t="str">
        <f aca="false">IF($A473="","",INDEX(Products!$C$2:$C$501,ROW()-1))</f>
        <v/>
      </c>
      <c r="D473" s="16" t="str">
        <f aca="false">IF(A473="","",N(Products!I473))</f>
        <v/>
      </c>
      <c r="E473" s="16" t="str">
        <f aca="false">IF(A473="","",SUMIFS(Purchases!$D$2:$D$2001,Purchases!$B$2:$B$2001,A473))</f>
        <v/>
      </c>
      <c r="F473" s="16" t="str">
        <f aca="false">IF(A473="","",SUMIFS(Sales_Items!$E$2:$E$3001,Sales_Items!$C$2:$C$3001,A473))</f>
        <v/>
      </c>
      <c r="G473" s="16" t="str">
        <f aca="false">IF(A473="","",D473+E473-F473)</f>
        <v/>
      </c>
      <c r="H473" s="17" t="str">
        <f aca="false">IF(A473="","",N(Products!E473))</f>
        <v/>
      </c>
      <c r="I473" s="17" t="str">
        <f aca="false">IF(A473="","",G473*H473)</f>
        <v/>
      </c>
      <c r="J473" s="16" t="str">
        <f aca="false">IF(A473="","",IF(Products!G473="",Settings!$B$8,Products!G473))</f>
        <v/>
      </c>
      <c r="K473" s="16" t="str">
        <f aca="false">IF(A473="","",IF(G473&lt;=0,"OUT",IF(G473&lt;=J473,"LOW","OK")))</f>
        <v/>
      </c>
      <c r="L473" s="16" t="str">
        <f aca="false">IF(A473="","",F473+ROW()/1000000)</f>
        <v/>
      </c>
      <c r="M473" s="16" t="str">
        <f aca="false">IF(OR(K473="LOW",K473="OUT"),COUNTIF($K$2:K473,"LOW")+COUNTIF($K$2:K473,"OUT"),"")</f>
        <v/>
      </c>
    </row>
    <row r="474" customFormat="false" ht="15" hidden="false" customHeight="true" outlineLevel="0" collapsed="false">
      <c r="A474" s="16" t="str">
        <f aca="false">IF(Products!A474="","",Products!A474)</f>
        <v/>
      </c>
      <c r="B474" s="16" t="str">
        <f aca="false">IF($A474="","",INDEX(Products!$B$2:$B$501,ROW()-1))</f>
        <v/>
      </c>
      <c r="C474" s="16" t="str">
        <f aca="false">IF($A474="","",INDEX(Products!$C$2:$C$501,ROW()-1))</f>
        <v/>
      </c>
      <c r="D474" s="16" t="str">
        <f aca="false">IF(A474="","",N(Products!I474))</f>
        <v/>
      </c>
      <c r="E474" s="16" t="str">
        <f aca="false">IF(A474="","",SUMIFS(Purchases!$D$2:$D$2001,Purchases!$B$2:$B$2001,A474))</f>
        <v/>
      </c>
      <c r="F474" s="16" t="str">
        <f aca="false">IF(A474="","",SUMIFS(Sales_Items!$E$2:$E$3001,Sales_Items!$C$2:$C$3001,A474))</f>
        <v/>
      </c>
      <c r="G474" s="16" t="str">
        <f aca="false">IF(A474="","",D474+E474-F474)</f>
        <v/>
      </c>
      <c r="H474" s="17" t="str">
        <f aca="false">IF(A474="","",N(Products!E474))</f>
        <v/>
      </c>
      <c r="I474" s="17" t="str">
        <f aca="false">IF(A474="","",G474*H474)</f>
        <v/>
      </c>
      <c r="J474" s="16" t="str">
        <f aca="false">IF(A474="","",IF(Products!G474="",Settings!$B$8,Products!G474))</f>
        <v/>
      </c>
      <c r="K474" s="16" t="str">
        <f aca="false">IF(A474="","",IF(G474&lt;=0,"OUT",IF(G474&lt;=J474,"LOW","OK")))</f>
        <v/>
      </c>
      <c r="L474" s="16" t="str">
        <f aca="false">IF(A474="","",F474+ROW()/1000000)</f>
        <v/>
      </c>
      <c r="M474" s="16" t="str">
        <f aca="false">IF(OR(K474="LOW",K474="OUT"),COUNTIF($K$2:K474,"LOW")+COUNTIF($K$2:K474,"OUT"),"")</f>
        <v/>
      </c>
    </row>
    <row r="475" customFormat="false" ht="15" hidden="false" customHeight="true" outlineLevel="0" collapsed="false">
      <c r="A475" s="16" t="str">
        <f aca="false">IF(Products!A475="","",Products!A475)</f>
        <v/>
      </c>
      <c r="B475" s="16" t="str">
        <f aca="false">IF($A475="","",INDEX(Products!$B$2:$B$501,ROW()-1))</f>
        <v/>
      </c>
      <c r="C475" s="16" t="str">
        <f aca="false">IF($A475="","",INDEX(Products!$C$2:$C$501,ROW()-1))</f>
        <v/>
      </c>
      <c r="D475" s="16" t="str">
        <f aca="false">IF(A475="","",N(Products!I475))</f>
        <v/>
      </c>
      <c r="E475" s="16" t="str">
        <f aca="false">IF(A475="","",SUMIFS(Purchases!$D$2:$D$2001,Purchases!$B$2:$B$2001,A475))</f>
        <v/>
      </c>
      <c r="F475" s="16" t="str">
        <f aca="false">IF(A475="","",SUMIFS(Sales_Items!$E$2:$E$3001,Sales_Items!$C$2:$C$3001,A475))</f>
        <v/>
      </c>
      <c r="G475" s="16" t="str">
        <f aca="false">IF(A475="","",D475+E475-F475)</f>
        <v/>
      </c>
      <c r="H475" s="17" t="str">
        <f aca="false">IF(A475="","",N(Products!E475))</f>
        <v/>
      </c>
      <c r="I475" s="17" t="str">
        <f aca="false">IF(A475="","",G475*H475)</f>
        <v/>
      </c>
      <c r="J475" s="16" t="str">
        <f aca="false">IF(A475="","",IF(Products!G475="",Settings!$B$8,Products!G475))</f>
        <v/>
      </c>
      <c r="K475" s="16" t="str">
        <f aca="false">IF(A475="","",IF(G475&lt;=0,"OUT",IF(G475&lt;=J475,"LOW","OK")))</f>
        <v/>
      </c>
      <c r="L475" s="16" t="str">
        <f aca="false">IF(A475="","",F475+ROW()/1000000)</f>
        <v/>
      </c>
      <c r="M475" s="16" t="str">
        <f aca="false">IF(OR(K475="LOW",K475="OUT"),COUNTIF($K$2:K475,"LOW")+COUNTIF($K$2:K475,"OUT"),"")</f>
        <v/>
      </c>
    </row>
    <row r="476" customFormat="false" ht="15" hidden="false" customHeight="true" outlineLevel="0" collapsed="false">
      <c r="A476" s="16" t="str">
        <f aca="false">IF(Products!A476="","",Products!A476)</f>
        <v/>
      </c>
      <c r="B476" s="16" t="str">
        <f aca="false">IF($A476="","",INDEX(Products!$B$2:$B$501,ROW()-1))</f>
        <v/>
      </c>
      <c r="C476" s="16" t="str">
        <f aca="false">IF($A476="","",INDEX(Products!$C$2:$C$501,ROW()-1))</f>
        <v/>
      </c>
      <c r="D476" s="16" t="str">
        <f aca="false">IF(A476="","",N(Products!I476))</f>
        <v/>
      </c>
      <c r="E476" s="16" t="str">
        <f aca="false">IF(A476="","",SUMIFS(Purchases!$D$2:$D$2001,Purchases!$B$2:$B$2001,A476))</f>
        <v/>
      </c>
      <c r="F476" s="16" t="str">
        <f aca="false">IF(A476="","",SUMIFS(Sales_Items!$E$2:$E$3001,Sales_Items!$C$2:$C$3001,A476))</f>
        <v/>
      </c>
      <c r="G476" s="16" t="str">
        <f aca="false">IF(A476="","",D476+E476-F476)</f>
        <v/>
      </c>
      <c r="H476" s="17" t="str">
        <f aca="false">IF(A476="","",N(Products!E476))</f>
        <v/>
      </c>
      <c r="I476" s="17" t="str">
        <f aca="false">IF(A476="","",G476*H476)</f>
        <v/>
      </c>
      <c r="J476" s="16" t="str">
        <f aca="false">IF(A476="","",IF(Products!G476="",Settings!$B$8,Products!G476))</f>
        <v/>
      </c>
      <c r="K476" s="16" t="str">
        <f aca="false">IF(A476="","",IF(G476&lt;=0,"OUT",IF(G476&lt;=J476,"LOW","OK")))</f>
        <v/>
      </c>
      <c r="L476" s="16" t="str">
        <f aca="false">IF(A476="","",F476+ROW()/1000000)</f>
        <v/>
      </c>
      <c r="M476" s="16" t="str">
        <f aca="false">IF(OR(K476="LOW",K476="OUT"),COUNTIF($K$2:K476,"LOW")+COUNTIF($K$2:K476,"OUT"),"")</f>
        <v/>
      </c>
    </row>
    <row r="477" customFormat="false" ht="15" hidden="false" customHeight="true" outlineLevel="0" collapsed="false">
      <c r="A477" s="16" t="str">
        <f aca="false">IF(Products!A477="","",Products!A477)</f>
        <v/>
      </c>
      <c r="B477" s="16" t="str">
        <f aca="false">IF($A477="","",INDEX(Products!$B$2:$B$501,ROW()-1))</f>
        <v/>
      </c>
      <c r="C477" s="16" t="str">
        <f aca="false">IF($A477="","",INDEX(Products!$C$2:$C$501,ROW()-1))</f>
        <v/>
      </c>
      <c r="D477" s="16" t="str">
        <f aca="false">IF(A477="","",N(Products!I477))</f>
        <v/>
      </c>
      <c r="E477" s="16" t="str">
        <f aca="false">IF(A477="","",SUMIFS(Purchases!$D$2:$D$2001,Purchases!$B$2:$B$2001,A477))</f>
        <v/>
      </c>
      <c r="F477" s="16" t="str">
        <f aca="false">IF(A477="","",SUMIFS(Sales_Items!$E$2:$E$3001,Sales_Items!$C$2:$C$3001,A477))</f>
        <v/>
      </c>
      <c r="G477" s="16" t="str">
        <f aca="false">IF(A477="","",D477+E477-F477)</f>
        <v/>
      </c>
      <c r="H477" s="17" t="str">
        <f aca="false">IF(A477="","",N(Products!E477))</f>
        <v/>
      </c>
      <c r="I477" s="17" t="str">
        <f aca="false">IF(A477="","",G477*H477)</f>
        <v/>
      </c>
      <c r="J477" s="16" t="str">
        <f aca="false">IF(A477="","",IF(Products!G477="",Settings!$B$8,Products!G477))</f>
        <v/>
      </c>
      <c r="K477" s="16" t="str">
        <f aca="false">IF(A477="","",IF(G477&lt;=0,"OUT",IF(G477&lt;=J477,"LOW","OK")))</f>
        <v/>
      </c>
      <c r="L477" s="16" t="str">
        <f aca="false">IF(A477="","",F477+ROW()/1000000)</f>
        <v/>
      </c>
      <c r="M477" s="16" t="str">
        <f aca="false">IF(OR(K477="LOW",K477="OUT"),COUNTIF($K$2:K477,"LOW")+COUNTIF($K$2:K477,"OUT"),"")</f>
        <v/>
      </c>
    </row>
    <row r="478" customFormat="false" ht="15" hidden="false" customHeight="true" outlineLevel="0" collapsed="false">
      <c r="A478" s="16" t="str">
        <f aca="false">IF(Products!A478="","",Products!A478)</f>
        <v/>
      </c>
      <c r="B478" s="16" t="str">
        <f aca="false">IF($A478="","",INDEX(Products!$B$2:$B$501,ROW()-1))</f>
        <v/>
      </c>
      <c r="C478" s="16" t="str">
        <f aca="false">IF($A478="","",INDEX(Products!$C$2:$C$501,ROW()-1))</f>
        <v/>
      </c>
      <c r="D478" s="16" t="str">
        <f aca="false">IF(A478="","",N(Products!I478))</f>
        <v/>
      </c>
      <c r="E478" s="16" t="str">
        <f aca="false">IF(A478="","",SUMIFS(Purchases!$D$2:$D$2001,Purchases!$B$2:$B$2001,A478))</f>
        <v/>
      </c>
      <c r="F478" s="16" t="str">
        <f aca="false">IF(A478="","",SUMIFS(Sales_Items!$E$2:$E$3001,Sales_Items!$C$2:$C$3001,A478))</f>
        <v/>
      </c>
      <c r="G478" s="16" t="str">
        <f aca="false">IF(A478="","",D478+E478-F478)</f>
        <v/>
      </c>
      <c r="H478" s="17" t="str">
        <f aca="false">IF(A478="","",N(Products!E478))</f>
        <v/>
      </c>
      <c r="I478" s="17" t="str">
        <f aca="false">IF(A478="","",G478*H478)</f>
        <v/>
      </c>
      <c r="J478" s="16" t="str">
        <f aca="false">IF(A478="","",IF(Products!G478="",Settings!$B$8,Products!G478))</f>
        <v/>
      </c>
      <c r="K478" s="16" t="str">
        <f aca="false">IF(A478="","",IF(G478&lt;=0,"OUT",IF(G478&lt;=J478,"LOW","OK")))</f>
        <v/>
      </c>
      <c r="L478" s="16" t="str">
        <f aca="false">IF(A478="","",F478+ROW()/1000000)</f>
        <v/>
      </c>
      <c r="M478" s="16" t="str">
        <f aca="false">IF(OR(K478="LOW",K478="OUT"),COUNTIF($K$2:K478,"LOW")+COUNTIF($K$2:K478,"OUT"),"")</f>
        <v/>
      </c>
    </row>
    <row r="479" customFormat="false" ht="15" hidden="false" customHeight="true" outlineLevel="0" collapsed="false">
      <c r="A479" s="16" t="str">
        <f aca="false">IF(Products!A479="","",Products!A479)</f>
        <v/>
      </c>
      <c r="B479" s="16" t="str">
        <f aca="false">IF($A479="","",INDEX(Products!$B$2:$B$501,ROW()-1))</f>
        <v/>
      </c>
      <c r="C479" s="16" t="str">
        <f aca="false">IF($A479="","",INDEX(Products!$C$2:$C$501,ROW()-1))</f>
        <v/>
      </c>
      <c r="D479" s="16" t="str">
        <f aca="false">IF(A479="","",N(Products!I479))</f>
        <v/>
      </c>
      <c r="E479" s="16" t="str">
        <f aca="false">IF(A479="","",SUMIFS(Purchases!$D$2:$D$2001,Purchases!$B$2:$B$2001,A479))</f>
        <v/>
      </c>
      <c r="F479" s="16" t="str">
        <f aca="false">IF(A479="","",SUMIFS(Sales_Items!$E$2:$E$3001,Sales_Items!$C$2:$C$3001,A479))</f>
        <v/>
      </c>
      <c r="G479" s="16" t="str">
        <f aca="false">IF(A479="","",D479+E479-F479)</f>
        <v/>
      </c>
      <c r="H479" s="17" t="str">
        <f aca="false">IF(A479="","",N(Products!E479))</f>
        <v/>
      </c>
      <c r="I479" s="17" t="str">
        <f aca="false">IF(A479="","",G479*H479)</f>
        <v/>
      </c>
      <c r="J479" s="16" t="str">
        <f aca="false">IF(A479="","",IF(Products!G479="",Settings!$B$8,Products!G479))</f>
        <v/>
      </c>
      <c r="K479" s="16" t="str">
        <f aca="false">IF(A479="","",IF(G479&lt;=0,"OUT",IF(G479&lt;=J479,"LOW","OK")))</f>
        <v/>
      </c>
      <c r="L479" s="16" t="str">
        <f aca="false">IF(A479="","",F479+ROW()/1000000)</f>
        <v/>
      </c>
      <c r="M479" s="16" t="str">
        <f aca="false">IF(OR(K479="LOW",K479="OUT"),COUNTIF($K$2:K479,"LOW")+COUNTIF($K$2:K479,"OUT"),"")</f>
        <v/>
      </c>
    </row>
    <row r="480" customFormat="false" ht="15" hidden="false" customHeight="true" outlineLevel="0" collapsed="false">
      <c r="A480" s="16" t="str">
        <f aca="false">IF(Products!A480="","",Products!A480)</f>
        <v/>
      </c>
      <c r="B480" s="16" t="str">
        <f aca="false">IF($A480="","",INDEX(Products!$B$2:$B$501,ROW()-1))</f>
        <v/>
      </c>
      <c r="C480" s="16" t="str">
        <f aca="false">IF($A480="","",INDEX(Products!$C$2:$C$501,ROW()-1))</f>
        <v/>
      </c>
      <c r="D480" s="16" t="str">
        <f aca="false">IF(A480="","",N(Products!I480))</f>
        <v/>
      </c>
      <c r="E480" s="16" t="str">
        <f aca="false">IF(A480="","",SUMIFS(Purchases!$D$2:$D$2001,Purchases!$B$2:$B$2001,A480))</f>
        <v/>
      </c>
      <c r="F480" s="16" t="str">
        <f aca="false">IF(A480="","",SUMIFS(Sales_Items!$E$2:$E$3001,Sales_Items!$C$2:$C$3001,A480))</f>
        <v/>
      </c>
      <c r="G480" s="16" t="str">
        <f aca="false">IF(A480="","",D480+E480-F480)</f>
        <v/>
      </c>
      <c r="H480" s="17" t="str">
        <f aca="false">IF(A480="","",N(Products!E480))</f>
        <v/>
      </c>
      <c r="I480" s="17" t="str">
        <f aca="false">IF(A480="","",G480*H480)</f>
        <v/>
      </c>
      <c r="J480" s="16" t="str">
        <f aca="false">IF(A480="","",IF(Products!G480="",Settings!$B$8,Products!G480))</f>
        <v/>
      </c>
      <c r="K480" s="16" t="str">
        <f aca="false">IF(A480="","",IF(G480&lt;=0,"OUT",IF(G480&lt;=J480,"LOW","OK")))</f>
        <v/>
      </c>
      <c r="L480" s="16" t="str">
        <f aca="false">IF(A480="","",F480+ROW()/1000000)</f>
        <v/>
      </c>
      <c r="M480" s="16" t="str">
        <f aca="false">IF(OR(K480="LOW",K480="OUT"),COUNTIF($K$2:K480,"LOW")+COUNTIF($K$2:K480,"OUT"),"")</f>
        <v/>
      </c>
    </row>
    <row r="481" customFormat="false" ht="15" hidden="false" customHeight="true" outlineLevel="0" collapsed="false">
      <c r="A481" s="16" t="str">
        <f aca="false">IF(Products!A481="","",Products!A481)</f>
        <v/>
      </c>
      <c r="B481" s="16" t="str">
        <f aca="false">IF($A481="","",INDEX(Products!$B$2:$B$501,ROW()-1))</f>
        <v/>
      </c>
      <c r="C481" s="16" t="str">
        <f aca="false">IF($A481="","",INDEX(Products!$C$2:$C$501,ROW()-1))</f>
        <v/>
      </c>
      <c r="D481" s="16" t="str">
        <f aca="false">IF(A481="","",N(Products!I481))</f>
        <v/>
      </c>
      <c r="E481" s="16" t="str">
        <f aca="false">IF(A481="","",SUMIFS(Purchases!$D$2:$D$2001,Purchases!$B$2:$B$2001,A481))</f>
        <v/>
      </c>
      <c r="F481" s="16" t="str">
        <f aca="false">IF(A481="","",SUMIFS(Sales_Items!$E$2:$E$3001,Sales_Items!$C$2:$C$3001,A481))</f>
        <v/>
      </c>
      <c r="G481" s="16" t="str">
        <f aca="false">IF(A481="","",D481+E481-F481)</f>
        <v/>
      </c>
      <c r="H481" s="17" t="str">
        <f aca="false">IF(A481="","",N(Products!E481))</f>
        <v/>
      </c>
      <c r="I481" s="17" t="str">
        <f aca="false">IF(A481="","",G481*H481)</f>
        <v/>
      </c>
      <c r="J481" s="16" t="str">
        <f aca="false">IF(A481="","",IF(Products!G481="",Settings!$B$8,Products!G481))</f>
        <v/>
      </c>
      <c r="K481" s="16" t="str">
        <f aca="false">IF(A481="","",IF(G481&lt;=0,"OUT",IF(G481&lt;=J481,"LOW","OK")))</f>
        <v/>
      </c>
      <c r="L481" s="16" t="str">
        <f aca="false">IF(A481="","",F481+ROW()/1000000)</f>
        <v/>
      </c>
      <c r="M481" s="16" t="str">
        <f aca="false">IF(OR(K481="LOW",K481="OUT"),COUNTIF($K$2:K481,"LOW")+COUNTIF($K$2:K481,"OUT"),"")</f>
        <v/>
      </c>
    </row>
    <row r="482" customFormat="false" ht="15" hidden="false" customHeight="true" outlineLevel="0" collapsed="false">
      <c r="A482" s="16" t="str">
        <f aca="false">IF(Products!A482="","",Products!A482)</f>
        <v/>
      </c>
      <c r="B482" s="16" t="str">
        <f aca="false">IF($A482="","",INDEX(Products!$B$2:$B$501,ROW()-1))</f>
        <v/>
      </c>
      <c r="C482" s="16" t="str">
        <f aca="false">IF($A482="","",INDEX(Products!$C$2:$C$501,ROW()-1))</f>
        <v/>
      </c>
      <c r="D482" s="16" t="str">
        <f aca="false">IF(A482="","",N(Products!I482))</f>
        <v/>
      </c>
      <c r="E482" s="16" t="str">
        <f aca="false">IF(A482="","",SUMIFS(Purchases!$D$2:$D$2001,Purchases!$B$2:$B$2001,A482))</f>
        <v/>
      </c>
      <c r="F482" s="16" t="str">
        <f aca="false">IF(A482="","",SUMIFS(Sales_Items!$E$2:$E$3001,Sales_Items!$C$2:$C$3001,A482))</f>
        <v/>
      </c>
      <c r="G482" s="16" t="str">
        <f aca="false">IF(A482="","",D482+E482-F482)</f>
        <v/>
      </c>
      <c r="H482" s="17" t="str">
        <f aca="false">IF(A482="","",N(Products!E482))</f>
        <v/>
      </c>
      <c r="I482" s="17" t="str">
        <f aca="false">IF(A482="","",G482*H482)</f>
        <v/>
      </c>
      <c r="J482" s="16" t="str">
        <f aca="false">IF(A482="","",IF(Products!G482="",Settings!$B$8,Products!G482))</f>
        <v/>
      </c>
      <c r="K482" s="16" t="str">
        <f aca="false">IF(A482="","",IF(G482&lt;=0,"OUT",IF(G482&lt;=J482,"LOW","OK")))</f>
        <v/>
      </c>
      <c r="L482" s="16" t="str">
        <f aca="false">IF(A482="","",F482+ROW()/1000000)</f>
        <v/>
      </c>
      <c r="M482" s="16" t="str">
        <f aca="false">IF(OR(K482="LOW",K482="OUT"),COUNTIF($K$2:K482,"LOW")+COUNTIF($K$2:K482,"OUT"),"")</f>
        <v/>
      </c>
    </row>
    <row r="483" customFormat="false" ht="15" hidden="false" customHeight="true" outlineLevel="0" collapsed="false">
      <c r="A483" s="16" t="str">
        <f aca="false">IF(Products!A483="","",Products!A483)</f>
        <v/>
      </c>
      <c r="B483" s="16" t="str">
        <f aca="false">IF($A483="","",INDEX(Products!$B$2:$B$501,ROW()-1))</f>
        <v/>
      </c>
      <c r="C483" s="16" t="str">
        <f aca="false">IF($A483="","",INDEX(Products!$C$2:$C$501,ROW()-1))</f>
        <v/>
      </c>
      <c r="D483" s="16" t="str">
        <f aca="false">IF(A483="","",N(Products!I483))</f>
        <v/>
      </c>
      <c r="E483" s="16" t="str">
        <f aca="false">IF(A483="","",SUMIFS(Purchases!$D$2:$D$2001,Purchases!$B$2:$B$2001,A483))</f>
        <v/>
      </c>
      <c r="F483" s="16" t="str">
        <f aca="false">IF(A483="","",SUMIFS(Sales_Items!$E$2:$E$3001,Sales_Items!$C$2:$C$3001,A483))</f>
        <v/>
      </c>
      <c r="G483" s="16" t="str">
        <f aca="false">IF(A483="","",D483+E483-F483)</f>
        <v/>
      </c>
      <c r="H483" s="17" t="str">
        <f aca="false">IF(A483="","",N(Products!E483))</f>
        <v/>
      </c>
      <c r="I483" s="17" t="str">
        <f aca="false">IF(A483="","",G483*H483)</f>
        <v/>
      </c>
      <c r="J483" s="16" t="str">
        <f aca="false">IF(A483="","",IF(Products!G483="",Settings!$B$8,Products!G483))</f>
        <v/>
      </c>
      <c r="K483" s="16" t="str">
        <f aca="false">IF(A483="","",IF(G483&lt;=0,"OUT",IF(G483&lt;=J483,"LOW","OK")))</f>
        <v/>
      </c>
      <c r="L483" s="16" t="str">
        <f aca="false">IF(A483="","",F483+ROW()/1000000)</f>
        <v/>
      </c>
      <c r="M483" s="16" t="str">
        <f aca="false">IF(OR(K483="LOW",K483="OUT"),COUNTIF($K$2:K483,"LOW")+COUNTIF($K$2:K483,"OUT"),"")</f>
        <v/>
      </c>
    </row>
    <row r="484" customFormat="false" ht="15" hidden="false" customHeight="true" outlineLevel="0" collapsed="false">
      <c r="A484" s="16" t="str">
        <f aca="false">IF(Products!A484="","",Products!A484)</f>
        <v/>
      </c>
      <c r="B484" s="16" t="str">
        <f aca="false">IF($A484="","",INDEX(Products!$B$2:$B$501,ROW()-1))</f>
        <v/>
      </c>
      <c r="C484" s="16" t="str">
        <f aca="false">IF($A484="","",INDEX(Products!$C$2:$C$501,ROW()-1))</f>
        <v/>
      </c>
      <c r="D484" s="16" t="str">
        <f aca="false">IF(A484="","",N(Products!I484))</f>
        <v/>
      </c>
      <c r="E484" s="16" t="str">
        <f aca="false">IF(A484="","",SUMIFS(Purchases!$D$2:$D$2001,Purchases!$B$2:$B$2001,A484))</f>
        <v/>
      </c>
      <c r="F484" s="16" t="str">
        <f aca="false">IF(A484="","",SUMIFS(Sales_Items!$E$2:$E$3001,Sales_Items!$C$2:$C$3001,A484))</f>
        <v/>
      </c>
      <c r="G484" s="16" t="str">
        <f aca="false">IF(A484="","",D484+E484-F484)</f>
        <v/>
      </c>
      <c r="H484" s="17" t="str">
        <f aca="false">IF(A484="","",N(Products!E484))</f>
        <v/>
      </c>
      <c r="I484" s="17" t="str">
        <f aca="false">IF(A484="","",G484*H484)</f>
        <v/>
      </c>
      <c r="J484" s="16" t="str">
        <f aca="false">IF(A484="","",IF(Products!G484="",Settings!$B$8,Products!G484))</f>
        <v/>
      </c>
      <c r="K484" s="16" t="str">
        <f aca="false">IF(A484="","",IF(G484&lt;=0,"OUT",IF(G484&lt;=J484,"LOW","OK")))</f>
        <v/>
      </c>
      <c r="L484" s="16" t="str">
        <f aca="false">IF(A484="","",F484+ROW()/1000000)</f>
        <v/>
      </c>
      <c r="M484" s="16" t="str">
        <f aca="false">IF(OR(K484="LOW",K484="OUT"),COUNTIF($K$2:K484,"LOW")+COUNTIF($K$2:K484,"OUT"),"")</f>
        <v/>
      </c>
    </row>
    <row r="485" customFormat="false" ht="15" hidden="false" customHeight="true" outlineLevel="0" collapsed="false">
      <c r="A485" s="16" t="str">
        <f aca="false">IF(Products!A485="","",Products!A485)</f>
        <v/>
      </c>
      <c r="B485" s="16" t="str">
        <f aca="false">IF($A485="","",INDEX(Products!$B$2:$B$501,ROW()-1))</f>
        <v/>
      </c>
      <c r="C485" s="16" t="str">
        <f aca="false">IF($A485="","",INDEX(Products!$C$2:$C$501,ROW()-1))</f>
        <v/>
      </c>
      <c r="D485" s="16" t="str">
        <f aca="false">IF(A485="","",N(Products!I485))</f>
        <v/>
      </c>
      <c r="E485" s="16" t="str">
        <f aca="false">IF(A485="","",SUMIFS(Purchases!$D$2:$D$2001,Purchases!$B$2:$B$2001,A485))</f>
        <v/>
      </c>
      <c r="F485" s="16" t="str">
        <f aca="false">IF(A485="","",SUMIFS(Sales_Items!$E$2:$E$3001,Sales_Items!$C$2:$C$3001,A485))</f>
        <v/>
      </c>
      <c r="G485" s="16" t="str">
        <f aca="false">IF(A485="","",D485+E485-F485)</f>
        <v/>
      </c>
      <c r="H485" s="17" t="str">
        <f aca="false">IF(A485="","",N(Products!E485))</f>
        <v/>
      </c>
      <c r="I485" s="17" t="str">
        <f aca="false">IF(A485="","",G485*H485)</f>
        <v/>
      </c>
      <c r="J485" s="16" t="str">
        <f aca="false">IF(A485="","",IF(Products!G485="",Settings!$B$8,Products!G485))</f>
        <v/>
      </c>
      <c r="K485" s="16" t="str">
        <f aca="false">IF(A485="","",IF(G485&lt;=0,"OUT",IF(G485&lt;=J485,"LOW","OK")))</f>
        <v/>
      </c>
      <c r="L485" s="16" t="str">
        <f aca="false">IF(A485="","",F485+ROW()/1000000)</f>
        <v/>
      </c>
      <c r="M485" s="16" t="str">
        <f aca="false">IF(OR(K485="LOW",K485="OUT"),COUNTIF($K$2:K485,"LOW")+COUNTIF($K$2:K485,"OUT"),"")</f>
        <v/>
      </c>
    </row>
    <row r="486" customFormat="false" ht="15" hidden="false" customHeight="true" outlineLevel="0" collapsed="false">
      <c r="A486" s="16" t="str">
        <f aca="false">IF(Products!A486="","",Products!A486)</f>
        <v/>
      </c>
      <c r="B486" s="16" t="str">
        <f aca="false">IF($A486="","",INDEX(Products!$B$2:$B$501,ROW()-1))</f>
        <v/>
      </c>
      <c r="C486" s="16" t="str">
        <f aca="false">IF($A486="","",INDEX(Products!$C$2:$C$501,ROW()-1))</f>
        <v/>
      </c>
      <c r="D486" s="16" t="str">
        <f aca="false">IF(A486="","",N(Products!I486))</f>
        <v/>
      </c>
      <c r="E486" s="16" t="str">
        <f aca="false">IF(A486="","",SUMIFS(Purchases!$D$2:$D$2001,Purchases!$B$2:$B$2001,A486))</f>
        <v/>
      </c>
      <c r="F486" s="16" t="str">
        <f aca="false">IF(A486="","",SUMIFS(Sales_Items!$E$2:$E$3001,Sales_Items!$C$2:$C$3001,A486))</f>
        <v/>
      </c>
      <c r="G486" s="16" t="str">
        <f aca="false">IF(A486="","",D486+E486-F486)</f>
        <v/>
      </c>
      <c r="H486" s="17" t="str">
        <f aca="false">IF(A486="","",N(Products!E486))</f>
        <v/>
      </c>
      <c r="I486" s="17" t="str">
        <f aca="false">IF(A486="","",G486*H486)</f>
        <v/>
      </c>
      <c r="J486" s="16" t="str">
        <f aca="false">IF(A486="","",IF(Products!G486="",Settings!$B$8,Products!G486))</f>
        <v/>
      </c>
      <c r="K486" s="16" t="str">
        <f aca="false">IF(A486="","",IF(G486&lt;=0,"OUT",IF(G486&lt;=J486,"LOW","OK")))</f>
        <v/>
      </c>
      <c r="L486" s="16" t="str">
        <f aca="false">IF(A486="","",F486+ROW()/1000000)</f>
        <v/>
      </c>
      <c r="M486" s="16" t="str">
        <f aca="false">IF(OR(K486="LOW",K486="OUT"),COUNTIF($K$2:K486,"LOW")+COUNTIF($K$2:K486,"OUT"),"")</f>
        <v/>
      </c>
    </row>
    <row r="487" customFormat="false" ht="15" hidden="false" customHeight="true" outlineLevel="0" collapsed="false">
      <c r="A487" s="16" t="str">
        <f aca="false">IF(Products!A487="","",Products!A487)</f>
        <v/>
      </c>
      <c r="B487" s="16" t="str">
        <f aca="false">IF($A487="","",INDEX(Products!$B$2:$B$501,ROW()-1))</f>
        <v/>
      </c>
      <c r="C487" s="16" t="str">
        <f aca="false">IF($A487="","",INDEX(Products!$C$2:$C$501,ROW()-1))</f>
        <v/>
      </c>
      <c r="D487" s="16" t="str">
        <f aca="false">IF(A487="","",N(Products!I487))</f>
        <v/>
      </c>
      <c r="E487" s="16" t="str">
        <f aca="false">IF(A487="","",SUMIFS(Purchases!$D$2:$D$2001,Purchases!$B$2:$B$2001,A487))</f>
        <v/>
      </c>
      <c r="F487" s="16" t="str">
        <f aca="false">IF(A487="","",SUMIFS(Sales_Items!$E$2:$E$3001,Sales_Items!$C$2:$C$3001,A487))</f>
        <v/>
      </c>
      <c r="G487" s="16" t="str">
        <f aca="false">IF(A487="","",D487+E487-F487)</f>
        <v/>
      </c>
      <c r="H487" s="17" t="str">
        <f aca="false">IF(A487="","",N(Products!E487))</f>
        <v/>
      </c>
      <c r="I487" s="17" t="str">
        <f aca="false">IF(A487="","",G487*H487)</f>
        <v/>
      </c>
      <c r="J487" s="16" t="str">
        <f aca="false">IF(A487="","",IF(Products!G487="",Settings!$B$8,Products!G487))</f>
        <v/>
      </c>
      <c r="K487" s="16" t="str">
        <f aca="false">IF(A487="","",IF(G487&lt;=0,"OUT",IF(G487&lt;=J487,"LOW","OK")))</f>
        <v/>
      </c>
      <c r="L487" s="16" t="str">
        <f aca="false">IF(A487="","",F487+ROW()/1000000)</f>
        <v/>
      </c>
      <c r="M487" s="16" t="str">
        <f aca="false">IF(OR(K487="LOW",K487="OUT"),COUNTIF($K$2:K487,"LOW")+COUNTIF($K$2:K487,"OUT"),"")</f>
        <v/>
      </c>
    </row>
    <row r="488" customFormat="false" ht="15" hidden="false" customHeight="true" outlineLevel="0" collapsed="false">
      <c r="A488" s="16" t="str">
        <f aca="false">IF(Products!A488="","",Products!A488)</f>
        <v/>
      </c>
      <c r="B488" s="16" t="str">
        <f aca="false">IF($A488="","",INDEX(Products!$B$2:$B$501,ROW()-1))</f>
        <v/>
      </c>
      <c r="C488" s="16" t="str">
        <f aca="false">IF($A488="","",INDEX(Products!$C$2:$C$501,ROW()-1))</f>
        <v/>
      </c>
      <c r="D488" s="16" t="str">
        <f aca="false">IF(A488="","",N(Products!I488))</f>
        <v/>
      </c>
      <c r="E488" s="16" t="str">
        <f aca="false">IF(A488="","",SUMIFS(Purchases!$D$2:$D$2001,Purchases!$B$2:$B$2001,A488))</f>
        <v/>
      </c>
      <c r="F488" s="16" t="str">
        <f aca="false">IF(A488="","",SUMIFS(Sales_Items!$E$2:$E$3001,Sales_Items!$C$2:$C$3001,A488))</f>
        <v/>
      </c>
      <c r="G488" s="16" t="str">
        <f aca="false">IF(A488="","",D488+E488-F488)</f>
        <v/>
      </c>
      <c r="H488" s="17" t="str">
        <f aca="false">IF(A488="","",N(Products!E488))</f>
        <v/>
      </c>
      <c r="I488" s="17" t="str">
        <f aca="false">IF(A488="","",G488*H488)</f>
        <v/>
      </c>
      <c r="J488" s="16" t="str">
        <f aca="false">IF(A488="","",IF(Products!G488="",Settings!$B$8,Products!G488))</f>
        <v/>
      </c>
      <c r="K488" s="16" t="str">
        <f aca="false">IF(A488="","",IF(G488&lt;=0,"OUT",IF(G488&lt;=J488,"LOW","OK")))</f>
        <v/>
      </c>
      <c r="L488" s="16" t="str">
        <f aca="false">IF(A488="","",F488+ROW()/1000000)</f>
        <v/>
      </c>
      <c r="M488" s="16" t="str">
        <f aca="false">IF(OR(K488="LOW",K488="OUT"),COUNTIF($K$2:K488,"LOW")+COUNTIF($K$2:K488,"OUT"),"")</f>
        <v/>
      </c>
    </row>
    <row r="489" customFormat="false" ht="15" hidden="false" customHeight="true" outlineLevel="0" collapsed="false">
      <c r="A489" s="16" t="str">
        <f aca="false">IF(Products!A489="","",Products!A489)</f>
        <v/>
      </c>
      <c r="B489" s="16" t="str">
        <f aca="false">IF($A489="","",INDEX(Products!$B$2:$B$501,ROW()-1))</f>
        <v/>
      </c>
      <c r="C489" s="16" t="str">
        <f aca="false">IF($A489="","",INDEX(Products!$C$2:$C$501,ROW()-1))</f>
        <v/>
      </c>
      <c r="D489" s="16" t="str">
        <f aca="false">IF(A489="","",N(Products!I489))</f>
        <v/>
      </c>
      <c r="E489" s="16" t="str">
        <f aca="false">IF(A489="","",SUMIFS(Purchases!$D$2:$D$2001,Purchases!$B$2:$B$2001,A489))</f>
        <v/>
      </c>
      <c r="F489" s="16" t="str">
        <f aca="false">IF(A489="","",SUMIFS(Sales_Items!$E$2:$E$3001,Sales_Items!$C$2:$C$3001,A489))</f>
        <v/>
      </c>
      <c r="G489" s="16" t="str">
        <f aca="false">IF(A489="","",D489+E489-F489)</f>
        <v/>
      </c>
      <c r="H489" s="17" t="str">
        <f aca="false">IF(A489="","",N(Products!E489))</f>
        <v/>
      </c>
      <c r="I489" s="17" t="str">
        <f aca="false">IF(A489="","",G489*H489)</f>
        <v/>
      </c>
      <c r="J489" s="16" t="str">
        <f aca="false">IF(A489="","",IF(Products!G489="",Settings!$B$8,Products!G489))</f>
        <v/>
      </c>
      <c r="K489" s="16" t="str">
        <f aca="false">IF(A489="","",IF(G489&lt;=0,"OUT",IF(G489&lt;=J489,"LOW","OK")))</f>
        <v/>
      </c>
      <c r="L489" s="16" t="str">
        <f aca="false">IF(A489="","",F489+ROW()/1000000)</f>
        <v/>
      </c>
      <c r="M489" s="16" t="str">
        <f aca="false">IF(OR(K489="LOW",K489="OUT"),COUNTIF($K$2:K489,"LOW")+COUNTIF($K$2:K489,"OUT"),"")</f>
        <v/>
      </c>
    </row>
    <row r="490" customFormat="false" ht="15" hidden="false" customHeight="true" outlineLevel="0" collapsed="false">
      <c r="A490" s="16" t="str">
        <f aca="false">IF(Products!A490="","",Products!A490)</f>
        <v/>
      </c>
      <c r="B490" s="16" t="str">
        <f aca="false">IF($A490="","",INDEX(Products!$B$2:$B$501,ROW()-1))</f>
        <v/>
      </c>
      <c r="C490" s="16" t="str">
        <f aca="false">IF($A490="","",INDEX(Products!$C$2:$C$501,ROW()-1))</f>
        <v/>
      </c>
      <c r="D490" s="16" t="str">
        <f aca="false">IF(A490="","",N(Products!I490))</f>
        <v/>
      </c>
      <c r="E490" s="16" t="str">
        <f aca="false">IF(A490="","",SUMIFS(Purchases!$D$2:$D$2001,Purchases!$B$2:$B$2001,A490))</f>
        <v/>
      </c>
      <c r="F490" s="16" t="str">
        <f aca="false">IF(A490="","",SUMIFS(Sales_Items!$E$2:$E$3001,Sales_Items!$C$2:$C$3001,A490))</f>
        <v/>
      </c>
      <c r="G490" s="16" t="str">
        <f aca="false">IF(A490="","",D490+E490-F490)</f>
        <v/>
      </c>
      <c r="H490" s="17" t="str">
        <f aca="false">IF(A490="","",N(Products!E490))</f>
        <v/>
      </c>
      <c r="I490" s="17" t="str">
        <f aca="false">IF(A490="","",G490*H490)</f>
        <v/>
      </c>
      <c r="J490" s="16" t="str">
        <f aca="false">IF(A490="","",IF(Products!G490="",Settings!$B$8,Products!G490))</f>
        <v/>
      </c>
      <c r="K490" s="16" t="str">
        <f aca="false">IF(A490="","",IF(G490&lt;=0,"OUT",IF(G490&lt;=J490,"LOW","OK")))</f>
        <v/>
      </c>
      <c r="L490" s="16" t="str">
        <f aca="false">IF(A490="","",F490+ROW()/1000000)</f>
        <v/>
      </c>
      <c r="M490" s="16" t="str">
        <f aca="false">IF(OR(K490="LOW",K490="OUT"),COUNTIF($K$2:K490,"LOW")+COUNTIF($K$2:K490,"OUT"),"")</f>
        <v/>
      </c>
    </row>
    <row r="491" customFormat="false" ht="15" hidden="false" customHeight="true" outlineLevel="0" collapsed="false">
      <c r="A491" s="16" t="str">
        <f aca="false">IF(Products!A491="","",Products!A491)</f>
        <v/>
      </c>
      <c r="B491" s="16" t="str">
        <f aca="false">IF($A491="","",INDEX(Products!$B$2:$B$501,ROW()-1))</f>
        <v/>
      </c>
      <c r="C491" s="16" t="str">
        <f aca="false">IF($A491="","",INDEX(Products!$C$2:$C$501,ROW()-1))</f>
        <v/>
      </c>
      <c r="D491" s="16" t="str">
        <f aca="false">IF(A491="","",N(Products!I491))</f>
        <v/>
      </c>
      <c r="E491" s="16" t="str">
        <f aca="false">IF(A491="","",SUMIFS(Purchases!$D$2:$D$2001,Purchases!$B$2:$B$2001,A491))</f>
        <v/>
      </c>
      <c r="F491" s="16" t="str">
        <f aca="false">IF(A491="","",SUMIFS(Sales_Items!$E$2:$E$3001,Sales_Items!$C$2:$C$3001,A491))</f>
        <v/>
      </c>
      <c r="G491" s="16" t="str">
        <f aca="false">IF(A491="","",D491+E491-F491)</f>
        <v/>
      </c>
      <c r="H491" s="17" t="str">
        <f aca="false">IF(A491="","",N(Products!E491))</f>
        <v/>
      </c>
      <c r="I491" s="17" t="str">
        <f aca="false">IF(A491="","",G491*H491)</f>
        <v/>
      </c>
      <c r="J491" s="16" t="str">
        <f aca="false">IF(A491="","",IF(Products!G491="",Settings!$B$8,Products!G491))</f>
        <v/>
      </c>
      <c r="K491" s="16" t="str">
        <f aca="false">IF(A491="","",IF(G491&lt;=0,"OUT",IF(G491&lt;=J491,"LOW","OK")))</f>
        <v/>
      </c>
      <c r="L491" s="16" t="str">
        <f aca="false">IF(A491="","",F491+ROW()/1000000)</f>
        <v/>
      </c>
      <c r="M491" s="16" t="str">
        <f aca="false">IF(OR(K491="LOW",K491="OUT"),COUNTIF($K$2:K491,"LOW")+COUNTIF($K$2:K491,"OUT"),"")</f>
        <v/>
      </c>
    </row>
    <row r="492" customFormat="false" ht="15" hidden="false" customHeight="true" outlineLevel="0" collapsed="false">
      <c r="A492" s="16" t="str">
        <f aca="false">IF(Products!A492="","",Products!A492)</f>
        <v/>
      </c>
      <c r="B492" s="16" t="str">
        <f aca="false">IF($A492="","",INDEX(Products!$B$2:$B$501,ROW()-1))</f>
        <v/>
      </c>
      <c r="C492" s="16" t="str">
        <f aca="false">IF($A492="","",INDEX(Products!$C$2:$C$501,ROW()-1))</f>
        <v/>
      </c>
      <c r="D492" s="16" t="str">
        <f aca="false">IF(A492="","",N(Products!I492))</f>
        <v/>
      </c>
      <c r="E492" s="16" t="str">
        <f aca="false">IF(A492="","",SUMIFS(Purchases!$D$2:$D$2001,Purchases!$B$2:$B$2001,A492))</f>
        <v/>
      </c>
      <c r="F492" s="16" t="str">
        <f aca="false">IF(A492="","",SUMIFS(Sales_Items!$E$2:$E$3001,Sales_Items!$C$2:$C$3001,A492))</f>
        <v/>
      </c>
      <c r="G492" s="16" t="str">
        <f aca="false">IF(A492="","",D492+E492-F492)</f>
        <v/>
      </c>
      <c r="H492" s="17" t="str">
        <f aca="false">IF(A492="","",N(Products!E492))</f>
        <v/>
      </c>
      <c r="I492" s="17" t="str">
        <f aca="false">IF(A492="","",G492*H492)</f>
        <v/>
      </c>
      <c r="J492" s="16" t="str">
        <f aca="false">IF(A492="","",IF(Products!G492="",Settings!$B$8,Products!G492))</f>
        <v/>
      </c>
      <c r="K492" s="16" t="str">
        <f aca="false">IF(A492="","",IF(G492&lt;=0,"OUT",IF(G492&lt;=J492,"LOW","OK")))</f>
        <v/>
      </c>
      <c r="L492" s="16" t="str">
        <f aca="false">IF(A492="","",F492+ROW()/1000000)</f>
        <v/>
      </c>
      <c r="M492" s="16" t="str">
        <f aca="false">IF(OR(K492="LOW",K492="OUT"),COUNTIF($K$2:K492,"LOW")+COUNTIF($K$2:K492,"OUT"),"")</f>
        <v/>
      </c>
    </row>
    <row r="493" customFormat="false" ht="15" hidden="false" customHeight="true" outlineLevel="0" collapsed="false">
      <c r="A493" s="16" t="str">
        <f aca="false">IF(Products!A493="","",Products!A493)</f>
        <v/>
      </c>
      <c r="B493" s="16" t="str">
        <f aca="false">IF($A493="","",INDEX(Products!$B$2:$B$501,ROW()-1))</f>
        <v/>
      </c>
      <c r="C493" s="16" t="str">
        <f aca="false">IF($A493="","",INDEX(Products!$C$2:$C$501,ROW()-1))</f>
        <v/>
      </c>
      <c r="D493" s="16" t="str">
        <f aca="false">IF(A493="","",N(Products!I493))</f>
        <v/>
      </c>
      <c r="E493" s="16" t="str">
        <f aca="false">IF(A493="","",SUMIFS(Purchases!$D$2:$D$2001,Purchases!$B$2:$B$2001,A493))</f>
        <v/>
      </c>
      <c r="F493" s="16" t="str">
        <f aca="false">IF(A493="","",SUMIFS(Sales_Items!$E$2:$E$3001,Sales_Items!$C$2:$C$3001,A493))</f>
        <v/>
      </c>
      <c r="G493" s="16" t="str">
        <f aca="false">IF(A493="","",D493+E493-F493)</f>
        <v/>
      </c>
      <c r="H493" s="17" t="str">
        <f aca="false">IF(A493="","",N(Products!E493))</f>
        <v/>
      </c>
      <c r="I493" s="17" t="str">
        <f aca="false">IF(A493="","",G493*H493)</f>
        <v/>
      </c>
      <c r="J493" s="16" t="str">
        <f aca="false">IF(A493="","",IF(Products!G493="",Settings!$B$8,Products!G493))</f>
        <v/>
      </c>
      <c r="K493" s="16" t="str">
        <f aca="false">IF(A493="","",IF(G493&lt;=0,"OUT",IF(G493&lt;=J493,"LOW","OK")))</f>
        <v/>
      </c>
      <c r="L493" s="16" t="str">
        <f aca="false">IF(A493="","",F493+ROW()/1000000)</f>
        <v/>
      </c>
      <c r="M493" s="16" t="str">
        <f aca="false">IF(OR(K493="LOW",K493="OUT"),COUNTIF($K$2:K493,"LOW")+COUNTIF($K$2:K493,"OUT"),"")</f>
        <v/>
      </c>
    </row>
    <row r="494" customFormat="false" ht="15" hidden="false" customHeight="true" outlineLevel="0" collapsed="false">
      <c r="A494" s="16" t="str">
        <f aca="false">IF(Products!A494="","",Products!A494)</f>
        <v/>
      </c>
      <c r="B494" s="16" t="str">
        <f aca="false">IF($A494="","",INDEX(Products!$B$2:$B$501,ROW()-1))</f>
        <v/>
      </c>
      <c r="C494" s="16" t="str">
        <f aca="false">IF($A494="","",INDEX(Products!$C$2:$C$501,ROW()-1))</f>
        <v/>
      </c>
      <c r="D494" s="16" t="str">
        <f aca="false">IF(A494="","",N(Products!I494))</f>
        <v/>
      </c>
      <c r="E494" s="16" t="str">
        <f aca="false">IF(A494="","",SUMIFS(Purchases!$D$2:$D$2001,Purchases!$B$2:$B$2001,A494))</f>
        <v/>
      </c>
      <c r="F494" s="16" t="str">
        <f aca="false">IF(A494="","",SUMIFS(Sales_Items!$E$2:$E$3001,Sales_Items!$C$2:$C$3001,A494))</f>
        <v/>
      </c>
      <c r="G494" s="16" t="str">
        <f aca="false">IF(A494="","",D494+E494-F494)</f>
        <v/>
      </c>
      <c r="H494" s="17" t="str">
        <f aca="false">IF(A494="","",N(Products!E494))</f>
        <v/>
      </c>
      <c r="I494" s="17" t="str">
        <f aca="false">IF(A494="","",G494*H494)</f>
        <v/>
      </c>
      <c r="J494" s="16" t="str">
        <f aca="false">IF(A494="","",IF(Products!G494="",Settings!$B$8,Products!G494))</f>
        <v/>
      </c>
      <c r="K494" s="16" t="str">
        <f aca="false">IF(A494="","",IF(G494&lt;=0,"OUT",IF(G494&lt;=J494,"LOW","OK")))</f>
        <v/>
      </c>
      <c r="L494" s="16" t="str">
        <f aca="false">IF(A494="","",F494+ROW()/1000000)</f>
        <v/>
      </c>
      <c r="M494" s="16" t="str">
        <f aca="false">IF(OR(K494="LOW",K494="OUT"),COUNTIF($K$2:K494,"LOW")+COUNTIF($K$2:K494,"OUT"),"")</f>
        <v/>
      </c>
    </row>
    <row r="495" customFormat="false" ht="15" hidden="false" customHeight="true" outlineLevel="0" collapsed="false">
      <c r="A495" s="16" t="str">
        <f aca="false">IF(Products!A495="","",Products!A495)</f>
        <v/>
      </c>
      <c r="B495" s="16" t="str">
        <f aca="false">IF($A495="","",INDEX(Products!$B$2:$B$501,ROW()-1))</f>
        <v/>
      </c>
      <c r="C495" s="16" t="str">
        <f aca="false">IF($A495="","",INDEX(Products!$C$2:$C$501,ROW()-1))</f>
        <v/>
      </c>
      <c r="D495" s="16" t="str">
        <f aca="false">IF(A495="","",N(Products!I495))</f>
        <v/>
      </c>
      <c r="E495" s="16" t="str">
        <f aca="false">IF(A495="","",SUMIFS(Purchases!$D$2:$D$2001,Purchases!$B$2:$B$2001,A495))</f>
        <v/>
      </c>
      <c r="F495" s="16" t="str">
        <f aca="false">IF(A495="","",SUMIFS(Sales_Items!$E$2:$E$3001,Sales_Items!$C$2:$C$3001,A495))</f>
        <v/>
      </c>
      <c r="G495" s="16" t="str">
        <f aca="false">IF(A495="","",D495+E495-F495)</f>
        <v/>
      </c>
      <c r="H495" s="17" t="str">
        <f aca="false">IF(A495="","",N(Products!E495))</f>
        <v/>
      </c>
      <c r="I495" s="17" t="str">
        <f aca="false">IF(A495="","",G495*H495)</f>
        <v/>
      </c>
      <c r="J495" s="16" t="str">
        <f aca="false">IF(A495="","",IF(Products!G495="",Settings!$B$8,Products!G495))</f>
        <v/>
      </c>
      <c r="K495" s="16" t="str">
        <f aca="false">IF(A495="","",IF(G495&lt;=0,"OUT",IF(G495&lt;=J495,"LOW","OK")))</f>
        <v/>
      </c>
      <c r="L495" s="16" t="str">
        <f aca="false">IF(A495="","",F495+ROW()/1000000)</f>
        <v/>
      </c>
      <c r="M495" s="16" t="str">
        <f aca="false">IF(OR(K495="LOW",K495="OUT"),COUNTIF($K$2:K495,"LOW")+COUNTIF($K$2:K495,"OUT"),"")</f>
        <v/>
      </c>
    </row>
    <row r="496" customFormat="false" ht="15" hidden="false" customHeight="true" outlineLevel="0" collapsed="false">
      <c r="A496" s="16" t="str">
        <f aca="false">IF(Products!A496="","",Products!A496)</f>
        <v/>
      </c>
      <c r="B496" s="16" t="str">
        <f aca="false">IF($A496="","",INDEX(Products!$B$2:$B$501,ROW()-1))</f>
        <v/>
      </c>
      <c r="C496" s="16" t="str">
        <f aca="false">IF($A496="","",INDEX(Products!$C$2:$C$501,ROW()-1))</f>
        <v/>
      </c>
      <c r="D496" s="16" t="str">
        <f aca="false">IF(A496="","",N(Products!I496))</f>
        <v/>
      </c>
      <c r="E496" s="16" t="str">
        <f aca="false">IF(A496="","",SUMIFS(Purchases!$D$2:$D$2001,Purchases!$B$2:$B$2001,A496))</f>
        <v/>
      </c>
      <c r="F496" s="16" t="str">
        <f aca="false">IF(A496="","",SUMIFS(Sales_Items!$E$2:$E$3001,Sales_Items!$C$2:$C$3001,A496))</f>
        <v/>
      </c>
      <c r="G496" s="16" t="str">
        <f aca="false">IF(A496="","",D496+E496-F496)</f>
        <v/>
      </c>
      <c r="H496" s="17" t="str">
        <f aca="false">IF(A496="","",N(Products!E496))</f>
        <v/>
      </c>
      <c r="I496" s="17" t="str">
        <f aca="false">IF(A496="","",G496*H496)</f>
        <v/>
      </c>
      <c r="J496" s="16" t="str">
        <f aca="false">IF(A496="","",IF(Products!G496="",Settings!$B$8,Products!G496))</f>
        <v/>
      </c>
      <c r="K496" s="16" t="str">
        <f aca="false">IF(A496="","",IF(G496&lt;=0,"OUT",IF(G496&lt;=J496,"LOW","OK")))</f>
        <v/>
      </c>
      <c r="L496" s="16" t="str">
        <f aca="false">IF(A496="","",F496+ROW()/1000000)</f>
        <v/>
      </c>
      <c r="M496" s="16" t="str">
        <f aca="false">IF(OR(K496="LOW",K496="OUT"),COUNTIF($K$2:K496,"LOW")+COUNTIF($K$2:K496,"OUT"),"")</f>
        <v/>
      </c>
    </row>
    <row r="497" customFormat="false" ht="15" hidden="false" customHeight="true" outlineLevel="0" collapsed="false">
      <c r="A497" s="16" t="str">
        <f aca="false">IF(Products!A497="","",Products!A497)</f>
        <v/>
      </c>
      <c r="B497" s="16" t="str">
        <f aca="false">IF($A497="","",INDEX(Products!$B$2:$B$501,ROW()-1))</f>
        <v/>
      </c>
      <c r="C497" s="16" t="str">
        <f aca="false">IF($A497="","",INDEX(Products!$C$2:$C$501,ROW()-1))</f>
        <v/>
      </c>
      <c r="D497" s="16" t="str">
        <f aca="false">IF(A497="","",N(Products!I497))</f>
        <v/>
      </c>
      <c r="E497" s="16" t="str">
        <f aca="false">IF(A497="","",SUMIFS(Purchases!$D$2:$D$2001,Purchases!$B$2:$B$2001,A497))</f>
        <v/>
      </c>
      <c r="F497" s="16" t="str">
        <f aca="false">IF(A497="","",SUMIFS(Sales_Items!$E$2:$E$3001,Sales_Items!$C$2:$C$3001,A497))</f>
        <v/>
      </c>
      <c r="G497" s="16" t="str">
        <f aca="false">IF(A497="","",D497+E497-F497)</f>
        <v/>
      </c>
      <c r="H497" s="17" t="str">
        <f aca="false">IF(A497="","",N(Products!E497))</f>
        <v/>
      </c>
      <c r="I497" s="17" t="str">
        <f aca="false">IF(A497="","",G497*H497)</f>
        <v/>
      </c>
      <c r="J497" s="16" t="str">
        <f aca="false">IF(A497="","",IF(Products!G497="",Settings!$B$8,Products!G497))</f>
        <v/>
      </c>
      <c r="K497" s="16" t="str">
        <f aca="false">IF(A497="","",IF(G497&lt;=0,"OUT",IF(G497&lt;=J497,"LOW","OK")))</f>
        <v/>
      </c>
      <c r="L497" s="16" t="str">
        <f aca="false">IF(A497="","",F497+ROW()/1000000)</f>
        <v/>
      </c>
      <c r="M497" s="16" t="str">
        <f aca="false">IF(OR(K497="LOW",K497="OUT"),COUNTIF($K$2:K497,"LOW")+COUNTIF($K$2:K497,"OUT"),"")</f>
        <v/>
      </c>
    </row>
    <row r="498" customFormat="false" ht="15" hidden="false" customHeight="true" outlineLevel="0" collapsed="false">
      <c r="A498" s="16" t="str">
        <f aca="false">IF(Products!A498="","",Products!A498)</f>
        <v/>
      </c>
      <c r="B498" s="16" t="str">
        <f aca="false">IF($A498="","",INDEX(Products!$B$2:$B$501,ROW()-1))</f>
        <v/>
      </c>
      <c r="C498" s="16" t="str">
        <f aca="false">IF($A498="","",INDEX(Products!$C$2:$C$501,ROW()-1))</f>
        <v/>
      </c>
      <c r="D498" s="16" t="str">
        <f aca="false">IF(A498="","",N(Products!I498))</f>
        <v/>
      </c>
      <c r="E498" s="16" t="str">
        <f aca="false">IF(A498="","",SUMIFS(Purchases!$D$2:$D$2001,Purchases!$B$2:$B$2001,A498))</f>
        <v/>
      </c>
      <c r="F498" s="16" t="str">
        <f aca="false">IF(A498="","",SUMIFS(Sales_Items!$E$2:$E$3001,Sales_Items!$C$2:$C$3001,A498))</f>
        <v/>
      </c>
      <c r="G498" s="16" t="str">
        <f aca="false">IF(A498="","",D498+E498-F498)</f>
        <v/>
      </c>
      <c r="H498" s="17" t="str">
        <f aca="false">IF(A498="","",N(Products!E498))</f>
        <v/>
      </c>
      <c r="I498" s="17" t="str">
        <f aca="false">IF(A498="","",G498*H498)</f>
        <v/>
      </c>
      <c r="J498" s="16" t="str">
        <f aca="false">IF(A498="","",IF(Products!G498="",Settings!$B$8,Products!G498))</f>
        <v/>
      </c>
      <c r="K498" s="16" t="str">
        <f aca="false">IF(A498="","",IF(G498&lt;=0,"OUT",IF(G498&lt;=J498,"LOW","OK")))</f>
        <v/>
      </c>
      <c r="L498" s="16" t="str">
        <f aca="false">IF(A498="","",F498+ROW()/1000000)</f>
        <v/>
      </c>
      <c r="M498" s="16" t="str">
        <f aca="false">IF(OR(K498="LOW",K498="OUT"),COUNTIF($K$2:K498,"LOW")+COUNTIF($K$2:K498,"OUT"),"")</f>
        <v/>
      </c>
    </row>
    <row r="499" customFormat="false" ht="15" hidden="false" customHeight="true" outlineLevel="0" collapsed="false">
      <c r="A499" s="16" t="str">
        <f aca="false">IF(Products!A499="","",Products!A499)</f>
        <v/>
      </c>
      <c r="B499" s="16" t="str">
        <f aca="false">IF($A499="","",INDEX(Products!$B$2:$B$501,ROW()-1))</f>
        <v/>
      </c>
      <c r="C499" s="16" t="str">
        <f aca="false">IF($A499="","",INDEX(Products!$C$2:$C$501,ROW()-1))</f>
        <v/>
      </c>
      <c r="D499" s="16" t="str">
        <f aca="false">IF(A499="","",N(Products!I499))</f>
        <v/>
      </c>
      <c r="E499" s="16" t="str">
        <f aca="false">IF(A499="","",SUMIFS(Purchases!$D$2:$D$2001,Purchases!$B$2:$B$2001,A499))</f>
        <v/>
      </c>
      <c r="F499" s="16" t="str">
        <f aca="false">IF(A499="","",SUMIFS(Sales_Items!$E$2:$E$3001,Sales_Items!$C$2:$C$3001,A499))</f>
        <v/>
      </c>
      <c r="G499" s="16" t="str">
        <f aca="false">IF(A499="","",D499+E499-F499)</f>
        <v/>
      </c>
      <c r="H499" s="17" t="str">
        <f aca="false">IF(A499="","",N(Products!E499))</f>
        <v/>
      </c>
      <c r="I499" s="17" t="str">
        <f aca="false">IF(A499="","",G499*H499)</f>
        <v/>
      </c>
      <c r="J499" s="16" t="str">
        <f aca="false">IF(A499="","",IF(Products!G499="",Settings!$B$8,Products!G499))</f>
        <v/>
      </c>
      <c r="K499" s="16" t="str">
        <f aca="false">IF(A499="","",IF(G499&lt;=0,"OUT",IF(G499&lt;=J499,"LOW","OK")))</f>
        <v/>
      </c>
      <c r="L499" s="16" t="str">
        <f aca="false">IF(A499="","",F499+ROW()/1000000)</f>
        <v/>
      </c>
      <c r="M499" s="16" t="str">
        <f aca="false">IF(OR(K499="LOW",K499="OUT"),COUNTIF($K$2:K499,"LOW")+COUNTIF($K$2:K499,"OUT"),"")</f>
        <v/>
      </c>
    </row>
    <row r="500" customFormat="false" ht="15" hidden="false" customHeight="true" outlineLevel="0" collapsed="false">
      <c r="A500" s="16" t="str">
        <f aca="false">IF(Products!A500="","",Products!A500)</f>
        <v/>
      </c>
      <c r="B500" s="16" t="str">
        <f aca="false">IF($A500="","",INDEX(Products!$B$2:$B$501,ROW()-1))</f>
        <v/>
      </c>
      <c r="C500" s="16" t="str">
        <f aca="false">IF($A500="","",INDEX(Products!$C$2:$C$501,ROW()-1))</f>
        <v/>
      </c>
      <c r="D500" s="16" t="str">
        <f aca="false">IF(A500="","",N(Products!I500))</f>
        <v/>
      </c>
      <c r="E500" s="16" t="str">
        <f aca="false">IF(A500="","",SUMIFS(Purchases!$D$2:$D$2001,Purchases!$B$2:$B$2001,A500))</f>
        <v/>
      </c>
      <c r="F500" s="16" t="str">
        <f aca="false">IF(A500="","",SUMIFS(Sales_Items!$E$2:$E$3001,Sales_Items!$C$2:$C$3001,A500))</f>
        <v/>
      </c>
      <c r="G500" s="16" t="str">
        <f aca="false">IF(A500="","",D500+E500-F500)</f>
        <v/>
      </c>
      <c r="H500" s="17" t="str">
        <f aca="false">IF(A500="","",N(Products!E500))</f>
        <v/>
      </c>
      <c r="I500" s="17" t="str">
        <f aca="false">IF(A500="","",G500*H500)</f>
        <v/>
      </c>
      <c r="J500" s="16" t="str">
        <f aca="false">IF(A500="","",IF(Products!G500="",Settings!$B$8,Products!G500))</f>
        <v/>
      </c>
      <c r="K500" s="16" t="str">
        <f aca="false">IF(A500="","",IF(G500&lt;=0,"OUT",IF(G500&lt;=J500,"LOW","OK")))</f>
        <v/>
      </c>
      <c r="L500" s="16" t="str">
        <f aca="false">IF(A500="","",F500+ROW()/1000000)</f>
        <v/>
      </c>
      <c r="M500" s="16" t="str">
        <f aca="false">IF(OR(K500="LOW",K500="OUT"),COUNTIF($K$2:K500,"LOW")+COUNTIF($K$2:K500,"OUT"),"")</f>
        <v/>
      </c>
    </row>
    <row r="501" customFormat="false" ht="15" hidden="false" customHeight="true" outlineLevel="0" collapsed="false">
      <c r="A501" s="16" t="str">
        <f aca="false">IF(Products!A501="","",Products!A501)</f>
        <v/>
      </c>
      <c r="B501" s="16" t="str">
        <f aca="false">IF($A501="","",INDEX(Products!$B$2:$B$501,ROW()-1))</f>
        <v/>
      </c>
      <c r="C501" s="16" t="str">
        <f aca="false">IF($A501="","",INDEX(Products!$C$2:$C$501,ROW()-1))</f>
        <v/>
      </c>
      <c r="D501" s="16" t="str">
        <f aca="false">IF(A501="","",N(Products!I501))</f>
        <v/>
      </c>
      <c r="E501" s="16" t="str">
        <f aca="false">IF(A501="","",SUMIFS(Purchases!$D$2:$D$2001,Purchases!$B$2:$B$2001,A501))</f>
        <v/>
      </c>
      <c r="F501" s="16" t="str">
        <f aca="false">IF(A501="","",SUMIFS(Sales_Items!$E$2:$E$3001,Sales_Items!$C$2:$C$3001,A501))</f>
        <v/>
      </c>
      <c r="G501" s="16" t="str">
        <f aca="false">IF(A501="","",D501+E501-F501)</f>
        <v/>
      </c>
      <c r="H501" s="17" t="str">
        <f aca="false">IF(A501="","",N(Products!E501))</f>
        <v/>
      </c>
      <c r="I501" s="17" t="str">
        <f aca="false">IF(A501="","",G501*H501)</f>
        <v/>
      </c>
      <c r="J501" s="16" t="str">
        <f aca="false">IF(A501="","",IF(Products!G501="",Settings!$B$8,Products!G501))</f>
        <v/>
      </c>
      <c r="K501" s="16" t="str">
        <f aca="false">IF(A501="","",IF(G501&lt;=0,"OUT",IF(G501&lt;=J501,"LOW","OK")))</f>
        <v/>
      </c>
      <c r="L501" s="16" t="str">
        <f aca="false">IF(A501="","",F501+ROW()/1000000)</f>
        <v/>
      </c>
      <c r="M501" s="16" t="str">
        <f aca="false">IF(OR(K501="LOW",K501="OUT"),COUNTIF($K$2:K501,"LOW")+COUNTIF($K$2:K501,"OUT"),"")</f>
        <v/>
      </c>
    </row>
  </sheetData>
  <conditionalFormatting sqref="K2:K501">
    <cfRule type="cellIs" priority="2" operator="equal" aboveAverage="0" equalAverage="0" bottom="0" percent="0" rank="0" text="" dxfId="0">
      <formula>"LOW"</formula>
    </cfRule>
    <cfRule type="cellIs" priority="3" operator="equal" aboveAverage="0" equalAverage="0" bottom="0" percent="0" rank="0" text="" dxfId="1">
      <formula>"OUT"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32"/>
    <col collapsed="false" customWidth="true" hidden="false" outlineLevel="0" max="4" min="4" style="1" width="14"/>
    <col collapsed="false" customWidth="true" hidden="false" outlineLevel="0" max="5" min="5" style="1" width="22"/>
  </cols>
  <sheetData>
    <row r="1" customFormat="false" ht="31.5" hidden="false" customHeight="true" outlineLevel="0" collapsed="false">
      <c r="A1" s="11" t="s">
        <v>124</v>
      </c>
      <c r="B1" s="11" t="s">
        <v>67</v>
      </c>
      <c r="C1" s="11" t="s">
        <v>1158</v>
      </c>
      <c r="D1" s="11" t="s">
        <v>1159</v>
      </c>
      <c r="E1" s="11" t="s">
        <v>1160</v>
      </c>
    </row>
    <row r="2" customFormat="false" ht="15" hidden="false" customHeight="true" outlineLevel="0" collapsed="false">
      <c r="A2" s="15" t="n">
        <v>46239</v>
      </c>
      <c r="B2" s="7" t="s">
        <v>38</v>
      </c>
      <c r="C2" s="7" t="s">
        <v>1161</v>
      </c>
      <c r="D2" s="13" t="n">
        <v>20000</v>
      </c>
      <c r="E2" s="7" t="s">
        <v>1162</v>
      </c>
    </row>
    <row r="3" customFormat="false" ht="15" hidden="false" customHeight="true" outlineLevel="0" collapsed="false">
      <c r="A3" s="15" t="n">
        <v>46235</v>
      </c>
      <c r="B3" s="7" t="s">
        <v>30</v>
      </c>
      <c r="C3" s="7" t="s">
        <v>1163</v>
      </c>
      <c r="D3" s="13" t="n">
        <v>12000</v>
      </c>
      <c r="E3" s="7" t="s">
        <v>1164</v>
      </c>
    </row>
    <row r="4" customFormat="false" ht="15" hidden="false" customHeight="true" outlineLevel="0" collapsed="false">
      <c r="A4" s="15" t="n">
        <v>46235</v>
      </c>
      <c r="B4" s="7" t="s">
        <v>30</v>
      </c>
      <c r="C4" s="7" t="s">
        <v>1165</v>
      </c>
      <c r="D4" s="13" t="n">
        <v>12000</v>
      </c>
      <c r="E4" s="7" t="s">
        <v>1166</v>
      </c>
    </row>
    <row r="5" customFormat="false" ht="15" hidden="false" customHeight="true" outlineLevel="0" collapsed="false">
      <c r="A5" s="15" t="n">
        <v>46246</v>
      </c>
      <c r="B5" s="7" t="s">
        <v>14</v>
      </c>
      <c r="C5" s="7" t="s">
        <v>1167</v>
      </c>
      <c r="D5" s="13" t="n">
        <v>3221</v>
      </c>
      <c r="E5" s="7" t="s">
        <v>1168</v>
      </c>
    </row>
    <row r="6" customFormat="false" ht="15" hidden="false" customHeight="true" outlineLevel="0" collapsed="false">
      <c r="A6" s="15" t="n">
        <v>46244</v>
      </c>
      <c r="B6" s="7" t="s">
        <v>22</v>
      </c>
      <c r="C6" s="7" t="s">
        <v>1169</v>
      </c>
      <c r="D6" s="13" t="n">
        <v>1000</v>
      </c>
      <c r="E6" s="7" t="s">
        <v>1170</v>
      </c>
    </row>
    <row r="7" customFormat="false" ht="15" hidden="false" customHeight="true" outlineLevel="0" collapsed="false">
      <c r="A7" s="15" t="n">
        <v>46249</v>
      </c>
      <c r="B7" s="7" t="s">
        <v>45</v>
      </c>
      <c r="C7" s="7" t="s">
        <v>1171</v>
      </c>
      <c r="D7" s="13" t="n">
        <v>1552</v>
      </c>
      <c r="E7" s="7" t="s">
        <v>45</v>
      </c>
    </row>
    <row r="8" customFormat="false" ht="15" hidden="false" customHeight="true" outlineLevel="0" collapsed="false">
      <c r="A8" s="15" t="n">
        <v>46252</v>
      </c>
      <c r="B8" s="7" t="s">
        <v>50</v>
      </c>
      <c r="C8" s="7" t="s">
        <v>1172</v>
      </c>
      <c r="D8" s="13" t="n">
        <v>660</v>
      </c>
      <c r="E8" s="7"/>
    </row>
    <row r="9" customFormat="false" ht="15" hidden="false" customHeight="true" outlineLevel="0" collapsed="false">
      <c r="A9" s="15" t="n">
        <v>46270</v>
      </c>
      <c r="B9" s="7" t="s">
        <v>38</v>
      </c>
      <c r="C9" s="7" t="s">
        <v>1161</v>
      </c>
      <c r="D9" s="13" t="n">
        <v>20000</v>
      </c>
      <c r="E9" s="7" t="s">
        <v>1162</v>
      </c>
    </row>
    <row r="10" customFormat="false" ht="15" hidden="false" customHeight="true" outlineLevel="0" collapsed="false">
      <c r="A10" s="15" t="n">
        <v>46266</v>
      </c>
      <c r="B10" s="7" t="s">
        <v>30</v>
      </c>
      <c r="C10" s="7" t="s">
        <v>1163</v>
      </c>
      <c r="D10" s="13" t="n">
        <v>12000</v>
      </c>
      <c r="E10" s="7" t="s">
        <v>1164</v>
      </c>
    </row>
    <row r="11" customFormat="false" ht="15" hidden="false" customHeight="true" outlineLevel="0" collapsed="false">
      <c r="A11" s="15" t="n">
        <v>46266</v>
      </c>
      <c r="B11" s="7" t="s">
        <v>30</v>
      </c>
      <c r="C11" s="7" t="s">
        <v>1165</v>
      </c>
      <c r="D11" s="13" t="n">
        <v>12000</v>
      </c>
      <c r="E11" s="7" t="s">
        <v>1166</v>
      </c>
    </row>
    <row r="12" customFormat="false" ht="15" hidden="false" customHeight="true" outlineLevel="0" collapsed="false">
      <c r="A12" s="15" t="n">
        <v>46277</v>
      </c>
      <c r="B12" s="7" t="s">
        <v>14</v>
      </c>
      <c r="C12" s="7" t="s">
        <v>1167</v>
      </c>
      <c r="D12" s="13" t="n">
        <v>2979</v>
      </c>
      <c r="E12" s="7" t="s">
        <v>1168</v>
      </c>
    </row>
    <row r="13" customFormat="false" ht="15" hidden="false" customHeight="true" outlineLevel="0" collapsed="false">
      <c r="A13" s="15" t="n">
        <v>46275</v>
      </c>
      <c r="B13" s="7" t="s">
        <v>22</v>
      </c>
      <c r="C13" s="7" t="s">
        <v>1169</v>
      </c>
      <c r="D13" s="13" t="n">
        <v>1000</v>
      </c>
      <c r="E13" s="7" t="s">
        <v>1170</v>
      </c>
    </row>
    <row r="14" customFormat="false" ht="15" hidden="false" customHeight="true" outlineLevel="0" collapsed="false">
      <c r="A14" s="15" t="n">
        <v>46280</v>
      </c>
      <c r="B14" s="7" t="s">
        <v>45</v>
      </c>
      <c r="C14" s="7" t="s">
        <v>1171</v>
      </c>
      <c r="D14" s="13" t="n">
        <v>2144</v>
      </c>
      <c r="E14" s="7" t="s">
        <v>45</v>
      </c>
    </row>
    <row r="15" customFormat="false" ht="15" hidden="false" customHeight="true" outlineLevel="0" collapsed="false">
      <c r="A15" s="15" t="n">
        <v>46283</v>
      </c>
      <c r="B15" s="7" t="s">
        <v>50</v>
      </c>
      <c r="C15" s="7" t="s">
        <v>1172</v>
      </c>
      <c r="D15" s="13" t="n">
        <v>1468</v>
      </c>
      <c r="E15" s="7"/>
    </row>
    <row r="16" customFormat="false" ht="15" hidden="false" customHeight="true" outlineLevel="0" collapsed="false">
      <c r="A16" s="15" t="n">
        <v>46300</v>
      </c>
      <c r="B16" s="7" t="s">
        <v>38</v>
      </c>
      <c r="C16" s="7" t="s">
        <v>1161</v>
      </c>
      <c r="D16" s="13" t="n">
        <v>20000</v>
      </c>
      <c r="E16" s="7" t="s">
        <v>1162</v>
      </c>
    </row>
    <row r="17" customFormat="false" ht="15" hidden="false" customHeight="true" outlineLevel="0" collapsed="false">
      <c r="A17" s="15" t="n">
        <v>46296</v>
      </c>
      <c r="B17" s="7" t="s">
        <v>30</v>
      </c>
      <c r="C17" s="7" t="s">
        <v>1163</v>
      </c>
      <c r="D17" s="13" t="n">
        <v>12000</v>
      </c>
      <c r="E17" s="7" t="s">
        <v>1164</v>
      </c>
    </row>
    <row r="18" customFormat="false" ht="15" hidden="false" customHeight="true" outlineLevel="0" collapsed="false">
      <c r="A18" s="15" t="n">
        <v>46296</v>
      </c>
      <c r="B18" s="7" t="s">
        <v>30</v>
      </c>
      <c r="C18" s="7" t="s">
        <v>1165</v>
      </c>
      <c r="D18" s="13" t="n">
        <v>12000</v>
      </c>
      <c r="E18" s="7" t="s">
        <v>1166</v>
      </c>
    </row>
    <row r="19" customFormat="false" ht="15" hidden="false" customHeight="true" outlineLevel="0" collapsed="false">
      <c r="A19" s="15" t="n">
        <v>46307</v>
      </c>
      <c r="B19" s="7" t="s">
        <v>14</v>
      </c>
      <c r="C19" s="7" t="s">
        <v>1167</v>
      </c>
      <c r="D19" s="13" t="n">
        <v>3143</v>
      </c>
      <c r="E19" s="7" t="s">
        <v>1168</v>
      </c>
    </row>
    <row r="20" customFormat="false" ht="15" hidden="false" customHeight="true" outlineLevel="0" collapsed="false">
      <c r="A20" s="15" t="n">
        <v>46305</v>
      </c>
      <c r="B20" s="7" t="s">
        <v>22</v>
      </c>
      <c r="C20" s="7" t="s">
        <v>1169</v>
      </c>
      <c r="D20" s="13" t="n">
        <v>1000</v>
      </c>
      <c r="E20" s="7" t="s">
        <v>1170</v>
      </c>
    </row>
    <row r="21" customFormat="false" ht="15" hidden="false" customHeight="true" outlineLevel="0" collapsed="false">
      <c r="A21" s="15" t="n">
        <v>46310</v>
      </c>
      <c r="B21" s="7" t="s">
        <v>45</v>
      </c>
      <c r="C21" s="7" t="s">
        <v>1171</v>
      </c>
      <c r="D21" s="13" t="n">
        <v>1130</v>
      </c>
      <c r="E21" s="7" t="s">
        <v>45</v>
      </c>
    </row>
    <row r="22" customFormat="false" ht="15" hidden="false" customHeight="true" outlineLevel="0" collapsed="false">
      <c r="A22" s="15" t="n">
        <v>46313</v>
      </c>
      <c r="B22" s="7" t="s">
        <v>50</v>
      </c>
      <c r="C22" s="7" t="s">
        <v>1172</v>
      </c>
      <c r="D22" s="13" t="n">
        <v>907</v>
      </c>
      <c r="E22" s="7"/>
    </row>
    <row r="23" customFormat="false" ht="15" hidden="false" customHeight="true" outlineLevel="0" collapsed="false">
      <c r="A23" s="15"/>
      <c r="B23" s="7"/>
      <c r="C23" s="7"/>
      <c r="D23" s="13"/>
      <c r="E23" s="7"/>
    </row>
    <row r="24" customFormat="false" ht="15" hidden="false" customHeight="true" outlineLevel="0" collapsed="false">
      <c r="A24" s="15"/>
      <c r="B24" s="7"/>
      <c r="C24" s="7"/>
      <c r="D24" s="13"/>
      <c r="E24" s="7"/>
    </row>
    <row r="25" customFormat="false" ht="15" hidden="false" customHeight="true" outlineLevel="0" collapsed="false">
      <c r="A25" s="15"/>
      <c r="B25" s="7"/>
      <c r="C25" s="7"/>
      <c r="D25" s="13"/>
      <c r="E25" s="7"/>
    </row>
    <row r="26" customFormat="false" ht="15" hidden="false" customHeight="true" outlineLevel="0" collapsed="false">
      <c r="A26" s="15"/>
      <c r="B26" s="7"/>
      <c r="C26" s="7"/>
      <c r="D26" s="13"/>
      <c r="E26" s="7"/>
    </row>
    <row r="27" customFormat="false" ht="15" hidden="false" customHeight="true" outlineLevel="0" collapsed="false">
      <c r="A27" s="15"/>
      <c r="B27" s="7"/>
      <c r="C27" s="7"/>
      <c r="D27" s="13"/>
      <c r="E27" s="7"/>
    </row>
    <row r="28" customFormat="false" ht="15" hidden="false" customHeight="true" outlineLevel="0" collapsed="false">
      <c r="A28" s="15"/>
      <c r="B28" s="7"/>
      <c r="C28" s="7"/>
      <c r="D28" s="13"/>
      <c r="E28" s="7"/>
    </row>
    <row r="29" customFormat="false" ht="15" hidden="false" customHeight="true" outlineLevel="0" collapsed="false">
      <c r="A29" s="15"/>
      <c r="B29" s="7"/>
      <c r="C29" s="7"/>
      <c r="D29" s="13"/>
      <c r="E29" s="7"/>
    </row>
    <row r="30" customFormat="false" ht="15" hidden="false" customHeight="true" outlineLevel="0" collapsed="false">
      <c r="A30" s="15"/>
      <c r="B30" s="7"/>
      <c r="C30" s="7"/>
      <c r="D30" s="13"/>
      <c r="E30" s="7"/>
    </row>
    <row r="31" customFormat="false" ht="15" hidden="false" customHeight="true" outlineLevel="0" collapsed="false">
      <c r="A31" s="15"/>
      <c r="B31" s="7"/>
      <c r="C31" s="7"/>
      <c r="D31" s="13"/>
      <c r="E31" s="7"/>
    </row>
    <row r="32" customFormat="false" ht="15" hidden="false" customHeight="true" outlineLevel="0" collapsed="false">
      <c r="A32" s="15"/>
      <c r="B32" s="7"/>
      <c r="C32" s="7"/>
      <c r="D32" s="13"/>
      <c r="E32" s="7"/>
    </row>
    <row r="33" customFormat="false" ht="15" hidden="false" customHeight="true" outlineLevel="0" collapsed="false">
      <c r="A33" s="15"/>
      <c r="B33" s="7"/>
      <c r="C33" s="7"/>
      <c r="D33" s="13"/>
      <c r="E33" s="7"/>
    </row>
    <row r="34" customFormat="false" ht="15" hidden="false" customHeight="true" outlineLevel="0" collapsed="false">
      <c r="A34" s="15"/>
      <c r="B34" s="7"/>
      <c r="C34" s="7"/>
      <c r="D34" s="13"/>
      <c r="E34" s="7"/>
    </row>
    <row r="35" customFormat="false" ht="15" hidden="false" customHeight="true" outlineLevel="0" collapsed="false">
      <c r="A35" s="15"/>
      <c r="B35" s="7"/>
      <c r="C35" s="7"/>
      <c r="D35" s="13"/>
      <c r="E35" s="7"/>
    </row>
    <row r="36" customFormat="false" ht="15" hidden="false" customHeight="true" outlineLevel="0" collapsed="false">
      <c r="A36" s="15"/>
      <c r="B36" s="7"/>
      <c r="C36" s="7"/>
      <c r="D36" s="13"/>
      <c r="E36" s="7"/>
    </row>
    <row r="37" customFormat="false" ht="15" hidden="false" customHeight="true" outlineLevel="0" collapsed="false">
      <c r="A37" s="15"/>
      <c r="B37" s="7"/>
      <c r="C37" s="7"/>
      <c r="D37" s="13"/>
      <c r="E37" s="7"/>
    </row>
    <row r="38" customFormat="false" ht="15" hidden="false" customHeight="true" outlineLevel="0" collapsed="false">
      <c r="A38" s="15"/>
      <c r="B38" s="7"/>
      <c r="C38" s="7"/>
      <c r="D38" s="13"/>
      <c r="E38" s="7"/>
    </row>
    <row r="39" customFormat="false" ht="15" hidden="false" customHeight="true" outlineLevel="0" collapsed="false">
      <c r="A39" s="15"/>
      <c r="B39" s="7"/>
      <c r="C39" s="7"/>
      <c r="D39" s="13"/>
      <c r="E39" s="7"/>
    </row>
    <row r="40" customFormat="false" ht="15" hidden="false" customHeight="true" outlineLevel="0" collapsed="false">
      <c r="A40" s="15"/>
      <c r="B40" s="7"/>
      <c r="C40" s="7"/>
      <c r="D40" s="13"/>
      <c r="E40" s="7"/>
    </row>
    <row r="41" customFormat="false" ht="15" hidden="false" customHeight="true" outlineLevel="0" collapsed="false">
      <c r="A41" s="15"/>
      <c r="B41" s="7"/>
      <c r="C41" s="7"/>
      <c r="D41" s="13"/>
      <c r="E41" s="7"/>
    </row>
    <row r="42" customFormat="false" ht="15" hidden="false" customHeight="true" outlineLevel="0" collapsed="false">
      <c r="A42" s="15"/>
      <c r="B42" s="7"/>
      <c r="C42" s="7"/>
      <c r="D42" s="13"/>
      <c r="E42" s="7"/>
    </row>
    <row r="43" customFormat="false" ht="15" hidden="false" customHeight="true" outlineLevel="0" collapsed="false">
      <c r="A43" s="15"/>
      <c r="B43" s="7"/>
      <c r="C43" s="7"/>
      <c r="D43" s="13"/>
      <c r="E43" s="7"/>
    </row>
    <row r="44" customFormat="false" ht="15" hidden="false" customHeight="true" outlineLevel="0" collapsed="false">
      <c r="A44" s="15"/>
      <c r="B44" s="7"/>
      <c r="C44" s="7"/>
      <c r="D44" s="13"/>
      <c r="E44" s="7"/>
    </row>
    <row r="45" customFormat="false" ht="15" hidden="false" customHeight="true" outlineLevel="0" collapsed="false">
      <c r="A45" s="15"/>
      <c r="B45" s="7"/>
      <c r="C45" s="7"/>
      <c r="D45" s="13"/>
      <c r="E45" s="7"/>
    </row>
    <row r="46" customFormat="false" ht="15" hidden="false" customHeight="true" outlineLevel="0" collapsed="false">
      <c r="A46" s="15"/>
      <c r="B46" s="7"/>
      <c r="C46" s="7"/>
      <c r="D46" s="13"/>
      <c r="E46" s="7"/>
    </row>
    <row r="47" customFormat="false" ht="15" hidden="false" customHeight="true" outlineLevel="0" collapsed="false">
      <c r="A47" s="15"/>
      <c r="B47" s="7"/>
      <c r="C47" s="7"/>
      <c r="D47" s="13"/>
      <c r="E47" s="7"/>
    </row>
    <row r="48" customFormat="false" ht="15" hidden="false" customHeight="true" outlineLevel="0" collapsed="false">
      <c r="A48" s="15"/>
      <c r="B48" s="7"/>
      <c r="C48" s="7"/>
      <c r="D48" s="13"/>
      <c r="E48" s="7"/>
    </row>
    <row r="49" customFormat="false" ht="15" hidden="false" customHeight="true" outlineLevel="0" collapsed="false">
      <c r="A49" s="15"/>
      <c r="B49" s="7"/>
      <c r="C49" s="7"/>
      <c r="D49" s="13"/>
      <c r="E49" s="7"/>
    </row>
    <row r="50" customFormat="false" ht="15" hidden="false" customHeight="true" outlineLevel="0" collapsed="false">
      <c r="A50" s="15"/>
      <c r="B50" s="7"/>
      <c r="C50" s="7"/>
      <c r="D50" s="13"/>
      <c r="E50" s="7"/>
    </row>
    <row r="51" customFormat="false" ht="15" hidden="false" customHeight="true" outlineLevel="0" collapsed="false">
      <c r="A51" s="15"/>
      <c r="B51" s="7"/>
      <c r="C51" s="7"/>
      <c r="D51" s="13"/>
      <c r="E51" s="7"/>
    </row>
    <row r="52" customFormat="false" ht="15" hidden="false" customHeight="true" outlineLevel="0" collapsed="false">
      <c r="A52" s="15"/>
      <c r="B52" s="7"/>
      <c r="C52" s="7"/>
      <c r="D52" s="13"/>
      <c r="E52" s="7"/>
    </row>
    <row r="53" customFormat="false" ht="15" hidden="false" customHeight="true" outlineLevel="0" collapsed="false">
      <c r="A53" s="15"/>
      <c r="B53" s="7"/>
      <c r="C53" s="7"/>
      <c r="D53" s="13"/>
      <c r="E53" s="7"/>
    </row>
    <row r="54" customFormat="false" ht="15" hidden="false" customHeight="true" outlineLevel="0" collapsed="false">
      <c r="A54" s="15"/>
      <c r="B54" s="7"/>
      <c r="C54" s="7"/>
      <c r="D54" s="13"/>
      <c r="E54" s="7"/>
    </row>
    <row r="55" customFormat="false" ht="15" hidden="false" customHeight="true" outlineLevel="0" collapsed="false">
      <c r="A55" s="15"/>
      <c r="B55" s="7"/>
      <c r="C55" s="7"/>
      <c r="D55" s="13"/>
      <c r="E55" s="7"/>
    </row>
    <row r="56" customFormat="false" ht="15" hidden="false" customHeight="true" outlineLevel="0" collapsed="false">
      <c r="A56" s="15"/>
      <c r="B56" s="7"/>
      <c r="C56" s="7"/>
      <c r="D56" s="13"/>
      <c r="E56" s="7"/>
    </row>
    <row r="57" customFormat="false" ht="15" hidden="false" customHeight="true" outlineLevel="0" collapsed="false">
      <c r="A57" s="15"/>
      <c r="B57" s="7"/>
      <c r="C57" s="7"/>
      <c r="D57" s="13"/>
      <c r="E57" s="7"/>
    </row>
    <row r="58" customFormat="false" ht="15" hidden="false" customHeight="true" outlineLevel="0" collapsed="false">
      <c r="A58" s="15"/>
      <c r="B58" s="7"/>
      <c r="C58" s="7"/>
      <c r="D58" s="13"/>
      <c r="E58" s="7"/>
    </row>
    <row r="59" customFormat="false" ht="15" hidden="false" customHeight="true" outlineLevel="0" collapsed="false">
      <c r="A59" s="15"/>
      <c r="B59" s="7"/>
      <c r="C59" s="7"/>
      <c r="D59" s="13"/>
      <c r="E59" s="7"/>
    </row>
    <row r="60" customFormat="false" ht="15" hidden="false" customHeight="true" outlineLevel="0" collapsed="false">
      <c r="A60" s="15"/>
      <c r="B60" s="7"/>
      <c r="C60" s="7"/>
      <c r="D60" s="13"/>
      <c r="E60" s="7"/>
    </row>
    <row r="61" customFormat="false" ht="15" hidden="false" customHeight="true" outlineLevel="0" collapsed="false">
      <c r="A61" s="15"/>
      <c r="B61" s="7"/>
      <c r="C61" s="7"/>
      <c r="D61" s="13"/>
      <c r="E61" s="7"/>
    </row>
    <row r="62" customFormat="false" ht="15" hidden="false" customHeight="true" outlineLevel="0" collapsed="false">
      <c r="A62" s="15"/>
      <c r="B62" s="7"/>
      <c r="C62" s="7"/>
      <c r="D62" s="13"/>
      <c r="E62" s="7"/>
    </row>
    <row r="63" customFormat="false" ht="15" hidden="false" customHeight="true" outlineLevel="0" collapsed="false">
      <c r="A63" s="15"/>
      <c r="B63" s="7"/>
      <c r="C63" s="7"/>
      <c r="D63" s="13"/>
      <c r="E63" s="7"/>
    </row>
    <row r="64" customFormat="false" ht="15" hidden="false" customHeight="true" outlineLevel="0" collapsed="false">
      <c r="A64" s="15"/>
      <c r="B64" s="7"/>
      <c r="C64" s="7"/>
      <c r="D64" s="13"/>
      <c r="E64" s="7"/>
    </row>
    <row r="65" customFormat="false" ht="15" hidden="false" customHeight="true" outlineLevel="0" collapsed="false">
      <c r="A65" s="15"/>
      <c r="B65" s="7"/>
      <c r="C65" s="7"/>
      <c r="D65" s="13"/>
      <c r="E65" s="7"/>
    </row>
    <row r="66" customFormat="false" ht="15" hidden="false" customHeight="true" outlineLevel="0" collapsed="false">
      <c r="A66" s="15"/>
      <c r="B66" s="7"/>
      <c r="C66" s="7"/>
      <c r="D66" s="13"/>
      <c r="E66" s="7"/>
    </row>
    <row r="67" customFormat="false" ht="15" hidden="false" customHeight="true" outlineLevel="0" collapsed="false">
      <c r="A67" s="15"/>
      <c r="B67" s="7"/>
      <c r="C67" s="7"/>
      <c r="D67" s="13"/>
      <c r="E67" s="7"/>
    </row>
    <row r="68" customFormat="false" ht="15" hidden="false" customHeight="true" outlineLevel="0" collapsed="false">
      <c r="A68" s="15"/>
      <c r="B68" s="7"/>
      <c r="C68" s="7"/>
      <c r="D68" s="13"/>
      <c r="E68" s="7"/>
    </row>
    <row r="69" customFormat="false" ht="15" hidden="false" customHeight="true" outlineLevel="0" collapsed="false">
      <c r="A69" s="15"/>
      <c r="B69" s="7"/>
      <c r="C69" s="7"/>
      <c r="D69" s="13"/>
      <c r="E69" s="7"/>
    </row>
    <row r="70" customFormat="false" ht="15" hidden="false" customHeight="true" outlineLevel="0" collapsed="false">
      <c r="A70" s="15"/>
      <c r="B70" s="7"/>
      <c r="C70" s="7"/>
      <c r="D70" s="13"/>
      <c r="E70" s="7"/>
    </row>
    <row r="71" customFormat="false" ht="15" hidden="false" customHeight="true" outlineLevel="0" collapsed="false">
      <c r="A71" s="15"/>
      <c r="B71" s="7"/>
      <c r="C71" s="7"/>
      <c r="D71" s="13"/>
      <c r="E71" s="7"/>
    </row>
    <row r="72" customFormat="false" ht="15" hidden="false" customHeight="true" outlineLevel="0" collapsed="false">
      <c r="A72" s="15"/>
      <c r="B72" s="7"/>
      <c r="C72" s="7"/>
      <c r="D72" s="13"/>
      <c r="E72" s="7"/>
    </row>
    <row r="73" customFormat="false" ht="15" hidden="false" customHeight="true" outlineLevel="0" collapsed="false">
      <c r="A73" s="15"/>
      <c r="B73" s="7"/>
      <c r="C73" s="7"/>
      <c r="D73" s="13"/>
      <c r="E73" s="7"/>
    </row>
    <row r="74" customFormat="false" ht="15" hidden="false" customHeight="true" outlineLevel="0" collapsed="false">
      <c r="A74" s="15"/>
      <c r="B74" s="7"/>
      <c r="C74" s="7"/>
      <c r="D74" s="13"/>
      <c r="E74" s="7"/>
    </row>
    <row r="75" customFormat="false" ht="15" hidden="false" customHeight="true" outlineLevel="0" collapsed="false">
      <c r="A75" s="15"/>
      <c r="B75" s="7"/>
      <c r="C75" s="7"/>
      <c r="D75" s="13"/>
      <c r="E75" s="7"/>
    </row>
    <row r="76" customFormat="false" ht="15" hidden="false" customHeight="true" outlineLevel="0" collapsed="false">
      <c r="A76" s="15"/>
      <c r="B76" s="7"/>
      <c r="C76" s="7"/>
      <c r="D76" s="13"/>
      <c r="E76" s="7"/>
    </row>
    <row r="77" customFormat="false" ht="15" hidden="false" customHeight="true" outlineLevel="0" collapsed="false">
      <c r="A77" s="15"/>
      <c r="B77" s="7"/>
      <c r="C77" s="7"/>
      <c r="D77" s="13"/>
      <c r="E77" s="7"/>
    </row>
    <row r="78" customFormat="false" ht="15" hidden="false" customHeight="true" outlineLevel="0" collapsed="false">
      <c r="A78" s="15"/>
      <c r="B78" s="7"/>
      <c r="C78" s="7"/>
      <c r="D78" s="13"/>
      <c r="E78" s="7"/>
    </row>
    <row r="79" customFormat="false" ht="15" hidden="false" customHeight="true" outlineLevel="0" collapsed="false">
      <c r="A79" s="15"/>
      <c r="B79" s="7"/>
      <c r="C79" s="7"/>
      <c r="D79" s="13"/>
      <c r="E79" s="7"/>
    </row>
    <row r="80" customFormat="false" ht="15" hidden="false" customHeight="true" outlineLevel="0" collapsed="false">
      <c r="A80" s="15"/>
      <c r="B80" s="7"/>
      <c r="C80" s="7"/>
      <c r="D80" s="13"/>
      <c r="E80" s="7"/>
    </row>
    <row r="81" customFormat="false" ht="15" hidden="false" customHeight="true" outlineLevel="0" collapsed="false">
      <c r="A81" s="15"/>
      <c r="B81" s="7"/>
      <c r="C81" s="7"/>
      <c r="D81" s="13"/>
      <c r="E81" s="7"/>
    </row>
    <row r="82" customFormat="false" ht="15" hidden="false" customHeight="true" outlineLevel="0" collapsed="false">
      <c r="A82" s="15"/>
      <c r="B82" s="7"/>
      <c r="C82" s="7"/>
      <c r="D82" s="13"/>
      <c r="E82" s="7"/>
    </row>
    <row r="83" customFormat="false" ht="15" hidden="false" customHeight="true" outlineLevel="0" collapsed="false">
      <c r="A83" s="15"/>
      <c r="B83" s="7"/>
      <c r="C83" s="7"/>
      <c r="D83" s="13"/>
      <c r="E83" s="7"/>
    </row>
    <row r="84" customFormat="false" ht="15" hidden="false" customHeight="true" outlineLevel="0" collapsed="false">
      <c r="A84" s="15"/>
      <c r="B84" s="7"/>
      <c r="C84" s="7"/>
      <c r="D84" s="13"/>
      <c r="E84" s="7"/>
    </row>
    <row r="85" customFormat="false" ht="15" hidden="false" customHeight="true" outlineLevel="0" collapsed="false">
      <c r="A85" s="15"/>
      <c r="B85" s="7"/>
      <c r="C85" s="7"/>
      <c r="D85" s="13"/>
      <c r="E85" s="7"/>
    </row>
    <row r="86" customFormat="false" ht="15" hidden="false" customHeight="true" outlineLevel="0" collapsed="false">
      <c r="A86" s="15"/>
      <c r="B86" s="7"/>
      <c r="C86" s="7"/>
      <c r="D86" s="13"/>
      <c r="E86" s="7"/>
    </row>
    <row r="87" customFormat="false" ht="15" hidden="false" customHeight="true" outlineLevel="0" collapsed="false">
      <c r="A87" s="15"/>
      <c r="B87" s="7"/>
      <c r="C87" s="7"/>
      <c r="D87" s="13"/>
      <c r="E87" s="7"/>
    </row>
    <row r="88" customFormat="false" ht="15" hidden="false" customHeight="true" outlineLevel="0" collapsed="false">
      <c r="A88" s="15"/>
      <c r="B88" s="7"/>
      <c r="C88" s="7"/>
      <c r="D88" s="13"/>
      <c r="E88" s="7"/>
    </row>
    <row r="89" customFormat="false" ht="15" hidden="false" customHeight="true" outlineLevel="0" collapsed="false">
      <c r="A89" s="15"/>
      <c r="B89" s="7"/>
      <c r="C89" s="7"/>
      <c r="D89" s="13"/>
      <c r="E89" s="7"/>
    </row>
    <row r="90" customFormat="false" ht="15" hidden="false" customHeight="true" outlineLevel="0" collapsed="false">
      <c r="A90" s="15"/>
      <c r="B90" s="7"/>
      <c r="C90" s="7"/>
      <c r="D90" s="13"/>
      <c r="E90" s="7"/>
    </row>
    <row r="91" customFormat="false" ht="15" hidden="false" customHeight="true" outlineLevel="0" collapsed="false">
      <c r="A91" s="15"/>
      <c r="B91" s="7"/>
      <c r="C91" s="7"/>
      <c r="D91" s="13"/>
      <c r="E91" s="7"/>
    </row>
    <row r="92" customFormat="false" ht="15" hidden="false" customHeight="true" outlineLevel="0" collapsed="false">
      <c r="A92" s="15"/>
      <c r="B92" s="7"/>
      <c r="C92" s="7"/>
      <c r="D92" s="13"/>
      <c r="E92" s="7"/>
    </row>
    <row r="93" customFormat="false" ht="15" hidden="false" customHeight="true" outlineLevel="0" collapsed="false">
      <c r="A93" s="15"/>
      <c r="B93" s="7"/>
      <c r="C93" s="7"/>
      <c r="D93" s="13"/>
      <c r="E93" s="7"/>
    </row>
    <row r="94" customFormat="false" ht="15" hidden="false" customHeight="true" outlineLevel="0" collapsed="false">
      <c r="A94" s="15"/>
      <c r="B94" s="7"/>
      <c r="C94" s="7"/>
      <c r="D94" s="13"/>
      <c r="E94" s="7"/>
    </row>
    <row r="95" customFormat="false" ht="15" hidden="false" customHeight="true" outlineLevel="0" collapsed="false">
      <c r="A95" s="15"/>
      <c r="B95" s="7"/>
      <c r="C95" s="7"/>
      <c r="D95" s="13"/>
      <c r="E95" s="7"/>
    </row>
    <row r="96" customFormat="false" ht="15" hidden="false" customHeight="true" outlineLevel="0" collapsed="false">
      <c r="A96" s="15"/>
      <c r="B96" s="7"/>
      <c r="C96" s="7"/>
      <c r="D96" s="13"/>
      <c r="E96" s="7"/>
    </row>
    <row r="97" customFormat="false" ht="15" hidden="false" customHeight="true" outlineLevel="0" collapsed="false">
      <c r="A97" s="15"/>
      <c r="B97" s="7"/>
      <c r="C97" s="7"/>
      <c r="D97" s="13"/>
      <c r="E97" s="7"/>
    </row>
    <row r="98" customFormat="false" ht="15" hidden="false" customHeight="true" outlineLevel="0" collapsed="false">
      <c r="A98" s="15"/>
      <c r="B98" s="7"/>
      <c r="C98" s="7"/>
      <c r="D98" s="13"/>
      <c r="E98" s="7"/>
    </row>
    <row r="99" customFormat="false" ht="15" hidden="false" customHeight="true" outlineLevel="0" collapsed="false">
      <c r="A99" s="15"/>
      <c r="B99" s="7"/>
      <c r="C99" s="7"/>
      <c r="D99" s="13"/>
      <c r="E99" s="7"/>
    </row>
    <row r="100" customFormat="false" ht="15" hidden="false" customHeight="true" outlineLevel="0" collapsed="false">
      <c r="A100" s="15"/>
      <c r="B100" s="7"/>
      <c r="C100" s="7"/>
      <c r="D100" s="13"/>
      <c r="E100" s="7"/>
    </row>
    <row r="101" customFormat="false" ht="15" hidden="false" customHeight="true" outlineLevel="0" collapsed="false">
      <c r="A101" s="15"/>
      <c r="B101" s="7"/>
      <c r="C101" s="7"/>
      <c r="D101" s="13"/>
      <c r="E101" s="7"/>
    </row>
    <row r="102" customFormat="false" ht="15" hidden="false" customHeight="true" outlineLevel="0" collapsed="false">
      <c r="A102" s="15"/>
      <c r="B102" s="7"/>
      <c r="C102" s="7"/>
      <c r="D102" s="13"/>
      <c r="E102" s="7"/>
    </row>
    <row r="103" customFormat="false" ht="15" hidden="false" customHeight="true" outlineLevel="0" collapsed="false">
      <c r="A103" s="15"/>
      <c r="B103" s="7"/>
      <c r="C103" s="7"/>
      <c r="D103" s="13"/>
      <c r="E103" s="7"/>
    </row>
    <row r="104" customFormat="false" ht="15" hidden="false" customHeight="true" outlineLevel="0" collapsed="false">
      <c r="A104" s="15"/>
      <c r="B104" s="7"/>
      <c r="C104" s="7"/>
      <c r="D104" s="13"/>
      <c r="E104" s="7"/>
    </row>
    <row r="105" customFormat="false" ht="15" hidden="false" customHeight="true" outlineLevel="0" collapsed="false">
      <c r="A105" s="15"/>
      <c r="B105" s="7"/>
      <c r="C105" s="7"/>
      <c r="D105" s="13"/>
      <c r="E105" s="7"/>
    </row>
    <row r="106" customFormat="false" ht="15" hidden="false" customHeight="true" outlineLevel="0" collapsed="false">
      <c r="A106" s="15"/>
      <c r="B106" s="7"/>
      <c r="C106" s="7"/>
      <c r="D106" s="13"/>
      <c r="E106" s="7"/>
    </row>
    <row r="107" customFormat="false" ht="15" hidden="false" customHeight="true" outlineLevel="0" collapsed="false">
      <c r="A107" s="15"/>
      <c r="B107" s="7"/>
      <c r="C107" s="7"/>
      <c r="D107" s="13"/>
      <c r="E107" s="7"/>
    </row>
    <row r="108" customFormat="false" ht="15" hidden="false" customHeight="true" outlineLevel="0" collapsed="false">
      <c r="A108" s="15"/>
      <c r="B108" s="7"/>
      <c r="C108" s="7"/>
      <c r="D108" s="13"/>
      <c r="E108" s="7"/>
    </row>
    <row r="109" customFormat="false" ht="15" hidden="false" customHeight="true" outlineLevel="0" collapsed="false">
      <c r="A109" s="15"/>
      <c r="B109" s="7"/>
      <c r="C109" s="7"/>
      <c r="D109" s="13"/>
      <c r="E109" s="7"/>
    </row>
    <row r="110" customFormat="false" ht="15" hidden="false" customHeight="true" outlineLevel="0" collapsed="false">
      <c r="A110" s="15"/>
      <c r="B110" s="7"/>
      <c r="C110" s="7"/>
      <c r="D110" s="13"/>
      <c r="E110" s="7"/>
    </row>
    <row r="111" customFormat="false" ht="15" hidden="false" customHeight="true" outlineLevel="0" collapsed="false">
      <c r="A111" s="15"/>
      <c r="B111" s="7"/>
      <c r="C111" s="7"/>
      <c r="D111" s="13"/>
      <c r="E111" s="7"/>
    </row>
    <row r="112" customFormat="false" ht="15" hidden="false" customHeight="true" outlineLevel="0" collapsed="false">
      <c r="A112" s="15"/>
      <c r="B112" s="7"/>
      <c r="C112" s="7"/>
      <c r="D112" s="13"/>
      <c r="E112" s="7"/>
    </row>
    <row r="113" customFormat="false" ht="15" hidden="false" customHeight="true" outlineLevel="0" collapsed="false">
      <c r="A113" s="15"/>
      <c r="B113" s="7"/>
      <c r="C113" s="7"/>
      <c r="D113" s="13"/>
      <c r="E113" s="7"/>
    </row>
    <row r="114" customFormat="false" ht="15" hidden="false" customHeight="true" outlineLevel="0" collapsed="false">
      <c r="A114" s="15"/>
      <c r="B114" s="7"/>
      <c r="C114" s="7"/>
      <c r="D114" s="13"/>
      <c r="E114" s="7"/>
    </row>
    <row r="115" customFormat="false" ht="15" hidden="false" customHeight="true" outlineLevel="0" collapsed="false">
      <c r="A115" s="15"/>
      <c r="B115" s="7"/>
      <c r="C115" s="7"/>
      <c r="D115" s="13"/>
      <c r="E115" s="7"/>
    </row>
    <row r="116" customFormat="false" ht="15" hidden="false" customHeight="true" outlineLevel="0" collapsed="false">
      <c r="A116" s="15"/>
      <c r="B116" s="7"/>
      <c r="C116" s="7"/>
      <c r="D116" s="13"/>
      <c r="E116" s="7"/>
    </row>
    <row r="117" customFormat="false" ht="15" hidden="false" customHeight="true" outlineLevel="0" collapsed="false">
      <c r="A117" s="15"/>
      <c r="B117" s="7"/>
      <c r="C117" s="7"/>
      <c r="D117" s="13"/>
      <c r="E117" s="7"/>
    </row>
    <row r="118" customFormat="false" ht="15" hidden="false" customHeight="true" outlineLevel="0" collapsed="false">
      <c r="A118" s="15"/>
      <c r="B118" s="7"/>
      <c r="C118" s="7"/>
      <c r="D118" s="13"/>
      <c r="E118" s="7"/>
    </row>
    <row r="119" customFormat="false" ht="15" hidden="false" customHeight="true" outlineLevel="0" collapsed="false">
      <c r="A119" s="15"/>
      <c r="B119" s="7"/>
      <c r="C119" s="7"/>
      <c r="D119" s="13"/>
      <c r="E119" s="7"/>
    </row>
    <row r="120" customFormat="false" ht="15" hidden="false" customHeight="true" outlineLevel="0" collapsed="false">
      <c r="A120" s="15"/>
      <c r="B120" s="7"/>
      <c r="C120" s="7"/>
      <c r="D120" s="13"/>
      <c r="E120" s="7"/>
    </row>
    <row r="121" customFormat="false" ht="15" hidden="false" customHeight="true" outlineLevel="0" collapsed="false">
      <c r="A121" s="15"/>
      <c r="B121" s="7"/>
      <c r="C121" s="7"/>
      <c r="D121" s="13"/>
      <c r="E121" s="7"/>
    </row>
    <row r="122" customFormat="false" ht="15" hidden="false" customHeight="true" outlineLevel="0" collapsed="false">
      <c r="A122" s="15"/>
      <c r="B122" s="7"/>
      <c r="C122" s="7"/>
      <c r="D122" s="13"/>
      <c r="E122" s="7"/>
    </row>
    <row r="123" customFormat="false" ht="15" hidden="false" customHeight="true" outlineLevel="0" collapsed="false">
      <c r="A123" s="15"/>
      <c r="B123" s="7"/>
      <c r="C123" s="7"/>
      <c r="D123" s="13"/>
      <c r="E123" s="7"/>
    </row>
    <row r="124" customFormat="false" ht="15" hidden="false" customHeight="true" outlineLevel="0" collapsed="false">
      <c r="A124" s="15"/>
      <c r="B124" s="7"/>
      <c r="C124" s="7"/>
      <c r="D124" s="13"/>
      <c r="E124" s="7"/>
    </row>
    <row r="125" customFormat="false" ht="15" hidden="false" customHeight="true" outlineLevel="0" collapsed="false">
      <c r="A125" s="15"/>
      <c r="B125" s="7"/>
      <c r="C125" s="7"/>
      <c r="D125" s="13"/>
      <c r="E125" s="7"/>
    </row>
    <row r="126" customFormat="false" ht="15" hidden="false" customHeight="true" outlineLevel="0" collapsed="false">
      <c r="A126" s="15"/>
      <c r="B126" s="7"/>
      <c r="C126" s="7"/>
      <c r="D126" s="13"/>
      <c r="E126" s="7"/>
    </row>
    <row r="127" customFormat="false" ht="15" hidden="false" customHeight="true" outlineLevel="0" collapsed="false">
      <c r="A127" s="15"/>
      <c r="B127" s="7"/>
      <c r="C127" s="7"/>
      <c r="D127" s="13"/>
      <c r="E127" s="7"/>
    </row>
    <row r="128" customFormat="false" ht="15" hidden="false" customHeight="true" outlineLevel="0" collapsed="false">
      <c r="A128" s="15"/>
      <c r="B128" s="7"/>
      <c r="C128" s="7"/>
      <c r="D128" s="13"/>
      <c r="E128" s="7"/>
    </row>
    <row r="129" customFormat="false" ht="15" hidden="false" customHeight="true" outlineLevel="0" collapsed="false">
      <c r="A129" s="15"/>
      <c r="B129" s="7"/>
      <c r="C129" s="7"/>
      <c r="D129" s="13"/>
      <c r="E129" s="7"/>
    </row>
    <row r="130" customFormat="false" ht="15" hidden="false" customHeight="true" outlineLevel="0" collapsed="false">
      <c r="A130" s="15"/>
      <c r="B130" s="7"/>
      <c r="C130" s="7"/>
      <c r="D130" s="13"/>
      <c r="E130" s="7"/>
    </row>
    <row r="131" customFormat="false" ht="15" hidden="false" customHeight="true" outlineLevel="0" collapsed="false">
      <c r="A131" s="15"/>
      <c r="B131" s="7"/>
      <c r="C131" s="7"/>
      <c r="D131" s="13"/>
      <c r="E131" s="7"/>
    </row>
    <row r="132" customFormat="false" ht="15" hidden="false" customHeight="true" outlineLevel="0" collapsed="false">
      <c r="A132" s="15"/>
      <c r="B132" s="7"/>
      <c r="C132" s="7"/>
      <c r="D132" s="13"/>
      <c r="E132" s="7"/>
    </row>
    <row r="133" customFormat="false" ht="15" hidden="false" customHeight="true" outlineLevel="0" collapsed="false">
      <c r="A133" s="15"/>
      <c r="B133" s="7"/>
      <c r="C133" s="7"/>
      <c r="D133" s="13"/>
      <c r="E133" s="7"/>
    </row>
    <row r="134" customFormat="false" ht="15" hidden="false" customHeight="true" outlineLevel="0" collapsed="false">
      <c r="A134" s="15"/>
      <c r="B134" s="7"/>
      <c r="C134" s="7"/>
      <c r="D134" s="13"/>
      <c r="E134" s="7"/>
    </row>
    <row r="135" customFormat="false" ht="15" hidden="false" customHeight="true" outlineLevel="0" collapsed="false">
      <c r="A135" s="15"/>
      <c r="B135" s="7"/>
      <c r="C135" s="7"/>
      <c r="D135" s="13"/>
      <c r="E135" s="7"/>
    </row>
    <row r="136" customFormat="false" ht="15" hidden="false" customHeight="true" outlineLevel="0" collapsed="false">
      <c r="A136" s="15"/>
      <c r="B136" s="7"/>
      <c r="C136" s="7"/>
      <c r="D136" s="13"/>
      <c r="E136" s="7"/>
    </row>
    <row r="137" customFormat="false" ht="15" hidden="false" customHeight="true" outlineLevel="0" collapsed="false">
      <c r="A137" s="15"/>
      <c r="B137" s="7"/>
      <c r="C137" s="7"/>
      <c r="D137" s="13"/>
      <c r="E137" s="7"/>
    </row>
    <row r="138" customFormat="false" ht="15" hidden="false" customHeight="true" outlineLevel="0" collapsed="false">
      <c r="A138" s="15"/>
      <c r="B138" s="7"/>
      <c r="C138" s="7"/>
      <c r="D138" s="13"/>
      <c r="E138" s="7"/>
    </row>
    <row r="139" customFormat="false" ht="15" hidden="false" customHeight="true" outlineLevel="0" collapsed="false">
      <c r="A139" s="15"/>
      <c r="B139" s="7"/>
      <c r="C139" s="7"/>
      <c r="D139" s="13"/>
      <c r="E139" s="7"/>
    </row>
    <row r="140" customFormat="false" ht="15" hidden="false" customHeight="true" outlineLevel="0" collapsed="false">
      <c r="A140" s="15"/>
      <c r="B140" s="7"/>
      <c r="C140" s="7"/>
      <c r="D140" s="13"/>
      <c r="E140" s="7"/>
    </row>
    <row r="141" customFormat="false" ht="15" hidden="false" customHeight="true" outlineLevel="0" collapsed="false">
      <c r="A141" s="15"/>
      <c r="B141" s="7"/>
      <c r="C141" s="7"/>
      <c r="D141" s="13"/>
      <c r="E141" s="7"/>
    </row>
    <row r="142" customFormat="false" ht="15" hidden="false" customHeight="true" outlineLevel="0" collapsed="false">
      <c r="A142" s="15"/>
      <c r="B142" s="7"/>
      <c r="C142" s="7"/>
      <c r="D142" s="13"/>
      <c r="E142" s="7"/>
    </row>
    <row r="143" customFormat="false" ht="15" hidden="false" customHeight="true" outlineLevel="0" collapsed="false">
      <c r="A143" s="15"/>
      <c r="B143" s="7"/>
      <c r="C143" s="7"/>
      <c r="D143" s="13"/>
      <c r="E143" s="7"/>
    </row>
    <row r="144" customFormat="false" ht="15" hidden="false" customHeight="true" outlineLevel="0" collapsed="false">
      <c r="A144" s="15"/>
      <c r="B144" s="7"/>
      <c r="C144" s="7"/>
      <c r="D144" s="13"/>
      <c r="E144" s="7"/>
    </row>
    <row r="145" customFormat="false" ht="15" hidden="false" customHeight="true" outlineLevel="0" collapsed="false">
      <c r="A145" s="15"/>
      <c r="B145" s="7"/>
      <c r="C145" s="7"/>
      <c r="D145" s="13"/>
      <c r="E145" s="7"/>
    </row>
    <row r="146" customFormat="false" ht="15" hidden="false" customHeight="true" outlineLevel="0" collapsed="false">
      <c r="A146" s="15"/>
      <c r="B146" s="7"/>
      <c r="C146" s="7"/>
      <c r="D146" s="13"/>
      <c r="E146" s="7"/>
    </row>
    <row r="147" customFormat="false" ht="15" hidden="false" customHeight="true" outlineLevel="0" collapsed="false">
      <c r="A147" s="15"/>
      <c r="B147" s="7"/>
      <c r="C147" s="7"/>
      <c r="D147" s="13"/>
      <c r="E147" s="7"/>
    </row>
    <row r="148" customFormat="false" ht="15" hidden="false" customHeight="true" outlineLevel="0" collapsed="false">
      <c r="A148" s="15"/>
      <c r="B148" s="7"/>
      <c r="C148" s="7"/>
      <c r="D148" s="13"/>
      <c r="E148" s="7"/>
    </row>
    <row r="149" customFormat="false" ht="15" hidden="false" customHeight="true" outlineLevel="0" collapsed="false">
      <c r="A149" s="15"/>
      <c r="B149" s="7"/>
      <c r="C149" s="7"/>
      <c r="D149" s="13"/>
      <c r="E149" s="7"/>
    </row>
    <row r="150" customFormat="false" ht="15" hidden="false" customHeight="true" outlineLevel="0" collapsed="false">
      <c r="A150" s="15"/>
      <c r="B150" s="7"/>
      <c r="C150" s="7"/>
      <c r="D150" s="13"/>
      <c r="E150" s="7"/>
    </row>
    <row r="151" customFormat="false" ht="15" hidden="false" customHeight="true" outlineLevel="0" collapsed="false">
      <c r="A151" s="15"/>
      <c r="B151" s="7"/>
      <c r="C151" s="7"/>
      <c r="D151" s="13"/>
      <c r="E151" s="7"/>
    </row>
    <row r="152" customFormat="false" ht="15" hidden="false" customHeight="true" outlineLevel="0" collapsed="false">
      <c r="A152" s="15"/>
      <c r="B152" s="7"/>
      <c r="C152" s="7"/>
      <c r="D152" s="13"/>
      <c r="E152" s="7"/>
    </row>
    <row r="153" customFormat="false" ht="15" hidden="false" customHeight="true" outlineLevel="0" collapsed="false">
      <c r="A153" s="15"/>
      <c r="B153" s="7"/>
      <c r="C153" s="7"/>
      <c r="D153" s="13"/>
      <c r="E153" s="7"/>
    </row>
    <row r="154" customFormat="false" ht="15" hidden="false" customHeight="true" outlineLevel="0" collapsed="false">
      <c r="A154" s="15"/>
      <c r="B154" s="7"/>
      <c r="C154" s="7"/>
      <c r="D154" s="13"/>
      <c r="E154" s="7"/>
    </row>
    <row r="155" customFormat="false" ht="15" hidden="false" customHeight="true" outlineLevel="0" collapsed="false">
      <c r="A155" s="15"/>
      <c r="B155" s="7"/>
      <c r="C155" s="7"/>
      <c r="D155" s="13"/>
      <c r="E155" s="7"/>
    </row>
    <row r="156" customFormat="false" ht="15" hidden="false" customHeight="true" outlineLevel="0" collapsed="false">
      <c r="A156" s="15"/>
      <c r="B156" s="7"/>
      <c r="C156" s="7"/>
      <c r="D156" s="13"/>
      <c r="E156" s="7"/>
    </row>
    <row r="157" customFormat="false" ht="15" hidden="false" customHeight="true" outlineLevel="0" collapsed="false">
      <c r="A157" s="15"/>
      <c r="B157" s="7"/>
      <c r="C157" s="7"/>
      <c r="D157" s="13"/>
      <c r="E157" s="7"/>
    </row>
    <row r="158" customFormat="false" ht="15" hidden="false" customHeight="true" outlineLevel="0" collapsed="false">
      <c r="A158" s="15"/>
      <c r="B158" s="7"/>
      <c r="C158" s="7"/>
      <c r="D158" s="13"/>
      <c r="E158" s="7"/>
    </row>
    <row r="159" customFormat="false" ht="15" hidden="false" customHeight="true" outlineLevel="0" collapsed="false">
      <c r="A159" s="15"/>
      <c r="B159" s="7"/>
      <c r="C159" s="7"/>
      <c r="D159" s="13"/>
      <c r="E159" s="7"/>
    </row>
    <row r="160" customFormat="false" ht="15" hidden="false" customHeight="true" outlineLevel="0" collapsed="false">
      <c r="A160" s="15"/>
      <c r="B160" s="7"/>
      <c r="C160" s="7"/>
      <c r="D160" s="13"/>
      <c r="E160" s="7"/>
    </row>
    <row r="161" customFormat="false" ht="15" hidden="false" customHeight="true" outlineLevel="0" collapsed="false">
      <c r="A161" s="15"/>
      <c r="B161" s="7"/>
      <c r="C161" s="7"/>
      <c r="D161" s="13"/>
      <c r="E161" s="7"/>
    </row>
    <row r="162" customFormat="false" ht="15" hidden="false" customHeight="true" outlineLevel="0" collapsed="false">
      <c r="A162" s="15"/>
      <c r="B162" s="7"/>
      <c r="C162" s="7"/>
      <c r="D162" s="13"/>
      <c r="E162" s="7"/>
    </row>
    <row r="163" customFormat="false" ht="15" hidden="false" customHeight="true" outlineLevel="0" collapsed="false">
      <c r="A163" s="15"/>
      <c r="B163" s="7"/>
      <c r="C163" s="7"/>
      <c r="D163" s="13"/>
      <c r="E163" s="7"/>
    </row>
    <row r="164" customFormat="false" ht="15" hidden="false" customHeight="true" outlineLevel="0" collapsed="false">
      <c r="A164" s="15"/>
      <c r="B164" s="7"/>
      <c r="C164" s="7"/>
      <c r="D164" s="13"/>
      <c r="E164" s="7"/>
    </row>
    <row r="165" customFormat="false" ht="15" hidden="false" customHeight="true" outlineLevel="0" collapsed="false">
      <c r="A165" s="15"/>
      <c r="B165" s="7"/>
      <c r="C165" s="7"/>
      <c r="D165" s="13"/>
      <c r="E165" s="7"/>
    </row>
    <row r="166" customFormat="false" ht="15" hidden="false" customHeight="true" outlineLevel="0" collapsed="false">
      <c r="A166" s="15"/>
      <c r="B166" s="7"/>
      <c r="C166" s="7"/>
      <c r="D166" s="13"/>
      <c r="E166" s="7"/>
    </row>
    <row r="167" customFormat="false" ht="15" hidden="false" customHeight="true" outlineLevel="0" collapsed="false">
      <c r="A167" s="15"/>
      <c r="B167" s="7"/>
      <c r="C167" s="7"/>
      <c r="D167" s="13"/>
      <c r="E167" s="7"/>
    </row>
    <row r="168" customFormat="false" ht="15" hidden="false" customHeight="true" outlineLevel="0" collapsed="false">
      <c r="A168" s="15"/>
      <c r="B168" s="7"/>
      <c r="C168" s="7"/>
      <c r="D168" s="13"/>
      <c r="E168" s="7"/>
    </row>
    <row r="169" customFormat="false" ht="15" hidden="false" customHeight="true" outlineLevel="0" collapsed="false">
      <c r="A169" s="15"/>
      <c r="B169" s="7"/>
      <c r="C169" s="7"/>
      <c r="D169" s="13"/>
      <c r="E169" s="7"/>
    </row>
    <row r="170" customFormat="false" ht="15" hidden="false" customHeight="true" outlineLevel="0" collapsed="false">
      <c r="A170" s="15"/>
      <c r="B170" s="7"/>
      <c r="C170" s="7"/>
      <c r="D170" s="13"/>
      <c r="E170" s="7"/>
    </row>
    <row r="171" customFormat="false" ht="15" hidden="false" customHeight="true" outlineLevel="0" collapsed="false">
      <c r="A171" s="15"/>
      <c r="B171" s="7"/>
      <c r="C171" s="7"/>
      <c r="D171" s="13"/>
      <c r="E171" s="7"/>
    </row>
    <row r="172" customFormat="false" ht="15" hidden="false" customHeight="true" outlineLevel="0" collapsed="false">
      <c r="A172" s="15"/>
      <c r="B172" s="7"/>
      <c r="C172" s="7"/>
      <c r="D172" s="13"/>
      <c r="E172" s="7"/>
    </row>
    <row r="173" customFormat="false" ht="15" hidden="false" customHeight="true" outlineLevel="0" collapsed="false">
      <c r="A173" s="15"/>
      <c r="B173" s="7"/>
      <c r="C173" s="7"/>
      <c r="D173" s="13"/>
      <c r="E173" s="7"/>
    </row>
    <row r="174" customFormat="false" ht="15" hidden="false" customHeight="true" outlineLevel="0" collapsed="false">
      <c r="A174" s="15"/>
      <c r="B174" s="7"/>
      <c r="C174" s="7"/>
      <c r="D174" s="13"/>
      <c r="E174" s="7"/>
    </row>
    <row r="175" customFormat="false" ht="15" hidden="false" customHeight="true" outlineLevel="0" collapsed="false">
      <c r="A175" s="15"/>
      <c r="B175" s="7"/>
      <c r="C175" s="7"/>
      <c r="D175" s="13"/>
      <c r="E175" s="7"/>
    </row>
    <row r="176" customFormat="false" ht="15" hidden="false" customHeight="true" outlineLevel="0" collapsed="false">
      <c r="A176" s="15"/>
      <c r="B176" s="7"/>
      <c r="C176" s="7"/>
      <c r="D176" s="13"/>
      <c r="E176" s="7"/>
    </row>
    <row r="177" customFormat="false" ht="15" hidden="false" customHeight="true" outlineLevel="0" collapsed="false">
      <c r="A177" s="15"/>
      <c r="B177" s="7"/>
      <c r="C177" s="7"/>
      <c r="D177" s="13"/>
      <c r="E177" s="7"/>
    </row>
    <row r="178" customFormat="false" ht="15" hidden="false" customHeight="true" outlineLevel="0" collapsed="false">
      <c r="A178" s="15"/>
      <c r="B178" s="7"/>
      <c r="C178" s="7"/>
      <c r="D178" s="13"/>
      <c r="E178" s="7"/>
    </row>
    <row r="179" customFormat="false" ht="15" hidden="false" customHeight="true" outlineLevel="0" collapsed="false">
      <c r="A179" s="15"/>
      <c r="B179" s="7"/>
      <c r="C179" s="7"/>
      <c r="D179" s="13"/>
      <c r="E179" s="7"/>
    </row>
    <row r="180" customFormat="false" ht="15" hidden="false" customHeight="true" outlineLevel="0" collapsed="false">
      <c r="A180" s="15"/>
      <c r="B180" s="7"/>
      <c r="C180" s="7"/>
      <c r="D180" s="13"/>
      <c r="E180" s="7"/>
    </row>
    <row r="181" customFormat="false" ht="15" hidden="false" customHeight="true" outlineLevel="0" collapsed="false">
      <c r="A181" s="15"/>
      <c r="B181" s="7"/>
      <c r="C181" s="7"/>
      <c r="D181" s="13"/>
      <c r="E181" s="7"/>
    </row>
    <row r="182" customFormat="false" ht="15" hidden="false" customHeight="true" outlineLevel="0" collapsed="false">
      <c r="A182" s="15"/>
      <c r="B182" s="7"/>
      <c r="C182" s="7"/>
      <c r="D182" s="13"/>
      <c r="E182" s="7"/>
    </row>
    <row r="183" customFormat="false" ht="15" hidden="false" customHeight="true" outlineLevel="0" collapsed="false">
      <c r="A183" s="15"/>
      <c r="B183" s="7"/>
      <c r="C183" s="7"/>
      <c r="D183" s="13"/>
      <c r="E183" s="7"/>
    </row>
    <row r="184" customFormat="false" ht="15" hidden="false" customHeight="true" outlineLevel="0" collapsed="false">
      <c r="A184" s="15"/>
      <c r="B184" s="7"/>
      <c r="C184" s="7"/>
      <c r="D184" s="13"/>
      <c r="E184" s="7"/>
    </row>
    <row r="185" customFormat="false" ht="15" hidden="false" customHeight="true" outlineLevel="0" collapsed="false">
      <c r="A185" s="15"/>
      <c r="B185" s="7"/>
      <c r="C185" s="7"/>
      <c r="D185" s="13"/>
      <c r="E185" s="7"/>
    </row>
    <row r="186" customFormat="false" ht="15" hidden="false" customHeight="true" outlineLevel="0" collapsed="false">
      <c r="A186" s="15"/>
      <c r="B186" s="7"/>
      <c r="C186" s="7"/>
      <c r="D186" s="13"/>
      <c r="E186" s="7"/>
    </row>
    <row r="187" customFormat="false" ht="15" hidden="false" customHeight="true" outlineLevel="0" collapsed="false">
      <c r="A187" s="15"/>
      <c r="B187" s="7"/>
      <c r="C187" s="7"/>
      <c r="D187" s="13"/>
      <c r="E187" s="7"/>
    </row>
    <row r="188" customFormat="false" ht="15" hidden="false" customHeight="true" outlineLevel="0" collapsed="false">
      <c r="A188" s="15"/>
      <c r="B188" s="7"/>
      <c r="C188" s="7"/>
      <c r="D188" s="13"/>
      <c r="E188" s="7"/>
    </row>
    <row r="189" customFormat="false" ht="15" hidden="false" customHeight="true" outlineLevel="0" collapsed="false">
      <c r="A189" s="15"/>
      <c r="B189" s="7"/>
      <c r="C189" s="7"/>
      <c r="D189" s="13"/>
      <c r="E189" s="7"/>
    </row>
    <row r="190" customFormat="false" ht="15" hidden="false" customHeight="true" outlineLevel="0" collapsed="false">
      <c r="A190" s="15"/>
      <c r="B190" s="7"/>
      <c r="C190" s="7"/>
      <c r="D190" s="13"/>
      <c r="E190" s="7"/>
    </row>
    <row r="191" customFormat="false" ht="15" hidden="false" customHeight="true" outlineLevel="0" collapsed="false">
      <c r="A191" s="15"/>
      <c r="B191" s="7"/>
      <c r="C191" s="7"/>
      <c r="D191" s="13"/>
      <c r="E191" s="7"/>
    </row>
    <row r="192" customFormat="false" ht="15" hidden="false" customHeight="true" outlineLevel="0" collapsed="false">
      <c r="A192" s="15"/>
      <c r="B192" s="7"/>
      <c r="C192" s="7"/>
      <c r="D192" s="13"/>
      <c r="E192" s="7"/>
    </row>
    <row r="193" customFormat="false" ht="15" hidden="false" customHeight="true" outlineLevel="0" collapsed="false">
      <c r="A193" s="15"/>
      <c r="B193" s="7"/>
      <c r="C193" s="7"/>
      <c r="D193" s="13"/>
      <c r="E193" s="7"/>
    </row>
    <row r="194" customFormat="false" ht="15" hidden="false" customHeight="true" outlineLevel="0" collapsed="false">
      <c r="A194" s="15"/>
      <c r="B194" s="7"/>
      <c r="C194" s="7"/>
      <c r="D194" s="13"/>
      <c r="E194" s="7"/>
    </row>
    <row r="195" customFormat="false" ht="15" hidden="false" customHeight="true" outlineLevel="0" collapsed="false">
      <c r="A195" s="15"/>
      <c r="B195" s="7"/>
      <c r="C195" s="7"/>
      <c r="D195" s="13"/>
      <c r="E195" s="7"/>
    </row>
    <row r="196" customFormat="false" ht="15" hidden="false" customHeight="true" outlineLevel="0" collapsed="false">
      <c r="A196" s="15"/>
      <c r="B196" s="7"/>
      <c r="C196" s="7"/>
      <c r="D196" s="13"/>
      <c r="E196" s="7"/>
    </row>
    <row r="197" customFormat="false" ht="15" hidden="false" customHeight="true" outlineLevel="0" collapsed="false">
      <c r="A197" s="15"/>
      <c r="B197" s="7"/>
      <c r="C197" s="7"/>
      <c r="D197" s="13"/>
      <c r="E197" s="7"/>
    </row>
    <row r="198" customFormat="false" ht="15" hidden="false" customHeight="true" outlineLevel="0" collapsed="false">
      <c r="A198" s="15"/>
      <c r="B198" s="7"/>
      <c r="C198" s="7"/>
      <c r="D198" s="13"/>
      <c r="E198" s="7"/>
    </row>
    <row r="199" customFormat="false" ht="15" hidden="false" customHeight="true" outlineLevel="0" collapsed="false">
      <c r="A199" s="15"/>
      <c r="B199" s="7"/>
      <c r="C199" s="7"/>
      <c r="D199" s="13"/>
      <c r="E199" s="7"/>
    </row>
    <row r="200" customFormat="false" ht="15" hidden="false" customHeight="true" outlineLevel="0" collapsed="false">
      <c r="A200" s="15"/>
      <c r="B200" s="7"/>
      <c r="C200" s="7"/>
      <c r="D200" s="13"/>
      <c r="E200" s="7"/>
    </row>
    <row r="201" customFormat="false" ht="15" hidden="false" customHeight="true" outlineLevel="0" collapsed="false">
      <c r="A201" s="15"/>
      <c r="B201" s="7"/>
      <c r="C201" s="7"/>
      <c r="D201" s="13"/>
      <c r="E201" s="7"/>
    </row>
    <row r="202" customFormat="false" ht="15" hidden="false" customHeight="true" outlineLevel="0" collapsed="false">
      <c r="A202" s="15"/>
      <c r="B202" s="7"/>
      <c r="C202" s="7"/>
      <c r="D202" s="13"/>
      <c r="E202" s="7"/>
    </row>
    <row r="203" customFormat="false" ht="15" hidden="false" customHeight="true" outlineLevel="0" collapsed="false">
      <c r="A203" s="15"/>
      <c r="B203" s="7"/>
      <c r="C203" s="7"/>
      <c r="D203" s="13"/>
      <c r="E203" s="7"/>
    </row>
    <row r="204" customFormat="false" ht="15" hidden="false" customHeight="true" outlineLevel="0" collapsed="false">
      <c r="A204" s="15"/>
      <c r="B204" s="7"/>
      <c r="C204" s="7"/>
      <c r="D204" s="13"/>
      <c r="E204" s="7"/>
    </row>
    <row r="205" customFormat="false" ht="15" hidden="false" customHeight="true" outlineLevel="0" collapsed="false">
      <c r="A205" s="15"/>
      <c r="B205" s="7"/>
      <c r="C205" s="7"/>
      <c r="D205" s="13"/>
      <c r="E205" s="7"/>
    </row>
    <row r="206" customFormat="false" ht="15" hidden="false" customHeight="true" outlineLevel="0" collapsed="false">
      <c r="A206" s="15"/>
      <c r="B206" s="7"/>
      <c r="C206" s="7"/>
      <c r="D206" s="13"/>
      <c r="E206" s="7"/>
    </row>
    <row r="207" customFormat="false" ht="15" hidden="false" customHeight="true" outlineLevel="0" collapsed="false">
      <c r="A207" s="15"/>
      <c r="B207" s="7"/>
      <c r="C207" s="7"/>
      <c r="D207" s="13"/>
      <c r="E207" s="7"/>
    </row>
    <row r="208" customFormat="false" ht="15" hidden="false" customHeight="true" outlineLevel="0" collapsed="false">
      <c r="A208" s="15"/>
      <c r="B208" s="7"/>
      <c r="C208" s="7"/>
      <c r="D208" s="13"/>
      <c r="E208" s="7"/>
    </row>
    <row r="209" customFormat="false" ht="15" hidden="false" customHeight="true" outlineLevel="0" collapsed="false">
      <c r="A209" s="15"/>
      <c r="B209" s="7"/>
      <c r="C209" s="7"/>
      <c r="D209" s="13"/>
      <c r="E209" s="7"/>
    </row>
    <row r="210" customFormat="false" ht="15" hidden="false" customHeight="true" outlineLevel="0" collapsed="false">
      <c r="A210" s="15"/>
      <c r="B210" s="7"/>
      <c r="C210" s="7"/>
      <c r="D210" s="13"/>
      <c r="E210" s="7"/>
    </row>
    <row r="211" customFormat="false" ht="15" hidden="false" customHeight="true" outlineLevel="0" collapsed="false">
      <c r="A211" s="15"/>
      <c r="B211" s="7"/>
      <c r="C211" s="7"/>
      <c r="D211" s="13"/>
      <c r="E211" s="7"/>
    </row>
    <row r="212" customFormat="false" ht="15" hidden="false" customHeight="true" outlineLevel="0" collapsed="false">
      <c r="A212" s="15"/>
      <c r="B212" s="7"/>
      <c r="C212" s="7"/>
      <c r="D212" s="13"/>
      <c r="E212" s="7"/>
    </row>
    <row r="213" customFormat="false" ht="15" hidden="false" customHeight="true" outlineLevel="0" collapsed="false">
      <c r="A213" s="15"/>
      <c r="B213" s="7"/>
      <c r="C213" s="7"/>
      <c r="D213" s="13"/>
      <c r="E213" s="7"/>
    </row>
    <row r="214" customFormat="false" ht="15" hidden="false" customHeight="true" outlineLevel="0" collapsed="false">
      <c r="A214" s="15"/>
      <c r="B214" s="7"/>
      <c r="C214" s="7"/>
      <c r="D214" s="13"/>
      <c r="E214" s="7"/>
    </row>
    <row r="215" customFormat="false" ht="15" hidden="false" customHeight="true" outlineLevel="0" collapsed="false">
      <c r="A215" s="15"/>
      <c r="B215" s="7"/>
      <c r="C215" s="7"/>
      <c r="D215" s="13"/>
      <c r="E215" s="7"/>
    </row>
    <row r="216" customFormat="false" ht="15" hidden="false" customHeight="true" outlineLevel="0" collapsed="false">
      <c r="A216" s="15"/>
      <c r="B216" s="7"/>
      <c r="C216" s="7"/>
      <c r="D216" s="13"/>
      <c r="E216" s="7"/>
    </row>
    <row r="217" customFormat="false" ht="15" hidden="false" customHeight="true" outlineLevel="0" collapsed="false">
      <c r="A217" s="15"/>
      <c r="B217" s="7"/>
      <c r="C217" s="7"/>
      <c r="D217" s="13"/>
      <c r="E217" s="7"/>
    </row>
    <row r="218" customFormat="false" ht="15" hidden="false" customHeight="true" outlineLevel="0" collapsed="false">
      <c r="A218" s="15"/>
      <c r="B218" s="7"/>
      <c r="C218" s="7"/>
      <c r="D218" s="13"/>
      <c r="E218" s="7"/>
    </row>
    <row r="219" customFormat="false" ht="15" hidden="false" customHeight="true" outlineLevel="0" collapsed="false">
      <c r="A219" s="15"/>
      <c r="B219" s="7"/>
      <c r="C219" s="7"/>
      <c r="D219" s="13"/>
      <c r="E219" s="7"/>
    </row>
    <row r="220" customFormat="false" ht="15" hidden="false" customHeight="true" outlineLevel="0" collapsed="false">
      <c r="A220" s="15"/>
      <c r="B220" s="7"/>
      <c r="C220" s="7"/>
      <c r="D220" s="13"/>
      <c r="E220" s="7"/>
    </row>
    <row r="221" customFormat="false" ht="15" hidden="false" customHeight="true" outlineLevel="0" collapsed="false">
      <c r="A221" s="15"/>
      <c r="B221" s="7"/>
      <c r="C221" s="7"/>
      <c r="D221" s="13"/>
      <c r="E221" s="7"/>
    </row>
    <row r="222" customFormat="false" ht="15" hidden="false" customHeight="true" outlineLevel="0" collapsed="false">
      <c r="A222" s="15"/>
      <c r="B222" s="7"/>
      <c r="C222" s="7"/>
      <c r="D222" s="13"/>
      <c r="E222" s="7"/>
    </row>
    <row r="223" customFormat="false" ht="15" hidden="false" customHeight="true" outlineLevel="0" collapsed="false">
      <c r="A223" s="15"/>
      <c r="B223" s="7"/>
      <c r="C223" s="7"/>
      <c r="D223" s="13"/>
      <c r="E223" s="7"/>
    </row>
    <row r="224" customFormat="false" ht="15" hidden="false" customHeight="true" outlineLevel="0" collapsed="false">
      <c r="A224" s="15"/>
      <c r="B224" s="7"/>
      <c r="C224" s="7"/>
      <c r="D224" s="13"/>
      <c r="E224" s="7"/>
    </row>
    <row r="225" customFormat="false" ht="15" hidden="false" customHeight="true" outlineLevel="0" collapsed="false">
      <c r="A225" s="15"/>
      <c r="B225" s="7"/>
      <c r="C225" s="7"/>
      <c r="D225" s="13"/>
      <c r="E225" s="7"/>
    </row>
    <row r="226" customFormat="false" ht="15" hidden="false" customHeight="true" outlineLevel="0" collapsed="false">
      <c r="A226" s="15"/>
      <c r="B226" s="7"/>
      <c r="C226" s="7"/>
      <c r="D226" s="13"/>
      <c r="E226" s="7"/>
    </row>
    <row r="227" customFormat="false" ht="15" hidden="false" customHeight="true" outlineLevel="0" collapsed="false">
      <c r="A227" s="15"/>
      <c r="B227" s="7"/>
      <c r="C227" s="7"/>
      <c r="D227" s="13"/>
      <c r="E227" s="7"/>
    </row>
    <row r="228" customFormat="false" ht="15" hidden="false" customHeight="true" outlineLevel="0" collapsed="false">
      <c r="A228" s="15"/>
      <c r="B228" s="7"/>
      <c r="C228" s="7"/>
      <c r="D228" s="13"/>
      <c r="E228" s="7"/>
    </row>
    <row r="229" customFormat="false" ht="15" hidden="false" customHeight="true" outlineLevel="0" collapsed="false">
      <c r="A229" s="15"/>
      <c r="B229" s="7"/>
      <c r="C229" s="7"/>
      <c r="D229" s="13"/>
      <c r="E229" s="7"/>
    </row>
    <row r="230" customFormat="false" ht="15" hidden="false" customHeight="true" outlineLevel="0" collapsed="false">
      <c r="A230" s="15"/>
      <c r="B230" s="7"/>
      <c r="C230" s="7"/>
      <c r="D230" s="13"/>
      <c r="E230" s="7"/>
    </row>
    <row r="231" customFormat="false" ht="15" hidden="false" customHeight="true" outlineLevel="0" collapsed="false">
      <c r="A231" s="15"/>
      <c r="B231" s="7"/>
      <c r="C231" s="7"/>
      <c r="D231" s="13"/>
      <c r="E231" s="7"/>
    </row>
    <row r="232" customFormat="false" ht="15" hidden="false" customHeight="true" outlineLevel="0" collapsed="false">
      <c r="A232" s="15"/>
      <c r="B232" s="7"/>
      <c r="C232" s="7"/>
      <c r="D232" s="13"/>
      <c r="E232" s="7"/>
    </row>
    <row r="233" customFormat="false" ht="15" hidden="false" customHeight="true" outlineLevel="0" collapsed="false">
      <c r="A233" s="15"/>
      <c r="B233" s="7"/>
      <c r="C233" s="7"/>
      <c r="D233" s="13"/>
      <c r="E233" s="7"/>
    </row>
    <row r="234" customFormat="false" ht="15" hidden="false" customHeight="true" outlineLevel="0" collapsed="false">
      <c r="A234" s="15"/>
      <c r="B234" s="7"/>
      <c r="C234" s="7"/>
      <c r="D234" s="13"/>
      <c r="E234" s="7"/>
    </row>
    <row r="235" customFormat="false" ht="15" hidden="false" customHeight="true" outlineLevel="0" collapsed="false">
      <c r="A235" s="15"/>
      <c r="B235" s="7"/>
      <c r="C235" s="7"/>
      <c r="D235" s="13"/>
      <c r="E235" s="7"/>
    </row>
    <row r="236" customFormat="false" ht="15" hidden="false" customHeight="true" outlineLevel="0" collapsed="false">
      <c r="A236" s="15"/>
      <c r="B236" s="7"/>
      <c r="C236" s="7"/>
      <c r="D236" s="13"/>
      <c r="E236" s="7"/>
    </row>
    <row r="237" customFormat="false" ht="15" hidden="false" customHeight="true" outlineLevel="0" collapsed="false">
      <c r="A237" s="15"/>
      <c r="B237" s="7"/>
      <c r="C237" s="7"/>
      <c r="D237" s="13"/>
      <c r="E237" s="7"/>
    </row>
    <row r="238" customFormat="false" ht="15" hidden="false" customHeight="true" outlineLevel="0" collapsed="false">
      <c r="A238" s="15"/>
      <c r="B238" s="7"/>
      <c r="C238" s="7"/>
      <c r="D238" s="13"/>
      <c r="E238" s="7"/>
    </row>
    <row r="239" customFormat="false" ht="15" hidden="false" customHeight="true" outlineLevel="0" collapsed="false">
      <c r="A239" s="15"/>
      <c r="B239" s="7"/>
      <c r="C239" s="7"/>
      <c r="D239" s="13"/>
      <c r="E239" s="7"/>
    </row>
    <row r="240" customFormat="false" ht="15" hidden="false" customHeight="true" outlineLevel="0" collapsed="false">
      <c r="A240" s="15"/>
      <c r="B240" s="7"/>
      <c r="C240" s="7"/>
      <c r="D240" s="13"/>
      <c r="E240" s="7"/>
    </row>
    <row r="241" customFormat="false" ht="15" hidden="false" customHeight="true" outlineLevel="0" collapsed="false">
      <c r="A241" s="15"/>
      <c r="B241" s="7"/>
      <c r="C241" s="7"/>
      <c r="D241" s="13"/>
      <c r="E241" s="7"/>
    </row>
    <row r="242" customFormat="false" ht="15" hidden="false" customHeight="true" outlineLevel="0" collapsed="false">
      <c r="A242" s="15"/>
      <c r="B242" s="7"/>
      <c r="C242" s="7"/>
      <c r="D242" s="13"/>
      <c r="E242" s="7"/>
    </row>
    <row r="243" customFormat="false" ht="15" hidden="false" customHeight="true" outlineLevel="0" collapsed="false">
      <c r="A243" s="15"/>
      <c r="B243" s="7"/>
      <c r="C243" s="7"/>
      <c r="D243" s="13"/>
      <c r="E243" s="7"/>
    </row>
    <row r="244" customFormat="false" ht="15" hidden="false" customHeight="true" outlineLevel="0" collapsed="false">
      <c r="A244" s="15"/>
      <c r="B244" s="7"/>
      <c r="C244" s="7"/>
      <c r="D244" s="13"/>
      <c r="E244" s="7"/>
    </row>
    <row r="245" customFormat="false" ht="15" hidden="false" customHeight="true" outlineLevel="0" collapsed="false">
      <c r="A245" s="15"/>
      <c r="B245" s="7"/>
      <c r="C245" s="7"/>
      <c r="D245" s="13"/>
      <c r="E245" s="7"/>
    </row>
    <row r="246" customFormat="false" ht="15" hidden="false" customHeight="true" outlineLevel="0" collapsed="false">
      <c r="A246" s="15"/>
      <c r="B246" s="7"/>
      <c r="C246" s="7"/>
      <c r="D246" s="13"/>
      <c r="E246" s="7"/>
    </row>
    <row r="247" customFormat="false" ht="15" hidden="false" customHeight="true" outlineLevel="0" collapsed="false">
      <c r="A247" s="15"/>
      <c r="B247" s="7"/>
      <c r="C247" s="7"/>
      <c r="D247" s="13"/>
      <c r="E247" s="7"/>
    </row>
    <row r="248" customFormat="false" ht="15" hidden="false" customHeight="true" outlineLevel="0" collapsed="false">
      <c r="A248" s="15"/>
      <c r="B248" s="7"/>
      <c r="C248" s="7"/>
      <c r="D248" s="13"/>
      <c r="E248" s="7"/>
    </row>
    <row r="249" customFormat="false" ht="15" hidden="false" customHeight="true" outlineLevel="0" collapsed="false">
      <c r="A249" s="15"/>
      <c r="B249" s="7"/>
      <c r="C249" s="7"/>
      <c r="D249" s="13"/>
      <c r="E249" s="7"/>
    </row>
    <row r="250" customFormat="false" ht="15" hidden="false" customHeight="true" outlineLevel="0" collapsed="false">
      <c r="A250" s="15"/>
      <c r="B250" s="7"/>
      <c r="C250" s="7"/>
      <c r="D250" s="13"/>
      <c r="E250" s="7"/>
    </row>
    <row r="251" customFormat="false" ht="15" hidden="false" customHeight="true" outlineLevel="0" collapsed="false">
      <c r="A251" s="15"/>
      <c r="B251" s="7"/>
      <c r="C251" s="7"/>
      <c r="D251" s="13"/>
      <c r="E251" s="7"/>
    </row>
    <row r="252" customFormat="false" ht="15" hidden="false" customHeight="true" outlineLevel="0" collapsed="false">
      <c r="A252" s="15"/>
      <c r="B252" s="7"/>
      <c r="C252" s="7"/>
      <c r="D252" s="13"/>
      <c r="E252" s="7"/>
    </row>
    <row r="253" customFormat="false" ht="15" hidden="false" customHeight="true" outlineLevel="0" collapsed="false">
      <c r="A253" s="15"/>
      <c r="B253" s="7"/>
      <c r="C253" s="7"/>
      <c r="D253" s="13"/>
      <c r="E253" s="7"/>
    </row>
    <row r="254" customFormat="false" ht="15" hidden="false" customHeight="true" outlineLevel="0" collapsed="false">
      <c r="A254" s="15"/>
      <c r="B254" s="7"/>
      <c r="C254" s="7"/>
      <c r="D254" s="13"/>
      <c r="E254" s="7"/>
    </row>
    <row r="255" customFormat="false" ht="15" hidden="false" customHeight="true" outlineLevel="0" collapsed="false">
      <c r="A255" s="15"/>
      <c r="B255" s="7"/>
      <c r="C255" s="7"/>
      <c r="D255" s="13"/>
      <c r="E255" s="7"/>
    </row>
    <row r="256" customFormat="false" ht="15" hidden="false" customHeight="true" outlineLevel="0" collapsed="false">
      <c r="A256" s="15"/>
      <c r="B256" s="7"/>
      <c r="C256" s="7"/>
      <c r="D256" s="13"/>
      <c r="E256" s="7"/>
    </row>
    <row r="257" customFormat="false" ht="15" hidden="false" customHeight="true" outlineLevel="0" collapsed="false">
      <c r="A257" s="15"/>
      <c r="B257" s="7"/>
      <c r="C257" s="7"/>
      <c r="D257" s="13"/>
      <c r="E257" s="7"/>
    </row>
    <row r="258" customFormat="false" ht="15" hidden="false" customHeight="true" outlineLevel="0" collapsed="false">
      <c r="A258" s="15"/>
      <c r="B258" s="7"/>
      <c r="C258" s="7"/>
      <c r="D258" s="13"/>
      <c r="E258" s="7"/>
    </row>
    <row r="259" customFormat="false" ht="15" hidden="false" customHeight="true" outlineLevel="0" collapsed="false">
      <c r="A259" s="15"/>
      <c r="B259" s="7"/>
      <c r="C259" s="7"/>
      <c r="D259" s="13"/>
      <c r="E259" s="7"/>
    </row>
    <row r="260" customFormat="false" ht="15" hidden="false" customHeight="true" outlineLevel="0" collapsed="false">
      <c r="A260" s="15"/>
      <c r="B260" s="7"/>
      <c r="C260" s="7"/>
      <c r="D260" s="13"/>
      <c r="E260" s="7"/>
    </row>
    <row r="261" customFormat="false" ht="15" hidden="false" customHeight="true" outlineLevel="0" collapsed="false">
      <c r="A261" s="15"/>
      <c r="B261" s="7"/>
      <c r="C261" s="7"/>
      <c r="D261" s="13"/>
      <c r="E261" s="7"/>
    </row>
    <row r="262" customFormat="false" ht="15" hidden="false" customHeight="true" outlineLevel="0" collapsed="false">
      <c r="A262" s="15"/>
      <c r="B262" s="7"/>
      <c r="C262" s="7"/>
      <c r="D262" s="13"/>
      <c r="E262" s="7"/>
    </row>
    <row r="263" customFormat="false" ht="15" hidden="false" customHeight="true" outlineLevel="0" collapsed="false">
      <c r="A263" s="15"/>
      <c r="B263" s="7"/>
      <c r="C263" s="7"/>
      <c r="D263" s="13"/>
      <c r="E263" s="7"/>
    </row>
    <row r="264" customFormat="false" ht="15" hidden="false" customHeight="true" outlineLevel="0" collapsed="false">
      <c r="A264" s="15"/>
      <c r="B264" s="7"/>
      <c r="C264" s="7"/>
      <c r="D264" s="13"/>
      <c r="E264" s="7"/>
    </row>
    <row r="265" customFormat="false" ht="15" hidden="false" customHeight="true" outlineLevel="0" collapsed="false">
      <c r="A265" s="15"/>
      <c r="B265" s="7"/>
      <c r="C265" s="7"/>
      <c r="D265" s="13"/>
      <c r="E265" s="7"/>
    </row>
    <row r="266" customFormat="false" ht="15" hidden="false" customHeight="true" outlineLevel="0" collapsed="false">
      <c r="A266" s="15"/>
      <c r="B266" s="7"/>
      <c r="C266" s="7"/>
      <c r="D266" s="13"/>
      <c r="E266" s="7"/>
    </row>
    <row r="267" customFormat="false" ht="15" hidden="false" customHeight="true" outlineLevel="0" collapsed="false">
      <c r="A267" s="15"/>
      <c r="B267" s="7"/>
      <c r="C267" s="7"/>
      <c r="D267" s="13"/>
      <c r="E267" s="7"/>
    </row>
    <row r="268" customFormat="false" ht="15" hidden="false" customHeight="true" outlineLevel="0" collapsed="false">
      <c r="A268" s="15"/>
      <c r="B268" s="7"/>
      <c r="C268" s="7"/>
      <c r="D268" s="13"/>
      <c r="E268" s="7"/>
    </row>
    <row r="269" customFormat="false" ht="15" hidden="false" customHeight="true" outlineLevel="0" collapsed="false">
      <c r="A269" s="15"/>
      <c r="B269" s="7"/>
      <c r="C269" s="7"/>
      <c r="D269" s="13"/>
      <c r="E269" s="7"/>
    </row>
    <row r="270" customFormat="false" ht="15" hidden="false" customHeight="true" outlineLevel="0" collapsed="false">
      <c r="A270" s="15"/>
      <c r="B270" s="7"/>
      <c r="C270" s="7"/>
      <c r="D270" s="13"/>
      <c r="E270" s="7"/>
    </row>
    <row r="271" customFormat="false" ht="15" hidden="false" customHeight="true" outlineLevel="0" collapsed="false">
      <c r="A271" s="15"/>
      <c r="B271" s="7"/>
      <c r="C271" s="7"/>
      <c r="D271" s="13"/>
      <c r="E271" s="7"/>
    </row>
    <row r="272" customFormat="false" ht="15" hidden="false" customHeight="true" outlineLevel="0" collapsed="false">
      <c r="A272" s="15"/>
      <c r="B272" s="7"/>
      <c r="C272" s="7"/>
      <c r="D272" s="13"/>
      <c r="E272" s="7"/>
    </row>
    <row r="273" customFormat="false" ht="15" hidden="false" customHeight="true" outlineLevel="0" collapsed="false">
      <c r="A273" s="15"/>
      <c r="B273" s="7"/>
      <c r="C273" s="7"/>
      <c r="D273" s="13"/>
      <c r="E273" s="7"/>
    </row>
    <row r="274" customFormat="false" ht="15" hidden="false" customHeight="true" outlineLevel="0" collapsed="false">
      <c r="A274" s="15"/>
      <c r="B274" s="7"/>
      <c r="C274" s="7"/>
      <c r="D274" s="13"/>
      <c r="E274" s="7"/>
    </row>
    <row r="275" customFormat="false" ht="15" hidden="false" customHeight="true" outlineLevel="0" collapsed="false">
      <c r="A275" s="15"/>
      <c r="B275" s="7"/>
      <c r="C275" s="7"/>
      <c r="D275" s="13"/>
      <c r="E275" s="7"/>
    </row>
    <row r="276" customFormat="false" ht="15" hidden="false" customHeight="true" outlineLevel="0" collapsed="false">
      <c r="A276" s="15"/>
      <c r="B276" s="7"/>
      <c r="C276" s="7"/>
      <c r="D276" s="13"/>
      <c r="E276" s="7"/>
    </row>
    <row r="277" customFormat="false" ht="15" hidden="false" customHeight="true" outlineLevel="0" collapsed="false">
      <c r="A277" s="15"/>
      <c r="B277" s="7"/>
      <c r="C277" s="7"/>
      <c r="D277" s="13"/>
      <c r="E277" s="7"/>
    </row>
    <row r="278" customFormat="false" ht="15" hidden="false" customHeight="true" outlineLevel="0" collapsed="false">
      <c r="A278" s="15"/>
      <c r="B278" s="7"/>
      <c r="C278" s="7"/>
      <c r="D278" s="13"/>
      <c r="E278" s="7"/>
    </row>
    <row r="279" customFormat="false" ht="15" hidden="false" customHeight="true" outlineLevel="0" collapsed="false">
      <c r="A279" s="15"/>
      <c r="B279" s="7"/>
      <c r="C279" s="7"/>
      <c r="D279" s="13"/>
      <c r="E279" s="7"/>
    </row>
    <row r="280" customFormat="false" ht="15" hidden="false" customHeight="true" outlineLevel="0" collapsed="false">
      <c r="A280" s="15"/>
      <c r="B280" s="7"/>
      <c r="C280" s="7"/>
      <c r="D280" s="13"/>
      <c r="E280" s="7"/>
    </row>
    <row r="281" customFormat="false" ht="15" hidden="false" customHeight="true" outlineLevel="0" collapsed="false">
      <c r="A281" s="15"/>
      <c r="B281" s="7"/>
      <c r="C281" s="7"/>
      <c r="D281" s="13"/>
      <c r="E281" s="7"/>
    </row>
    <row r="282" customFormat="false" ht="15" hidden="false" customHeight="true" outlineLevel="0" collapsed="false">
      <c r="A282" s="15"/>
      <c r="B282" s="7"/>
      <c r="C282" s="7"/>
      <c r="D282" s="13"/>
      <c r="E282" s="7"/>
    </row>
    <row r="283" customFormat="false" ht="15" hidden="false" customHeight="true" outlineLevel="0" collapsed="false">
      <c r="A283" s="15"/>
      <c r="B283" s="7"/>
      <c r="C283" s="7"/>
      <c r="D283" s="13"/>
      <c r="E283" s="7"/>
    </row>
    <row r="284" customFormat="false" ht="15" hidden="false" customHeight="true" outlineLevel="0" collapsed="false">
      <c r="A284" s="15"/>
      <c r="B284" s="7"/>
      <c r="C284" s="7"/>
      <c r="D284" s="13"/>
      <c r="E284" s="7"/>
    </row>
    <row r="285" customFormat="false" ht="15" hidden="false" customHeight="true" outlineLevel="0" collapsed="false">
      <c r="A285" s="15"/>
      <c r="B285" s="7"/>
      <c r="C285" s="7"/>
      <c r="D285" s="13"/>
      <c r="E285" s="7"/>
    </row>
    <row r="286" customFormat="false" ht="15" hidden="false" customHeight="true" outlineLevel="0" collapsed="false">
      <c r="A286" s="15"/>
      <c r="B286" s="7"/>
      <c r="C286" s="7"/>
      <c r="D286" s="13"/>
      <c r="E286" s="7"/>
    </row>
    <row r="287" customFormat="false" ht="15" hidden="false" customHeight="true" outlineLevel="0" collapsed="false">
      <c r="A287" s="15"/>
      <c r="B287" s="7"/>
      <c r="C287" s="7"/>
      <c r="D287" s="13"/>
      <c r="E287" s="7"/>
    </row>
    <row r="288" customFormat="false" ht="15" hidden="false" customHeight="true" outlineLevel="0" collapsed="false">
      <c r="A288" s="15"/>
      <c r="B288" s="7"/>
      <c r="C288" s="7"/>
      <c r="D288" s="13"/>
      <c r="E288" s="7"/>
    </row>
    <row r="289" customFormat="false" ht="15" hidden="false" customHeight="true" outlineLevel="0" collapsed="false">
      <c r="A289" s="15"/>
      <c r="B289" s="7"/>
      <c r="C289" s="7"/>
      <c r="D289" s="13"/>
      <c r="E289" s="7"/>
    </row>
    <row r="290" customFormat="false" ht="15" hidden="false" customHeight="true" outlineLevel="0" collapsed="false">
      <c r="A290" s="15"/>
      <c r="B290" s="7"/>
      <c r="C290" s="7"/>
      <c r="D290" s="13"/>
      <c r="E290" s="7"/>
    </row>
    <row r="291" customFormat="false" ht="15" hidden="false" customHeight="true" outlineLevel="0" collapsed="false">
      <c r="A291" s="15"/>
      <c r="B291" s="7"/>
      <c r="C291" s="7"/>
      <c r="D291" s="13"/>
      <c r="E291" s="7"/>
    </row>
    <row r="292" customFormat="false" ht="15" hidden="false" customHeight="true" outlineLevel="0" collapsed="false">
      <c r="A292" s="15"/>
      <c r="B292" s="7"/>
      <c r="C292" s="7"/>
      <c r="D292" s="13"/>
      <c r="E292" s="7"/>
    </row>
    <row r="293" customFormat="false" ht="15" hidden="false" customHeight="true" outlineLevel="0" collapsed="false">
      <c r="A293" s="15"/>
      <c r="B293" s="7"/>
      <c r="C293" s="7"/>
      <c r="D293" s="13"/>
      <c r="E293" s="7"/>
    </row>
    <row r="294" customFormat="false" ht="15" hidden="false" customHeight="true" outlineLevel="0" collapsed="false">
      <c r="A294" s="15"/>
      <c r="B294" s="7"/>
      <c r="C294" s="7"/>
      <c r="D294" s="13"/>
      <c r="E294" s="7"/>
    </row>
    <row r="295" customFormat="false" ht="15" hidden="false" customHeight="true" outlineLevel="0" collapsed="false">
      <c r="A295" s="15"/>
      <c r="B295" s="7"/>
      <c r="C295" s="7"/>
      <c r="D295" s="13"/>
      <c r="E295" s="7"/>
    </row>
    <row r="296" customFormat="false" ht="15" hidden="false" customHeight="true" outlineLevel="0" collapsed="false">
      <c r="A296" s="15"/>
      <c r="B296" s="7"/>
      <c r="C296" s="7"/>
      <c r="D296" s="13"/>
      <c r="E296" s="7"/>
    </row>
    <row r="297" customFormat="false" ht="15" hidden="false" customHeight="true" outlineLevel="0" collapsed="false">
      <c r="A297" s="15"/>
      <c r="B297" s="7"/>
      <c r="C297" s="7"/>
      <c r="D297" s="13"/>
      <c r="E297" s="7"/>
    </row>
    <row r="298" customFormat="false" ht="15" hidden="false" customHeight="true" outlineLevel="0" collapsed="false">
      <c r="A298" s="15"/>
      <c r="B298" s="7"/>
      <c r="C298" s="7"/>
      <c r="D298" s="13"/>
      <c r="E298" s="7"/>
    </row>
    <row r="299" customFormat="false" ht="15" hidden="false" customHeight="true" outlineLevel="0" collapsed="false">
      <c r="A299" s="15"/>
      <c r="B299" s="7"/>
      <c r="C299" s="7"/>
      <c r="D299" s="13"/>
      <c r="E299" s="7"/>
    </row>
    <row r="300" customFormat="false" ht="15" hidden="false" customHeight="true" outlineLevel="0" collapsed="false">
      <c r="A300" s="15"/>
      <c r="B300" s="7"/>
      <c r="C300" s="7"/>
      <c r="D300" s="13"/>
      <c r="E300" s="7"/>
    </row>
    <row r="301" customFormat="false" ht="15" hidden="false" customHeight="true" outlineLevel="0" collapsed="false">
      <c r="A301" s="15"/>
      <c r="B301" s="7"/>
      <c r="C301" s="7"/>
      <c r="D301" s="13"/>
      <c r="E301" s="7"/>
    </row>
    <row r="302" customFormat="false" ht="15" hidden="false" customHeight="true" outlineLevel="0" collapsed="false">
      <c r="A302" s="15"/>
      <c r="B302" s="7"/>
      <c r="C302" s="7"/>
      <c r="D302" s="13"/>
      <c r="E302" s="7"/>
    </row>
    <row r="303" customFormat="false" ht="15" hidden="false" customHeight="true" outlineLevel="0" collapsed="false">
      <c r="A303" s="15"/>
      <c r="B303" s="7"/>
      <c r="C303" s="7"/>
      <c r="D303" s="13"/>
      <c r="E303" s="7"/>
    </row>
    <row r="304" customFormat="false" ht="15" hidden="false" customHeight="true" outlineLevel="0" collapsed="false">
      <c r="A304" s="15"/>
      <c r="B304" s="7"/>
      <c r="C304" s="7"/>
      <c r="D304" s="13"/>
      <c r="E304" s="7"/>
    </row>
    <row r="305" customFormat="false" ht="15" hidden="false" customHeight="true" outlineLevel="0" collapsed="false">
      <c r="A305" s="15"/>
      <c r="B305" s="7"/>
      <c r="C305" s="7"/>
      <c r="D305" s="13"/>
      <c r="E305" s="7"/>
    </row>
    <row r="306" customFormat="false" ht="15" hidden="false" customHeight="true" outlineLevel="0" collapsed="false">
      <c r="A306" s="15"/>
      <c r="B306" s="7"/>
      <c r="C306" s="7"/>
      <c r="D306" s="13"/>
      <c r="E306" s="7"/>
    </row>
    <row r="307" customFormat="false" ht="15" hidden="false" customHeight="true" outlineLevel="0" collapsed="false">
      <c r="A307" s="15"/>
      <c r="B307" s="7"/>
      <c r="C307" s="7"/>
      <c r="D307" s="13"/>
      <c r="E307" s="7"/>
    </row>
    <row r="308" customFormat="false" ht="15" hidden="false" customHeight="true" outlineLevel="0" collapsed="false">
      <c r="A308" s="15"/>
      <c r="B308" s="7"/>
      <c r="C308" s="7"/>
      <c r="D308" s="13"/>
      <c r="E308" s="7"/>
    </row>
    <row r="309" customFormat="false" ht="15" hidden="false" customHeight="true" outlineLevel="0" collapsed="false">
      <c r="A309" s="15"/>
      <c r="B309" s="7"/>
      <c r="C309" s="7"/>
      <c r="D309" s="13"/>
      <c r="E309" s="7"/>
    </row>
    <row r="310" customFormat="false" ht="15" hidden="false" customHeight="true" outlineLevel="0" collapsed="false">
      <c r="A310" s="15"/>
      <c r="B310" s="7"/>
      <c r="C310" s="7"/>
      <c r="D310" s="13"/>
      <c r="E310" s="7"/>
    </row>
    <row r="311" customFormat="false" ht="15" hidden="false" customHeight="true" outlineLevel="0" collapsed="false">
      <c r="A311" s="15"/>
      <c r="B311" s="7"/>
      <c r="C311" s="7"/>
      <c r="D311" s="13"/>
      <c r="E311" s="7"/>
    </row>
    <row r="312" customFormat="false" ht="15" hidden="false" customHeight="true" outlineLevel="0" collapsed="false">
      <c r="A312" s="15"/>
      <c r="B312" s="7"/>
      <c r="C312" s="7"/>
      <c r="D312" s="13"/>
      <c r="E312" s="7"/>
    </row>
    <row r="313" customFormat="false" ht="15" hidden="false" customHeight="true" outlineLevel="0" collapsed="false">
      <c r="A313" s="15"/>
      <c r="B313" s="7"/>
      <c r="C313" s="7"/>
      <c r="D313" s="13"/>
      <c r="E313" s="7"/>
    </row>
    <row r="314" customFormat="false" ht="15" hidden="false" customHeight="true" outlineLevel="0" collapsed="false">
      <c r="A314" s="15"/>
      <c r="B314" s="7"/>
      <c r="C314" s="7"/>
      <c r="D314" s="13"/>
      <c r="E314" s="7"/>
    </row>
    <row r="315" customFormat="false" ht="15" hidden="false" customHeight="true" outlineLevel="0" collapsed="false">
      <c r="A315" s="15"/>
      <c r="B315" s="7"/>
      <c r="C315" s="7"/>
      <c r="D315" s="13"/>
      <c r="E315" s="7"/>
    </row>
    <row r="316" customFormat="false" ht="15" hidden="false" customHeight="true" outlineLevel="0" collapsed="false">
      <c r="A316" s="15"/>
      <c r="B316" s="7"/>
      <c r="C316" s="7"/>
      <c r="D316" s="13"/>
      <c r="E316" s="7"/>
    </row>
    <row r="317" customFormat="false" ht="15" hidden="false" customHeight="true" outlineLevel="0" collapsed="false">
      <c r="A317" s="15"/>
      <c r="B317" s="7"/>
      <c r="C317" s="7"/>
      <c r="D317" s="13"/>
      <c r="E317" s="7"/>
    </row>
    <row r="318" customFormat="false" ht="15" hidden="false" customHeight="true" outlineLevel="0" collapsed="false">
      <c r="A318" s="15"/>
      <c r="B318" s="7"/>
      <c r="C318" s="7"/>
      <c r="D318" s="13"/>
      <c r="E318" s="7"/>
    </row>
    <row r="319" customFormat="false" ht="15" hidden="false" customHeight="true" outlineLevel="0" collapsed="false">
      <c r="A319" s="15"/>
      <c r="B319" s="7"/>
      <c r="C319" s="7"/>
      <c r="D319" s="13"/>
      <c r="E319" s="7"/>
    </row>
    <row r="320" customFormat="false" ht="15" hidden="false" customHeight="true" outlineLevel="0" collapsed="false">
      <c r="A320" s="15"/>
      <c r="B320" s="7"/>
      <c r="C320" s="7"/>
      <c r="D320" s="13"/>
      <c r="E320" s="7"/>
    </row>
    <row r="321" customFormat="false" ht="15" hidden="false" customHeight="true" outlineLevel="0" collapsed="false">
      <c r="A321" s="15"/>
      <c r="B321" s="7"/>
      <c r="C321" s="7"/>
      <c r="D321" s="13"/>
      <c r="E321" s="7"/>
    </row>
    <row r="322" customFormat="false" ht="15" hidden="false" customHeight="true" outlineLevel="0" collapsed="false">
      <c r="A322" s="15"/>
      <c r="B322" s="7"/>
      <c r="C322" s="7"/>
      <c r="D322" s="13"/>
      <c r="E322" s="7"/>
    </row>
    <row r="323" customFormat="false" ht="15" hidden="false" customHeight="true" outlineLevel="0" collapsed="false">
      <c r="A323" s="15"/>
      <c r="B323" s="7"/>
      <c r="C323" s="7"/>
      <c r="D323" s="13"/>
      <c r="E323" s="7"/>
    </row>
    <row r="324" customFormat="false" ht="15" hidden="false" customHeight="true" outlineLevel="0" collapsed="false">
      <c r="A324" s="15"/>
      <c r="B324" s="7"/>
      <c r="C324" s="7"/>
      <c r="D324" s="13"/>
      <c r="E324" s="7"/>
    </row>
    <row r="325" customFormat="false" ht="15" hidden="false" customHeight="true" outlineLevel="0" collapsed="false">
      <c r="A325" s="15"/>
      <c r="B325" s="7"/>
      <c r="C325" s="7"/>
      <c r="D325" s="13"/>
      <c r="E325" s="7"/>
    </row>
    <row r="326" customFormat="false" ht="15" hidden="false" customHeight="true" outlineLevel="0" collapsed="false">
      <c r="A326" s="15"/>
      <c r="B326" s="7"/>
      <c r="C326" s="7"/>
      <c r="D326" s="13"/>
      <c r="E326" s="7"/>
    </row>
    <row r="327" customFormat="false" ht="15" hidden="false" customHeight="true" outlineLevel="0" collapsed="false">
      <c r="A327" s="15"/>
      <c r="B327" s="7"/>
      <c r="C327" s="7"/>
      <c r="D327" s="13"/>
      <c r="E327" s="7"/>
    </row>
    <row r="328" customFormat="false" ht="15" hidden="false" customHeight="true" outlineLevel="0" collapsed="false">
      <c r="A328" s="15"/>
      <c r="B328" s="7"/>
      <c r="C328" s="7"/>
      <c r="D328" s="13"/>
      <c r="E328" s="7"/>
    </row>
    <row r="329" customFormat="false" ht="15" hidden="false" customHeight="true" outlineLevel="0" collapsed="false">
      <c r="A329" s="15"/>
      <c r="B329" s="7"/>
      <c r="C329" s="7"/>
      <c r="D329" s="13"/>
      <c r="E329" s="7"/>
    </row>
    <row r="330" customFormat="false" ht="15" hidden="false" customHeight="true" outlineLevel="0" collapsed="false">
      <c r="A330" s="15"/>
      <c r="B330" s="7"/>
      <c r="C330" s="7"/>
      <c r="D330" s="13"/>
      <c r="E330" s="7"/>
    </row>
    <row r="331" customFormat="false" ht="15" hidden="false" customHeight="true" outlineLevel="0" collapsed="false">
      <c r="A331" s="15"/>
      <c r="B331" s="7"/>
      <c r="C331" s="7"/>
      <c r="D331" s="13"/>
      <c r="E331" s="7"/>
    </row>
    <row r="332" customFormat="false" ht="15" hidden="false" customHeight="true" outlineLevel="0" collapsed="false">
      <c r="A332" s="15"/>
      <c r="B332" s="7"/>
      <c r="C332" s="7"/>
      <c r="D332" s="13"/>
      <c r="E332" s="7"/>
    </row>
    <row r="333" customFormat="false" ht="15" hidden="false" customHeight="true" outlineLevel="0" collapsed="false">
      <c r="A333" s="15"/>
      <c r="B333" s="7"/>
      <c r="C333" s="7"/>
      <c r="D333" s="13"/>
      <c r="E333" s="7"/>
    </row>
    <row r="334" customFormat="false" ht="15" hidden="false" customHeight="true" outlineLevel="0" collapsed="false">
      <c r="A334" s="15"/>
      <c r="B334" s="7"/>
      <c r="C334" s="7"/>
      <c r="D334" s="13"/>
      <c r="E334" s="7"/>
    </row>
    <row r="335" customFormat="false" ht="15" hidden="false" customHeight="true" outlineLevel="0" collapsed="false">
      <c r="A335" s="15"/>
      <c r="B335" s="7"/>
      <c r="C335" s="7"/>
      <c r="D335" s="13"/>
      <c r="E335" s="7"/>
    </row>
    <row r="336" customFormat="false" ht="15" hidden="false" customHeight="true" outlineLevel="0" collapsed="false">
      <c r="A336" s="15"/>
      <c r="B336" s="7"/>
      <c r="C336" s="7"/>
      <c r="D336" s="13"/>
      <c r="E336" s="7"/>
    </row>
    <row r="337" customFormat="false" ht="15" hidden="false" customHeight="true" outlineLevel="0" collapsed="false">
      <c r="A337" s="15"/>
      <c r="B337" s="7"/>
      <c r="C337" s="7"/>
      <c r="D337" s="13"/>
      <c r="E337" s="7"/>
    </row>
    <row r="338" customFormat="false" ht="15" hidden="false" customHeight="true" outlineLevel="0" collapsed="false">
      <c r="A338" s="15"/>
      <c r="B338" s="7"/>
      <c r="C338" s="7"/>
      <c r="D338" s="13"/>
      <c r="E338" s="7"/>
    </row>
    <row r="339" customFormat="false" ht="15" hidden="false" customHeight="true" outlineLevel="0" collapsed="false">
      <c r="A339" s="15"/>
      <c r="B339" s="7"/>
      <c r="C339" s="7"/>
      <c r="D339" s="13"/>
      <c r="E339" s="7"/>
    </row>
    <row r="340" customFormat="false" ht="15" hidden="false" customHeight="true" outlineLevel="0" collapsed="false">
      <c r="A340" s="15"/>
      <c r="B340" s="7"/>
      <c r="C340" s="7"/>
      <c r="D340" s="13"/>
      <c r="E340" s="7"/>
    </row>
    <row r="341" customFormat="false" ht="15" hidden="false" customHeight="true" outlineLevel="0" collapsed="false">
      <c r="A341" s="15"/>
      <c r="B341" s="7"/>
      <c r="C341" s="7"/>
      <c r="D341" s="13"/>
      <c r="E341" s="7"/>
    </row>
    <row r="342" customFormat="false" ht="15" hidden="false" customHeight="true" outlineLevel="0" collapsed="false">
      <c r="A342" s="15"/>
      <c r="B342" s="7"/>
      <c r="C342" s="7"/>
      <c r="D342" s="13"/>
      <c r="E342" s="7"/>
    </row>
    <row r="343" customFormat="false" ht="15" hidden="false" customHeight="true" outlineLevel="0" collapsed="false">
      <c r="A343" s="15"/>
      <c r="B343" s="7"/>
      <c r="C343" s="7"/>
      <c r="D343" s="13"/>
      <c r="E343" s="7"/>
    </row>
    <row r="344" customFormat="false" ht="15" hidden="false" customHeight="true" outlineLevel="0" collapsed="false">
      <c r="A344" s="15"/>
      <c r="B344" s="7"/>
      <c r="C344" s="7"/>
      <c r="D344" s="13"/>
      <c r="E344" s="7"/>
    </row>
    <row r="345" customFormat="false" ht="15" hidden="false" customHeight="true" outlineLevel="0" collapsed="false">
      <c r="A345" s="15"/>
      <c r="B345" s="7"/>
      <c r="C345" s="7"/>
      <c r="D345" s="13"/>
      <c r="E345" s="7"/>
    </row>
    <row r="346" customFormat="false" ht="15" hidden="false" customHeight="true" outlineLevel="0" collapsed="false">
      <c r="A346" s="15"/>
      <c r="B346" s="7"/>
      <c r="C346" s="7"/>
      <c r="D346" s="13"/>
      <c r="E346" s="7"/>
    </row>
    <row r="347" customFormat="false" ht="15" hidden="false" customHeight="true" outlineLevel="0" collapsed="false">
      <c r="A347" s="15"/>
      <c r="B347" s="7"/>
      <c r="C347" s="7"/>
      <c r="D347" s="13"/>
      <c r="E347" s="7"/>
    </row>
    <row r="348" customFormat="false" ht="15" hidden="false" customHeight="true" outlineLevel="0" collapsed="false">
      <c r="A348" s="15"/>
      <c r="B348" s="7"/>
      <c r="C348" s="7"/>
      <c r="D348" s="13"/>
      <c r="E348" s="7"/>
    </row>
    <row r="349" customFormat="false" ht="15" hidden="false" customHeight="true" outlineLevel="0" collapsed="false">
      <c r="A349" s="15"/>
      <c r="B349" s="7"/>
      <c r="C349" s="7"/>
      <c r="D349" s="13"/>
      <c r="E349" s="7"/>
    </row>
    <row r="350" customFormat="false" ht="15" hidden="false" customHeight="true" outlineLevel="0" collapsed="false">
      <c r="A350" s="15"/>
      <c r="B350" s="7"/>
      <c r="C350" s="7"/>
      <c r="D350" s="13"/>
      <c r="E350" s="7"/>
    </row>
    <row r="351" customFormat="false" ht="15" hidden="false" customHeight="true" outlineLevel="0" collapsed="false">
      <c r="A351" s="15"/>
      <c r="B351" s="7"/>
      <c r="C351" s="7"/>
      <c r="D351" s="13"/>
      <c r="E351" s="7"/>
    </row>
    <row r="352" customFormat="false" ht="15" hidden="false" customHeight="true" outlineLevel="0" collapsed="false">
      <c r="A352" s="15"/>
      <c r="B352" s="7"/>
      <c r="C352" s="7"/>
      <c r="D352" s="13"/>
      <c r="E352" s="7"/>
    </row>
    <row r="353" customFormat="false" ht="15" hidden="false" customHeight="true" outlineLevel="0" collapsed="false">
      <c r="A353" s="15"/>
      <c r="B353" s="7"/>
      <c r="C353" s="7"/>
      <c r="D353" s="13"/>
      <c r="E353" s="7"/>
    </row>
    <row r="354" customFormat="false" ht="15" hidden="false" customHeight="true" outlineLevel="0" collapsed="false">
      <c r="A354" s="15"/>
      <c r="B354" s="7"/>
      <c r="C354" s="7"/>
      <c r="D354" s="13"/>
      <c r="E354" s="7"/>
    </row>
    <row r="355" customFormat="false" ht="15" hidden="false" customHeight="true" outlineLevel="0" collapsed="false">
      <c r="A355" s="15"/>
      <c r="B355" s="7"/>
      <c r="C355" s="7"/>
      <c r="D355" s="13"/>
      <c r="E355" s="7"/>
    </row>
    <row r="356" customFormat="false" ht="15" hidden="false" customHeight="true" outlineLevel="0" collapsed="false">
      <c r="A356" s="15"/>
      <c r="B356" s="7"/>
      <c r="C356" s="7"/>
      <c r="D356" s="13"/>
      <c r="E356" s="7"/>
    </row>
    <row r="357" customFormat="false" ht="15" hidden="false" customHeight="true" outlineLevel="0" collapsed="false">
      <c r="A357" s="15"/>
      <c r="B357" s="7"/>
      <c r="C357" s="7"/>
      <c r="D357" s="13"/>
      <c r="E357" s="7"/>
    </row>
    <row r="358" customFormat="false" ht="15" hidden="false" customHeight="true" outlineLevel="0" collapsed="false">
      <c r="A358" s="15"/>
      <c r="B358" s="7"/>
      <c r="C358" s="7"/>
      <c r="D358" s="13"/>
      <c r="E358" s="7"/>
    </row>
    <row r="359" customFormat="false" ht="15" hidden="false" customHeight="true" outlineLevel="0" collapsed="false">
      <c r="A359" s="15"/>
      <c r="B359" s="7"/>
      <c r="C359" s="7"/>
      <c r="D359" s="13"/>
      <c r="E359" s="7"/>
    </row>
    <row r="360" customFormat="false" ht="15" hidden="false" customHeight="true" outlineLevel="0" collapsed="false">
      <c r="A360" s="15"/>
      <c r="B360" s="7"/>
      <c r="C360" s="7"/>
      <c r="D360" s="13"/>
      <c r="E360" s="7"/>
    </row>
    <row r="361" customFormat="false" ht="15" hidden="false" customHeight="true" outlineLevel="0" collapsed="false">
      <c r="A361" s="15"/>
      <c r="B361" s="7"/>
      <c r="C361" s="7"/>
      <c r="D361" s="13"/>
      <c r="E361" s="7"/>
    </row>
    <row r="362" customFormat="false" ht="15" hidden="false" customHeight="true" outlineLevel="0" collapsed="false">
      <c r="A362" s="15"/>
      <c r="B362" s="7"/>
      <c r="C362" s="7"/>
      <c r="D362" s="13"/>
      <c r="E362" s="7"/>
    </row>
    <row r="363" customFormat="false" ht="15" hidden="false" customHeight="true" outlineLevel="0" collapsed="false">
      <c r="A363" s="15"/>
      <c r="B363" s="7"/>
      <c r="C363" s="7"/>
      <c r="D363" s="13"/>
      <c r="E363" s="7"/>
    </row>
    <row r="364" customFormat="false" ht="15" hidden="false" customHeight="true" outlineLevel="0" collapsed="false">
      <c r="A364" s="15"/>
      <c r="B364" s="7"/>
      <c r="C364" s="7"/>
      <c r="D364" s="13"/>
      <c r="E364" s="7"/>
    </row>
    <row r="365" customFormat="false" ht="15" hidden="false" customHeight="true" outlineLevel="0" collapsed="false">
      <c r="A365" s="15"/>
      <c r="B365" s="7"/>
      <c r="C365" s="7"/>
      <c r="D365" s="13"/>
      <c r="E365" s="7"/>
    </row>
    <row r="366" customFormat="false" ht="15" hidden="false" customHeight="true" outlineLevel="0" collapsed="false">
      <c r="A366" s="15"/>
      <c r="B366" s="7"/>
      <c r="C366" s="7"/>
      <c r="D366" s="13"/>
      <c r="E366" s="7"/>
    </row>
    <row r="367" customFormat="false" ht="15" hidden="false" customHeight="true" outlineLevel="0" collapsed="false">
      <c r="A367" s="15"/>
      <c r="B367" s="7"/>
      <c r="C367" s="7"/>
      <c r="D367" s="13"/>
      <c r="E367" s="7"/>
    </row>
    <row r="368" customFormat="false" ht="15" hidden="false" customHeight="true" outlineLevel="0" collapsed="false">
      <c r="A368" s="15"/>
      <c r="B368" s="7"/>
      <c r="C368" s="7"/>
      <c r="D368" s="13"/>
      <c r="E368" s="7"/>
    </row>
    <row r="369" customFormat="false" ht="15" hidden="false" customHeight="true" outlineLevel="0" collapsed="false">
      <c r="A369" s="15"/>
      <c r="B369" s="7"/>
      <c r="C369" s="7"/>
      <c r="D369" s="13"/>
      <c r="E369" s="7"/>
    </row>
    <row r="370" customFormat="false" ht="15" hidden="false" customHeight="true" outlineLevel="0" collapsed="false">
      <c r="A370" s="15"/>
      <c r="B370" s="7"/>
      <c r="C370" s="7"/>
      <c r="D370" s="13"/>
      <c r="E370" s="7"/>
    </row>
    <row r="371" customFormat="false" ht="15" hidden="false" customHeight="true" outlineLevel="0" collapsed="false">
      <c r="A371" s="15"/>
      <c r="B371" s="7"/>
      <c r="C371" s="7"/>
      <c r="D371" s="13"/>
      <c r="E371" s="7"/>
    </row>
    <row r="372" customFormat="false" ht="15" hidden="false" customHeight="true" outlineLevel="0" collapsed="false">
      <c r="A372" s="15"/>
      <c r="B372" s="7"/>
      <c r="C372" s="7"/>
      <c r="D372" s="13"/>
      <c r="E372" s="7"/>
    </row>
    <row r="373" customFormat="false" ht="15" hidden="false" customHeight="true" outlineLevel="0" collapsed="false">
      <c r="A373" s="15"/>
      <c r="B373" s="7"/>
      <c r="C373" s="7"/>
      <c r="D373" s="13"/>
      <c r="E373" s="7"/>
    </row>
    <row r="374" customFormat="false" ht="15" hidden="false" customHeight="true" outlineLevel="0" collapsed="false">
      <c r="A374" s="15"/>
      <c r="B374" s="7"/>
      <c r="C374" s="7"/>
      <c r="D374" s="13"/>
      <c r="E374" s="7"/>
    </row>
    <row r="375" customFormat="false" ht="15" hidden="false" customHeight="true" outlineLevel="0" collapsed="false">
      <c r="A375" s="15"/>
      <c r="B375" s="7"/>
      <c r="C375" s="7"/>
      <c r="D375" s="13"/>
      <c r="E375" s="7"/>
    </row>
    <row r="376" customFormat="false" ht="15" hidden="false" customHeight="true" outlineLevel="0" collapsed="false">
      <c r="A376" s="15"/>
      <c r="B376" s="7"/>
      <c r="C376" s="7"/>
      <c r="D376" s="13"/>
      <c r="E376" s="7"/>
    </row>
    <row r="377" customFormat="false" ht="15" hidden="false" customHeight="true" outlineLevel="0" collapsed="false">
      <c r="A377" s="15"/>
      <c r="B377" s="7"/>
      <c r="C377" s="7"/>
      <c r="D377" s="13"/>
      <c r="E377" s="7"/>
    </row>
    <row r="378" customFormat="false" ht="15" hidden="false" customHeight="true" outlineLevel="0" collapsed="false">
      <c r="A378" s="15"/>
      <c r="B378" s="7"/>
      <c r="C378" s="7"/>
      <c r="D378" s="13"/>
      <c r="E378" s="7"/>
    </row>
    <row r="379" customFormat="false" ht="15" hidden="false" customHeight="true" outlineLevel="0" collapsed="false">
      <c r="A379" s="15"/>
      <c r="B379" s="7"/>
      <c r="C379" s="7"/>
      <c r="D379" s="13"/>
      <c r="E379" s="7"/>
    </row>
    <row r="380" customFormat="false" ht="15" hidden="false" customHeight="true" outlineLevel="0" collapsed="false">
      <c r="A380" s="15"/>
      <c r="B380" s="7"/>
      <c r="C380" s="7"/>
      <c r="D380" s="13"/>
      <c r="E380" s="7"/>
    </row>
    <row r="381" customFormat="false" ht="15" hidden="false" customHeight="true" outlineLevel="0" collapsed="false">
      <c r="A381" s="15"/>
      <c r="B381" s="7"/>
      <c r="C381" s="7"/>
      <c r="D381" s="13"/>
      <c r="E381" s="7"/>
    </row>
    <row r="382" customFormat="false" ht="15" hidden="false" customHeight="true" outlineLevel="0" collapsed="false">
      <c r="A382" s="15"/>
      <c r="B382" s="7"/>
      <c r="C382" s="7"/>
      <c r="D382" s="13"/>
      <c r="E382" s="7"/>
    </row>
    <row r="383" customFormat="false" ht="15" hidden="false" customHeight="true" outlineLevel="0" collapsed="false">
      <c r="A383" s="15"/>
      <c r="B383" s="7"/>
      <c r="C383" s="7"/>
      <c r="D383" s="13"/>
      <c r="E383" s="7"/>
    </row>
    <row r="384" customFormat="false" ht="15" hidden="false" customHeight="true" outlineLevel="0" collapsed="false">
      <c r="A384" s="15"/>
      <c r="B384" s="7"/>
      <c r="C384" s="7"/>
      <c r="D384" s="13"/>
      <c r="E384" s="7"/>
    </row>
    <row r="385" customFormat="false" ht="15" hidden="false" customHeight="true" outlineLevel="0" collapsed="false">
      <c r="A385" s="15"/>
      <c r="B385" s="7"/>
      <c r="C385" s="7"/>
      <c r="D385" s="13"/>
      <c r="E385" s="7"/>
    </row>
    <row r="386" customFormat="false" ht="15" hidden="false" customHeight="true" outlineLevel="0" collapsed="false">
      <c r="A386" s="15"/>
      <c r="B386" s="7"/>
      <c r="C386" s="7"/>
      <c r="D386" s="13"/>
      <c r="E386" s="7"/>
    </row>
    <row r="387" customFormat="false" ht="15" hidden="false" customHeight="true" outlineLevel="0" collapsed="false">
      <c r="A387" s="15"/>
      <c r="B387" s="7"/>
      <c r="C387" s="7"/>
      <c r="D387" s="13"/>
      <c r="E387" s="7"/>
    </row>
    <row r="388" customFormat="false" ht="15" hidden="false" customHeight="true" outlineLevel="0" collapsed="false">
      <c r="A388" s="15"/>
      <c r="B388" s="7"/>
      <c r="C388" s="7"/>
      <c r="D388" s="13"/>
      <c r="E388" s="7"/>
    </row>
    <row r="389" customFormat="false" ht="15" hidden="false" customHeight="true" outlineLevel="0" collapsed="false">
      <c r="A389" s="15"/>
      <c r="B389" s="7"/>
      <c r="C389" s="7"/>
      <c r="D389" s="13"/>
      <c r="E389" s="7"/>
    </row>
    <row r="390" customFormat="false" ht="15" hidden="false" customHeight="true" outlineLevel="0" collapsed="false">
      <c r="A390" s="15"/>
      <c r="B390" s="7"/>
      <c r="C390" s="7"/>
      <c r="D390" s="13"/>
      <c r="E390" s="7"/>
    </row>
    <row r="391" customFormat="false" ht="15" hidden="false" customHeight="true" outlineLevel="0" collapsed="false">
      <c r="A391" s="15"/>
      <c r="B391" s="7"/>
      <c r="C391" s="7"/>
      <c r="D391" s="13"/>
      <c r="E391" s="7"/>
    </row>
    <row r="392" customFormat="false" ht="15" hidden="false" customHeight="true" outlineLevel="0" collapsed="false">
      <c r="A392" s="15"/>
      <c r="B392" s="7"/>
      <c r="C392" s="7"/>
      <c r="D392" s="13"/>
      <c r="E392" s="7"/>
    </row>
    <row r="393" customFormat="false" ht="15" hidden="false" customHeight="true" outlineLevel="0" collapsed="false">
      <c r="A393" s="15"/>
      <c r="B393" s="7"/>
      <c r="C393" s="7"/>
      <c r="D393" s="13"/>
      <c r="E393" s="7"/>
    </row>
    <row r="394" customFormat="false" ht="15" hidden="false" customHeight="true" outlineLevel="0" collapsed="false">
      <c r="A394" s="15"/>
      <c r="B394" s="7"/>
      <c r="C394" s="7"/>
      <c r="D394" s="13"/>
      <c r="E394" s="7"/>
    </row>
    <row r="395" customFormat="false" ht="15" hidden="false" customHeight="true" outlineLevel="0" collapsed="false">
      <c r="A395" s="15"/>
      <c r="B395" s="7"/>
      <c r="C395" s="7"/>
      <c r="D395" s="13"/>
      <c r="E395" s="7"/>
    </row>
    <row r="396" customFormat="false" ht="15" hidden="false" customHeight="true" outlineLevel="0" collapsed="false">
      <c r="A396" s="15"/>
      <c r="B396" s="7"/>
      <c r="C396" s="7"/>
      <c r="D396" s="13"/>
      <c r="E396" s="7"/>
    </row>
    <row r="397" customFormat="false" ht="15" hidden="false" customHeight="true" outlineLevel="0" collapsed="false">
      <c r="A397" s="15"/>
      <c r="B397" s="7"/>
      <c r="C397" s="7"/>
      <c r="D397" s="13"/>
      <c r="E397" s="7"/>
    </row>
    <row r="398" customFormat="false" ht="15" hidden="false" customHeight="true" outlineLevel="0" collapsed="false">
      <c r="A398" s="15"/>
      <c r="B398" s="7"/>
      <c r="C398" s="7"/>
      <c r="D398" s="13"/>
      <c r="E398" s="7"/>
    </row>
    <row r="399" customFormat="false" ht="15" hidden="false" customHeight="true" outlineLevel="0" collapsed="false">
      <c r="A399" s="15"/>
      <c r="B399" s="7"/>
      <c r="C399" s="7"/>
      <c r="D399" s="13"/>
      <c r="E399" s="7"/>
    </row>
    <row r="400" customFormat="false" ht="15" hidden="false" customHeight="true" outlineLevel="0" collapsed="false">
      <c r="A400" s="15"/>
      <c r="B400" s="7"/>
      <c r="C400" s="7"/>
      <c r="D400" s="13"/>
      <c r="E400" s="7"/>
    </row>
    <row r="401" customFormat="false" ht="15" hidden="false" customHeight="true" outlineLevel="0" collapsed="false">
      <c r="A401" s="15"/>
      <c r="B401" s="7"/>
      <c r="C401" s="7"/>
      <c r="D401" s="13"/>
      <c r="E401" s="7"/>
    </row>
    <row r="402" customFormat="false" ht="15" hidden="false" customHeight="true" outlineLevel="0" collapsed="false">
      <c r="A402" s="15"/>
      <c r="B402" s="7"/>
      <c r="C402" s="7"/>
      <c r="D402" s="13"/>
      <c r="E402" s="7"/>
    </row>
    <row r="403" customFormat="false" ht="15" hidden="false" customHeight="true" outlineLevel="0" collapsed="false">
      <c r="A403" s="15"/>
      <c r="B403" s="7"/>
      <c r="C403" s="7"/>
      <c r="D403" s="13"/>
      <c r="E403" s="7"/>
    </row>
    <row r="404" customFormat="false" ht="15" hidden="false" customHeight="true" outlineLevel="0" collapsed="false">
      <c r="A404" s="15"/>
      <c r="B404" s="7"/>
      <c r="C404" s="7"/>
      <c r="D404" s="13"/>
      <c r="E404" s="7"/>
    </row>
    <row r="405" customFormat="false" ht="15" hidden="false" customHeight="true" outlineLevel="0" collapsed="false">
      <c r="A405" s="15"/>
      <c r="B405" s="7"/>
      <c r="C405" s="7"/>
      <c r="D405" s="13"/>
      <c r="E405" s="7"/>
    </row>
    <row r="406" customFormat="false" ht="15" hidden="false" customHeight="true" outlineLevel="0" collapsed="false">
      <c r="A406" s="15"/>
      <c r="B406" s="7"/>
      <c r="C406" s="7"/>
      <c r="D406" s="13"/>
      <c r="E406" s="7"/>
    </row>
    <row r="407" customFormat="false" ht="15" hidden="false" customHeight="true" outlineLevel="0" collapsed="false">
      <c r="A407" s="15"/>
      <c r="B407" s="7"/>
      <c r="C407" s="7"/>
      <c r="D407" s="13"/>
      <c r="E407" s="7"/>
    </row>
    <row r="408" customFormat="false" ht="15" hidden="false" customHeight="true" outlineLevel="0" collapsed="false">
      <c r="A408" s="15"/>
      <c r="B408" s="7"/>
      <c r="C408" s="7"/>
      <c r="D408" s="13"/>
      <c r="E408" s="7"/>
    </row>
    <row r="409" customFormat="false" ht="15" hidden="false" customHeight="true" outlineLevel="0" collapsed="false">
      <c r="A409" s="15"/>
      <c r="B409" s="7"/>
      <c r="C409" s="7"/>
      <c r="D409" s="13"/>
      <c r="E409" s="7"/>
    </row>
    <row r="410" customFormat="false" ht="15" hidden="false" customHeight="true" outlineLevel="0" collapsed="false">
      <c r="A410" s="15"/>
      <c r="B410" s="7"/>
      <c r="C410" s="7"/>
      <c r="D410" s="13"/>
      <c r="E410" s="7"/>
    </row>
    <row r="411" customFormat="false" ht="15" hidden="false" customHeight="true" outlineLevel="0" collapsed="false">
      <c r="A411" s="15"/>
      <c r="B411" s="7"/>
      <c r="C411" s="7"/>
      <c r="D411" s="13"/>
      <c r="E411" s="7"/>
    </row>
    <row r="412" customFormat="false" ht="15" hidden="false" customHeight="true" outlineLevel="0" collapsed="false">
      <c r="A412" s="15"/>
      <c r="B412" s="7"/>
      <c r="C412" s="7"/>
      <c r="D412" s="13"/>
      <c r="E412" s="7"/>
    </row>
    <row r="413" customFormat="false" ht="15" hidden="false" customHeight="true" outlineLevel="0" collapsed="false">
      <c r="A413" s="15"/>
      <c r="B413" s="7"/>
      <c r="C413" s="7"/>
      <c r="D413" s="13"/>
      <c r="E413" s="7"/>
    </row>
    <row r="414" customFormat="false" ht="15" hidden="false" customHeight="true" outlineLevel="0" collapsed="false">
      <c r="A414" s="15"/>
      <c r="B414" s="7"/>
      <c r="C414" s="7"/>
      <c r="D414" s="13"/>
      <c r="E414" s="7"/>
    </row>
    <row r="415" customFormat="false" ht="15" hidden="false" customHeight="true" outlineLevel="0" collapsed="false">
      <c r="A415" s="15"/>
      <c r="B415" s="7"/>
      <c r="C415" s="7"/>
      <c r="D415" s="13"/>
      <c r="E415" s="7"/>
    </row>
    <row r="416" customFormat="false" ht="15" hidden="false" customHeight="true" outlineLevel="0" collapsed="false">
      <c r="A416" s="15"/>
      <c r="B416" s="7"/>
      <c r="C416" s="7"/>
      <c r="D416" s="13"/>
      <c r="E416" s="7"/>
    </row>
    <row r="417" customFormat="false" ht="15" hidden="false" customHeight="true" outlineLevel="0" collapsed="false">
      <c r="A417" s="15"/>
      <c r="B417" s="7"/>
      <c r="C417" s="7"/>
      <c r="D417" s="13"/>
      <c r="E417" s="7"/>
    </row>
    <row r="418" customFormat="false" ht="15" hidden="false" customHeight="true" outlineLevel="0" collapsed="false">
      <c r="A418" s="15"/>
      <c r="B418" s="7"/>
      <c r="C418" s="7"/>
      <c r="D418" s="13"/>
      <c r="E418" s="7"/>
    </row>
    <row r="419" customFormat="false" ht="15" hidden="false" customHeight="true" outlineLevel="0" collapsed="false">
      <c r="A419" s="15"/>
      <c r="B419" s="7"/>
      <c r="C419" s="7"/>
      <c r="D419" s="13"/>
      <c r="E419" s="7"/>
    </row>
    <row r="420" customFormat="false" ht="15" hidden="false" customHeight="true" outlineLevel="0" collapsed="false">
      <c r="A420" s="15"/>
      <c r="B420" s="7"/>
      <c r="C420" s="7"/>
      <c r="D420" s="13"/>
      <c r="E420" s="7"/>
    </row>
    <row r="421" customFormat="false" ht="15" hidden="false" customHeight="true" outlineLevel="0" collapsed="false">
      <c r="A421" s="15"/>
      <c r="B421" s="7"/>
      <c r="C421" s="7"/>
      <c r="D421" s="13"/>
      <c r="E421" s="7"/>
    </row>
    <row r="422" customFormat="false" ht="15" hidden="false" customHeight="true" outlineLevel="0" collapsed="false">
      <c r="A422" s="15"/>
      <c r="B422" s="7"/>
      <c r="C422" s="7"/>
      <c r="D422" s="13"/>
      <c r="E422" s="7"/>
    </row>
    <row r="423" customFormat="false" ht="15" hidden="false" customHeight="true" outlineLevel="0" collapsed="false">
      <c r="A423" s="15"/>
      <c r="B423" s="7"/>
      <c r="C423" s="7"/>
      <c r="D423" s="13"/>
      <c r="E423" s="7"/>
    </row>
    <row r="424" customFormat="false" ht="15" hidden="false" customHeight="true" outlineLevel="0" collapsed="false">
      <c r="A424" s="15"/>
      <c r="B424" s="7"/>
      <c r="C424" s="7"/>
      <c r="D424" s="13"/>
      <c r="E424" s="7"/>
    </row>
    <row r="425" customFormat="false" ht="15" hidden="false" customHeight="true" outlineLevel="0" collapsed="false">
      <c r="A425" s="15"/>
      <c r="B425" s="7"/>
      <c r="C425" s="7"/>
      <c r="D425" s="13"/>
      <c r="E425" s="7"/>
    </row>
    <row r="426" customFormat="false" ht="15" hidden="false" customHeight="true" outlineLevel="0" collapsed="false">
      <c r="A426" s="15"/>
      <c r="B426" s="7"/>
      <c r="C426" s="7"/>
      <c r="D426" s="13"/>
      <c r="E426" s="7"/>
    </row>
    <row r="427" customFormat="false" ht="15" hidden="false" customHeight="true" outlineLevel="0" collapsed="false">
      <c r="A427" s="15"/>
      <c r="B427" s="7"/>
      <c r="C427" s="7"/>
      <c r="D427" s="13"/>
      <c r="E427" s="7"/>
    </row>
    <row r="428" customFormat="false" ht="15" hidden="false" customHeight="true" outlineLevel="0" collapsed="false">
      <c r="A428" s="15"/>
      <c r="B428" s="7"/>
      <c r="C428" s="7"/>
      <c r="D428" s="13"/>
      <c r="E428" s="7"/>
    </row>
    <row r="429" customFormat="false" ht="15" hidden="false" customHeight="true" outlineLevel="0" collapsed="false">
      <c r="A429" s="15"/>
      <c r="B429" s="7"/>
      <c r="C429" s="7"/>
      <c r="D429" s="13"/>
      <c r="E429" s="7"/>
    </row>
    <row r="430" customFormat="false" ht="15" hidden="false" customHeight="true" outlineLevel="0" collapsed="false">
      <c r="A430" s="15"/>
      <c r="B430" s="7"/>
      <c r="C430" s="7"/>
      <c r="D430" s="13"/>
      <c r="E430" s="7"/>
    </row>
    <row r="431" customFormat="false" ht="15" hidden="false" customHeight="true" outlineLevel="0" collapsed="false">
      <c r="A431" s="15"/>
      <c r="B431" s="7"/>
      <c r="C431" s="7"/>
      <c r="D431" s="13"/>
      <c r="E431" s="7"/>
    </row>
    <row r="432" customFormat="false" ht="15" hidden="false" customHeight="true" outlineLevel="0" collapsed="false">
      <c r="A432" s="15"/>
      <c r="B432" s="7"/>
      <c r="C432" s="7"/>
      <c r="D432" s="13"/>
      <c r="E432" s="7"/>
    </row>
    <row r="433" customFormat="false" ht="15" hidden="false" customHeight="true" outlineLevel="0" collapsed="false">
      <c r="A433" s="15"/>
      <c r="B433" s="7"/>
      <c r="C433" s="7"/>
      <c r="D433" s="13"/>
      <c r="E433" s="7"/>
    </row>
    <row r="434" customFormat="false" ht="15" hidden="false" customHeight="true" outlineLevel="0" collapsed="false">
      <c r="A434" s="15"/>
      <c r="B434" s="7"/>
      <c r="C434" s="7"/>
      <c r="D434" s="13"/>
      <c r="E434" s="7"/>
    </row>
    <row r="435" customFormat="false" ht="15" hidden="false" customHeight="true" outlineLevel="0" collapsed="false">
      <c r="A435" s="15"/>
      <c r="B435" s="7"/>
      <c r="C435" s="7"/>
      <c r="D435" s="13"/>
      <c r="E435" s="7"/>
    </row>
    <row r="436" customFormat="false" ht="15" hidden="false" customHeight="true" outlineLevel="0" collapsed="false">
      <c r="A436" s="15"/>
      <c r="B436" s="7"/>
      <c r="C436" s="7"/>
      <c r="D436" s="13"/>
      <c r="E436" s="7"/>
    </row>
    <row r="437" customFormat="false" ht="15" hidden="false" customHeight="true" outlineLevel="0" collapsed="false">
      <c r="A437" s="15"/>
      <c r="B437" s="7"/>
      <c r="C437" s="7"/>
      <c r="D437" s="13"/>
      <c r="E437" s="7"/>
    </row>
    <row r="438" customFormat="false" ht="15" hidden="false" customHeight="true" outlineLevel="0" collapsed="false">
      <c r="A438" s="15"/>
      <c r="B438" s="7"/>
      <c r="C438" s="7"/>
      <c r="D438" s="13"/>
      <c r="E438" s="7"/>
    </row>
    <row r="439" customFormat="false" ht="15" hidden="false" customHeight="true" outlineLevel="0" collapsed="false">
      <c r="A439" s="15"/>
      <c r="B439" s="7"/>
      <c r="C439" s="7"/>
      <c r="D439" s="13"/>
      <c r="E439" s="7"/>
    </row>
    <row r="440" customFormat="false" ht="15" hidden="false" customHeight="true" outlineLevel="0" collapsed="false">
      <c r="A440" s="15"/>
      <c r="B440" s="7"/>
      <c r="C440" s="7"/>
      <c r="D440" s="13"/>
      <c r="E440" s="7"/>
    </row>
    <row r="441" customFormat="false" ht="15" hidden="false" customHeight="true" outlineLevel="0" collapsed="false">
      <c r="A441" s="15"/>
      <c r="B441" s="7"/>
      <c r="C441" s="7"/>
      <c r="D441" s="13"/>
      <c r="E441" s="7"/>
    </row>
    <row r="442" customFormat="false" ht="15" hidden="false" customHeight="true" outlineLevel="0" collapsed="false">
      <c r="A442" s="15"/>
      <c r="B442" s="7"/>
      <c r="C442" s="7"/>
      <c r="D442" s="13"/>
      <c r="E442" s="7"/>
    </row>
    <row r="443" customFormat="false" ht="15" hidden="false" customHeight="true" outlineLevel="0" collapsed="false">
      <c r="A443" s="15"/>
      <c r="B443" s="7"/>
      <c r="C443" s="7"/>
      <c r="D443" s="13"/>
      <c r="E443" s="7"/>
    </row>
    <row r="444" customFormat="false" ht="15" hidden="false" customHeight="true" outlineLevel="0" collapsed="false">
      <c r="A444" s="15"/>
      <c r="B444" s="7"/>
      <c r="C444" s="7"/>
      <c r="D444" s="13"/>
      <c r="E444" s="7"/>
    </row>
    <row r="445" customFormat="false" ht="15" hidden="false" customHeight="true" outlineLevel="0" collapsed="false">
      <c r="A445" s="15"/>
      <c r="B445" s="7"/>
      <c r="C445" s="7"/>
      <c r="D445" s="13"/>
      <c r="E445" s="7"/>
    </row>
    <row r="446" customFormat="false" ht="15" hidden="false" customHeight="true" outlineLevel="0" collapsed="false">
      <c r="A446" s="15"/>
      <c r="B446" s="7"/>
      <c r="C446" s="7"/>
      <c r="D446" s="13"/>
      <c r="E446" s="7"/>
    </row>
    <row r="447" customFormat="false" ht="15" hidden="false" customHeight="true" outlineLevel="0" collapsed="false">
      <c r="A447" s="15"/>
      <c r="B447" s="7"/>
      <c r="C447" s="7"/>
      <c r="D447" s="13"/>
      <c r="E447" s="7"/>
    </row>
    <row r="448" customFormat="false" ht="15" hidden="false" customHeight="true" outlineLevel="0" collapsed="false">
      <c r="A448" s="15"/>
      <c r="B448" s="7"/>
      <c r="C448" s="7"/>
      <c r="D448" s="13"/>
      <c r="E448" s="7"/>
    </row>
    <row r="449" customFormat="false" ht="15" hidden="false" customHeight="true" outlineLevel="0" collapsed="false">
      <c r="A449" s="15"/>
      <c r="B449" s="7"/>
      <c r="C449" s="7"/>
      <c r="D449" s="13"/>
      <c r="E449" s="7"/>
    </row>
    <row r="450" customFormat="false" ht="15" hidden="false" customHeight="true" outlineLevel="0" collapsed="false">
      <c r="A450" s="15"/>
      <c r="B450" s="7"/>
      <c r="C450" s="7"/>
      <c r="D450" s="13"/>
      <c r="E450" s="7"/>
    </row>
    <row r="451" customFormat="false" ht="15" hidden="false" customHeight="true" outlineLevel="0" collapsed="false">
      <c r="A451" s="15"/>
      <c r="B451" s="7"/>
      <c r="C451" s="7"/>
      <c r="D451" s="13"/>
      <c r="E451" s="7"/>
    </row>
    <row r="452" customFormat="false" ht="15" hidden="false" customHeight="true" outlineLevel="0" collapsed="false">
      <c r="A452" s="15"/>
      <c r="B452" s="7"/>
      <c r="C452" s="7"/>
      <c r="D452" s="13"/>
      <c r="E452" s="7"/>
    </row>
    <row r="453" customFormat="false" ht="15" hidden="false" customHeight="true" outlineLevel="0" collapsed="false">
      <c r="A453" s="15"/>
      <c r="B453" s="7"/>
      <c r="C453" s="7"/>
      <c r="D453" s="13"/>
      <c r="E453" s="7"/>
    </row>
    <row r="454" customFormat="false" ht="15" hidden="false" customHeight="true" outlineLevel="0" collapsed="false">
      <c r="A454" s="15"/>
      <c r="B454" s="7"/>
      <c r="C454" s="7"/>
      <c r="D454" s="13"/>
      <c r="E454" s="7"/>
    </row>
    <row r="455" customFormat="false" ht="15" hidden="false" customHeight="true" outlineLevel="0" collapsed="false">
      <c r="A455" s="15"/>
      <c r="B455" s="7"/>
      <c r="C455" s="7"/>
      <c r="D455" s="13"/>
      <c r="E455" s="7"/>
    </row>
    <row r="456" customFormat="false" ht="15" hidden="false" customHeight="true" outlineLevel="0" collapsed="false">
      <c r="A456" s="15"/>
      <c r="B456" s="7"/>
      <c r="C456" s="7"/>
      <c r="D456" s="13"/>
      <c r="E456" s="7"/>
    </row>
    <row r="457" customFormat="false" ht="15" hidden="false" customHeight="true" outlineLevel="0" collapsed="false">
      <c r="A457" s="15"/>
      <c r="B457" s="7"/>
      <c r="C457" s="7"/>
      <c r="D457" s="13"/>
      <c r="E457" s="7"/>
    </row>
    <row r="458" customFormat="false" ht="15" hidden="false" customHeight="true" outlineLevel="0" collapsed="false">
      <c r="A458" s="15"/>
      <c r="B458" s="7"/>
      <c r="C458" s="7"/>
      <c r="D458" s="13"/>
      <c r="E458" s="7"/>
    </row>
    <row r="459" customFormat="false" ht="15" hidden="false" customHeight="true" outlineLevel="0" collapsed="false">
      <c r="A459" s="15"/>
      <c r="B459" s="7"/>
      <c r="C459" s="7"/>
      <c r="D459" s="13"/>
      <c r="E459" s="7"/>
    </row>
    <row r="460" customFormat="false" ht="15" hidden="false" customHeight="true" outlineLevel="0" collapsed="false">
      <c r="A460" s="15"/>
      <c r="B460" s="7"/>
      <c r="C460" s="7"/>
      <c r="D460" s="13"/>
      <c r="E460" s="7"/>
    </row>
    <row r="461" customFormat="false" ht="15" hidden="false" customHeight="true" outlineLevel="0" collapsed="false">
      <c r="A461" s="15"/>
      <c r="B461" s="7"/>
      <c r="C461" s="7"/>
      <c r="D461" s="13"/>
      <c r="E461" s="7"/>
    </row>
    <row r="462" customFormat="false" ht="15" hidden="false" customHeight="true" outlineLevel="0" collapsed="false">
      <c r="A462" s="15"/>
      <c r="B462" s="7"/>
      <c r="C462" s="7"/>
      <c r="D462" s="13"/>
      <c r="E462" s="7"/>
    </row>
    <row r="463" customFormat="false" ht="15" hidden="false" customHeight="true" outlineLevel="0" collapsed="false">
      <c r="A463" s="15"/>
      <c r="B463" s="7"/>
      <c r="C463" s="7"/>
      <c r="D463" s="13"/>
      <c r="E463" s="7"/>
    </row>
    <row r="464" customFormat="false" ht="15" hidden="false" customHeight="true" outlineLevel="0" collapsed="false">
      <c r="A464" s="15"/>
      <c r="B464" s="7"/>
      <c r="C464" s="7"/>
      <c r="D464" s="13"/>
      <c r="E464" s="7"/>
    </row>
    <row r="465" customFormat="false" ht="15" hidden="false" customHeight="true" outlineLevel="0" collapsed="false">
      <c r="A465" s="15"/>
      <c r="B465" s="7"/>
      <c r="C465" s="7"/>
      <c r="D465" s="13"/>
      <c r="E465" s="7"/>
    </row>
    <row r="466" customFormat="false" ht="15" hidden="false" customHeight="true" outlineLevel="0" collapsed="false">
      <c r="A466" s="15"/>
      <c r="B466" s="7"/>
      <c r="C466" s="7"/>
      <c r="D466" s="13"/>
      <c r="E466" s="7"/>
    </row>
    <row r="467" customFormat="false" ht="15" hidden="false" customHeight="true" outlineLevel="0" collapsed="false">
      <c r="A467" s="15"/>
      <c r="B467" s="7"/>
      <c r="C467" s="7"/>
      <c r="D467" s="13"/>
      <c r="E467" s="7"/>
    </row>
    <row r="468" customFormat="false" ht="15" hidden="false" customHeight="true" outlineLevel="0" collapsed="false">
      <c r="A468" s="15"/>
      <c r="B468" s="7"/>
      <c r="C468" s="7"/>
      <c r="D468" s="13"/>
      <c r="E468" s="7"/>
    </row>
    <row r="469" customFormat="false" ht="15" hidden="false" customHeight="true" outlineLevel="0" collapsed="false">
      <c r="A469" s="15"/>
      <c r="B469" s="7"/>
      <c r="C469" s="7"/>
      <c r="D469" s="13"/>
      <c r="E469" s="7"/>
    </row>
    <row r="470" customFormat="false" ht="15" hidden="false" customHeight="true" outlineLevel="0" collapsed="false">
      <c r="A470" s="15"/>
      <c r="B470" s="7"/>
      <c r="C470" s="7"/>
      <c r="D470" s="13"/>
      <c r="E470" s="7"/>
    </row>
    <row r="471" customFormat="false" ht="15" hidden="false" customHeight="true" outlineLevel="0" collapsed="false">
      <c r="A471" s="15"/>
      <c r="B471" s="7"/>
      <c r="C471" s="7"/>
      <c r="D471" s="13"/>
      <c r="E471" s="7"/>
    </row>
    <row r="472" customFormat="false" ht="15" hidden="false" customHeight="true" outlineLevel="0" collapsed="false">
      <c r="A472" s="15"/>
      <c r="B472" s="7"/>
      <c r="C472" s="7"/>
      <c r="D472" s="13"/>
      <c r="E472" s="7"/>
    </row>
    <row r="473" customFormat="false" ht="15" hidden="false" customHeight="true" outlineLevel="0" collapsed="false">
      <c r="A473" s="15"/>
      <c r="B473" s="7"/>
      <c r="C473" s="7"/>
      <c r="D473" s="13"/>
      <c r="E473" s="7"/>
    </row>
    <row r="474" customFormat="false" ht="15" hidden="false" customHeight="true" outlineLevel="0" collapsed="false">
      <c r="A474" s="15"/>
      <c r="B474" s="7"/>
      <c r="C474" s="7"/>
      <c r="D474" s="13"/>
      <c r="E474" s="7"/>
    </row>
    <row r="475" customFormat="false" ht="15" hidden="false" customHeight="true" outlineLevel="0" collapsed="false">
      <c r="A475" s="15"/>
      <c r="B475" s="7"/>
      <c r="C475" s="7"/>
      <c r="D475" s="13"/>
      <c r="E475" s="7"/>
    </row>
    <row r="476" customFormat="false" ht="15" hidden="false" customHeight="true" outlineLevel="0" collapsed="false">
      <c r="A476" s="15"/>
      <c r="B476" s="7"/>
      <c r="C476" s="7"/>
      <c r="D476" s="13"/>
      <c r="E476" s="7"/>
    </row>
    <row r="477" customFormat="false" ht="15" hidden="false" customHeight="true" outlineLevel="0" collapsed="false">
      <c r="A477" s="15"/>
      <c r="B477" s="7"/>
      <c r="C477" s="7"/>
      <c r="D477" s="13"/>
      <c r="E477" s="7"/>
    </row>
    <row r="478" customFormat="false" ht="15" hidden="false" customHeight="true" outlineLevel="0" collapsed="false">
      <c r="A478" s="15"/>
      <c r="B478" s="7"/>
      <c r="C478" s="7"/>
      <c r="D478" s="13"/>
      <c r="E478" s="7"/>
    </row>
    <row r="479" customFormat="false" ht="15" hidden="false" customHeight="true" outlineLevel="0" collapsed="false">
      <c r="A479" s="15"/>
      <c r="B479" s="7"/>
      <c r="C479" s="7"/>
      <c r="D479" s="13"/>
      <c r="E479" s="7"/>
    </row>
    <row r="480" customFormat="false" ht="15" hidden="false" customHeight="true" outlineLevel="0" collapsed="false">
      <c r="A480" s="15"/>
      <c r="B480" s="7"/>
      <c r="C480" s="7"/>
      <c r="D480" s="13"/>
      <c r="E480" s="7"/>
    </row>
    <row r="481" customFormat="false" ht="15" hidden="false" customHeight="true" outlineLevel="0" collapsed="false">
      <c r="A481" s="15"/>
      <c r="B481" s="7"/>
      <c r="C481" s="7"/>
      <c r="D481" s="13"/>
      <c r="E481" s="7"/>
    </row>
    <row r="482" customFormat="false" ht="15" hidden="false" customHeight="true" outlineLevel="0" collapsed="false">
      <c r="A482" s="15"/>
      <c r="B482" s="7"/>
      <c r="C482" s="7"/>
      <c r="D482" s="13"/>
      <c r="E482" s="7"/>
    </row>
    <row r="483" customFormat="false" ht="15" hidden="false" customHeight="true" outlineLevel="0" collapsed="false">
      <c r="A483" s="15"/>
      <c r="B483" s="7"/>
      <c r="C483" s="7"/>
      <c r="D483" s="13"/>
      <c r="E483" s="7"/>
    </row>
    <row r="484" customFormat="false" ht="15" hidden="false" customHeight="true" outlineLevel="0" collapsed="false">
      <c r="A484" s="15"/>
      <c r="B484" s="7"/>
      <c r="C484" s="7"/>
      <c r="D484" s="13"/>
      <c r="E484" s="7"/>
    </row>
    <row r="485" customFormat="false" ht="15" hidden="false" customHeight="true" outlineLevel="0" collapsed="false">
      <c r="A485" s="15"/>
      <c r="B485" s="7"/>
      <c r="C485" s="7"/>
      <c r="D485" s="13"/>
      <c r="E485" s="7"/>
    </row>
    <row r="486" customFormat="false" ht="15" hidden="false" customHeight="true" outlineLevel="0" collapsed="false">
      <c r="A486" s="15"/>
      <c r="B486" s="7"/>
      <c r="C486" s="7"/>
      <c r="D486" s="13"/>
      <c r="E486" s="7"/>
    </row>
    <row r="487" customFormat="false" ht="15" hidden="false" customHeight="true" outlineLevel="0" collapsed="false">
      <c r="A487" s="15"/>
      <c r="B487" s="7"/>
      <c r="C487" s="7"/>
      <c r="D487" s="13"/>
      <c r="E487" s="7"/>
    </row>
    <row r="488" customFormat="false" ht="15" hidden="false" customHeight="true" outlineLevel="0" collapsed="false">
      <c r="A488" s="15"/>
      <c r="B488" s="7"/>
      <c r="C488" s="7"/>
      <c r="D488" s="13"/>
      <c r="E488" s="7"/>
    </row>
    <row r="489" customFormat="false" ht="15" hidden="false" customHeight="true" outlineLevel="0" collapsed="false">
      <c r="A489" s="15"/>
      <c r="B489" s="7"/>
      <c r="C489" s="7"/>
      <c r="D489" s="13"/>
      <c r="E489" s="7"/>
    </row>
    <row r="490" customFormat="false" ht="15" hidden="false" customHeight="true" outlineLevel="0" collapsed="false">
      <c r="A490" s="15"/>
      <c r="B490" s="7"/>
      <c r="C490" s="7"/>
      <c r="D490" s="13"/>
      <c r="E490" s="7"/>
    </row>
    <row r="491" customFormat="false" ht="15" hidden="false" customHeight="true" outlineLevel="0" collapsed="false">
      <c r="A491" s="15"/>
      <c r="B491" s="7"/>
      <c r="C491" s="7"/>
      <c r="D491" s="13"/>
      <c r="E491" s="7"/>
    </row>
    <row r="492" customFormat="false" ht="15" hidden="false" customHeight="true" outlineLevel="0" collapsed="false">
      <c r="A492" s="15"/>
      <c r="B492" s="7"/>
      <c r="C492" s="7"/>
      <c r="D492" s="13"/>
      <c r="E492" s="7"/>
    </row>
    <row r="493" customFormat="false" ht="15" hidden="false" customHeight="true" outlineLevel="0" collapsed="false">
      <c r="A493" s="15"/>
      <c r="B493" s="7"/>
      <c r="C493" s="7"/>
      <c r="D493" s="13"/>
      <c r="E493" s="7"/>
    </row>
    <row r="494" customFormat="false" ht="15" hidden="false" customHeight="true" outlineLevel="0" collapsed="false">
      <c r="A494" s="15"/>
      <c r="B494" s="7"/>
      <c r="C494" s="7"/>
      <c r="D494" s="13"/>
      <c r="E494" s="7"/>
    </row>
    <row r="495" customFormat="false" ht="15" hidden="false" customHeight="true" outlineLevel="0" collapsed="false">
      <c r="A495" s="15"/>
      <c r="B495" s="7"/>
      <c r="C495" s="7"/>
      <c r="D495" s="13"/>
      <c r="E495" s="7"/>
    </row>
    <row r="496" customFormat="false" ht="15" hidden="false" customHeight="true" outlineLevel="0" collapsed="false">
      <c r="A496" s="15"/>
      <c r="B496" s="7"/>
      <c r="C496" s="7"/>
      <c r="D496" s="13"/>
      <c r="E496" s="7"/>
    </row>
    <row r="497" customFormat="false" ht="15" hidden="false" customHeight="true" outlineLevel="0" collapsed="false">
      <c r="A497" s="15"/>
      <c r="B497" s="7"/>
      <c r="C497" s="7"/>
      <c r="D497" s="13"/>
      <c r="E497" s="7"/>
    </row>
    <row r="498" customFormat="false" ht="15" hidden="false" customHeight="true" outlineLevel="0" collapsed="false">
      <c r="A498" s="15"/>
      <c r="B498" s="7"/>
      <c r="C498" s="7"/>
      <c r="D498" s="13"/>
      <c r="E498" s="7"/>
    </row>
    <row r="499" customFormat="false" ht="15" hidden="false" customHeight="true" outlineLevel="0" collapsed="false">
      <c r="A499" s="15"/>
      <c r="B499" s="7"/>
      <c r="C499" s="7"/>
      <c r="D499" s="13"/>
      <c r="E499" s="7"/>
    </row>
    <row r="500" customFormat="false" ht="15" hidden="false" customHeight="true" outlineLevel="0" collapsed="false">
      <c r="A500" s="15"/>
      <c r="B500" s="7"/>
      <c r="C500" s="7"/>
      <c r="D500" s="13"/>
      <c r="E500" s="7"/>
    </row>
    <row r="501" customFormat="false" ht="15" hidden="false" customHeight="true" outlineLevel="0" collapsed="false">
      <c r="A501" s="15"/>
      <c r="B501" s="7"/>
      <c r="C501" s="7"/>
      <c r="D501" s="13"/>
      <c r="E501" s="7"/>
    </row>
    <row r="502" customFormat="false" ht="15" hidden="false" customHeight="true" outlineLevel="0" collapsed="false">
      <c r="A502" s="15"/>
      <c r="B502" s="7"/>
      <c r="C502" s="7"/>
      <c r="D502" s="13"/>
      <c r="E502" s="7"/>
    </row>
    <row r="503" customFormat="false" ht="15" hidden="false" customHeight="true" outlineLevel="0" collapsed="false">
      <c r="A503" s="15"/>
      <c r="B503" s="7"/>
      <c r="C503" s="7"/>
      <c r="D503" s="13"/>
      <c r="E503" s="7"/>
    </row>
    <row r="504" customFormat="false" ht="15" hidden="false" customHeight="true" outlineLevel="0" collapsed="false">
      <c r="A504" s="15"/>
      <c r="B504" s="7"/>
      <c r="C504" s="7"/>
      <c r="D504" s="13"/>
      <c r="E504" s="7"/>
    </row>
    <row r="505" customFormat="false" ht="15" hidden="false" customHeight="true" outlineLevel="0" collapsed="false">
      <c r="A505" s="15"/>
      <c r="B505" s="7"/>
      <c r="C505" s="7"/>
      <c r="D505" s="13"/>
      <c r="E505" s="7"/>
    </row>
    <row r="506" customFormat="false" ht="15" hidden="false" customHeight="true" outlineLevel="0" collapsed="false">
      <c r="A506" s="15"/>
      <c r="B506" s="7"/>
      <c r="C506" s="7"/>
      <c r="D506" s="13"/>
      <c r="E506" s="7"/>
    </row>
    <row r="507" customFormat="false" ht="15" hidden="false" customHeight="true" outlineLevel="0" collapsed="false">
      <c r="A507" s="15"/>
      <c r="B507" s="7"/>
      <c r="C507" s="7"/>
      <c r="D507" s="13"/>
      <c r="E507" s="7"/>
    </row>
    <row r="508" customFormat="false" ht="15" hidden="false" customHeight="true" outlineLevel="0" collapsed="false">
      <c r="A508" s="15"/>
      <c r="B508" s="7"/>
      <c r="C508" s="7"/>
      <c r="D508" s="13"/>
      <c r="E508" s="7"/>
    </row>
    <row r="509" customFormat="false" ht="15" hidden="false" customHeight="true" outlineLevel="0" collapsed="false">
      <c r="A509" s="15"/>
      <c r="B509" s="7"/>
      <c r="C509" s="7"/>
      <c r="D509" s="13"/>
      <c r="E509" s="7"/>
    </row>
    <row r="510" customFormat="false" ht="15" hidden="false" customHeight="true" outlineLevel="0" collapsed="false">
      <c r="A510" s="15"/>
      <c r="B510" s="7"/>
      <c r="C510" s="7"/>
      <c r="D510" s="13"/>
      <c r="E510" s="7"/>
    </row>
    <row r="511" customFormat="false" ht="15" hidden="false" customHeight="true" outlineLevel="0" collapsed="false">
      <c r="A511" s="15"/>
      <c r="B511" s="7"/>
      <c r="C511" s="7"/>
      <c r="D511" s="13"/>
      <c r="E511" s="7"/>
    </row>
    <row r="512" customFormat="false" ht="15" hidden="false" customHeight="true" outlineLevel="0" collapsed="false">
      <c r="A512" s="15"/>
      <c r="B512" s="7"/>
      <c r="C512" s="7"/>
      <c r="D512" s="13"/>
      <c r="E512" s="7"/>
    </row>
    <row r="513" customFormat="false" ht="15" hidden="false" customHeight="true" outlineLevel="0" collapsed="false">
      <c r="A513" s="15"/>
      <c r="B513" s="7"/>
      <c r="C513" s="7"/>
      <c r="D513" s="13"/>
      <c r="E513" s="7"/>
    </row>
    <row r="514" customFormat="false" ht="15" hidden="false" customHeight="true" outlineLevel="0" collapsed="false">
      <c r="A514" s="15"/>
      <c r="B514" s="7"/>
      <c r="C514" s="7"/>
      <c r="D514" s="13"/>
      <c r="E514" s="7"/>
    </row>
    <row r="515" customFormat="false" ht="15" hidden="false" customHeight="true" outlineLevel="0" collapsed="false">
      <c r="A515" s="15"/>
      <c r="B515" s="7"/>
      <c r="C515" s="7"/>
      <c r="D515" s="13"/>
      <c r="E515" s="7"/>
    </row>
    <row r="516" customFormat="false" ht="15" hidden="false" customHeight="true" outlineLevel="0" collapsed="false">
      <c r="A516" s="15"/>
      <c r="B516" s="7"/>
      <c r="C516" s="7"/>
      <c r="D516" s="13"/>
      <c r="E516" s="7"/>
    </row>
    <row r="517" customFormat="false" ht="15" hidden="false" customHeight="true" outlineLevel="0" collapsed="false">
      <c r="A517" s="15"/>
      <c r="B517" s="7"/>
      <c r="C517" s="7"/>
      <c r="D517" s="13"/>
      <c r="E517" s="7"/>
    </row>
    <row r="518" customFormat="false" ht="15" hidden="false" customHeight="true" outlineLevel="0" collapsed="false">
      <c r="A518" s="15"/>
      <c r="B518" s="7"/>
      <c r="C518" s="7"/>
      <c r="D518" s="13"/>
      <c r="E518" s="7"/>
    </row>
    <row r="519" customFormat="false" ht="15" hidden="false" customHeight="true" outlineLevel="0" collapsed="false">
      <c r="A519" s="15"/>
      <c r="B519" s="7"/>
      <c r="C519" s="7"/>
      <c r="D519" s="13"/>
      <c r="E519" s="7"/>
    </row>
    <row r="520" customFormat="false" ht="15" hidden="false" customHeight="true" outlineLevel="0" collapsed="false">
      <c r="A520" s="15"/>
      <c r="B520" s="7"/>
      <c r="C520" s="7"/>
      <c r="D520" s="13"/>
      <c r="E520" s="7"/>
    </row>
    <row r="521" customFormat="false" ht="15" hidden="false" customHeight="true" outlineLevel="0" collapsed="false">
      <c r="A521" s="15"/>
      <c r="B521" s="7"/>
      <c r="C521" s="7"/>
      <c r="D521" s="13"/>
      <c r="E521" s="7"/>
    </row>
    <row r="522" customFormat="false" ht="15" hidden="false" customHeight="true" outlineLevel="0" collapsed="false">
      <c r="A522" s="15"/>
      <c r="B522" s="7"/>
      <c r="C522" s="7"/>
      <c r="D522" s="13"/>
      <c r="E522" s="7"/>
    </row>
    <row r="523" customFormat="false" ht="15" hidden="false" customHeight="true" outlineLevel="0" collapsed="false">
      <c r="A523" s="15"/>
      <c r="B523" s="7"/>
      <c r="C523" s="7"/>
      <c r="D523" s="13"/>
      <c r="E523" s="7"/>
    </row>
    <row r="524" customFormat="false" ht="15" hidden="false" customHeight="true" outlineLevel="0" collapsed="false">
      <c r="A524" s="15"/>
      <c r="B524" s="7"/>
      <c r="C524" s="7"/>
      <c r="D524" s="13"/>
      <c r="E524" s="7"/>
    </row>
    <row r="525" customFormat="false" ht="15" hidden="false" customHeight="true" outlineLevel="0" collapsed="false">
      <c r="A525" s="15"/>
      <c r="B525" s="7"/>
      <c r="C525" s="7"/>
      <c r="D525" s="13"/>
      <c r="E525" s="7"/>
    </row>
    <row r="526" customFormat="false" ht="15" hidden="false" customHeight="true" outlineLevel="0" collapsed="false">
      <c r="A526" s="15"/>
      <c r="B526" s="7"/>
      <c r="C526" s="7"/>
      <c r="D526" s="13"/>
      <c r="E526" s="7"/>
    </row>
    <row r="527" customFormat="false" ht="15" hidden="false" customHeight="true" outlineLevel="0" collapsed="false">
      <c r="A527" s="15"/>
      <c r="B527" s="7"/>
      <c r="C527" s="7"/>
      <c r="D527" s="13"/>
      <c r="E527" s="7"/>
    </row>
    <row r="528" customFormat="false" ht="15" hidden="false" customHeight="true" outlineLevel="0" collapsed="false">
      <c r="A528" s="15"/>
      <c r="B528" s="7"/>
      <c r="C528" s="7"/>
      <c r="D528" s="13"/>
      <c r="E528" s="7"/>
    </row>
    <row r="529" customFormat="false" ht="15" hidden="false" customHeight="true" outlineLevel="0" collapsed="false">
      <c r="A529" s="15"/>
      <c r="B529" s="7"/>
      <c r="C529" s="7"/>
      <c r="D529" s="13"/>
      <c r="E529" s="7"/>
    </row>
    <row r="530" customFormat="false" ht="15" hidden="false" customHeight="true" outlineLevel="0" collapsed="false">
      <c r="A530" s="15"/>
      <c r="B530" s="7"/>
      <c r="C530" s="7"/>
      <c r="D530" s="13"/>
      <c r="E530" s="7"/>
    </row>
    <row r="531" customFormat="false" ht="15" hidden="false" customHeight="true" outlineLevel="0" collapsed="false">
      <c r="A531" s="15"/>
      <c r="B531" s="7"/>
      <c r="C531" s="7"/>
      <c r="D531" s="13"/>
      <c r="E531" s="7"/>
    </row>
    <row r="532" customFormat="false" ht="15" hidden="false" customHeight="true" outlineLevel="0" collapsed="false">
      <c r="A532" s="15"/>
      <c r="B532" s="7"/>
      <c r="C532" s="7"/>
      <c r="D532" s="13"/>
      <c r="E532" s="7"/>
    </row>
    <row r="533" customFormat="false" ht="15" hidden="false" customHeight="true" outlineLevel="0" collapsed="false">
      <c r="A533" s="15"/>
      <c r="B533" s="7"/>
      <c r="C533" s="7"/>
      <c r="D533" s="13"/>
      <c r="E533" s="7"/>
    </row>
    <row r="534" customFormat="false" ht="15" hidden="false" customHeight="true" outlineLevel="0" collapsed="false">
      <c r="A534" s="15"/>
      <c r="B534" s="7"/>
      <c r="C534" s="7"/>
      <c r="D534" s="13"/>
      <c r="E534" s="7"/>
    </row>
    <row r="535" customFormat="false" ht="15" hidden="false" customHeight="true" outlineLevel="0" collapsed="false">
      <c r="A535" s="15"/>
      <c r="B535" s="7"/>
      <c r="C535" s="7"/>
      <c r="D535" s="13"/>
      <c r="E535" s="7"/>
    </row>
    <row r="536" customFormat="false" ht="15" hidden="false" customHeight="true" outlineLevel="0" collapsed="false">
      <c r="A536" s="15"/>
      <c r="B536" s="7"/>
      <c r="C536" s="7"/>
      <c r="D536" s="13"/>
      <c r="E536" s="7"/>
    </row>
    <row r="537" customFormat="false" ht="15" hidden="false" customHeight="true" outlineLevel="0" collapsed="false">
      <c r="A537" s="15"/>
      <c r="B537" s="7"/>
      <c r="C537" s="7"/>
      <c r="D537" s="13"/>
      <c r="E537" s="7"/>
    </row>
    <row r="538" customFormat="false" ht="15" hidden="false" customHeight="true" outlineLevel="0" collapsed="false">
      <c r="A538" s="15"/>
      <c r="B538" s="7"/>
      <c r="C538" s="7"/>
      <c r="D538" s="13"/>
      <c r="E538" s="7"/>
    </row>
    <row r="539" customFormat="false" ht="15" hidden="false" customHeight="true" outlineLevel="0" collapsed="false">
      <c r="A539" s="15"/>
      <c r="B539" s="7"/>
      <c r="C539" s="7"/>
      <c r="D539" s="13"/>
      <c r="E539" s="7"/>
    </row>
    <row r="540" customFormat="false" ht="15" hidden="false" customHeight="true" outlineLevel="0" collapsed="false">
      <c r="A540" s="15"/>
      <c r="B540" s="7"/>
      <c r="C540" s="7"/>
      <c r="D540" s="13"/>
      <c r="E540" s="7"/>
    </row>
    <row r="541" customFormat="false" ht="15" hidden="false" customHeight="true" outlineLevel="0" collapsed="false">
      <c r="A541" s="15"/>
      <c r="B541" s="7"/>
      <c r="C541" s="7"/>
      <c r="D541" s="13"/>
      <c r="E541" s="7"/>
    </row>
    <row r="542" customFormat="false" ht="15" hidden="false" customHeight="true" outlineLevel="0" collapsed="false">
      <c r="A542" s="15"/>
      <c r="B542" s="7"/>
      <c r="C542" s="7"/>
      <c r="D542" s="13"/>
      <c r="E542" s="7"/>
    </row>
    <row r="543" customFormat="false" ht="15" hidden="false" customHeight="true" outlineLevel="0" collapsed="false">
      <c r="A543" s="15"/>
      <c r="B543" s="7"/>
      <c r="C543" s="7"/>
      <c r="D543" s="13"/>
      <c r="E543" s="7"/>
    </row>
    <row r="544" customFormat="false" ht="15" hidden="false" customHeight="true" outlineLevel="0" collapsed="false">
      <c r="A544" s="15"/>
      <c r="B544" s="7"/>
      <c r="C544" s="7"/>
      <c r="D544" s="13"/>
      <c r="E544" s="7"/>
    </row>
    <row r="545" customFormat="false" ht="15" hidden="false" customHeight="true" outlineLevel="0" collapsed="false">
      <c r="A545" s="15"/>
      <c r="B545" s="7"/>
      <c r="C545" s="7"/>
      <c r="D545" s="13"/>
      <c r="E545" s="7"/>
    </row>
    <row r="546" customFormat="false" ht="15" hidden="false" customHeight="true" outlineLevel="0" collapsed="false">
      <c r="A546" s="15"/>
      <c r="B546" s="7"/>
      <c r="C546" s="7"/>
      <c r="D546" s="13"/>
      <c r="E546" s="7"/>
    </row>
    <row r="547" customFormat="false" ht="15" hidden="false" customHeight="true" outlineLevel="0" collapsed="false">
      <c r="A547" s="15"/>
      <c r="B547" s="7"/>
      <c r="C547" s="7"/>
      <c r="D547" s="13"/>
      <c r="E547" s="7"/>
    </row>
    <row r="548" customFormat="false" ht="15" hidden="false" customHeight="true" outlineLevel="0" collapsed="false">
      <c r="A548" s="15"/>
      <c r="B548" s="7"/>
      <c r="C548" s="7"/>
      <c r="D548" s="13"/>
      <c r="E548" s="7"/>
    </row>
    <row r="549" customFormat="false" ht="15" hidden="false" customHeight="true" outlineLevel="0" collapsed="false">
      <c r="A549" s="15"/>
      <c r="B549" s="7"/>
      <c r="C549" s="7"/>
      <c r="D549" s="13"/>
      <c r="E549" s="7"/>
    </row>
    <row r="550" customFormat="false" ht="15" hidden="false" customHeight="true" outlineLevel="0" collapsed="false">
      <c r="A550" s="15"/>
      <c r="B550" s="7"/>
      <c r="C550" s="7"/>
      <c r="D550" s="13"/>
      <c r="E550" s="7"/>
    </row>
    <row r="551" customFormat="false" ht="15" hidden="false" customHeight="true" outlineLevel="0" collapsed="false">
      <c r="A551" s="15"/>
      <c r="B551" s="7"/>
      <c r="C551" s="7"/>
      <c r="D551" s="13"/>
      <c r="E551" s="7"/>
    </row>
    <row r="552" customFormat="false" ht="15" hidden="false" customHeight="true" outlineLevel="0" collapsed="false">
      <c r="A552" s="15"/>
      <c r="B552" s="7"/>
      <c r="C552" s="7"/>
      <c r="D552" s="13"/>
      <c r="E552" s="7"/>
    </row>
    <row r="553" customFormat="false" ht="15" hidden="false" customHeight="true" outlineLevel="0" collapsed="false">
      <c r="A553" s="15"/>
      <c r="B553" s="7"/>
      <c r="C553" s="7"/>
      <c r="D553" s="13"/>
      <c r="E553" s="7"/>
    </row>
    <row r="554" customFormat="false" ht="15" hidden="false" customHeight="true" outlineLevel="0" collapsed="false">
      <c r="A554" s="15"/>
      <c r="B554" s="7"/>
      <c r="C554" s="7"/>
      <c r="D554" s="13"/>
      <c r="E554" s="7"/>
    </row>
    <row r="555" customFormat="false" ht="15" hidden="false" customHeight="true" outlineLevel="0" collapsed="false">
      <c r="A555" s="15"/>
      <c r="B555" s="7"/>
      <c r="C555" s="7"/>
      <c r="D555" s="13"/>
      <c r="E555" s="7"/>
    </row>
    <row r="556" customFormat="false" ht="15" hidden="false" customHeight="true" outlineLevel="0" collapsed="false">
      <c r="A556" s="15"/>
      <c r="B556" s="7"/>
      <c r="C556" s="7"/>
      <c r="D556" s="13"/>
      <c r="E556" s="7"/>
    </row>
    <row r="557" customFormat="false" ht="15" hidden="false" customHeight="true" outlineLevel="0" collapsed="false">
      <c r="A557" s="15"/>
      <c r="B557" s="7"/>
      <c r="C557" s="7"/>
      <c r="D557" s="13"/>
      <c r="E557" s="7"/>
    </row>
    <row r="558" customFormat="false" ht="15" hidden="false" customHeight="true" outlineLevel="0" collapsed="false">
      <c r="A558" s="15"/>
      <c r="B558" s="7"/>
      <c r="C558" s="7"/>
      <c r="D558" s="13"/>
      <c r="E558" s="7"/>
    </row>
    <row r="559" customFormat="false" ht="15" hidden="false" customHeight="true" outlineLevel="0" collapsed="false">
      <c r="A559" s="15"/>
      <c r="B559" s="7"/>
      <c r="C559" s="7"/>
      <c r="D559" s="13"/>
      <c r="E559" s="7"/>
    </row>
    <row r="560" customFormat="false" ht="15" hidden="false" customHeight="true" outlineLevel="0" collapsed="false">
      <c r="A560" s="15"/>
      <c r="B560" s="7"/>
      <c r="C560" s="7"/>
      <c r="D560" s="13"/>
      <c r="E560" s="7"/>
    </row>
    <row r="561" customFormat="false" ht="15" hidden="false" customHeight="true" outlineLevel="0" collapsed="false">
      <c r="A561" s="15"/>
      <c r="B561" s="7"/>
      <c r="C561" s="7"/>
      <c r="D561" s="13"/>
      <c r="E561" s="7"/>
    </row>
    <row r="562" customFormat="false" ht="15" hidden="false" customHeight="true" outlineLevel="0" collapsed="false">
      <c r="A562" s="15"/>
      <c r="B562" s="7"/>
      <c r="C562" s="7"/>
      <c r="D562" s="13"/>
      <c r="E562" s="7"/>
    </row>
    <row r="563" customFormat="false" ht="15" hidden="false" customHeight="true" outlineLevel="0" collapsed="false">
      <c r="A563" s="15"/>
      <c r="B563" s="7"/>
      <c r="C563" s="7"/>
      <c r="D563" s="13"/>
      <c r="E563" s="7"/>
    </row>
    <row r="564" customFormat="false" ht="15" hidden="false" customHeight="true" outlineLevel="0" collapsed="false">
      <c r="A564" s="15"/>
      <c r="B564" s="7"/>
      <c r="C564" s="7"/>
      <c r="D564" s="13"/>
      <c r="E564" s="7"/>
    </row>
    <row r="565" customFormat="false" ht="15" hidden="false" customHeight="true" outlineLevel="0" collapsed="false">
      <c r="A565" s="15"/>
      <c r="B565" s="7"/>
      <c r="C565" s="7"/>
      <c r="D565" s="13"/>
      <c r="E565" s="7"/>
    </row>
    <row r="566" customFormat="false" ht="15" hidden="false" customHeight="true" outlineLevel="0" collapsed="false">
      <c r="A566" s="15"/>
      <c r="B566" s="7"/>
      <c r="C566" s="7"/>
      <c r="D566" s="13"/>
      <c r="E566" s="7"/>
    </row>
    <row r="567" customFormat="false" ht="15" hidden="false" customHeight="true" outlineLevel="0" collapsed="false">
      <c r="A567" s="15"/>
      <c r="B567" s="7"/>
      <c r="C567" s="7"/>
      <c r="D567" s="13"/>
      <c r="E567" s="7"/>
    </row>
    <row r="568" customFormat="false" ht="15" hidden="false" customHeight="true" outlineLevel="0" collapsed="false">
      <c r="A568" s="15"/>
      <c r="B568" s="7"/>
      <c r="C568" s="7"/>
      <c r="D568" s="13"/>
      <c r="E568" s="7"/>
    </row>
    <row r="569" customFormat="false" ht="15" hidden="false" customHeight="true" outlineLevel="0" collapsed="false">
      <c r="A569" s="15"/>
      <c r="B569" s="7"/>
      <c r="C569" s="7"/>
      <c r="D569" s="13"/>
      <c r="E569" s="7"/>
    </row>
    <row r="570" customFormat="false" ht="15" hidden="false" customHeight="true" outlineLevel="0" collapsed="false">
      <c r="A570" s="15"/>
      <c r="B570" s="7"/>
      <c r="C570" s="7"/>
      <c r="D570" s="13"/>
      <c r="E570" s="7"/>
    </row>
    <row r="571" customFormat="false" ht="15" hidden="false" customHeight="true" outlineLevel="0" collapsed="false">
      <c r="A571" s="15"/>
      <c r="B571" s="7"/>
      <c r="C571" s="7"/>
      <c r="D571" s="13"/>
      <c r="E571" s="7"/>
    </row>
    <row r="572" customFormat="false" ht="15" hidden="false" customHeight="true" outlineLevel="0" collapsed="false">
      <c r="A572" s="15"/>
      <c r="B572" s="7"/>
      <c r="C572" s="7"/>
      <c r="D572" s="13"/>
      <c r="E572" s="7"/>
    </row>
    <row r="573" customFormat="false" ht="15" hidden="false" customHeight="true" outlineLevel="0" collapsed="false">
      <c r="A573" s="15"/>
      <c r="B573" s="7"/>
      <c r="C573" s="7"/>
      <c r="D573" s="13"/>
      <c r="E573" s="7"/>
    </row>
    <row r="574" customFormat="false" ht="15" hidden="false" customHeight="true" outlineLevel="0" collapsed="false">
      <c r="A574" s="15"/>
      <c r="B574" s="7"/>
      <c r="C574" s="7"/>
      <c r="D574" s="13"/>
      <c r="E574" s="7"/>
    </row>
    <row r="575" customFormat="false" ht="15" hidden="false" customHeight="true" outlineLevel="0" collapsed="false">
      <c r="A575" s="15"/>
      <c r="B575" s="7"/>
      <c r="C575" s="7"/>
      <c r="D575" s="13"/>
      <c r="E575" s="7"/>
    </row>
    <row r="576" customFormat="false" ht="15" hidden="false" customHeight="true" outlineLevel="0" collapsed="false">
      <c r="A576" s="15"/>
      <c r="B576" s="7"/>
      <c r="C576" s="7"/>
      <c r="D576" s="13"/>
      <c r="E576" s="7"/>
    </row>
    <row r="577" customFormat="false" ht="15" hidden="false" customHeight="true" outlineLevel="0" collapsed="false">
      <c r="A577" s="15"/>
      <c r="B577" s="7"/>
      <c r="C577" s="7"/>
      <c r="D577" s="13"/>
      <c r="E577" s="7"/>
    </row>
    <row r="578" customFormat="false" ht="15" hidden="false" customHeight="true" outlineLevel="0" collapsed="false">
      <c r="A578" s="15"/>
      <c r="B578" s="7"/>
      <c r="C578" s="7"/>
      <c r="D578" s="13"/>
      <c r="E578" s="7"/>
    </row>
    <row r="579" customFormat="false" ht="15" hidden="false" customHeight="true" outlineLevel="0" collapsed="false">
      <c r="A579" s="15"/>
      <c r="B579" s="7"/>
      <c r="C579" s="7"/>
      <c r="D579" s="13"/>
      <c r="E579" s="7"/>
    </row>
    <row r="580" customFormat="false" ht="15" hidden="false" customHeight="true" outlineLevel="0" collapsed="false">
      <c r="A580" s="15"/>
      <c r="B580" s="7"/>
      <c r="C580" s="7"/>
      <c r="D580" s="13"/>
      <c r="E580" s="7"/>
    </row>
    <row r="581" customFormat="false" ht="15" hidden="false" customHeight="true" outlineLevel="0" collapsed="false">
      <c r="A581" s="15"/>
      <c r="B581" s="7"/>
      <c r="C581" s="7"/>
      <c r="D581" s="13"/>
      <c r="E581" s="7"/>
    </row>
    <row r="582" customFormat="false" ht="15" hidden="false" customHeight="true" outlineLevel="0" collapsed="false">
      <c r="A582" s="15"/>
      <c r="B582" s="7"/>
      <c r="C582" s="7"/>
      <c r="D582" s="13"/>
      <c r="E582" s="7"/>
    </row>
    <row r="583" customFormat="false" ht="15" hidden="false" customHeight="true" outlineLevel="0" collapsed="false">
      <c r="A583" s="15"/>
      <c r="B583" s="7"/>
      <c r="C583" s="7"/>
      <c r="D583" s="13"/>
      <c r="E583" s="7"/>
    </row>
    <row r="584" customFormat="false" ht="15" hidden="false" customHeight="true" outlineLevel="0" collapsed="false">
      <c r="A584" s="15"/>
      <c r="B584" s="7"/>
      <c r="C584" s="7"/>
      <c r="D584" s="13"/>
      <c r="E584" s="7"/>
    </row>
    <row r="585" customFormat="false" ht="15" hidden="false" customHeight="true" outlineLevel="0" collapsed="false">
      <c r="A585" s="15"/>
      <c r="B585" s="7"/>
      <c r="C585" s="7"/>
      <c r="D585" s="13"/>
      <c r="E585" s="7"/>
    </row>
    <row r="586" customFormat="false" ht="15" hidden="false" customHeight="true" outlineLevel="0" collapsed="false">
      <c r="A586" s="15"/>
      <c r="B586" s="7"/>
      <c r="C586" s="7"/>
      <c r="D586" s="13"/>
      <c r="E586" s="7"/>
    </row>
    <row r="587" customFormat="false" ht="15" hidden="false" customHeight="true" outlineLevel="0" collapsed="false">
      <c r="A587" s="15"/>
      <c r="B587" s="7"/>
      <c r="C587" s="7"/>
      <c r="D587" s="13"/>
      <c r="E587" s="7"/>
    </row>
    <row r="588" customFormat="false" ht="15" hidden="false" customHeight="true" outlineLevel="0" collapsed="false">
      <c r="A588" s="15"/>
      <c r="B588" s="7"/>
      <c r="C588" s="7"/>
      <c r="D588" s="13"/>
      <c r="E588" s="7"/>
    </row>
    <row r="589" customFormat="false" ht="15" hidden="false" customHeight="true" outlineLevel="0" collapsed="false">
      <c r="A589" s="15"/>
      <c r="B589" s="7"/>
      <c r="C589" s="7"/>
      <c r="D589" s="13"/>
      <c r="E589" s="7"/>
    </row>
    <row r="590" customFormat="false" ht="15" hidden="false" customHeight="true" outlineLevel="0" collapsed="false">
      <c r="A590" s="15"/>
      <c r="B590" s="7"/>
      <c r="C590" s="7"/>
      <c r="D590" s="13"/>
      <c r="E590" s="7"/>
    </row>
    <row r="591" customFormat="false" ht="15" hidden="false" customHeight="true" outlineLevel="0" collapsed="false">
      <c r="A591" s="15"/>
      <c r="B591" s="7"/>
      <c r="C591" s="7"/>
      <c r="D591" s="13"/>
      <c r="E591" s="7"/>
    </row>
    <row r="592" customFormat="false" ht="15" hidden="false" customHeight="true" outlineLevel="0" collapsed="false">
      <c r="A592" s="15"/>
      <c r="B592" s="7"/>
      <c r="C592" s="7"/>
      <c r="D592" s="13"/>
      <c r="E592" s="7"/>
    </row>
    <row r="593" customFormat="false" ht="15" hidden="false" customHeight="true" outlineLevel="0" collapsed="false">
      <c r="A593" s="15"/>
      <c r="B593" s="7"/>
      <c r="C593" s="7"/>
      <c r="D593" s="13"/>
      <c r="E593" s="7"/>
    </row>
    <row r="594" customFormat="false" ht="15" hidden="false" customHeight="true" outlineLevel="0" collapsed="false">
      <c r="A594" s="15"/>
      <c r="B594" s="7"/>
      <c r="C594" s="7"/>
      <c r="D594" s="13"/>
      <c r="E594" s="7"/>
    </row>
    <row r="595" customFormat="false" ht="15" hidden="false" customHeight="true" outlineLevel="0" collapsed="false">
      <c r="A595" s="15"/>
      <c r="B595" s="7"/>
      <c r="C595" s="7"/>
      <c r="D595" s="13"/>
      <c r="E595" s="7"/>
    </row>
    <row r="596" customFormat="false" ht="15" hidden="false" customHeight="true" outlineLevel="0" collapsed="false">
      <c r="A596" s="15"/>
      <c r="B596" s="7"/>
      <c r="C596" s="7"/>
      <c r="D596" s="13"/>
      <c r="E596" s="7"/>
    </row>
    <row r="597" customFormat="false" ht="15" hidden="false" customHeight="true" outlineLevel="0" collapsed="false">
      <c r="A597" s="15"/>
      <c r="B597" s="7"/>
      <c r="C597" s="7"/>
      <c r="D597" s="13"/>
      <c r="E597" s="7"/>
    </row>
    <row r="598" customFormat="false" ht="15" hidden="false" customHeight="true" outlineLevel="0" collapsed="false">
      <c r="A598" s="15"/>
      <c r="B598" s="7"/>
      <c r="C598" s="7"/>
      <c r="D598" s="13"/>
      <c r="E598" s="7"/>
    </row>
    <row r="599" customFormat="false" ht="15" hidden="false" customHeight="true" outlineLevel="0" collapsed="false">
      <c r="A599" s="15"/>
      <c r="B599" s="7"/>
      <c r="C599" s="7"/>
      <c r="D599" s="13"/>
      <c r="E599" s="7"/>
    </row>
    <row r="600" customFormat="false" ht="15" hidden="false" customHeight="true" outlineLevel="0" collapsed="false">
      <c r="A600" s="15"/>
      <c r="B600" s="7"/>
      <c r="C600" s="7"/>
      <c r="D600" s="13"/>
      <c r="E600" s="7"/>
    </row>
    <row r="601" customFormat="false" ht="15" hidden="false" customHeight="true" outlineLevel="0" collapsed="false">
      <c r="A601" s="15"/>
      <c r="B601" s="7"/>
      <c r="C601" s="7"/>
      <c r="D601" s="13"/>
      <c r="E601" s="7"/>
    </row>
    <row r="602" customFormat="false" ht="15" hidden="false" customHeight="true" outlineLevel="0" collapsed="false">
      <c r="A602" s="15"/>
      <c r="B602" s="7"/>
      <c r="C602" s="7"/>
      <c r="D602" s="13"/>
      <c r="E602" s="7"/>
    </row>
    <row r="603" customFormat="false" ht="15" hidden="false" customHeight="true" outlineLevel="0" collapsed="false">
      <c r="A603" s="15"/>
      <c r="B603" s="7"/>
      <c r="C603" s="7"/>
      <c r="D603" s="13"/>
      <c r="E603" s="7"/>
    </row>
    <row r="604" customFormat="false" ht="15" hidden="false" customHeight="true" outlineLevel="0" collapsed="false">
      <c r="A604" s="15"/>
      <c r="B604" s="7"/>
      <c r="C604" s="7"/>
      <c r="D604" s="13"/>
      <c r="E604" s="7"/>
    </row>
    <row r="605" customFormat="false" ht="15" hidden="false" customHeight="true" outlineLevel="0" collapsed="false">
      <c r="A605" s="15"/>
      <c r="B605" s="7"/>
      <c r="C605" s="7"/>
      <c r="D605" s="13"/>
      <c r="E605" s="7"/>
    </row>
    <row r="606" customFormat="false" ht="15" hidden="false" customHeight="true" outlineLevel="0" collapsed="false">
      <c r="A606" s="15"/>
      <c r="B606" s="7"/>
      <c r="C606" s="7"/>
      <c r="D606" s="13"/>
      <c r="E606" s="7"/>
    </row>
    <row r="607" customFormat="false" ht="15" hidden="false" customHeight="true" outlineLevel="0" collapsed="false">
      <c r="A607" s="15"/>
      <c r="B607" s="7"/>
      <c r="C607" s="7"/>
      <c r="D607" s="13"/>
      <c r="E607" s="7"/>
    </row>
    <row r="608" customFormat="false" ht="15" hidden="false" customHeight="true" outlineLevel="0" collapsed="false">
      <c r="A608" s="15"/>
      <c r="B608" s="7"/>
      <c r="C608" s="7"/>
      <c r="D608" s="13"/>
      <c r="E608" s="7"/>
    </row>
    <row r="609" customFormat="false" ht="15" hidden="false" customHeight="true" outlineLevel="0" collapsed="false">
      <c r="A609" s="15"/>
      <c r="B609" s="7"/>
      <c r="C609" s="7"/>
      <c r="D609" s="13"/>
      <c r="E609" s="7"/>
    </row>
    <row r="610" customFormat="false" ht="15" hidden="false" customHeight="true" outlineLevel="0" collapsed="false">
      <c r="A610" s="15"/>
      <c r="B610" s="7"/>
      <c r="C610" s="7"/>
      <c r="D610" s="13"/>
      <c r="E610" s="7"/>
    </row>
    <row r="611" customFormat="false" ht="15" hidden="false" customHeight="true" outlineLevel="0" collapsed="false">
      <c r="A611" s="15"/>
      <c r="B611" s="7"/>
      <c r="C611" s="7"/>
      <c r="D611" s="13"/>
      <c r="E611" s="7"/>
    </row>
    <row r="612" customFormat="false" ht="15" hidden="false" customHeight="true" outlineLevel="0" collapsed="false">
      <c r="A612" s="15"/>
      <c r="B612" s="7"/>
      <c r="C612" s="7"/>
      <c r="D612" s="13"/>
      <c r="E612" s="7"/>
    </row>
    <row r="613" customFormat="false" ht="15" hidden="false" customHeight="true" outlineLevel="0" collapsed="false">
      <c r="A613" s="15"/>
      <c r="B613" s="7"/>
      <c r="C613" s="7"/>
      <c r="D613" s="13"/>
      <c r="E613" s="7"/>
    </row>
    <row r="614" customFormat="false" ht="15" hidden="false" customHeight="true" outlineLevel="0" collapsed="false">
      <c r="A614" s="15"/>
      <c r="B614" s="7"/>
      <c r="C614" s="7"/>
      <c r="D614" s="13"/>
      <c r="E614" s="7"/>
    </row>
    <row r="615" customFormat="false" ht="15" hidden="false" customHeight="true" outlineLevel="0" collapsed="false">
      <c r="A615" s="15"/>
      <c r="B615" s="7"/>
      <c r="C615" s="7"/>
      <c r="D615" s="13"/>
      <c r="E615" s="7"/>
    </row>
    <row r="616" customFormat="false" ht="15" hidden="false" customHeight="true" outlineLevel="0" collapsed="false">
      <c r="A616" s="15"/>
      <c r="B616" s="7"/>
      <c r="C616" s="7"/>
      <c r="D616" s="13"/>
      <c r="E616" s="7"/>
    </row>
    <row r="617" customFormat="false" ht="15" hidden="false" customHeight="true" outlineLevel="0" collapsed="false">
      <c r="A617" s="15"/>
      <c r="B617" s="7"/>
      <c r="C617" s="7"/>
      <c r="D617" s="13"/>
      <c r="E617" s="7"/>
    </row>
    <row r="618" customFormat="false" ht="15" hidden="false" customHeight="true" outlineLevel="0" collapsed="false">
      <c r="A618" s="15"/>
      <c r="B618" s="7"/>
      <c r="C618" s="7"/>
      <c r="D618" s="13"/>
      <c r="E618" s="7"/>
    </row>
    <row r="619" customFormat="false" ht="15" hidden="false" customHeight="true" outlineLevel="0" collapsed="false">
      <c r="A619" s="15"/>
      <c r="B619" s="7"/>
      <c r="C619" s="7"/>
      <c r="D619" s="13"/>
      <c r="E619" s="7"/>
    </row>
    <row r="620" customFormat="false" ht="15" hidden="false" customHeight="true" outlineLevel="0" collapsed="false">
      <c r="A620" s="15"/>
      <c r="B620" s="7"/>
      <c r="C620" s="7"/>
      <c r="D620" s="13"/>
      <c r="E620" s="7"/>
    </row>
    <row r="621" customFormat="false" ht="15" hidden="false" customHeight="true" outlineLevel="0" collapsed="false">
      <c r="A621" s="15"/>
      <c r="B621" s="7"/>
      <c r="C621" s="7"/>
      <c r="D621" s="13"/>
      <c r="E621" s="7"/>
    </row>
    <row r="622" customFormat="false" ht="15" hidden="false" customHeight="true" outlineLevel="0" collapsed="false">
      <c r="A622" s="15"/>
      <c r="B622" s="7"/>
      <c r="C622" s="7"/>
      <c r="D622" s="13"/>
      <c r="E622" s="7"/>
    </row>
    <row r="623" customFormat="false" ht="15" hidden="false" customHeight="true" outlineLevel="0" collapsed="false">
      <c r="A623" s="15"/>
      <c r="B623" s="7"/>
      <c r="C623" s="7"/>
      <c r="D623" s="13"/>
      <c r="E623" s="7"/>
    </row>
    <row r="624" customFormat="false" ht="15" hidden="false" customHeight="true" outlineLevel="0" collapsed="false">
      <c r="A624" s="15"/>
      <c r="B624" s="7"/>
      <c r="C624" s="7"/>
      <c r="D624" s="13"/>
      <c r="E624" s="7"/>
    </row>
    <row r="625" customFormat="false" ht="15" hidden="false" customHeight="true" outlineLevel="0" collapsed="false">
      <c r="A625" s="15"/>
      <c r="B625" s="7"/>
      <c r="C625" s="7"/>
      <c r="D625" s="13"/>
      <c r="E625" s="7"/>
    </row>
    <row r="626" customFormat="false" ht="15" hidden="false" customHeight="true" outlineLevel="0" collapsed="false">
      <c r="A626" s="15"/>
      <c r="B626" s="7"/>
      <c r="C626" s="7"/>
      <c r="D626" s="13"/>
      <c r="E626" s="7"/>
    </row>
    <row r="627" customFormat="false" ht="15" hidden="false" customHeight="true" outlineLevel="0" collapsed="false">
      <c r="A627" s="15"/>
      <c r="B627" s="7"/>
      <c r="C627" s="7"/>
      <c r="D627" s="13"/>
      <c r="E627" s="7"/>
    </row>
    <row r="628" customFormat="false" ht="15" hidden="false" customHeight="true" outlineLevel="0" collapsed="false">
      <c r="A628" s="15"/>
      <c r="B628" s="7"/>
      <c r="C628" s="7"/>
      <c r="D628" s="13"/>
      <c r="E628" s="7"/>
    </row>
    <row r="629" customFormat="false" ht="15" hidden="false" customHeight="true" outlineLevel="0" collapsed="false">
      <c r="A629" s="15"/>
      <c r="B629" s="7"/>
      <c r="C629" s="7"/>
      <c r="D629" s="13"/>
      <c r="E629" s="7"/>
    </row>
    <row r="630" customFormat="false" ht="15" hidden="false" customHeight="true" outlineLevel="0" collapsed="false">
      <c r="A630" s="15"/>
      <c r="B630" s="7"/>
      <c r="C630" s="7"/>
      <c r="D630" s="13"/>
      <c r="E630" s="7"/>
    </row>
    <row r="631" customFormat="false" ht="15" hidden="false" customHeight="true" outlineLevel="0" collapsed="false">
      <c r="A631" s="15"/>
      <c r="B631" s="7"/>
      <c r="C631" s="7"/>
      <c r="D631" s="13"/>
      <c r="E631" s="7"/>
    </row>
    <row r="632" customFormat="false" ht="15" hidden="false" customHeight="true" outlineLevel="0" collapsed="false">
      <c r="A632" s="15"/>
      <c r="B632" s="7"/>
      <c r="C632" s="7"/>
      <c r="D632" s="13"/>
      <c r="E632" s="7"/>
    </row>
    <row r="633" customFormat="false" ht="15" hidden="false" customHeight="true" outlineLevel="0" collapsed="false">
      <c r="A633" s="15"/>
      <c r="B633" s="7"/>
      <c r="C633" s="7"/>
      <c r="D633" s="13"/>
      <c r="E633" s="7"/>
    </row>
    <row r="634" customFormat="false" ht="15" hidden="false" customHeight="true" outlineLevel="0" collapsed="false">
      <c r="A634" s="15"/>
      <c r="B634" s="7"/>
      <c r="C634" s="7"/>
      <c r="D634" s="13"/>
      <c r="E634" s="7"/>
    </row>
    <row r="635" customFormat="false" ht="15" hidden="false" customHeight="true" outlineLevel="0" collapsed="false">
      <c r="A635" s="15"/>
      <c r="B635" s="7"/>
      <c r="C635" s="7"/>
      <c r="D635" s="13"/>
      <c r="E635" s="7"/>
    </row>
    <row r="636" customFormat="false" ht="15" hidden="false" customHeight="true" outlineLevel="0" collapsed="false">
      <c r="A636" s="15"/>
      <c r="B636" s="7"/>
      <c r="C636" s="7"/>
      <c r="D636" s="13"/>
      <c r="E636" s="7"/>
    </row>
    <row r="637" customFormat="false" ht="15" hidden="false" customHeight="true" outlineLevel="0" collapsed="false">
      <c r="A637" s="15"/>
      <c r="B637" s="7"/>
      <c r="C637" s="7"/>
      <c r="D637" s="13"/>
      <c r="E637" s="7"/>
    </row>
    <row r="638" customFormat="false" ht="15" hidden="false" customHeight="true" outlineLevel="0" collapsed="false">
      <c r="A638" s="15"/>
      <c r="B638" s="7"/>
      <c r="C638" s="7"/>
      <c r="D638" s="13"/>
      <c r="E638" s="7"/>
    </row>
    <row r="639" customFormat="false" ht="15" hidden="false" customHeight="true" outlineLevel="0" collapsed="false">
      <c r="A639" s="15"/>
      <c r="B639" s="7"/>
      <c r="C639" s="7"/>
      <c r="D639" s="13"/>
      <c r="E639" s="7"/>
    </row>
    <row r="640" customFormat="false" ht="15" hidden="false" customHeight="true" outlineLevel="0" collapsed="false">
      <c r="A640" s="15"/>
      <c r="B640" s="7"/>
      <c r="C640" s="7"/>
      <c r="D640" s="13"/>
      <c r="E640" s="7"/>
    </row>
    <row r="641" customFormat="false" ht="15" hidden="false" customHeight="true" outlineLevel="0" collapsed="false">
      <c r="A641" s="15"/>
      <c r="B641" s="7"/>
      <c r="C641" s="7"/>
      <c r="D641" s="13"/>
      <c r="E641" s="7"/>
    </row>
    <row r="642" customFormat="false" ht="15" hidden="false" customHeight="true" outlineLevel="0" collapsed="false">
      <c r="A642" s="15"/>
      <c r="B642" s="7"/>
      <c r="C642" s="7"/>
      <c r="D642" s="13"/>
      <c r="E642" s="7"/>
    </row>
    <row r="643" customFormat="false" ht="15" hidden="false" customHeight="true" outlineLevel="0" collapsed="false">
      <c r="A643" s="15"/>
      <c r="B643" s="7"/>
      <c r="C643" s="7"/>
      <c r="D643" s="13"/>
      <c r="E643" s="7"/>
    </row>
    <row r="644" customFormat="false" ht="15" hidden="false" customHeight="true" outlineLevel="0" collapsed="false">
      <c r="A644" s="15"/>
      <c r="B644" s="7"/>
      <c r="C644" s="7"/>
      <c r="D644" s="13"/>
      <c r="E644" s="7"/>
    </row>
    <row r="645" customFormat="false" ht="15" hidden="false" customHeight="true" outlineLevel="0" collapsed="false">
      <c r="A645" s="15"/>
      <c r="B645" s="7"/>
      <c r="C645" s="7"/>
      <c r="D645" s="13"/>
      <c r="E645" s="7"/>
    </row>
    <row r="646" customFormat="false" ht="15" hidden="false" customHeight="true" outlineLevel="0" collapsed="false">
      <c r="A646" s="15"/>
      <c r="B646" s="7"/>
      <c r="C646" s="7"/>
      <c r="D646" s="13"/>
      <c r="E646" s="7"/>
    </row>
    <row r="647" customFormat="false" ht="15" hidden="false" customHeight="true" outlineLevel="0" collapsed="false">
      <c r="A647" s="15"/>
      <c r="B647" s="7"/>
      <c r="C647" s="7"/>
      <c r="D647" s="13"/>
      <c r="E647" s="7"/>
    </row>
    <row r="648" customFormat="false" ht="15" hidden="false" customHeight="true" outlineLevel="0" collapsed="false">
      <c r="A648" s="15"/>
      <c r="B648" s="7"/>
      <c r="C648" s="7"/>
      <c r="D648" s="13"/>
      <c r="E648" s="7"/>
    </row>
    <row r="649" customFormat="false" ht="15" hidden="false" customHeight="true" outlineLevel="0" collapsed="false">
      <c r="A649" s="15"/>
      <c r="B649" s="7"/>
      <c r="C649" s="7"/>
      <c r="D649" s="13"/>
      <c r="E649" s="7"/>
    </row>
    <row r="650" customFormat="false" ht="15" hidden="false" customHeight="true" outlineLevel="0" collapsed="false">
      <c r="A650" s="15"/>
      <c r="B650" s="7"/>
      <c r="C650" s="7"/>
      <c r="D650" s="13"/>
      <c r="E650" s="7"/>
    </row>
    <row r="651" customFormat="false" ht="15" hidden="false" customHeight="true" outlineLevel="0" collapsed="false">
      <c r="A651" s="15"/>
      <c r="B651" s="7"/>
      <c r="C651" s="7"/>
      <c r="D651" s="13"/>
      <c r="E651" s="7"/>
    </row>
    <row r="652" customFormat="false" ht="15" hidden="false" customHeight="true" outlineLevel="0" collapsed="false">
      <c r="A652" s="15"/>
      <c r="B652" s="7"/>
      <c r="C652" s="7"/>
      <c r="D652" s="13"/>
      <c r="E652" s="7"/>
    </row>
    <row r="653" customFormat="false" ht="15" hidden="false" customHeight="true" outlineLevel="0" collapsed="false">
      <c r="A653" s="15"/>
      <c r="B653" s="7"/>
      <c r="C653" s="7"/>
      <c r="D653" s="13"/>
      <c r="E653" s="7"/>
    </row>
    <row r="654" customFormat="false" ht="15" hidden="false" customHeight="true" outlineLevel="0" collapsed="false">
      <c r="A654" s="15"/>
      <c r="B654" s="7"/>
      <c r="C654" s="7"/>
      <c r="D654" s="13"/>
      <c r="E654" s="7"/>
    </row>
    <row r="655" customFormat="false" ht="15" hidden="false" customHeight="true" outlineLevel="0" collapsed="false">
      <c r="A655" s="15"/>
      <c r="B655" s="7"/>
      <c r="C655" s="7"/>
      <c r="D655" s="13"/>
      <c r="E655" s="7"/>
    </row>
    <row r="656" customFormat="false" ht="15" hidden="false" customHeight="true" outlineLevel="0" collapsed="false">
      <c r="A656" s="15"/>
      <c r="B656" s="7"/>
      <c r="C656" s="7"/>
      <c r="D656" s="13"/>
      <c r="E656" s="7"/>
    </row>
    <row r="657" customFormat="false" ht="15" hidden="false" customHeight="true" outlineLevel="0" collapsed="false">
      <c r="A657" s="15"/>
      <c r="B657" s="7"/>
      <c r="C657" s="7"/>
      <c r="D657" s="13"/>
      <c r="E657" s="7"/>
    </row>
    <row r="658" customFormat="false" ht="15" hidden="false" customHeight="true" outlineLevel="0" collapsed="false">
      <c r="A658" s="15"/>
      <c r="B658" s="7"/>
      <c r="C658" s="7"/>
      <c r="D658" s="13"/>
      <c r="E658" s="7"/>
    </row>
    <row r="659" customFormat="false" ht="15" hidden="false" customHeight="true" outlineLevel="0" collapsed="false">
      <c r="A659" s="15"/>
      <c r="B659" s="7"/>
      <c r="C659" s="7"/>
      <c r="D659" s="13"/>
      <c r="E659" s="7"/>
    </row>
    <row r="660" customFormat="false" ht="15" hidden="false" customHeight="true" outlineLevel="0" collapsed="false">
      <c r="A660" s="15"/>
      <c r="B660" s="7"/>
      <c r="C660" s="7"/>
      <c r="D660" s="13"/>
      <c r="E660" s="7"/>
    </row>
    <row r="661" customFormat="false" ht="15" hidden="false" customHeight="true" outlineLevel="0" collapsed="false">
      <c r="A661" s="15"/>
      <c r="B661" s="7"/>
      <c r="C661" s="7"/>
      <c r="D661" s="13"/>
      <c r="E661" s="7"/>
    </row>
    <row r="662" customFormat="false" ht="15" hidden="false" customHeight="true" outlineLevel="0" collapsed="false">
      <c r="A662" s="15"/>
      <c r="B662" s="7"/>
      <c r="C662" s="7"/>
      <c r="D662" s="13"/>
      <c r="E662" s="7"/>
    </row>
    <row r="663" customFormat="false" ht="15" hidden="false" customHeight="true" outlineLevel="0" collapsed="false">
      <c r="A663" s="15"/>
      <c r="B663" s="7"/>
      <c r="C663" s="7"/>
      <c r="D663" s="13"/>
      <c r="E663" s="7"/>
    </row>
    <row r="664" customFormat="false" ht="15" hidden="false" customHeight="true" outlineLevel="0" collapsed="false">
      <c r="A664" s="15"/>
      <c r="B664" s="7"/>
      <c r="C664" s="7"/>
      <c r="D664" s="13"/>
      <c r="E664" s="7"/>
    </row>
    <row r="665" customFormat="false" ht="15" hidden="false" customHeight="true" outlineLevel="0" collapsed="false">
      <c r="A665" s="15"/>
      <c r="B665" s="7"/>
      <c r="C665" s="7"/>
      <c r="D665" s="13"/>
      <c r="E665" s="7"/>
    </row>
    <row r="666" customFormat="false" ht="15" hidden="false" customHeight="true" outlineLevel="0" collapsed="false">
      <c r="A666" s="15"/>
      <c r="B666" s="7"/>
      <c r="C666" s="7"/>
      <c r="D666" s="13"/>
      <c r="E666" s="7"/>
    </row>
    <row r="667" customFormat="false" ht="15" hidden="false" customHeight="true" outlineLevel="0" collapsed="false">
      <c r="A667" s="15"/>
      <c r="B667" s="7"/>
      <c r="C667" s="7"/>
      <c r="D667" s="13"/>
      <c r="E667" s="7"/>
    </row>
    <row r="668" customFormat="false" ht="15" hidden="false" customHeight="true" outlineLevel="0" collapsed="false">
      <c r="A668" s="15"/>
      <c r="B668" s="7"/>
      <c r="C668" s="7"/>
      <c r="D668" s="13"/>
      <c r="E668" s="7"/>
    </row>
    <row r="669" customFormat="false" ht="15" hidden="false" customHeight="true" outlineLevel="0" collapsed="false">
      <c r="A669" s="15"/>
      <c r="B669" s="7"/>
      <c r="C669" s="7"/>
      <c r="D669" s="13"/>
      <c r="E669" s="7"/>
    </row>
    <row r="670" customFormat="false" ht="15" hidden="false" customHeight="true" outlineLevel="0" collapsed="false">
      <c r="A670" s="15"/>
      <c r="B670" s="7"/>
      <c r="C670" s="7"/>
      <c r="D670" s="13"/>
      <c r="E670" s="7"/>
    </row>
    <row r="671" customFormat="false" ht="15" hidden="false" customHeight="true" outlineLevel="0" collapsed="false">
      <c r="A671" s="15"/>
      <c r="B671" s="7"/>
      <c r="C671" s="7"/>
      <c r="D671" s="13"/>
      <c r="E671" s="7"/>
    </row>
    <row r="672" customFormat="false" ht="15" hidden="false" customHeight="true" outlineLevel="0" collapsed="false">
      <c r="A672" s="15"/>
      <c r="B672" s="7"/>
      <c r="C672" s="7"/>
      <c r="D672" s="13"/>
      <c r="E672" s="7"/>
    </row>
    <row r="673" customFormat="false" ht="15" hidden="false" customHeight="true" outlineLevel="0" collapsed="false">
      <c r="A673" s="15"/>
      <c r="B673" s="7"/>
      <c r="C673" s="7"/>
      <c r="D673" s="13"/>
      <c r="E673" s="7"/>
    </row>
    <row r="674" customFormat="false" ht="15" hidden="false" customHeight="true" outlineLevel="0" collapsed="false">
      <c r="A674" s="15"/>
      <c r="B674" s="7"/>
      <c r="C674" s="7"/>
      <c r="D674" s="13"/>
      <c r="E674" s="7"/>
    </row>
    <row r="675" customFormat="false" ht="15" hidden="false" customHeight="true" outlineLevel="0" collapsed="false">
      <c r="A675" s="15"/>
      <c r="B675" s="7"/>
      <c r="C675" s="7"/>
      <c r="D675" s="13"/>
      <c r="E675" s="7"/>
    </row>
    <row r="676" customFormat="false" ht="15" hidden="false" customHeight="true" outlineLevel="0" collapsed="false">
      <c r="A676" s="15"/>
      <c r="B676" s="7"/>
      <c r="C676" s="7"/>
      <c r="D676" s="13"/>
      <c r="E676" s="7"/>
    </row>
    <row r="677" customFormat="false" ht="15" hidden="false" customHeight="true" outlineLevel="0" collapsed="false">
      <c r="A677" s="15"/>
      <c r="B677" s="7"/>
      <c r="C677" s="7"/>
      <c r="D677" s="13"/>
      <c r="E677" s="7"/>
    </row>
    <row r="678" customFormat="false" ht="15" hidden="false" customHeight="true" outlineLevel="0" collapsed="false">
      <c r="A678" s="15"/>
      <c r="B678" s="7"/>
      <c r="C678" s="7"/>
      <c r="D678" s="13"/>
      <c r="E678" s="7"/>
    </row>
    <row r="679" customFormat="false" ht="15" hidden="false" customHeight="true" outlineLevel="0" collapsed="false">
      <c r="A679" s="15"/>
      <c r="B679" s="7"/>
      <c r="C679" s="7"/>
      <c r="D679" s="13"/>
      <c r="E679" s="7"/>
    </row>
    <row r="680" customFormat="false" ht="15" hidden="false" customHeight="true" outlineLevel="0" collapsed="false">
      <c r="A680" s="15"/>
      <c r="B680" s="7"/>
      <c r="C680" s="7"/>
      <c r="D680" s="13"/>
      <c r="E680" s="7"/>
    </row>
    <row r="681" customFormat="false" ht="15" hidden="false" customHeight="true" outlineLevel="0" collapsed="false">
      <c r="A681" s="15"/>
      <c r="B681" s="7"/>
      <c r="C681" s="7"/>
      <c r="D681" s="13"/>
      <c r="E681" s="7"/>
    </row>
    <row r="682" customFormat="false" ht="15" hidden="false" customHeight="true" outlineLevel="0" collapsed="false">
      <c r="A682" s="15"/>
      <c r="B682" s="7"/>
      <c r="C682" s="7"/>
      <c r="D682" s="13"/>
      <c r="E682" s="7"/>
    </row>
    <row r="683" customFormat="false" ht="15" hidden="false" customHeight="true" outlineLevel="0" collapsed="false">
      <c r="A683" s="15"/>
      <c r="B683" s="7"/>
      <c r="C683" s="7"/>
      <c r="D683" s="13"/>
      <c r="E683" s="7"/>
    </row>
    <row r="684" customFormat="false" ht="15" hidden="false" customHeight="true" outlineLevel="0" collapsed="false">
      <c r="A684" s="15"/>
      <c r="B684" s="7"/>
      <c r="C684" s="7"/>
      <c r="D684" s="13"/>
      <c r="E684" s="7"/>
    </row>
    <row r="685" customFormat="false" ht="15" hidden="false" customHeight="true" outlineLevel="0" collapsed="false">
      <c r="A685" s="15"/>
      <c r="B685" s="7"/>
      <c r="C685" s="7"/>
      <c r="D685" s="13"/>
      <c r="E685" s="7"/>
    </row>
    <row r="686" customFormat="false" ht="15" hidden="false" customHeight="true" outlineLevel="0" collapsed="false">
      <c r="A686" s="15"/>
      <c r="B686" s="7"/>
      <c r="C686" s="7"/>
      <c r="D686" s="13"/>
      <c r="E686" s="7"/>
    </row>
    <row r="687" customFormat="false" ht="15" hidden="false" customHeight="true" outlineLevel="0" collapsed="false">
      <c r="A687" s="15"/>
      <c r="B687" s="7"/>
      <c r="C687" s="7"/>
      <c r="D687" s="13"/>
      <c r="E687" s="7"/>
    </row>
    <row r="688" customFormat="false" ht="15" hidden="false" customHeight="true" outlineLevel="0" collapsed="false">
      <c r="A688" s="15"/>
      <c r="B688" s="7"/>
      <c r="C688" s="7"/>
      <c r="D688" s="13"/>
      <c r="E688" s="7"/>
    </row>
    <row r="689" customFormat="false" ht="15" hidden="false" customHeight="true" outlineLevel="0" collapsed="false">
      <c r="A689" s="15"/>
      <c r="B689" s="7"/>
      <c r="C689" s="7"/>
      <c r="D689" s="13"/>
      <c r="E689" s="7"/>
    </row>
    <row r="690" customFormat="false" ht="15" hidden="false" customHeight="true" outlineLevel="0" collapsed="false">
      <c r="A690" s="15"/>
      <c r="B690" s="7"/>
      <c r="C690" s="7"/>
      <c r="D690" s="13"/>
      <c r="E690" s="7"/>
    </row>
    <row r="691" customFormat="false" ht="15" hidden="false" customHeight="true" outlineLevel="0" collapsed="false">
      <c r="A691" s="15"/>
      <c r="B691" s="7"/>
      <c r="C691" s="7"/>
      <c r="D691" s="13"/>
      <c r="E691" s="7"/>
    </row>
    <row r="692" customFormat="false" ht="15" hidden="false" customHeight="true" outlineLevel="0" collapsed="false">
      <c r="A692" s="15"/>
      <c r="B692" s="7"/>
      <c r="C692" s="7"/>
      <c r="D692" s="13"/>
      <c r="E692" s="7"/>
    </row>
    <row r="693" customFormat="false" ht="15" hidden="false" customHeight="true" outlineLevel="0" collapsed="false">
      <c r="A693" s="15"/>
      <c r="B693" s="7"/>
      <c r="C693" s="7"/>
      <c r="D693" s="13"/>
      <c r="E693" s="7"/>
    </row>
    <row r="694" customFormat="false" ht="15" hidden="false" customHeight="true" outlineLevel="0" collapsed="false">
      <c r="A694" s="15"/>
      <c r="B694" s="7"/>
      <c r="C694" s="7"/>
      <c r="D694" s="13"/>
      <c r="E694" s="7"/>
    </row>
    <row r="695" customFormat="false" ht="15" hidden="false" customHeight="true" outlineLevel="0" collapsed="false">
      <c r="A695" s="15"/>
      <c r="B695" s="7"/>
      <c r="C695" s="7"/>
      <c r="D695" s="13"/>
      <c r="E695" s="7"/>
    </row>
    <row r="696" customFormat="false" ht="15" hidden="false" customHeight="true" outlineLevel="0" collapsed="false">
      <c r="A696" s="15"/>
      <c r="B696" s="7"/>
      <c r="C696" s="7"/>
      <c r="D696" s="13"/>
      <c r="E696" s="7"/>
    </row>
    <row r="697" customFormat="false" ht="15" hidden="false" customHeight="true" outlineLevel="0" collapsed="false">
      <c r="A697" s="15"/>
      <c r="B697" s="7"/>
      <c r="C697" s="7"/>
      <c r="D697" s="13"/>
      <c r="E697" s="7"/>
    </row>
    <row r="698" customFormat="false" ht="15" hidden="false" customHeight="true" outlineLevel="0" collapsed="false">
      <c r="A698" s="15"/>
      <c r="B698" s="7"/>
      <c r="C698" s="7"/>
      <c r="D698" s="13"/>
      <c r="E698" s="7"/>
    </row>
    <row r="699" customFormat="false" ht="15" hidden="false" customHeight="true" outlineLevel="0" collapsed="false">
      <c r="A699" s="15"/>
      <c r="B699" s="7"/>
      <c r="C699" s="7"/>
      <c r="D699" s="13"/>
      <c r="E699" s="7"/>
    </row>
    <row r="700" customFormat="false" ht="15" hidden="false" customHeight="true" outlineLevel="0" collapsed="false">
      <c r="A700" s="15"/>
      <c r="B700" s="7"/>
      <c r="C700" s="7"/>
      <c r="D700" s="13"/>
      <c r="E700" s="7"/>
    </row>
    <row r="701" customFormat="false" ht="15" hidden="false" customHeight="true" outlineLevel="0" collapsed="false">
      <c r="A701" s="15"/>
      <c r="B701" s="7"/>
      <c r="C701" s="7"/>
      <c r="D701" s="13"/>
      <c r="E701" s="7"/>
    </row>
    <row r="702" customFormat="false" ht="15" hidden="false" customHeight="true" outlineLevel="0" collapsed="false">
      <c r="A702" s="15"/>
      <c r="B702" s="7"/>
      <c r="C702" s="7"/>
      <c r="D702" s="13"/>
      <c r="E702" s="7"/>
    </row>
    <row r="703" customFormat="false" ht="15" hidden="false" customHeight="true" outlineLevel="0" collapsed="false">
      <c r="A703" s="15"/>
      <c r="B703" s="7"/>
      <c r="C703" s="7"/>
      <c r="D703" s="13"/>
      <c r="E703" s="7"/>
    </row>
    <row r="704" customFormat="false" ht="15" hidden="false" customHeight="true" outlineLevel="0" collapsed="false">
      <c r="A704" s="15"/>
      <c r="B704" s="7"/>
      <c r="C704" s="7"/>
      <c r="D704" s="13"/>
      <c r="E704" s="7"/>
    </row>
    <row r="705" customFormat="false" ht="15" hidden="false" customHeight="true" outlineLevel="0" collapsed="false">
      <c r="A705" s="15"/>
      <c r="B705" s="7"/>
      <c r="C705" s="7"/>
      <c r="D705" s="13"/>
      <c r="E705" s="7"/>
    </row>
    <row r="706" customFormat="false" ht="15" hidden="false" customHeight="true" outlineLevel="0" collapsed="false">
      <c r="A706" s="15"/>
      <c r="B706" s="7"/>
      <c r="C706" s="7"/>
      <c r="D706" s="13"/>
      <c r="E706" s="7"/>
    </row>
    <row r="707" customFormat="false" ht="15" hidden="false" customHeight="true" outlineLevel="0" collapsed="false">
      <c r="A707" s="15"/>
      <c r="B707" s="7"/>
      <c r="C707" s="7"/>
      <c r="D707" s="13"/>
      <c r="E707" s="7"/>
    </row>
    <row r="708" customFormat="false" ht="15" hidden="false" customHeight="true" outlineLevel="0" collapsed="false">
      <c r="A708" s="15"/>
      <c r="B708" s="7"/>
      <c r="C708" s="7"/>
      <c r="D708" s="13"/>
      <c r="E708" s="7"/>
    </row>
    <row r="709" customFormat="false" ht="15" hidden="false" customHeight="true" outlineLevel="0" collapsed="false">
      <c r="A709" s="15"/>
      <c r="B709" s="7"/>
      <c r="C709" s="7"/>
      <c r="D709" s="13"/>
      <c r="E709" s="7"/>
    </row>
    <row r="710" customFormat="false" ht="15" hidden="false" customHeight="true" outlineLevel="0" collapsed="false">
      <c r="A710" s="15"/>
      <c r="B710" s="7"/>
      <c r="C710" s="7"/>
      <c r="D710" s="13"/>
      <c r="E710" s="7"/>
    </row>
    <row r="711" customFormat="false" ht="15" hidden="false" customHeight="true" outlineLevel="0" collapsed="false">
      <c r="A711" s="15"/>
      <c r="B711" s="7"/>
      <c r="C711" s="7"/>
      <c r="D711" s="13"/>
      <c r="E711" s="7"/>
    </row>
    <row r="712" customFormat="false" ht="15" hidden="false" customHeight="true" outlineLevel="0" collapsed="false">
      <c r="A712" s="15"/>
      <c r="B712" s="7"/>
      <c r="C712" s="7"/>
      <c r="D712" s="13"/>
      <c r="E712" s="7"/>
    </row>
    <row r="713" customFormat="false" ht="15" hidden="false" customHeight="true" outlineLevel="0" collapsed="false">
      <c r="A713" s="15"/>
      <c r="B713" s="7"/>
      <c r="C713" s="7"/>
      <c r="D713" s="13"/>
      <c r="E713" s="7"/>
    </row>
    <row r="714" customFormat="false" ht="15" hidden="false" customHeight="true" outlineLevel="0" collapsed="false">
      <c r="A714" s="15"/>
      <c r="B714" s="7"/>
      <c r="C714" s="7"/>
      <c r="D714" s="13"/>
      <c r="E714" s="7"/>
    </row>
    <row r="715" customFormat="false" ht="15" hidden="false" customHeight="true" outlineLevel="0" collapsed="false">
      <c r="A715" s="15"/>
      <c r="B715" s="7"/>
      <c r="C715" s="7"/>
      <c r="D715" s="13"/>
      <c r="E715" s="7"/>
    </row>
    <row r="716" customFormat="false" ht="15" hidden="false" customHeight="true" outlineLevel="0" collapsed="false">
      <c r="A716" s="15"/>
      <c r="B716" s="7"/>
      <c r="C716" s="7"/>
      <c r="D716" s="13"/>
      <c r="E716" s="7"/>
    </row>
    <row r="717" customFormat="false" ht="15" hidden="false" customHeight="true" outlineLevel="0" collapsed="false">
      <c r="A717" s="15"/>
      <c r="B717" s="7"/>
      <c r="C717" s="7"/>
      <c r="D717" s="13"/>
      <c r="E717" s="7"/>
    </row>
    <row r="718" customFormat="false" ht="15" hidden="false" customHeight="true" outlineLevel="0" collapsed="false">
      <c r="A718" s="15"/>
      <c r="B718" s="7"/>
      <c r="C718" s="7"/>
      <c r="D718" s="13"/>
      <c r="E718" s="7"/>
    </row>
    <row r="719" customFormat="false" ht="15" hidden="false" customHeight="true" outlineLevel="0" collapsed="false">
      <c r="A719" s="15"/>
      <c r="B719" s="7"/>
      <c r="C719" s="7"/>
      <c r="D719" s="13"/>
      <c r="E719" s="7"/>
    </row>
    <row r="720" customFormat="false" ht="15" hidden="false" customHeight="true" outlineLevel="0" collapsed="false">
      <c r="A720" s="15"/>
      <c r="B720" s="7"/>
      <c r="C720" s="7"/>
      <c r="D720" s="13"/>
      <c r="E720" s="7"/>
    </row>
    <row r="721" customFormat="false" ht="15" hidden="false" customHeight="true" outlineLevel="0" collapsed="false">
      <c r="A721" s="15"/>
      <c r="B721" s="7"/>
      <c r="C721" s="7"/>
      <c r="D721" s="13"/>
      <c r="E721" s="7"/>
    </row>
    <row r="722" customFormat="false" ht="15" hidden="false" customHeight="true" outlineLevel="0" collapsed="false">
      <c r="A722" s="15"/>
      <c r="B722" s="7"/>
      <c r="C722" s="7"/>
      <c r="D722" s="13"/>
      <c r="E722" s="7"/>
    </row>
    <row r="723" customFormat="false" ht="15" hidden="false" customHeight="true" outlineLevel="0" collapsed="false">
      <c r="A723" s="15"/>
      <c r="B723" s="7"/>
      <c r="C723" s="7"/>
      <c r="D723" s="13"/>
      <c r="E723" s="7"/>
    </row>
    <row r="724" customFormat="false" ht="15" hidden="false" customHeight="true" outlineLevel="0" collapsed="false">
      <c r="A724" s="15"/>
      <c r="B724" s="7"/>
      <c r="C724" s="7"/>
      <c r="D724" s="13"/>
      <c r="E724" s="7"/>
    </row>
    <row r="725" customFormat="false" ht="15" hidden="false" customHeight="true" outlineLevel="0" collapsed="false">
      <c r="A725" s="15"/>
      <c r="B725" s="7"/>
      <c r="C725" s="7"/>
      <c r="D725" s="13"/>
      <c r="E725" s="7"/>
    </row>
    <row r="726" customFormat="false" ht="15" hidden="false" customHeight="true" outlineLevel="0" collapsed="false">
      <c r="A726" s="15"/>
      <c r="B726" s="7"/>
      <c r="C726" s="7"/>
      <c r="D726" s="13"/>
      <c r="E726" s="7"/>
    </row>
    <row r="727" customFormat="false" ht="15" hidden="false" customHeight="true" outlineLevel="0" collapsed="false">
      <c r="A727" s="15"/>
      <c r="B727" s="7"/>
      <c r="C727" s="7"/>
      <c r="D727" s="13"/>
      <c r="E727" s="7"/>
    </row>
    <row r="728" customFormat="false" ht="15" hidden="false" customHeight="true" outlineLevel="0" collapsed="false">
      <c r="A728" s="15"/>
      <c r="B728" s="7"/>
      <c r="C728" s="7"/>
      <c r="D728" s="13"/>
      <c r="E728" s="7"/>
    </row>
    <row r="729" customFormat="false" ht="15" hidden="false" customHeight="true" outlineLevel="0" collapsed="false">
      <c r="A729" s="15"/>
      <c r="B729" s="7"/>
      <c r="C729" s="7"/>
      <c r="D729" s="13"/>
      <c r="E729" s="7"/>
    </row>
    <row r="730" customFormat="false" ht="15" hidden="false" customHeight="true" outlineLevel="0" collapsed="false">
      <c r="A730" s="15"/>
      <c r="B730" s="7"/>
      <c r="C730" s="7"/>
      <c r="D730" s="13"/>
      <c r="E730" s="7"/>
    </row>
    <row r="731" customFormat="false" ht="15" hidden="false" customHeight="true" outlineLevel="0" collapsed="false">
      <c r="A731" s="15"/>
      <c r="B731" s="7"/>
      <c r="C731" s="7"/>
      <c r="D731" s="13"/>
      <c r="E731" s="7"/>
    </row>
    <row r="732" customFormat="false" ht="15" hidden="false" customHeight="true" outlineLevel="0" collapsed="false">
      <c r="A732" s="15"/>
      <c r="B732" s="7"/>
      <c r="C732" s="7"/>
      <c r="D732" s="13"/>
      <c r="E732" s="7"/>
    </row>
    <row r="733" customFormat="false" ht="15" hidden="false" customHeight="true" outlineLevel="0" collapsed="false">
      <c r="A733" s="15"/>
      <c r="B733" s="7"/>
      <c r="C733" s="7"/>
      <c r="D733" s="13"/>
      <c r="E733" s="7"/>
    </row>
    <row r="734" customFormat="false" ht="15" hidden="false" customHeight="true" outlineLevel="0" collapsed="false">
      <c r="A734" s="15"/>
      <c r="B734" s="7"/>
      <c r="C734" s="7"/>
      <c r="D734" s="13"/>
      <c r="E734" s="7"/>
    </row>
    <row r="735" customFormat="false" ht="15" hidden="false" customHeight="true" outlineLevel="0" collapsed="false">
      <c r="A735" s="15"/>
      <c r="B735" s="7"/>
      <c r="C735" s="7"/>
      <c r="D735" s="13"/>
      <c r="E735" s="7"/>
    </row>
    <row r="736" customFormat="false" ht="15" hidden="false" customHeight="true" outlineLevel="0" collapsed="false">
      <c r="A736" s="15"/>
      <c r="B736" s="7"/>
      <c r="C736" s="7"/>
      <c r="D736" s="13"/>
      <c r="E736" s="7"/>
    </row>
    <row r="737" customFormat="false" ht="15" hidden="false" customHeight="true" outlineLevel="0" collapsed="false">
      <c r="A737" s="15"/>
      <c r="B737" s="7"/>
      <c r="C737" s="7"/>
      <c r="D737" s="13"/>
      <c r="E737" s="7"/>
    </row>
    <row r="738" customFormat="false" ht="15" hidden="false" customHeight="true" outlineLevel="0" collapsed="false">
      <c r="A738" s="15"/>
      <c r="B738" s="7"/>
      <c r="C738" s="7"/>
      <c r="D738" s="13"/>
      <c r="E738" s="7"/>
    </row>
    <row r="739" customFormat="false" ht="15" hidden="false" customHeight="true" outlineLevel="0" collapsed="false">
      <c r="A739" s="15"/>
      <c r="B739" s="7"/>
      <c r="C739" s="7"/>
      <c r="D739" s="13"/>
      <c r="E739" s="7"/>
    </row>
    <row r="740" customFormat="false" ht="15" hidden="false" customHeight="true" outlineLevel="0" collapsed="false">
      <c r="A740" s="15"/>
      <c r="B740" s="7"/>
      <c r="C740" s="7"/>
      <c r="D740" s="13"/>
      <c r="E740" s="7"/>
    </row>
    <row r="741" customFormat="false" ht="15" hidden="false" customHeight="true" outlineLevel="0" collapsed="false">
      <c r="A741" s="15"/>
      <c r="B741" s="7"/>
      <c r="C741" s="7"/>
      <c r="D741" s="13"/>
      <c r="E741" s="7"/>
    </row>
    <row r="742" customFormat="false" ht="15" hidden="false" customHeight="true" outlineLevel="0" collapsed="false">
      <c r="A742" s="15"/>
      <c r="B742" s="7"/>
      <c r="C742" s="7"/>
      <c r="D742" s="13"/>
      <c r="E742" s="7"/>
    </row>
    <row r="743" customFormat="false" ht="15" hidden="false" customHeight="true" outlineLevel="0" collapsed="false">
      <c r="A743" s="15"/>
      <c r="B743" s="7"/>
      <c r="C743" s="7"/>
      <c r="D743" s="13"/>
      <c r="E743" s="7"/>
    </row>
    <row r="744" customFormat="false" ht="15" hidden="false" customHeight="true" outlineLevel="0" collapsed="false">
      <c r="A744" s="15"/>
      <c r="B744" s="7"/>
      <c r="C744" s="7"/>
      <c r="D744" s="13"/>
      <c r="E744" s="7"/>
    </row>
    <row r="745" customFormat="false" ht="15" hidden="false" customHeight="true" outlineLevel="0" collapsed="false">
      <c r="A745" s="15"/>
      <c r="B745" s="7"/>
      <c r="C745" s="7"/>
      <c r="D745" s="13"/>
      <c r="E745" s="7"/>
    </row>
    <row r="746" customFormat="false" ht="15" hidden="false" customHeight="true" outlineLevel="0" collapsed="false">
      <c r="A746" s="15"/>
      <c r="B746" s="7"/>
      <c r="C746" s="7"/>
      <c r="D746" s="13"/>
      <c r="E746" s="7"/>
    </row>
    <row r="747" customFormat="false" ht="15" hidden="false" customHeight="true" outlineLevel="0" collapsed="false">
      <c r="A747" s="15"/>
      <c r="B747" s="7"/>
      <c r="C747" s="7"/>
      <c r="D747" s="13"/>
      <c r="E747" s="7"/>
    </row>
    <row r="748" customFormat="false" ht="15" hidden="false" customHeight="true" outlineLevel="0" collapsed="false">
      <c r="A748" s="15"/>
      <c r="B748" s="7"/>
      <c r="C748" s="7"/>
      <c r="D748" s="13"/>
      <c r="E748" s="7"/>
    </row>
    <row r="749" customFormat="false" ht="15" hidden="false" customHeight="true" outlineLevel="0" collapsed="false">
      <c r="A749" s="15"/>
      <c r="B749" s="7"/>
      <c r="C749" s="7"/>
      <c r="D749" s="13"/>
      <c r="E749" s="7"/>
    </row>
    <row r="750" customFormat="false" ht="15" hidden="false" customHeight="true" outlineLevel="0" collapsed="false">
      <c r="A750" s="15"/>
      <c r="B750" s="7"/>
      <c r="C750" s="7"/>
      <c r="D750" s="13"/>
      <c r="E750" s="7"/>
    </row>
    <row r="751" customFormat="false" ht="15" hidden="false" customHeight="true" outlineLevel="0" collapsed="false">
      <c r="A751" s="15"/>
      <c r="B751" s="7"/>
      <c r="C751" s="7"/>
      <c r="D751" s="13"/>
      <c r="E751" s="7"/>
    </row>
    <row r="752" customFormat="false" ht="15" hidden="false" customHeight="true" outlineLevel="0" collapsed="false">
      <c r="A752" s="15"/>
      <c r="B752" s="7"/>
      <c r="C752" s="7"/>
      <c r="D752" s="13"/>
      <c r="E752" s="7"/>
    </row>
    <row r="753" customFormat="false" ht="15" hidden="false" customHeight="true" outlineLevel="0" collapsed="false">
      <c r="A753" s="15"/>
      <c r="B753" s="7"/>
      <c r="C753" s="7"/>
      <c r="D753" s="13"/>
      <c r="E753" s="7"/>
    </row>
    <row r="754" customFormat="false" ht="15" hidden="false" customHeight="true" outlineLevel="0" collapsed="false">
      <c r="A754" s="15"/>
      <c r="B754" s="7"/>
      <c r="C754" s="7"/>
      <c r="D754" s="13"/>
      <c r="E754" s="7"/>
    </row>
    <row r="755" customFormat="false" ht="15" hidden="false" customHeight="true" outlineLevel="0" collapsed="false">
      <c r="A755" s="15"/>
      <c r="B755" s="7"/>
      <c r="C755" s="7"/>
      <c r="D755" s="13"/>
      <c r="E755" s="7"/>
    </row>
    <row r="756" customFormat="false" ht="15" hidden="false" customHeight="true" outlineLevel="0" collapsed="false">
      <c r="A756" s="15"/>
      <c r="B756" s="7"/>
      <c r="C756" s="7"/>
      <c r="D756" s="13"/>
      <c r="E756" s="7"/>
    </row>
    <row r="757" customFormat="false" ht="15" hidden="false" customHeight="true" outlineLevel="0" collapsed="false">
      <c r="A757" s="15"/>
      <c r="B757" s="7"/>
      <c r="C757" s="7"/>
      <c r="D757" s="13"/>
      <c r="E757" s="7"/>
    </row>
    <row r="758" customFormat="false" ht="15" hidden="false" customHeight="true" outlineLevel="0" collapsed="false">
      <c r="A758" s="15"/>
      <c r="B758" s="7"/>
      <c r="C758" s="7"/>
      <c r="D758" s="13"/>
      <c r="E758" s="7"/>
    </row>
    <row r="759" customFormat="false" ht="15" hidden="false" customHeight="true" outlineLevel="0" collapsed="false">
      <c r="A759" s="15"/>
      <c r="B759" s="7"/>
      <c r="C759" s="7"/>
      <c r="D759" s="13"/>
      <c r="E759" s="7"/>
    </row>
    <row r="760" customFormat="false" ht="15" hidden="false" customHeight="true" outlineLevel="0" collapsed="false">
      <c r="A760" s="15"/>
      <c r="B760" s="7"/>
      <c r="C760" s="7"/>
      <c r="D760" s="13"/>
      <c r="E760" s="7"/>
    </row>
    <row r="761" customFormat="false" ht="15" hidden="false" customHeight="true" outlineLevel="0" collapsed="false">
      <c r="A761" s="15"/>
      <c r="B761" s="7"/>
      <c r="C761" s="7"/>
      <c r="D761" s="13"/>
      <c r="E761" s="7"/>
    </row>
    <row r="762" customFormat="false" ht="15" hidden="false" customHeight="true" outlineLevel="0" collapsed="false">
      <c r="A762" s="15"/>
      <c r="B762" s="7"/>
      <c r="C762" s="7"/>
      <c r="D762" s="13"/>
      <c r="E762" s="7"/>
    </row>
    <row r="763" customFormat="false" ht="15" hidden="false" customHeight="true" outlineLevel="0" collapsed="false">
      <c r="A763" s="15"/>
      <c r="B763" s="7"/>
      <c r="C763" s="7"/>
      <c r="D763" s="13"/>
      <c r="E763" s="7"/>
    </row>
    <row r="764" customFormat="false" ht="15" hidden="false" customHeight="true" outlineLevel="0" collapsed="false">
      <c r="A764" s="15"/>
      <c r="B764" s="7"/>
      <c r="C764" s="7"/>
      <c r="D764" s="13"/>
      <c r="E764" s="7"/>
    </row>
    <row r="765" customFormat="false" ht="15" hidden="false" customHeight="true" outlineLevel="0" collapsed="false">
      <c r="A765" s="15"/>
      <c r="B765" s="7"/>
      <c r="C765" s="7"/>
      <c r="D765" s="13"/>
      <c r="E765" s="7"/>
    </row>
    <row r="766" customFormat="false" ht="15" hidden="false" customHeight="true" outlineLevel="0" collapsed="false">
      <c r="A766" s="15"/>
      <c r="B766" s="7"/>
      <c r="C766" s="7"/>
      <c r="D766" s="13"/>
      <c r="E766" s="7"/>
    </row>
    <row r="767" customFormat="false" ht="15" hidden="false" customHeight="true" outlineLevel="0" collapsed="false">
      <c r="A767" s="15"/>
      <c r="B767" s="7"/>
      <c r="C767" s="7"/>
      <c r="D767" s="13"/>
      <c r="E767" s="7"/>
    </row>
    <row r="768" customFormat="false" ht="15" hidden="false" customHeight="true" outlineLevel="0" collapsed="false">
      <c r="A768" s="15"/>
      <c r="B768" s="7"/>
      <c r="C768" s="7"/>
      <c r="D768" s="13"/>
      <c r="E768" s="7"/>
    </row>
    <row r="769" customFormat="false" ht="15" hidden="false" customHeight="true" outlineLevel="0" collapsed="false">
      <c r="A769" s="15"/>
      <c r="B769" s="7"/>
      <c r="C769" s="7"/>
      <c r="D769" s="13"/>
      <c r="E769" s="7"/>
    </row>
    <row r="770" customFormat="false" ht="15" hidden="false" customHeight="true" outlineLevel="0" collapsed="false">
      <c r="A770" s="15"/>
      <c r="B770" s="7"/>
      <c r="C770" s="7"/>
      <c r="D770" s="13"/>
      <c r="E770" s="7"/>
    </row>
    <row r="771" customFormat="false" ht="15" hidden="false" customHeight="true" outlineLevel="0" collapsed="false">
      <c r="A771" s="15"/>
      <c r="B771" s="7"/>
      <c r="C771" s="7"/>
      <c r="D771" s="13"/>
      <c r="E771" s="7"/>
    </row>
    <row r="772" customFormat="false" ht="15" hidden="false" customHeight="true" outlineLevel="0" collapsed="false">
      <c r="A772" s="15"/>
      <c r="B772" s="7"/>
      <c r="C772" s="7"/>
      <c r="D772" s="13"/>
      <c r="E772" s="7"/>
    </row>
    <row r="773" customFormat="false" ht="15" hidden="false" customHeight="true" outlineLevel="0" collapsed="false">
      <c r="A773" s="15"/>
      <c r="B773" s="7"/>
      <c r="C773" s="7"/>
      <c r="D773" s="13"/>
      <c r="E773" s="7"/>
    </row>
    <row r="774" customFormat="false" ht="15" hidden="false" customHeight="true" outlineLevel="0" collapsed="false">
      <c r="A774" s="15"/>
      <c r="B774" s="7"/>
      <c r="C774" s="7"/>
      <c r="D774" s="13"/>
      <c r="E774" s="7"/>
    </row>
    <row r="775" customFormat="false" ht="15" hidden="false" customHeight="true" outlineLevel="0" collapsed="false">
      <c r="A775" s="15"/>
      <c r="B775" s="7"/>
      <c r="C775" s="7"/>
      <c r="D775" s="13"/>
      <c r="E775" s="7"/>
    </row>
    <row r="776" customFormat="false" ht="15" hidden="false" customHeight="true" outlineLevel="0" collapsed="false">
      <c r="A776" s="15"/>
      <c r="B776" s="7"/>
      <c r="C776" s="7"/>
      <c r="D776" s="13"/>
      <c r="E776" s="7"/>
    </row>
    <row r="777" customFormat="false" ht="15" hidden="false" customHeight="true" outlineLevel="0" collapsed="false">
      <c r="A777" s="15"/>
      <c r="B777" s="7"/>
      <c r="C777" s="7"/>
      <c r="D777" s="13"/>
      <c r="E777" s="7"/>
    </row>
    <row r="778" customFormat="false" ht="15" hidden="false" customHeight="true" outlineLevel="0" collapsed="false">
      <c r="A778" s="15"/>
      <c r="B778" s="7"/>
      <c r="C778" s="7"/>
      <c r="D778" s="13"/>
      <c r="E778" s="7"/>
    </row>
    <row r="779" customFormat="false" ht="15" hidden="false" customHeight="true" outlineLevel="0" collapsed="false">
      <c r="A779" s="15"/>
      <c r="B779" s="7"/>
      <c r="C779" s="7"/>
      <c r="D779" s="13"/>
      <c r="E779" s="7"/>
    </row>
    <row r="780" customFormat="false" ht="15" hidden="false" customHeight="true" outlineLevel="0" collapsed="false">
      <c r="A780" s="15"/>
      <c r="B780" s="7"/>
      <c r="C780" s="7"/>
      <c r="D780" s="13"/>
      <c r="E780" s="7"/>
    </row>
    <row r="781" customFormat="false" ht="15" hidden="false" customHeight="true" outlineLevel="0" collapsed="false">
      <c r="A781" s="15"/>
      <c r="B781" s="7"/>
      <c r="C781" s="7"/>
      <c r="D781" s="13"/>
      <c r="E781" s="7"/>
    </row>
    <row r="782" customFormat="false" ht="15" hidden="false" customHeight="true" outlineLevel="0" collapsed="false">
      <c r="A782" s="15"/>
      <c r="B782" s="7"/>
      <c r="C782" s="7"/>
      <c r="D782" s="13"/>
      <c r="E782" s="7"/>
    </row>
    <row r="783" customFormat="false" ht="15" hidden="false" customHeight="true" outlineLevel="0" collapsed="false">
      <c r="A783" s="15"/>
      <c r="B783" s="7"/>
      <c r="C783" s="7"/>
      <c r="D783" s="13"/>
      <c r="E783" s="7"/>
    </row>
    <row r="784" customFormat="false" ht="15" hidden="false" customHeight="true" outlineLevel="0" collapsed="false">
      <c r="A784" s="15"/>
      <c r="B784" s="7"/>
      <c r="C784" s="7"/>
      <c r="D784" s="13"/>
      <c r="E784" s="7"/>
    </row>
    <row r="785" customFormat="false" ht="15" hidden="false" customHeight="true" outlineLevel="0" collapsed="false">
      <c r="A785" s="15"/>
      <c r="B785" s="7"/>
      <c r="C785" s="7"/>
      <c r="D785" s="13"/>
      <c r="E785" s="7"/>
    </row>
    <row r="786" customFormat="false" ht="15" hidden="false" customHeight="true" outlineLevel="0" collapsed="false">
      <c r="A786" s="15"/>
      <c r="B786" s="7"/>
      <c r="C786" s="7"/>
      <c r="D786" s="13"/>
      <c r="E786" s="7"/>
    </row>
    <row r="787" customFormat="false" ht="15" hidden="false" customHeight="true" outlineLevel="0" collapsed="false">
      <c r="A787" s="15"/>
      <c r="B787" s="7"/>
      <c r="C787" s="7"/>
      <c r="D787" s="13"/>
      <c r="E787" s="7"/>
    </row>
    <row r="788" customFormat="false" ht="15" hidden="false" customHeight="true" outlineLevel="0" collapsed="false">
      <c r="A788" s="15"/>
      <c r="B788" s="7"/>
      <c r="C788" s="7"/>
      <c r="D788" s="13"/>
      <c r="E788" s="7"/>
    </row>
    <row r="789" customFormat="false" ht="15" hidden="false" customHeight="true" outlineLevel="0" collapsed="false">
      <c r="A789" s="15"/>
      <c r="B789" s="7"/>
      <c r="C789" s="7"/>
      <c r="D789" s="13"/>
      <c r="E789" s="7"/>
    </row>
    <row r="790" customFormat="false" ht="15" hidden="false" customHeight="true" outlineLevel="0" collapsed="false">
      <c r="A790" s="15"/>
      <c r="B790" s="7"/>
      <c r="C790" s="7"/>
      <c r="D790" s="13"/>
      <c r="E790" s="7"/>
    </row>
    <row r="791" customFormat="false" ht="15" hidden="false" customHeight="true" outlineLevel="0" collapsed="false">
      <c r="A791" s="15"/>
      <c r="B791" s="7"/>
      <c r="C791" s="7"/>
      <c r="D791" s="13"/>
      <c r="E791" s="7"/>
    </row>
    <row r="792" customFormat="false" ht="15" hidden="false" customHeight="true" outlineLevel="0" collapsed="false">
      <c r="A792" s="15"/>
      <c r="B792" s="7"/>
      <c r="C792" s="7"/>
      <c r="D792" s="13"/>
      <c r="E792" s="7"/>
    </row>
    <row r="793" customFormat="false" ht="15" hidden="false" customHeight="true" outlineLevel="0" collapsed="false">
      <c r="A793" s="15"/>
      <c r="B793" s="7"/>
      <c r="C793" s="7"/>
      <c r="D793" s="13"/>
      <c r="E793" s="7"/>
    </row>
    <row r="794" customFormat="false" ht="15" hidden="false" customHeight="true" outlineLevel="0" collapsed="false">
      <c r="A794" s="15"/>
      <c r="B794" s="7"/>
      <c r="C794" s="7"/>
      <c r="D794" s="13"/>
      <c r="E794" s="7"/>
    </row>
    <row r="795" customFormat="false" ht="15" hidden="false" customHeight="true" outlineLevel="0" collapsed="false">
      <c r="A795" s="15"/>
      <c r="B795" s="7"/>
      <c r="C795" s="7"/>
      <c r="D795" s="13"/>
      <c r="E795" s="7"/>
    </row>
    <row r="796" customFormat="false" ht="15" hidden="false" customHeight="true" outlineLevel="0" collapsed="false">
      <c r="A796" s="15"/>
      <c r="B796" s="7"/>
      <c r="C796" s="7"/>
      <c r="D796" s="13"/>
      <c r="E796" s="7"/>
    </row>
    <row r="797" customFormat="false" ht="15" hidden="false" customHeight="true" outlineLevel="0" collapsed="false">
      <c r="A797" s="15"/>
      <c r="B797" s="7"/>
      <c r="C797" s="7"/>
      <c r="D797" s="13"/>
      <c r="E797" s="7"/>
    </row>
    <row r="798" customFormat="false" ht="15" hidden="false" customHeight="true" outlineLevel="0" collapsed="false">
      <c r="A798" s="15"/>
      <c r="B798" s="7"/>
      <c r="C798" s="7"/>
      <c r="D798" s="13"/>
      <c r="E798" s="7"/>
    </row>
    <row r="799" customFormat="false" ht="15" hidden="false" customHeight="true" outlineLevel="0" collapsed="false">
      <c r="A799" s="15"/>
      <c r="B799" s="7"/>
      <c r="C799" s="7"/>
      <c r="D799" s="13"/>
      <c r="E799" s="7"/>
    </row>
    <row r="800" customFormat="false" ht="15" hidden="false" customHeight="true" outlineLevel="0" collapsed="false">
      <c r="A800" s="15"/>
      <c r="B800" s="7"/>
      <c r="C800" s="7"/>
      <c r="D800" s="13"/>
      <c r="E800" s="7"/>
    </row>
    <row r="801" customFormat="false" ht="15" hidden="false" customHeight="true" outlineLevel="0" collapsed="false">
      <c r="A801" s="15"/>
      <c r="B801" s="7"/>
      <c r="C801" s="7"/>
      <c r="D801" s="13"/>
      <c r="E801" s="7"/>
    </row>
    <row r="802" customFormat="false" ht="15" hidden="false" customHeight="true" outlineLevel="0" collapsed="false">
      <c r="A802" s="15"/>
      <c r="B802" s="7"/>
      <c r="C802" s="7"/>
      <c r="D802" s="13"/>
      <c r="E802" s="7"/>
    </row>
    <row r="803" customFormat="false" ht="15" hidden="false" customHeight="true" outlineLevel="0" collapsed="false">
      <c r="A803" s="15"/>
      <c r="B803" s="7"/>
      <c r="C803" s="7"/>
      <c r="D803" s="13"/>
      <c r="E803" s="7"/>
    </row>
    <row r="804" customFormat="false" ht="15" hidden="false" customHeight="true" outlineLevel="0" collapsed="false">
      <c r="A804" s="15"/>
      <c r="B804" s="7"/>
      <c r="C804" s="7"/>
      <c r="D804" s="13"/>
      <c r="E804" s="7"/>
    </row>
    <row r="805" customFormat="false" ht="15" hidden="false" customHeight="true" outlineLevel="0" collapsed="false">
      <c r="A805" s="15"/>
      <c r="B805" s="7"/>
      <c r="C805" s="7"/>
      <c r="D805" s="13"/>
      <c r="E805" s="7"/>
    </row>
    <row r="806" customFormat="false" ht="15" hidden="false" customHeight="true" outlineLevel="0" collapsed="false">
      <c r="A806" s="15"/>
      <c r="B806" s="7"/>
      <c r="C806" s="7"/>
      <c r="D806" s="13"/>
      <c r="E806" s="7"/>
    </row>
    <row r="807" customFormat="false" ht="15" hidden="false" customHeight="true" outlineLevel="0" collapsed="false">
      <c r="A807" s="15"/>
      <c r="B807" s="7"/>
      <c r="C807" s="7"/>
      <c r="D807" s="13"/>
      <c r="E807" s="7"/>
    </row>
    <row r="808" customFormat="false" ht="15" hidden="false" customHeight="true" outlineLevel="0" collapsed="false">
      <c r="A808" s="15"/>
      <c r="B808" s="7"/>
      <c r="C808" s="7"/>
      <c r="D808" s="13"/>
      <c r="E808" s="7"/>
    </row>
    <row r="809" customFormat="false" ht="15" hidden="false" customHeight="true" outlineLevel="0" collapsed="false">
      <c r="A809" s="15"/>
      <c r="B809" s="7"/>
      <c r="C809" s="7"/>
      <c r="D809" s="13"/>
      <c r="E809" s="7"/>
    </row>
    <row r="810" customFormat="false" ht="15" hidden="false" customHeight="true" outlineLevel="0" collapsed="false">
      <c r="A810" s="15"/>
      <c r="B810" s="7"/>
      <c r="C810" s="7"/>
      <c r="D810" s="13"/>
      <c r="E810" s="7"/>
    </row>
    <row r="811" customFormat="false" ht="15" hidden="false" customHeight="true" outlineLevel="0" collapsed="false">
      <c r="A811" s="15"/>
      <c r="B811" s="7"/>
      <c r="C811" s="7"/>
      <c r="D811" s="13"/>
      <c r="E811" s="7"/>
    </row>
    <row r="812" customFormat="false" ht="15" hidden="false" customHeight="true" outlineLevel="0" collapsed="false">
      <c r="A812" s="15"/>
      <c r="B812" s="7"/>
      <c r="C812" s="7"/>
      <c r="D812" s="13"/>
      <c r="E812" s="7"/>
    </row>
    <row r="813" customFormat="false" ht="15" hidden="false" customHeight="true" outlineLevel="0" collapsed="false">
      <c r="A813" s="15"/>
      <c r="B813" s="7"/>
      <c r="C813" s="7"/>
      <c r="D813" s="13"/>
      <c r="E813" s="7"/>
    </row>
    <row r="814" customFormat="false" ht="15" hidden="false" customHeight="true" outlineLevel="0" collapsed="false">
      <c r="A814" s="15"/>
      <c r="B814" s="7"/>
      <c r="C814" s="7"/>
      <c r="D814" s="13"/>
      <c r="E814" s="7"/>
    </row>
    <row r="815" customFormat="false" ht="15" hidden="false" customHeight="true" outlineLevel="0" collapsed="false">
      <c r="A815" s="15"/>
      <c r="B815" s="7"/>
      <c r="C815" s="7"/>
      <c r="D815" s="13"/>
      <c r="E815" s="7"/>
    </row>
    <row r="816" customFormat="false" ht="15" hidden="false" customHeight="true" outlineLevel="0" collapsed="false">
      <c r="A816" s="15"/>
      <c r="B816" s="7"/>
      <c r="C816" s="7"/>
      <c r="D816" s="13"/>
      <c r="E816" s="7"/>
    </row>
    <row r="817" customFormat="false" ht="15" hidden="false" customHeight="true" outlineLevel="0" collapsed="false">
      <c r="A817" s="15"/>
      <c r="B817" s="7"/>
      <c r="C817" s="7"/>
      <c r="D817" s="13"/>
      <c r="E817" s="7"/>
    </row>
    <row r="818" customFormat="false" ht="15" hidden="false" customHeight="true" outlineLevel="0" collapsed="false">
      <c r="A818" s="15"/>
      <c r="B818" s="7"/>
      <c r="C818" s="7"/>
      <c r="D818" s="13"/>
      <c r="E818" s="7"/>
    </row>
    <row r="819" customFormat="false" ht="15" hidden="false" customHeight="true" outlineLevel="0" collapsed="false">
      <c r="A819" s="15"/>
      <c r="B819" s="7"/>
      <c r="C819" s="7"/>
      <c r="D819" s="13"/>
      <c r="E819" s="7"/>
    </row>
    <row r="820" customFormat="false" ht="15" hidden="false" customHeight="true" outlineLevel="0" collapsed="false">
      <c r="A820" s="15"/>
      <c r="B820" s="7"/>
      <c r="C820" s="7"/>
      <c r="D820" s="13"/>
      <c r="E820" s="7"/>
    </row>
    <row r="821" customFormat="false" ht="15" hidden="false" customHeight="true" outlineLevel="0" collapsed="false">
      <c r="A821" s="15"/>
      <c r="B821" s="7"/>
      <c r="C821" s="7"/>
      <c r="D821" s="13"/>
      <c r="E821" s="7"/>
    </row>
    <row r="822" customFormat="false" ht="15" hidden="false" customHeight="true" outlineLevel="0" collapsed="false">
      <c r="A822" s="15"/>
      <c r="B822" s="7"/>
      <c r="C822" s="7"/>
      <c r="D822" s="13"/>
      <c r="E822" s="7"/>
    </row>
    <row r="823" customFormat="false" ht="15" hidden="false" customHeight="true" outlineLevel="0" collapsed="false">
      <c r="A823" s="15"/>
      <c r="B823" s="7"/>
      <c r="C823" s="7"/>
      <c r="D823" s="13"/>
      <c r="E823" s="7"/>
    </row>
    <row r="824" customFormat="false" ht="15" hidden="false" customHeight="true" outlineLevel="0" collapsed="false">
      <c r="A824" s="15"/>
      <c r="B824" s="7"/>
      <c r="C824" s="7"/>
      <c r="D824" s="13"/>
      <c r="E824" s="7"/>
    </row>
    <row r="825" customFormat="false" ht="15" hidden="false" customHeight="true" outlineLevel="0" collapsed="false">
      <c r="A825" s="15"/>
      <c r="B825" s="7"/>
      <c r="C825" s="7"/>
      <c r="D825" s="13"/>
      <c r="E825" s="7"/>
    </row>
    <row r="826" customFormat="false" ht="15" hidden="false" customHeight="true" outlineLevel="0" collapsed="false">
      <c r="A826" s="15"/>
      <c r="B826" s="7"/>
      <c r="C826" s="7"/>
      <c r="D826" s="13"/>
      <c r="E826" s="7"/>
    </row>
    <row r="827" customFormat="false" ht="15" hidden="false" customHeight="true" outlineLevel="0" collapsed="false">
      <c r="A827" s="15"/>
      <c r="B827" s="7"/>
      <c r="C827" s="7"/>
      <c r="D827" s="13"/>
      <c r="E827" s="7"/>
    </row>
    <row r="828" customFormat="false" ht="15" hidden="false" customHeight="true" outlineLevel="0" collapsed="false">
      <c r="A828" s="15"/>
      <c r="B828" s="7"/>
      <c r="C828" s="7"/>
      <c r="D828" s="13"/>
      <c r="E828" s="7"/>
    </row>
    <row r="829" customFormat="false" ht="15" hidden="false" customHeight="true" outlineLevel="0" collapsed="false">
      <c r="A829" s="15"/>
      <c r="B829" s="7"/>
      <c r="C829" s="7"/>
      <c r="D829" s="13"/>
      <c r="E829" s="7"/>
    </row>
    <row r="830" customFormat="false" ht="15" hidden="false" customHeight="true" outlineLevel="0" collapsed="false">
      <c r="A830" s="15"/>
      <c r="B830" s="7"/>
      <c r="C830" s="7"/>
      <c r="D830" s="13"/>
      <c r="E830" s="7"/>
    </row>
    <row r="831" customFormat="false" ht="15" hidden="false" customHeight="true" outlineLevel="0" collapsed="false">
      <c r="A831" s="15"/>
      <c r="B831" s="7"/>
      <c r="C831" s="7"/>
      <c r="D831" s="13"/>
      <c r="E831" s="7"/>
    </row>
    <row r="832" customFormat="false" ht="15" hidden="false" customHeight="true" outlineLevel="0" collapsed="false">
      <c r="A832" s="15"/>
      <c r="B832" s="7"/>
      <c r="C832" s="7"/>
      <c r="D832" s="13"/>
      <c r="E832" s="7"/>
    </row>
    <row r="833" customFormat="false" ht="15" hidden="false" customHeight="true" outlineLevel="0" collapsed="false">
      <c r="A833" s="15"/>
      <c r="B833" s="7"/>
      <c r="C833" s="7"/>
      <c r="D833" s="13"/>
      <c r="E833" s="7"/>
    </row>
    <row r="834" customFormat="false" ht="15" hidden="false" customHeight="true" outlineLevel="0" collapsed="false">
      <c r="A834" s="15"/>
      <c r="B834" s="7"/>
      <c r="C834" s="7"/>
      <c r="D834" s="13"/>
      <c r="E834" s="7"/>
    </row>
    <row r="835" customFormat="false" ht="15" hidden="false" customHeight="true" outlineLevel="0" collapsed="false">
      <c r="A835" s="15"/>
      <c r="B835" s="7"/>
      <c r="C835" s="7"/>
      <c r="D835" s="13"/>
      <c r="E835" s="7"/>
    </row>
    <row r="836" customFormat="false" ht="15" hidden="false" customHeight="true" outlineLevel="0" collapsed="false">
      <c r="A836" s="15"/>
      <c r="B836" s="7"/>
      <c r="C836" s="7"/>
      <c r="D836" s="13"/>
      <c r="E836" s="7"/>
    </row>
    <row r="837" customFormat="false" ht="15" hidden="false" customHeight="true" outlineLevel="0" collapsed="false">
      <c r="A837" s="15"/>
      <c r="B837" s="7"/>
      <c r="C837" s="7"/>
      <c r="D837" s="13"/>
      <c r="E837" s="7"/>
    </row>
    <row r="838" customFormat="false" ht="15" hidden="false" customHeight="true" outlineLevel="0" collapsed="false">
      <c r="A838" s="15"/>
      <c r="B838" s="7"/>
      <c r="C838" s="7"/>
      <c r="D838" s="13"/>
      <c r="E838" s="7"/>
    </row>
    <row r="839" customFormat="false" ht="15" hidden="false" customHeight="true" outlineLevel="0" collapsed="false">
      <c r="A839" s="15"/>
      <c r="B839" s="7"/>
      <c r="C839" s="7"/>
      <c r="D839" s="13"/>
      <c r="E839" s="7"/>
    </row>
    <row r="840" customFormat="false" ht="15" hidden="false" customHeight="true" outlineLevel="0" collapsed="false">
      <c r="A840" s="15"/>
      <c r="B840" s="7"/>
      <c r="C840" s="7"/>
      <c r="D840" s="13"/>
      <c r="E840" s="7"/>
    </row>
    <row r="841" customFormat="false" ht="15" hidden="false" customHeight="true" outlineLevel="0" collapsed="false">
      <c r="A841" s="15"/>
      <c r="B841" s="7"/>
      <c r="C841" s="7"/>
      <c r="D841" s="13"/>
      <c r="E841" s="7"/>
    </row>
    <row r="842" customFormat="false" ht="15" hidden="false" customHeight="true" outlineLevel="0" collapsed="false">
      <c r="A842" s="15"/>
      <c r="B842" s="7"/>
      <c r="C842" s="7"/>
      <c r="D842" s="13"/>
      <c r="E842" s="7"/>
    </row>
    <row r="843" customFormat="false" ht="15" hidden="false" customHeight="true" outlineLevel="0" collapsed="false">
      <c r="A843" s="15"/>
      <c r="B843" s="7"/>
      <c r="C843" s="7"/>
      <c r="D843" s="13"/>
      <c r="E843" s="7"/>
    </row>
    <row r="844" customFormat="false" ht="15" hidden="false" customHeight="true" outlineLevel="0" collapsed="false">
      <c r="A844" s="15"/>
      <c r="B844" s="7"/>
      <c r="C844" s="7"/>
      <c r="D844" s="13"/>
      <c r="E844" s="7"/>
    </row>
    <row r="845" customFormat="false" ht="15" hidden="false" customHeight="true" outlineLevel="0" collapsed="false">
      <c r="A845" s="15"/>
      <c r="B845" s="7"/>
      <c r="C845" s="7"/>
      <c r="D845" s="13"/>
      <c r="E845" s="7"/>
    </row>
    <row r="846" customFormat="false" ht="15" hidden="false" customHeight="true" outlineLevel="0" collapsed="false">
      <c r="A846" s="15"/>
      <c r="B846" s="7"/>
      <c r="C846" s="7"/>
      <c r="D846" s="13"/>
      <c r="E846" s="7"/>
    </row>
    <row r="847" customFormat="false" ht="15" hidden="false" customHeight="true" outlineLevel="0" collapsed="false">
      <c r="A847" s="15"/>
      <c r="B847" s="7"/>
      <c r="C847" s="7"/>
      <c r="D847" s="13"/>
      <c r="E847" s="7"/>
    </row>
    <row r="848" customFormat="false" ht="15" hidden="false" customHeight="true" outlineLevel="0" collapsed="false">
      <c r="A848" s="15"/>
      <c r="B848" s="7"/>
      <c r="C848" s="7"/>
      <c r="D848" s="13"/>
      <c r="E848" s="7"/>
    </row>
    <row r="849" customFormat="false" ht="15" hidden="false" customHeight="true" outlineLevel="0" collapsed="false">
      <c r="A849" s="15"/>
      <c r="B849" s="7"/>
      <c r="C849" s="7"/>
      <c r="D849" s="13"/>
      <c r="E849" s="7"/>
    </row>
    <row r="850" customFormat="false" ht="15" hidden="false" customHeight="true" outlineLevel="0" collapsed="false">
      <c r="A850" s="15"/>
      <c r="B850" s="7"/>
      <c r="C850" s="7"/>
      <c r="D850" s="13"/>
      <c r="E850" s="7"/>
    </row>
    <row r="851" customFormat="false" ht="15" hidden="false" customHeight="true" outlineLevel="0" collapsed="false">
      <c r="A851" s="15"/>
      <c r="B851" s="7"/>
      <c r="C851" s="7"/>
      <c r="D851" s="13"/>
      <c r="E851" s="7"/>
    </row>
    <row r="852" customFormat="false" ht="15" hidden="false" customHeight="true" outlineLevel="0" collapsed="false">
      <c r="A852" s="15"/>
      <c r="B852" s="7"/>
      <c r="C852" s="7"/>
      <c r="D852" s="13"/>
      <c r="E852" s="7"/>
    </row>
    <row r="853" customFormat="false" ht="15" hidden="false" customHeight="true" outlineLevel="0" collapsed="false">
      <c r="A853" s="15"/>
      <c r="B853" s="7"/>
      <c r="C853" s="7"/>
      <c r="D853" s="13"/>
      <c r="E853" s="7"/>
    </row>
    <row r="854" customFormat="false" ht="15" hidden="false" customHeight="true" outlineLevel="0" collapsed="false">
      <c r="A854" s="15"/>
      <c r="B854" s="7"/>
      <c r="C854" s="7"/>
      <c r="D854" s="13"/>
      <c r="E854" s="7"/>
    </row>
    <row r="855" customFormat="false" ht="15" hidden="false" customHeight="true" outlineLevel="0" collapsed="false">
      <c r="A855" s="15"/>
      <c r="B855" s="7"/>
      <c r="C855" s="7"/>
      <c r="D855" s="13"/>
      <c r="E855" s="7"/>
    </row>
    <row r="856" customFormat="false" ht="15" hidden="false" customHeight="true" outlineLevel="0" collapsed="false">
      <c r="A856" s="15"/>
      <c r="B856" s="7"/>
      <c r="C856" s="7"/>
      <c r="D856" s="13"/>
      <c r="E856" s="7"/>
    </row>
    <row r="857" customFormat="false" ht="15" hidden="false" customHeight="true" outlineLevel="0" collapsed="false">
      <c r="A857" s="15"/>
      <c r="B857" s="7"/>
      <c r="C857" s="7"/>
      <c r="D857" s="13"/>
      <c r="E857" s="7"/>
    </row>
    <row r="858" customFormat="false" ht="15" hidden="false" customHeight="true" outlineLevel="0" collapsed="false">
      <c r="A858" s="15"/>
      <c r="B858" s="7"/>
      <c r="C858" s="7"/>
      <c r="D858" s="13"/>
      <c r="E858" s="7"/>
    </row>
    <row r="859" customFormat="false" ht="15" hidden="false" customHeight="true" outlineLevel="0" collapsed="false">
      <c r="A859" s="15"/>
      <c r="B859" s="7"/>
      <c r="C859" s="7"/>
      <c r="D859" s="13"/>
      <c r="E859" s="7"/>
    </row>
    <row r="860" customFormat="false" ht="15" hidden="false" customHeight="true" outlineLevel="0" collapsed="false">
      <c r="A860" s="15"/>
      <c r="B860" s="7"/>
      <c r="C860" s="7"/>
      <c r="D860" s="13"/>
      <c r="E860" s="7"/>
    </row>
    <row r="861" customFormat="false" ht="15" hidden="false" customHeight="true" outlineLevel="0" collapsed="false">
      <c r="A861" s="15"/>
      <c r="B861" s="7"/>
      <c r="C861" s="7"/>
      <c r="D861" s="13"/>
      <c r="E861" s="7"/>
    </row>
    <row r="862" customFormat="false" ht="15" hidden="false" customHeight="true" outlineLevel="0" collapsed="false">
      <c r="A862" s="15"/>
      <c r="B862" s="7"/>
      <c r="C862" s="7"/>
      <c r="D862" s="13"/>
      <c r="E862" s="7"/>
    </row>
    <row r="863" customFormat="false" ht="15" hidden="false" customHeight="true" outlineLevel="0" collapsed="false">
      <c r="A863" s="15"/>
      <c r="B863" s="7"/>
      <c r="C863" s="7"/>
      <c r="D863" s="13"/>
      <c r="E863" s="7"/>
    </row>
    <row r="864" customFormat="false" ht="15" hidden="false" customHeight="true" outlineLevel="0" collapsed="false">
      <c r="A864" s="15"/>
      <c r="B864" s="7"/>
      <c r="C864" s="7"/>
      <c r="D864" s="13"/>
      <c r="E864" s="7"/>
    </row>
    <row r="865" customFormat="false" ht="15" hidden="false" customHeight="true" outlineLevel="0" collapsed="false">
      <c r="A865" s="15"/>
      <c r="B865" s="7"/>
      <c r="C865" s="7"/>
      <c r="D865" s="13"/>
      <c r="E865" s="7"/>
    </row>
    <row r="866" customFormat="false" ht="15" hidden="false" customHeight="true" outlineLevel="0" collapsed="false">
      <c r="A866" s="15"/>
      <c r="B866" s="7"/>
      <c r="C866" s="7"/>
      <c r="D866" s="13"/>
      <c r="E866" s="7"/>
    </row>
    <row r="867" customFormat="false" ht="15" hidden="false" customHeight="true" outlineLevel="0" collapsed="false">
      <c r="A867" s="15"/>
      <c r="B867" s="7"/>
      <c r="C867" s="7"/>
      <c r="D867" s="13"/>
      <c r="E867" s="7"/>
    </row>
    <row r="868" customFormat="false" ht="15" hidden="false" customHeight="true" outlineLevel="0" collapsed="false">
      <c r="A868" s="15"/>
      <c r="B868" s="7"/>
      <c r="C868" s="7"/>
      <c r="D868" s="13"/>
      <c r="E868" s="7"/>
    </row>
    <row r="869" customFormat="false" ht="15" hidden="false" customHeight="true" outlineLevel="0" collapsed="false">
      <c r="A869" s="15"/>
      <c r="B869" s="7"/>
      <c r="C869" s="7"/>
      <c r="D869" s="13"/>
      <c r="E869" s="7"/>
    </row>
    <row r="870" customFormat="false" ht="15" hidden="false" customHeight="true" outlineLevel="0" collapsed="false">
      <c r="A870" s="15"/>
      <c r="B870" s="7"/>
      <c r="C870" s="7"/>
      <c r="D870" s="13"/>
      <c r="E870" s="7"/>
    </row>
    <row r="871" customFormat="false" ht="15" hidden="false" customHeight="true" outlineLevel="0" collapsed="false">
      <c r="A871" s="15"/>
      <c r="B871" s="7"/>
      <c r="C871" s="7"/>
      <c r="D871" s="13"/>
      <c r="E871" s="7"/>
    </row>
    <row r="872" customFormat="false" ht="15" hidden="false" customHeight="true" outlineLevel="0" collapsed="false">
      <c r="A872" s="15"/>
      <c r="B872" s="7"/>
      <c r="C872" s="7"/>
      <c r="D872" s="13"/>
      <c r="E872" s="7"/>
    </row>
    <row r="873" customFormat="false" ht="15" hidden="false" customHeight="true" outlineLevel="0" collapsed="false">
      <c r="A873" s="15"/>
      <c r="B873" s="7"/>
      <c r="C873" s="7"/>
      <c r="D873" s="13"/>
      <c r="E873" s="7"/>
    </row>
    <row r="874" customFormat="false" ht="15" hidden="false" customHeight="true" outlineLevel="0" collapsed="false">
      <c r="A874" s="15"/>
      <c r="B874" s="7"/>
      <c r="C874" s="7"/>
      <c r="D874" s="13"/>
      <c r="E874" s="7"/>
    </row>
    <row r="875" customFormat="false" ht="15" hidden="false" customHeight="true" outlineLevel="0" collapsed="false">
      <c r="A875" s="15"/>
      <c r="B875" s="7"/>
      <c r="C875" s="7"/>
      <c r="D875" s="13"/>
      <c r="E875" s="7"/>
    </row>
    <row r="876" customFormat="false" ht="15" hidden="false" customHeight="true" outlineLevel="0" collapsed="false">
      <c r="A876" s="15"/>
      <c r="B876" s="7"/>
      <c r="C876" s="7"/>
      <c r="D876" s="13"/>
      <c r="E876" s="7"/>
    </row>
    <row r="877" customFormat="false" ht="15" hidden="false" customHeight="true" outlineLevel="0" collapsed="false">
      <c r="A877" s="15"/>
      <c r="B877" s="7"/>
      <c r="C877" s="7"/>
      <c r="D877" s="13"/>
      <c r="E877" s="7"/>
    </row>
    <row r="878" customFormat="false" ht="15" hidden="false" customHeight="true" outlineLevel="0" collapsed="false">
      <c r="A878" s="15"/>
      <c r="B878" s="7"/>
      <c r="C878" s="7"/>
      <c r="D878" s="13"/>
      <c r="E878" s="7"/>
    </row>
    <row r="879" customFormat="false" ht="15" hidden="false" customHeight="true" outlineLevel="0" collapsed="false">
      <c r="A879" s="15"/>
      <c r="B879" s="7"/>
      <c r="C879" s="7"/>
      <c r="D879" s="13"/>
      <c r="E879" s="7"/>
    </row>
    <row r="880" customFormat="false" ht="15" hidden="false" customHeight="true" outlineLevel="0" collapsed="false">
      <c r="A880" s="15"/>
      <c r="B880" s="7"/>
      <c r="C880" s="7"/>
      <c r="D880" s="13"/>
      <c r="E880" s="7"/>
    </row>
    <row r="881" customFormat="false" ht="15" hidden="false" customHeight="true" outlineLevel="0" collapsed="false">
      <c r="A881" s="15"/>
      <c r="B881" s="7"/>
      <c r="C881" s="7"/>
      <c r="D881" s="13"/>
      <c r="E881" s="7"/>
    </row>
    <row r="882" customFormat="false" ht="15" hidden="false" customHeight="true" outlineLevel="0" collapsed="false">
      <c r="A882" s="15"/>
      <c r="B882" s="7"/>
      <c r="C882" s="7"/>
      <c r="D882" s="13"/>
      <c r="E882" s="7"/>
    </row>
    <row r="883" customFormat="false" ht="15" hidden="false" customHeight="true" outlineLevel="0" collapsed="false">
      <c r="A883" s="15"/>
      <c r="B883" s="7"/>
      <c r="C883" s="7"/>
      <c r="D883" s="13"/>
      <c r="E883" s="7"/>
    </row>
    <row r="884" customFormat="false" ht="15" hidden="false" customHeight="true" outlineLevel="0" collapsed="false">
      <c r="A884" s="15"/>
      <c r="B884" s="7"/>
      <c r="C884" s="7"/>
      <c r="D884" s="13"/>
      <c r="E884" s="7"/>
    </row>
    <row r="885" customFormat="false" ht="15" hidden="false" customHeight="true" outlineLevel="0" collapsed="false">
      <c r="A885" s="15"/>
      <c r="B885" s="7"/>
      <c r="C885" s="7"/>
      <c r="D885" s="13"/>
      <c r="E885" s="7"/>
    </row>
    <row r="886" customFormat="false" ht="15" hidden="false" customHeight="true" outlineLevel="0" collapsed="false">
      <c r="A886" s="15"/>
      <c r="B886" s="7"/>
      <c r="C886" s="7"/>
      <c r="D886" s="13"/>
      <c r="E886" s="7"/>
    </row>
    <row r="887" customFormat="false" ht="15" hidden="false" customHeight="true" outlineLevel="0" collapsed="false">
      <c r="A887" s="15"/>
      <c r="B887" s="7"/>
      <c r="C887" s="7"/>
      <c r="D887" s="13"/>
      <c r="E887" s="7"/>
    </row>
    <row r="888" customFormat="false" ht="15" hidden="false" customHeight="true" outlineLevel="0" collapsed="false">
      <c r="A888" s="15"/>
      <c r="B888" s="7"/>
      <c r="C888" s="7"/>
      <c r="D888" s="13"/>
      <c r="E888" s="7"/>
    </row>
    <row r="889" customFormat="false" ht="15" hidden="false" customHeight="true" outlineLevel="0" collapsed="false">
      <c r="A889" s="15"/>
      <c r="B889" s="7"/>
      <c r="C889" s="7"/>
      <c r="D889" s="13"/>
      <c r="E889" s="7"/>
    </row>
    <row r="890" customFormat="false" ht="15" hidden="false" customHeight="true" outlineLevel="0" collapsed="false">
      <c r="A890" s="15"/>
      <c r="B890" s="7"/>
      <c r="C890" s="7"/>
      <c r="D890" s="13"/>
      <c r="E890" s="7"/>
    </row>
    <row r="891" customFormat="false" ht="15" hidden="false" customHeight="true" outlineLevel="0" collapsed="false">
      <c r="A891" s="15"/>
      <c r="B891" s="7"/>
      <c r="C891" s="7"/>
      <c r="D891" s="13"/>
      <c r="E891" s="7"/>
    </row>
    <row r="892" customFormat="false" ht="15" hidden="false" customHeight="true" outlineLevel="0" collapsed="false">
      <c r="A892" s="15"/>
      <c r="B892" s="7"/>
      <c r="C892" s="7"/>
      <c r="D892" s="13"/>
      <c r="E892" s="7"/>
    </row>
    <row r="893" customFormat="false" ht="15" hidden="false" customHeight="true" outlineLevel="0" collapsed="false">
      <c r="A893" s="15"/>
      <c r="B893" s="7"/>
      <c r="C893" s="7"/>
      <c r="D893" s="13"/>
      <c r="E893" s="7"/>
    </row>
    <row r="894" customFormat="false" ht="15" hidden="false" customHeight="true" outlineLevel="0" collapsed="false">
      <c r="A894" s="15"/>
      <c r="B894" s="7"/>
      <c r="C894" s="7"/>
      <c r="D894" s="13"/>
      <c r="E894" s="7"/>
    </row>
    <row r="895" customFormat="false" ht="15" hidden="false" customHeight="true" outlineLevel="0" collapsed="false">
      <c r="A895" s="15"/>
      <c r="B895" s="7"/>
      <c r="C895" s="7"/>
      <c r="D895" s="13"/>
      <c r="E895" s="7"/>
    </row>
    <row r="896" customFormat="false" ht="15" hidden="false" customHeight="true" outlineLevel="0" collapsed="false">
      <c r="A896" s="15"/>
      <c r="B896" s="7"/>
      <c r="C896" s="7"/>
      <c r="D896" s="13"/>
      <c r="E896" s="7"/>
    </row>
    <row r="897" customFormat="false" ht="15" hidden="false" customHeight="true" outlineLevel="0" collapsed="false">
      <c r="A897" s="15"/>
      <c r="B897" s="7"/>
      <c r="C897" s="7"/>
      <c r="D897" s="13"/>
      <c r="E897" s="7"/>
    </row>
    <row r="898" customFormat="false" ht="15" hidden="false" customHeight="true" outlineLevel="0" collapsed="false">
      <c r="A898" s="15"/>
      <c r="B898" s="7"/>
      <c r="C898" s="7"/>
      <c r="D898" s="13"/>
      <c r="E898" s="7"/>
    </row>
    <row r="899" customFormat="false" ht="15" hidden="false" customHeight="true" outlineLevel="0" collapsed="false">
      <c r="A899" s="15"/>
      <c r="B899" s="7"/>
      <c r="C899" s="7"/>
      <c r="D899" s="13"/>
      <c r="E899" s="7"/>
    </row>
    <row r="900" customFormat="false" ht="15" hidden="false" customHeight="true" outlineLevel="0" collapsed="false">
      <c r="A900" s="15"/>
      <c r="B900" s="7"/>
      <c r="C900" s="7"/>
      <c r="D900" s="13"/>
      <c r="E900" s="7"/>
    </row>
    <row r="901" customFormat="false" ht="15" hidden="false" customHeight="true" outlineLevel="0" collapsed="false">
      <c r="A901" s="15"/>
      <c r="B901" s="7"/>
      <c r="C901" s="7"/>
      <c r="D901" s="13"/>
      <c r="E901" s="7"/>
    </row>
    <row r="902" customFormat="false" ht="15" hidden="false" customHeight="true" outlineLevel="0" collapsed="false">
      <c r="A902" s="15"/>
      <c r="B902" s="7"/>
      <c r="C902" s="7"/>
      <c r="D902" s="13"/>
      <c r="E902" s="7"/>
    </row>
    <row r="903" customFormat="false" ht="15" hidden="false" customHeight="true" outlineLevel="0" collapsed="false">
      <c r="A903" s="15"/>
      <c r="B903" s="7"/>
      <c r="C903" s="7"/>
      <c r="D903" s="13"/>
      <c r="E903" s="7"/>
    </row>
    <row r="904" customFormat="false" ht="15" hidden="false" customHeight="true" outlineLevel="0" collapsed="false">
      <c r="A904" s="15"/>
      <c r="B904" s="7"/>
      <c r="C904" s="7"/>
      <c r="D904" s="13"/>
      <c r="E904" s="7"/>
    </row>
    <row r="905" customFormat="false" ht="15" hidden="false" customHeight="true" outlineLevel="0" collapsed="false">
      <c r="A905" s="15"/>
      <c r="B905" s="7"/>
      <c r="C905" s="7"/>
      <c r="D905" s="13"/>
      <c r="E905" s="7"/>
    </row>
    <row r="906" customFormat="false" ht="15" hidden="false" customHeight="true" outlineLevel="0" collapsed="false">
      <c r="A906" s="15"/>
      <c r="B906" s="7"/>
      <c r="C906" s="7"/>
      <c r="D906" s="13"/>
      <c r="E906" s="7"/>
    </row>
    <row r="907" customFormat="false" ht="15" hidden="false" customHeight="true" outlineLevel="0" collapsed="false">
      <c r="A907" s="15"/>
      <c r="B907" s="7"/>
      <c r="C907" s="7"/>
      <c r="D907" s="13"/>
      <c r="E907" s="7"/>
    </row>
    <row r="908" customFormat="false" ht="15" hidden="false" customHeight="true" outlineLevel="0" collapsed="false">
      <c r="A908" s="15"/>
      <c r="B908" s="7"/>
      <c r="C908" s="7"/>
      <c r="D908" s="13"/>
      <c r="E908" s="7"/>
    </row>
    <row r="909" customFormat="false" ht="15" hidden="false" customHeight="true" outlineLevel="0" collapsed="false">
      <c r="A909" s="15"/>
      <c r="B909" s="7"/>
      <c r="C909" s="7"/>
      <c r="D909" s="13"/>
      <c r="E909" s="7"/>
    </row>
    <row r="910" customFormat="false" ht="15" hidden="false" customHeight="true" outlineLevel="0" collapsed="false">
      <c r="A910" s="15"/>
      <c r="B910" s="7"/>
      <c r="C910" s="7"/>
      <c r="D910" s="13"/>
      <c r="E910" s="7"/>
    </row>
    <row r="911" customFormat="false" ht="15" hidden="false" customHeight="true" outlineLevel="0" collapsed="false">
      <c r="A911" s="15"/>
      <c r="B911" s="7"/>
      <c r="C911" s="7"/>
      <c r="D911" s="13"/>
      <c r="E911" s="7"/>
    </row>
    <row r="912" customFormat="false" ht="15" hidden="false" customHeight="true" outlineLevel="0" collapsed="false">
      <c r="A912" s="15"/>
      <c r="B912" s="7"/>
      <c r="C912" s="7"/>
      <c r="D912" s="13"/>
      <c r="E912" s="7"/>
    </row>
    <row r="913" customFormat="false" ht="15" hidden="false" customHeight="true" outlineLevel="0" collapsed="false">
      <c r="A913" s="15"/>
      <c r="B913" s="7"/>
      <c r="C913" s="7"/>
      <c r="D913" s="13"/>
      <c r="E913" s="7"/>
    </row>
    <row r="914" customFormat="false" ht="15" hidden="false" customHeight="true" outlineLevel="0" collapsed="false">
      <c r="A914" s="15"/>
      <c r="B914" s="7"/>
      <c r="C914" s="7"/>
      <c r="D914" s="13"/>
      <c r="E914" s="7"/>
    </row>
    <row r="915" customFormat="false" ht="15" hidden="false" customHeight="true" outlineLevel="0" collapsed="false">
      <c r="A915" s="15"/>
      <c r="B915" s="7"/>
      <c r="C915" s="7"/>
      <c r="D915" s="13"/>
      <c r="E915" s="7"/>
    </row>
    <row r="916" customFormat="false" ht="15" hidden="false" customHeight="true" outlineLevel="0" collapsed="false">
      <c r="A916" s="15"/>
      <c r="B916" s="7"/>
      <c r="C916" s="7"/>
      <c r="D916" s="13"/>
      <c r="E916" s="7"/>
    </row>
    <row r="917" customFormat="false" ht="15" hidden="false" customHeight="true" outlineLevel="0" collapsed="false">
      <c r="A917" s="15"/>
      <c r="B917" s="7"/>
      <c r="C917" s="7"/>
      <c r="D917" s="13"/>
      <c r="E917" s="7"/>
    </row>
    <row r="918" customFormat="false" ht="15" hidden="false" customHeight="true" outlineLevel="0" collapsed="false">
      <c r="A918" s="15"/>
      <c r="B918" s="7"/>
      <c r="C918" s="7"/>
      <c r="D918" s="13"/>
      <c r="E918" s="7"/>
    </row>
    <row r="919" customFormat="false" ht="15" hidden="false" customHeight="true" outlineLevel="0" collapsed="false">
      <c r="A919" s="15"/>
      <c r="B919" s="7"/>
      <c r="C919" s="7"/>
      <c r="D919" s="13"/>
      <c r="E919" s="7"/>
    </row>
    <row r="920" customFormat="false" ht="15" hidden="false" customHeight="true" outlineLevel="0" collapsed="false">
      <c r="A920" s="15"/>
      <c r="B920" s="7"/>
      <c r="C920" s="7"/>
      <c r="D920" s="13"/>
      <c r="E920" s="7"/>
    </row>
    <row r="921" customFormat="false" ht="15" hidden="false" customHeight="true" outlineLevel="0" collapsed="false">
      <c r="A921" s="15"/>
      <c r="B921" s="7"/>
      <c r="C921" s="7"/>
      <c r="D921" s="13"/>
      <c r="E921" s="7"/>
    </row>
    <row r="922" customFormat="false" ht="15" hidden="false" customHeight="true" outlineLevel="0" collapsed="false">
      <c r="A922" s="15"/>
      <c r="B922" s="7"/>
      <c r="C922" s="7"/>
      <c r="D922" s="13"/>
      <c r="E922" s="7"/>
    </row>
    <row r="923" customFormat="false" ht="15" hidden="false" customHeight="true" outlineLevel="0" collapsed="false">
      <c r="A923" s="15"/>
      <c r="B923" s="7"/>
      <c r="C923" s="7"/>
      <c r="D923" s="13"/>
      <c r="E923" s="7"/>
    </row>
    <row r="924" customFormat="false" ht="15" hidden="false" customHeight="true" outlineLevel="0" collapsed="false">
      <c r="A924" s="15"/>
      <c r="B924" s="7"/>
      <c r="C924" s="7"/>
      <c r="D924" s="13"/>
      <c r="E924" s="7"/>
    </row>
    <row r="925" customFormat="false" ht="15" hidden="false" customHeight="true" outlineLevel="0" collapsed="false">
      <c r="A925" s="15"/>
      <c r="B925" s="7"/>
      <c r="C925" s="7"/>
      <c r="D925" s="13"/>
      <c r="E925" s="7"/>
    </row>
    <row r="926" customFormat="false" ht="15" hidden="false" customHeight="true" outlineLevel="0" collapsed="false">
      <c r="A926" s="15"/>
      <c r="B926" s="7"/>
      <c r="C926" s="7"/>
      <c r="D926" s="13"/>
      <c r="E926" s="7"/>
    </row>
    <row r="927" customFormat="false" ht="15" hidden="false" customHeight="true" outlineLevel="0" collapsed="false">
      <c r="A927" s="15"/>
      <c r="B927" s="7"/>
      <c r="C927" s="7"/>
      <c r="D927" s="13"/>
      <c r="E927" s="7"/>
    </row>
    <row r="928" customFormat="false" ht="15" hidden="false" customHeight="true" outlineLevel="0" collapsed="false">
      <c r="A928" s="15"/>
      <c r="B928" s="7"/>
      <c r="C928" s="7"/>
      <c r="D928" s="13"/>
      <c r="E928" s="7"/>
    </row>
    <row r="929" customFormat="false" ht="15" hidden="false" customHeight="true" outlineLevel="0" collapsed="false">
      <c r="A929" s="15"/>
      <c r="B929" s="7"/>
      <c r="C929" s="7"/>
      <c r="D929" s="13"/>
      <c r="E929" s="7"/>
    </row>
    <row r="930" customFormat="false" ht="15" hidden="false" customHeight="true" outlineLevel="0" collapsed="false">
      <c r="A930" s="15"/>
      <c r="B930" s="7"/>
      <c r="C930" s="7"/>
      <c r="D930" s="13"/>
      <c r="E930" s="7"/>
    </row>
    <row r="931" customFormat="false" ht="15" hidden="false" customHeight="true" outlineLevel="0" collapsed="false">
      <c r="A931" s="15"/>
      <c r="B931" s="7"/>
      <c r="C931" s="7"/>
      <c r="D931" s="13"/>
      <c r="E931" s="7"/>
    </row>
    <row r="932" customFormat="false" ht="15" hidden="false" customHeight="true" outlineLevel="0" collapsed="false">
      <c r="A932" s="15"/>
      <c r="B932" s="7"/>
      <c r="C932" s="7"/>
      <c r="D932" s="13"/>
      <c r="E932" s="7"/>
    </row>
    <row r="933" customFormat="false" ht="15" hidden="false" customHeight="true" outlineLevel="0" collapsed="false">
      <c r="A933" s="15"/>
      <c r="B933" s="7"/>
      <c r="C933" s="7"/>
      <c r="D933" s="13"/>
      <c r="E933" s="7"/>
    </row>
    <row r="934" customFormat="false" ht="15" hidden="false" customHeight="true" outlineLevel="0" collapsed="false">
      <c r="A934" s="15"/>
      <c r="B934" s="7"/>
      <c r="C934" s="7"/>
      <c r="D934" s="13"/>
      <c r="E934" s="7"/>
    </row>
    <row r="935" customFormat="false" ht="15" hidden="false" customHeight="true" outlineLevel="0" collapsed="false">
      <c r="A935" s="15"/>
      <c r="B935" s="7"/>
      <c r="C935" s="7"/>
      <c r="D935" s="13"/>
      <c r="E935" s="7"/>
    </row>
    <row r="936" customFormat="false" ht="15" hidden="false" customHeight="true" outlineLevel="0" collapsed="false">
      <c r="A936" s="15"/>
      <c r="B936" s="7"/>
      <c r="C936" s="7"/>
      <c r="D936" s="13"/>
      <c r="E936" s="7"/>
    </row>
    <row r="937" customFormat="false" ht="15" hidden="false" customHeight="true" outlineLevel="0" collapsed="false">
      <c r="A937" s="15"/>
      <c r="B937" s="7"/>
      <c r="C937" s="7"/>
      <c r="D937" s="13"/>
      <c r="E937" s="7"/>
    </row>
    <row r="938" customFormat="false" ht="15" hidden="false" customHeight="true" outlineLevel="0" collapsed="false">
      <c r="A938" s="15"/>
      <c r="B938" s="7"/>
      <c r="C938" s="7"/>
      <c r="D938" s="13"/>
      <c r="E938" s="7"/>
    </row>
    <row r="939" customFormat="false" ht="15" hidden="false" customHeight="true" outlineLevel="0" collapsed="false">
      <c r="A939" s="15"/>
      <c r="B939" s="7"/>
      <c r="C939" s="7"/>
      <c r="D939" s="13"/>
      <c r="E939" s="7"/>
    </row>
    <row r="940" customFormat="false" ht="15" hidden="false" customHeight="true" outlineLevel="0" collapsed="false">
      <c r="A940" s="15"/>
      <c r="B940" s="7"/>
      <c r="C940" s="7"/>
      <c r="D940" s="13"/>
      <c r="E940" s="7"/>
    </row>
    <row r="941" customFormat="false" ht="15" hidden="false" customHeight="true" outlineLevel="0" collapsed="false">
      <c r="A941" s="15"/>
      <c r="B941" s="7"/>
      <c r="C941" s="7"/>
      <c r="D941" s="13"/>
      <c r="E941" s="7"/>
    </row>
    <row r="942" customFormat="false" ht="15" hidden="false" customHeight="true" outlineLevel="0" collapsed="false">
      <c r="A942" s="15"/>
      <c r="B942" s="7"/>
      <c r="C942" s="7"/>
      <c r="D942" s="13"/>
      <c r="E942" s="7"/>
    </row>
    <row r="943" customFormat="false" ht="15" hidden="false" customHeight="true" outlineLevel="0" collapsed="false">
      <c r="A943" s="15"/>
      <c r="B943" s="7"/>
      <c r="C943" s="7"/>
      <c r="D943" s="13"/>
      <c r="E943" s="7"/>
    </row>
    <row r="944" customFormat="false" ht="15" hidden="false" customHeight="true" outlineLevel="0" collapsed="false">
      <c r="A944" s="15"/>
      <c r="B944" s="7"/>
      <c r="C944" s="7"/>
      <c r="D944" s="13"/>
      <c r="E944" s="7"/>
    </row>
    <row r="945" customFormat="false" ht="15" hidden="false" customHeight="true" outlineLevel="0" collapsed="false">
      <c r="A945" s="15"/>
      <c r="B945" s="7"/>
      <c r="C945" s="7"/>
      <c r="D945" s="13"/>
      <c r="E945" s="7"/>
    </row>
    <row r="946" customFormat="false" ht="15" hidden="false" customHeight="true" outlineLevel="0" collapsed="false">
      <c r="A946" s="15"/>
      <c r="B946" s="7"/>
      <c r="C946" s="7"/>
      <c r="D946" s="13"/>
      <c r="E946" s="7"/>
    </row>
    <row r="947" customFormat="false" ht="15" hidden="false" customHeight="true" outlineLevel="0" collapsed="false">
      <c r="A947" s="15"/>
      <c r="B947" s="7"/>
      <c r="C947" s="7"/>
      <c r="D947" s="13"/>
      <c r="E947" s="7"/>
    </row>
    <row r="948" customFormat="false" ht="15" hidden="false" customHeight="true" outlineLevel="0" collapsed="false">
      <c r="A948" s="15"/>
      <c r="B948" s="7"/>
      <c r="C948" s="7"/>
      <c r="D948" s="13"/>
      <c r="E948" s="7"/>
    </row>
    <row r="949" customFormat="false" ht="15" hidden="false" customHeight="true" outlineLevel="0" collapsed="false">
      <c r="A949" s="15"/>
      <c r="B949" s="7"/>
      <c r="C949" s="7"/>
      <c r="D949" s="13"/>
      <c r="E949" s="7"/>
    </row>
    <row r="950" customFormat="false" ht="15" hidden="false" customHeight="true" outlineLevel="0" collapsed="false">
      <c r="A950" s="15"/>
      <c r="B950" s="7"/>
      <c r="C950" s="7"/>
      <c r="D950" s="13"/>
      <c r="E950" s="7"/>
    </row>
    <row r="951" customFormat="false" ht="15" hidden="false" customHeight="true" outlineLevel="0" collapsed="false">
      <c r="A951" s="15"/>
      <c r="B951" s="7"/>
      <c r="C951" s="7"/>
      <c r="D951" s="13"/>
      <c r="E951" s="7"/>
    </row>
    <row r="952" customFormat="false" ht="15" hidden="false" customHeight="true" outlineLevel="0" collapsed="false">
      <c r="A952" s="15"/>
      <c r="B952" s="7"/>
      <c r="C952" s="7"/>
      <c r="D952" s="13"/>
      <c r="E952" s="7"/>
    </row>
    <row r="953" customFormat="false" ht="15" hidden="false" customHeight="true" outlineLevel="0" collapsed="false">
      <c r="A953" s="15"/>
      <c r="B953" s="7"/>
      <c r="C953" s="7"/>
      <c r="D953" s="13"/>
      <c r="E953" s="7"/>
    </row>
    <row r="954" customFormat="false" ht="15" hidden="false" customHeight="true" outlineLevel="0" collapsed="false">
      <c r="A954" s="15"/>
      <c r="B954" s="7"/>
      <c r="C954" s="7"/>
      <c r="D954" s="13"/>
      <c r="E954" s="7"/>
    </row>
    <row r="955" customFormat="false" ht="15" hidden="false" customHeight="true" outlineLevel="0" collapsed="false">
      <c r="A955" s="15"/>
      <c r="B955" s="7"/>
      <c r="C955" s="7"/>
      <c r="D955" s="13"/>
      <c r="E955" s="7"/>
    </row>
    <row r="956" customFormat="false" ht="15" hidden="false" customHeight="true" outlineLevel="0" collapsed="false">
      <c r="A956" s="15"/>
      <c r="B956" s="7"/>
      <c r="C956" s="7"/>
      <c r="D956" s="13"/>
      <c r="E956" s="7"/>
    </row>
    <row r="957" customFormat="false" ht="15" hidden="false" customHeight="true" outlineLevel="0" collapsed="false">
      <c r="A957" s="15"/>
      <c r="B957" s="7"/>
      <c r="C957" s="7"/>
      <c r="D957" s="13"/>
      <c r="E957" s="7"/>
    </row>
    <row r="958" customFormat="false" ht="15" hidden="false" customHeight="true" outlineLevel="0" collapsed="false">
      <c r="A958" s="15"/>
      <c r="B958" s="7"/>
      <c r="C958" s="7"/>
      <c r="D958" s="13"/>
      <c r="E958" s="7"/>
    </row>
    <row r="959" customFormat="false" ht="15" hidden="false" customHeight="true" outlineLevel="0" collapsed="false">
      <c r="A959" s="15"/>
      <c r="B959" s="7"/>
      <c r="C959" s="7"/>
      <c r="D959" s="13"/>
      <c r="E959" s="7"/>
    </row>
    <row r="960" customFormat="false" ht="15" hidden="false" customHeight="true" outlineLevel="0" collapsed="false">
      <c r="A960" s="15"/>
      <c r="B960" s="7"/>
      <c r="C960" s="7"/>
      <c r="D960" s="13"/>
      <c r="E960" s="7"/>
    </row>
    <row r="961" customFormat="false" ht="15" hidden="false" customHeight="true" outlineLevel="0" collapsed="false">
      <c r="A961" s="15"/>
      <c r="B961" s="7"/>
      <c r="C961" s="7"/>
      <c r="D961" s="13"/>
      <c r="E961" s="7"/>
    </row>
    <row r="962" customFormat="false" ht="15" hidden="false" customHeight="true" outlineLevel="0" collapsed="false">
      <c r="A962" s="15"/>
      <c r="B962" s="7"/>
      <c r="C962" s="7"/>
      <c r="D962" s="13"/>
      <c r="E962" s="7"/>
    </row>
    <row r="963" customFormat="false" ht="15" hidden="false" customHeight="true" outlineLevel="0" collapsed="false">
      <c r="A963" s="15"/>
      <c r="B963" s="7"/>
      <c r="C963" s="7"/>
      <c r="D963" s="13"/>
      <c r="E963" s="7"/>
    </row>
    <row r="964" customFormat="false" ht="15" hidden="false" customHeight="true" outlineLevel="0" collapsed="false">
      <c r="A964" s="15"/>
      <c r="B964" s="7"/>
      <c r="C964" s="7"/>
      <c r="D964" s="13"/>
      <c r="E964" s="7"/>
    </row>
    <row r="965" customFormat="false" ht="15" hidden="false" customHeight="true" outlineLevel="0" collapsed="false">
      <c r="A965" s="15"/>
      <c r="B965" s="7"/>
      <c r="C965" s="7"/>
      <c r="D965" s="13"/>
      <c r="E965" s="7"/>
    </row>
    <row r="966" customFormat="false" ht="15" hidden="false" customHeight="true" outlineLevel="0" collapsed="false">
      <c r="A966" s="15"/>
      <c r="B966" s="7"/>
      <c r="C966" s="7"/>
      <c r="D966" s="13"/>
      <c r="E966" s="7"/>
    </row>
    <row r="967" customFormat="false" ht="15" hidden="false" customHeight="true" outlineLevel="0" collapsed="false">
      <c r="A967" s="15"/>
      <c r="B967" s="7"/>
      <c r="C967" s="7"/>
      <c r="D967" s="13"/>
      <c r="E967" s="7"/>
    </row>
    <row r="968" customFormat="false" ht="15" hidden="false" customHeight="true" outlineLevel="0" collapsed="false">
      <c r="A968" s="15"/>
      <c r="B968" s="7"/>
      <c r="C968" s="7"/>
      <c r="D968" s="13"/>
      <c r="E968" s="7"/>
    </row>
    <row r="969" customFormat="false" ht="15" hidden="false" customHeight="true" outlineLevel="0" collapsed="false">
      <c r="A969" s="15"/>
      <c r="B969" s="7"/>
      <c r="C969" s="7"/>
      <c r="D969" s="13"/>
      <c r="E969" s="7"/>
    </row>
    <row r="970" customFormat="false" ht="15" hidden="false" customHeight="true" outlineLevel="0" collapsed="false">
      <c r="A970" s="15"/>
      <c r="B970" s="7"/>
      <c r="C970" s="7"/>
      <c r="D970" s="13"/>
      <c r="E970" s="7"/>
    </row>
    <row r="971" customFormat="false" ht="15" hidden="false" customHeight="true" outlineLevel="0" collapsed="false">
      <c r="A971" s="15"/>
      <c r="B971" s="7"/>
      <c r="C971" s="7"/>
      <c r="D971" s="13"/>
      <c r="E971" s="7"/>
    </row>
    <row r="972" customFormat="false" ht="15" hidden="false" customHeight="true" outlineLevel="0" collapsed="false">
      <c r="A972" s="15"/>
      <c r="B972" s="7"/>
      <c r="C972" s="7"/>
      <c r="D972" s="13"/>
      <c r="E972" s="7"/>
    </row>
    <row r="973" customFormat="false" ht="15" hidden="false" customHeight="true" outlineLevel="0" collapsed="false">
      <c r="A973" s="15"/>
      <c r="B973" s="7"/>
      <c r="C973" s="7"/>
      <c r="D973" s="13"/>
      <c r="E973" s="7"/>
    </row>
    <row r="974" customFormat="false" ht="15" hidden="false" customHeight="true" outlineLevel="0" collapsed="false">
      <c r="A974" s="15"/>
      <c r="B974" s="7"/>
      <c r="C974" s="7"/>
      <c r="D974" s="13"/>
      <c r="E974" s="7"/>
    </row>
    <row r="975" customFormat="false" ht="15" hidden="false" customHeight="true" outlineLevel="0" collapsed="false">
      <c r="A975" s="15"/>
      <c r="B975" s="7"/>
      <c r="C975" s="7"/>
      <c r="D975" s="13"/>
      <c r="E975" s="7"/>
    </row>
    <row r="976" customFormat="false" ht="15" hidden="false" customHeight="true" outlineLevel="0" collapsed="false">
      <c r="A976" s="15"/>
      <c r="B976" s="7"/>
      <c r="C976" s="7"/>
      <c r="D976" s="13"/>
      <c r="E976" s="7"/>
    </row>
    <row r="977" customFormat="false" ht="15" hidden="false" customHeight="true" outlineLevel="0" collapsed="false">
      <c r="A977" s="15"/>
      <c r="B977" s="7"/>
      <c r="C977" s="7"/>
      <c r="D977" s="13"/>
      <c r="E977" s="7"/>
    </row>
    <row r="978" customFormat="false" ht="15" hidden="false" customHeight="true" outlineLevel="0" collapsed="false">
      <c r="A978" s="15"/>
      <c r="B978" s="7"/>
      <c r="C978" s="7"/>
      <c r="D978" s="13"/>
      <c r="E978" s="7"/>
    </row>
    <row r="979" customFormat="false" ht="15" hidden="false" customHeight="true" outlineLevel="0" collapsed="false">
      <c r="A979" s="15"/>
      <c r="B979" s="7"/>
      <c r="C979" s="7"/>
      <c r="D979" s="13"/>
      <c r="E979" s="7"/>
    </row>
    <row r="980" customFormat="false" ht="15" hidden="false" customHeight="true" outlineLevel="0" collapsed="false">
      <c r="A980" s="15"/>
      <c r="B980" s="7"/>
      <c r="C980" s="7"/>
      <c r="D980" s="13"/>
      <c r="E980" s="7"/>
    </row>
    <row r="981" customFormat="false" ht="15" hidden="false" customHeight="true" outlineLevel="0" collapsed="false">
      <c r="A981" s="15"/>
      <c r="B981" s="7"/>
      <c r="C981" s="7"/>
      <c r="D981" s="13"/>
      <c r="E981" s="7"/>
    </row>
    <row r="982" customFormat="false" ht="15" hidden="false" customHeight="true" outlineLevel="0" collapsed="false">
      <c r="A982" s="15"/>
      <c r="B982" s="7"/>
      <c r="C982" s="7"/>
      <c r="D982" s="13"/>
      <c r="E982" s="7"/>
    </row>
    <row r="983" customFormat="false" ht="15" hidden="false" customHeight="true" outlineLevel="0" collapsed="false">
      <c r="A983" s="15"/>
      <c r="B983" s="7"/>
      <c r="C983" s="7"/>
      <c r="D983" s="13"/>
      <c r="E983" s="7"/>
    </row>
    <row r="984" customFormat="false" ht="15" hidden="false" customHeight="true" outlineLevel="0" collapsed="false">
      <c r="A984" s="15"/>
      <c r="B984" s="7"/>
      <c r="C984" s="7"/>
      <c r="D984" s="13"/>
      <c r="E984" s="7"/>
    </row>
    <row r="985" customFormat="false" ht="15" hidden="false" customHeight="true" outlineLevel="0" collapsed="false">
      <c r="A985" s="15"/>
      <c r="B985" s="7"/>
      <c r="C985" s="7"/>
      <c r="D985" s="13"/>
      <c r="E985" s="7"/>
    </row>
    <row r="986" customFormat="false" ht="15" hidden="false" customHeight="true" outlineLevel="0" collapsed="false">
      <c r="A986" s="15"/>
      <c r="B986" s="7"/>
      <c r="C986" s="7"/>
      <c r="D986" s="13"/>
      <c r="E986" s="7"/>
    </row>
    <row r="987" customFormat="false" ht="15" hidden="false" customHeight="true" outlineLevel="0" collapsed="false">
      <c r="A987" s="15"/>
      <c r="B987" s="7"/>
      <c r="C987" s="7"/>
      <c r="D987" s="13"/>
      <c r="E987" s="7"/>
    </row>
    <row r="988" customFormat="false" ht="15" hidden="false" customHeight="true" outlineLevel="0" collapsed="false">
      <c r="A988" s="15"/>
      <c r="B988" s="7"/>
      <c r="C988" s="7"/>
      <c r="D988" s="13"/>
      <c r="E988" s="7"/>
    </row>
    <row r="989" customFormat="false" ht="15" hidden="false" customHeight="true" outlineLevel="0" collapsed="false">
      <c r="A989" s="15"/>
      <c r="B989" s="7"/>
      <c r="C989" s="7"/>
      <c r="D989" s="13"/>
      <c r="E989" s="7"/>
    </row>
    <row r="990" customFormat="false" ht="15" hidden="false" customHeight="true" outlineLevel="0" collapsed="false">
      <c r="A990" s="15"/>
      <c r="B990" s="7"/>
      <c r="C990" s="7"/>
      <c r="D990" s="13"/>
      <c r="E990" s="7"/>
    </row>
    <row r="991" customFormat="false" ht="15" hidden="false" customHeight="true" outlineLevel="0" collapsed="false">
      <c r="A991" s="15"/>
      <c r="B991" s="7"/>
      <c r="C991" s="7"/>
      <c r="D991" s="13"/>
      <c r="E991" s="7"/>
    </row>
    <row r="992" customFormat="false" ht="15" hidden="false" customHeight="true" outlineLevel="0" collapsed="false">
      <c r="A992" s="15"/>
      <c r="B992" s="7"/>
      <c r="C992" s="7"/>
      <c r="D992" s="13"/>
      <c r="E992" s="7"/>
    </row>
    <row r="993" customFormat="false" ht="15" hidden="false" customHeight="true" outlineLevel="0" collapsed="false">
      <c r="A993" s="15"/>
      <c r="B993" s="7"/>
      <c r="C993" s="7"/>
      <c r="D993" s="13"/>
      <c r="E993" s="7"/>
    </row>
    <row r="994" customFormat="false" ht="15" hidden="false" customHeight="true" outlineLevel="0" collapsed="false">
      <c r="A994" s="15"/>
      <c r="B994" s="7"/>
      <c r="C994" s="7"/>
      <c r="D994" s="13"/>
      <c r="E994" s="7"/>
    </row>
    <row r="995" customFormat="false" ht="15" hidden="false" customHeight="true" outlineLevel="0" collapsed="false">
      <c r="A995" s="15"/>
      <c r="B995" s="7"/>
      <c r="C995" s="7"/>
      <c r="D995" s="13"/>
      <c r="E995" s="7"/>
    </row>
    <row r="996" customFormat="false" ht="15" hidden="false" customHeight="true" outlineLevel="0" collapsed="false">
      <c r="A996" s="15"/>
      <c r="B996" s="7"/>
      <c r="C996" s="7"/>
      <c r="D996" s="13"/>
      <c r="E996" s="7"/>
    </row>
    <row r="997" customFormat="false" ht="15" hidden="false" customHeight="true" outlineLevel="0" collapsed="false">
      <c r="A997" s="15"/>
      <c r="B997" s="7"/>
      <c r="C997" s="7"/>
      <c r="D997" s="13"/>
      <c r="E997" s="7"/>
    </row>
    <row r="998" customFormat="false" ht="15" hidden="false" customHeight="true" outlineLevel="0" collapsed="false">
      <c r="A998" s="15"/>
      <c r="B998" s="7"/>
      <c r="C998" s="7"/>
      <c r="D998" s="13"/>
      <c r="E998" s="7"/>
    </row>
    <row r="999" customFormat="false" ht="15" hidden="false" customHeight="true" outlineLevel="0" collapsed="false">
      <c r="A999" s="15"/>
      <c r="B999" s="7"/>
      <c r="C999" s="7"/>
      <c r="D999" s="13"/>
      <c r="E999" s="7"/>
    </row>
    <row r="1000" customFormat="false" ht="15" hidden="false" customHeight="true" outlineLevel="0" collapsed="false">
      <c r="A1000" s="15"/>
      <c r="B1000" s="7"/>
      <c r="C1000" s="7"/>
      <c r="D1000" s="13"/>
      <c r="E1000" s="7"/>
    </row>
    <row r="1001" customFormat="false" ht="15" hidden="false" customHeight="true" outlineLevel="0" collapsed="false">
      <c r="A1001" s="15"/>
      <c r="B1001" s="7"/>
      <c r="C1001" s="7"/>
      <c r="D1001" s="13"/>
      <c r="E1001" s="7"/>
    </row>
  </sheetData>
  <dataValidations count="1">
    <dataValidation allowBlank="true" errorStyle="stop" operator="between" showDropDown="false" showErrorMessage="false" showInputMessage="false" sqref="B2:B1001" type="list">
      <formula1>Settings!$G$3:$G$10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32"/>
    <col collapsed="false" customWidth="true" hidden="false" outlineLevel="0" max="4" min="4" style="1" width="14"/>
    <col collapsed="false" customWidth="true" hidden="false" outlineLevel="0" max="5" min="5" style="1" width="28"/>
  </cols>
  <sheetData>
    <row r="1" customFormat="false" ht="31.5" hidden="false" customHeight="true" outlineLevel="0" collapsed="false">
      <c r="A1" s="11" t="s">
        <v>124</v>
      </c>
      <c r="B1" s="11" t="s">
        <v>67</v>
      </c>
      <c r="C1" s="11" t="s">
        <v>1173</v>
      </c>
      <c r="D1" s="11" t="s">
        <v>1159</v>
      </c>
      <c r="E1" s="11" t="s">
        <v>196</v>
      </c>
    </row>
    <row r="2" customFormat="false" ht="15" hidden="false" customHeight="true" outlineLevel="0" collapsed="false">
      <c r="A2" s="15" t="n">
        <v>46223</v>
      </c>
      <c r="B2" s="7" t="s">
        <v>15</v>
      </c>
      <c r="C2" s="7" t="s">
        <v>1174</v>
      </c>
      <c r="D2" s="13" t="n">
        <v>120000</v>
      </c>
      <c r="E2" s="7" t="s">
        <v>1175</v>
      </c>
    </row>
    <row r="3" customFormat="false" ht="15" hidden="false" customHeight="true" outlineLevel="0" collapsed="false">
      <c r="A3" s="15" t="n">
        <v>46225</v>
      </c>
      <c r="B3" s="7" t="s">
        <v>23</v>
      </c>
      <c r="C3" s="7" t="s">
        <v>1176</v>
      </c>
      <c r="D3" s="13" t="n">
        <v>60000</v>
      </c>
      <c r="E3" s="7" t="s">
        <v>1175</v>
      </c>
    </row>
    <row r="4" customFormat="false" ht="15" hidden="false" customHeight="true" outlineLevel="0" collapsed="false">
      <c r="A4" s="15" t="n">
        <v>46228</v>
      </c>
      <c r="B4" s="7" t="s">
        <v>31</v>
      </c>
      <c r="C4" s="7" t="s">
        <v>1177</v>
      </c>
      <c r="D4" s="13" t="n">
        <v>30000</v>
      </c>
      <c r="E4" s="7" t="s">
        <v>1175</v>
      </c>
    </row>
    <row r="5" customFormat="false" ht="15" hidden="false" customHeight="true" outlineLevel="0" collapsed="false">
      <c r="A5" s="15" t="n">
        <v>46231</v>
      </c>
      <c r="B5" s="7" t="s">
        <v>15</v>
      </c>
      <c r="C5" s="7" t="s">
        <v>1178</v>
      </c>
      <c r="D5" s="13" t="n">
        <v>25000</v>
      </c>
      <c r="E5" s="7" t="s">
        <v>1175</v>
      </c>
    </row>
    <row r="6" customFormat="false" ht="15" hidden="false" customHeight="true" outlineLevel="0" collapsed="false">
      <c r="A6" s="15" t="n">
        <v>46236</v>
      </c>
      <c r="B6" s="7" t="s">
        <v>46</v>
      </c>
      <c r="C6" s="7" t="s">
        <v>1179</v>
      </c>
      <c r="D6" s="13" t="n">
        <v>8000</v>
      </c>
      <c r="E6" s="7" t="s">
        <v>1175</v>
      </c>
    </row>
    <row r="7" customFormat="false" ht="15" hidden="false" customHeight="true" outlineLevel="0" collapsed="false">
      <c r="A7" s="15"/>
      <c r="B7" s="7"/>
      <c r="C7" s="7"/>
      <c r="D7" s="13"/>
      <c r="E7" s="7"/>
    </row>
    <row r="8" customFormat="false" ht="15" hidden="false" customHeight="true" outlineLevel="0" collapsed="false">
      <c r="A8" s="15"/>
      <c r="B8" s="7"/>
      <c r="C8" s="7"/>
      <c r="D8" s="13"/>
      <c r="E8" s="7"/>
    </row>
    <row r="9" customFormat="false" ht="15" hidden="false" customHeight="true" outlineLevel="0" collapsed="false">
      <c r="A9" s="15"/>
      <c r="B9" s="7"/>
      <c r="C9" s="7"/>
      <c r="D9" s="13"/>
      <c r="E9" s="7"/>
    </row>
    <row r="10" customFormat="false" ht="15" hidden="false" customHeight="true" outlineLevel="0" collapsed="false">
      <c r="A10" s="15"/>
      <c r="B10" s="7"/>
      <c r="C10" s="7"/>
      <c r="D10" s="13"/>
      <c r="E10" s="7"/>
    </row>
    <row r="11" customFormat="false" ht="15" hidden="false" customHeight="true" outlineLevel="0" collapsed="false">
      <c r="A11" s="15"/>
      <c r="B11" s="7"/>
      <c r="C11" s="7"/>
      <c r="D11" s="13"/>
      <c r="E11" s="7"/>
    </row>
    <row r="12" customFormat="false" ht="15" hidden="false" customHeight="true" outlineLevel="0" collapsed="false">
      <c r="A12" s="15"/>
      <c r="B12" s="7"/>
      <c r="C12" s="7"/>
      <c r="D12" s="13"/>
      <c r="E12" s="7"/>
    </row>
    <row r="13" customFormat="false" ht="15" hidden="false" customHeight="true" outlineLevel="0" collapsed="false">
      <c r="A13" s="15"/>
      <c r="B13" s="7"/>
      <c r="C13" s="7"/>
      <c r="D13" s="13"/>
      <c r="E13" s="7"/>
    </row>
    <row r="14" customFormat="false" ht="15" hidden="false" customHeight="true" outlineLevel="0" collapsed="false">
      <c r="A14" s="15"/>
      <c r="B14" s="7"/>
      <c r="C14" s="7"/>
      <c r="D14" s="13"/>
      <c r="E14" s="7"/>
    </row>
    <row r="15" customFormat="false" ht="15" hidden="false" customHeight="true" outlineLevel="0" collapsed="false">
      <c r="A15" s="15"/>
      <c r="B15" s="7"/>
      <c r="C15" s="7"/>
      <c r="D15" s="13"/>
      <c r="E15" s="7"/>
    </row>
    <row r="16" customFormat="false" ht="15" hidden="false" customHeight="true" outlineLevel="0" collapsed="false">
      <c r="A16" s="15"/>
      <c r="B16" s="7"/>
      <c r="C16" s="7"/>
      <c r="D16" s="13"/>
      <c r="E16" s="7"/>
    </row>
    <row r="17" customFormat="false" ht="15" hidden="false" customHeight="true" outlineLevel="0" collapsed="false">
      <c r="A17" s="15"/>
      <c r="B17" s="7"/>
      <c r="C17" s="7"/>
      <c r="D17" s="13"/>
      <c r="E17" s="7"/>
    </row>
    <row r="18" customFormat="false" ht="15" hidden="false" customHeight="true" outlineLevel="0" collapsed="false">
      <c r="A18" s="15"/>
      <c r="B18" s="7"/>
      <c r="C18" s="7"/>
      <c r="D18" s="13"/>
      <c r="E18" s="7"/>
    </row>
    <row r="19" customFormat="false" ht="15" hidden="false" customHeight="true" outlineLevel="0" collapsed="false">
      <c r="A19" s="15"/>
      <c r="B19" s="7"/>
      <c r="C19" s="7"/>
      <c r="D19" s="13"/>
      <c r="E19" s="7"/>
    </row>
    <row r="20" customFormat="false" ht="15" hidden="false" customHeight="true" outlineLevel="0" collapsed="false">
      <c r="A20" s="15"/>
      <c r="B20" s="7"/>
      <c r="C20" s="7"/>
      <c r="D20" s="13"/>
      <c r="E20" s="7"/>
    </row>
    <row r="21" customFormat="false" ht="15" hidden="false" customHeight="true" outlineLevel="0" collapsed="false">
      <c r="A21" s="15"/>
      <c r="B21" s="7"/>
      <c r="C21" s="7"/>
      <c r="D21" s="13"/>
      <c r="E21" s="7"/>
    </row>
    <row r="22" customFormat="false" ht="15" hidden="false" customHeight="true" outlineLevel="0" collapsed="false">
      <c r="A22" s="15"/>
      <c r="B22" s="7"/>
      <c r="C22" s="7"/>
      <c r="D22" s="13"/>
      <c r="E22" s="7"/>
    </row>
    <row r="23" customFormat="false" ht="15" hidden="false" customHeight="true" outlineLevel="0" collapsed="false">
      <c r="A23" s="15"/>
      <c r="B23" s="7"/>
      <c r="C23" s="7"/>
      <c r="D23" s="13"/>
      <c r="E23" s="7"/>
    </row>
    <row r="24" customFormat="false" ht="15" hidden="false" customHeight="true" outlineLevel="0" collapsed="false">
      <c r="A24" s="15"/>
      <c r="B24" s="7"/>
      <c r="C24" s="7"/>
      <c r="D24" s="13"/>
      <c r="E24" s="7"/>
    </row>
    <row r="25" customFormat="false" ht="15" hidden="false" customHeight="true" outlineLevel="0" collapsed="false">
      <c r="A25" s="15"/>
      <c r="B25" s="7"/>
      <c r="C25" s="7"/>
      <c r="D25" s="13"/>
      <c r="E25" s="7"/>
    </row>
    <row r="26" customFormat="false" ht="15" hidden="false" customHeight="true" outlineLevel="0" collapsed="false">
      <c r="A26" s="15"/>
      <c r="B26" s="7"/>
      <c r="C26" s="7"/>
      <c r="D26" s="13"/>
      <c r="E26" s="7"/>
    </row>
    <row r="27" customFormat="false" ht="15" hidden="false" customHeight="true" outlineLevel="0" collapsed="false">
      <c r="A27" s="15"/>
      <c r="B27" s="7"/>
      <c r="C27" s="7"/>
      <c r="D27" s="13"/>
      <c r="E27" s="7"/>
    </row>
    <row r="28" customFormat="false" ht="15" hidden="false" customHeight="true" outlineLevel="0" collapsed="false">
      <c r="A28" s="15"/>
      <c r="B28" s="7"/>
      <c r="C28" s="7"/>
      <c r="D28" s="13"/>
      <c r="E28" s="7"/>
    </row>
    <row r="29" customFormat="false" ht="15" hidden="false" customHeight="true" outlineLevel="0" collapsed="false">
      <c r="A29" s="15"/>
      <c r="B29" s="7"/>
      <c r="C29" s="7"/>
      <c r="D29" s="13"/>
      <c r="E29" s="7"/>
    </row>
    <row r="30" customFormat="false" ht="15" hidden="false" customHeight="true" outlineLevel="0" collapsed="false">
      <c r="A30" s="15"/>
      <c r="B30" s="7"/>
      <c r="C30" s="7"/>
      <c r="D30" s="13"/>
      <c r="E30" s="7"/>
    </row>
    <row r="31" customFormat="false" ht="15" hidden="false" customHeight="true" outlineLevel="0" collapsed="false">
      <c r="A31" s="15"/>
      <c r="B31" s="7"/>
      <c r="C31" s="7"/>
      <c r="D31" s="13"/>
      <c r="E31" s="7"/>
    </row>
    <row r="32" customFormat="false" ht="15" hidden="false" customHeight="true" outlineLevel="0" collapsed="false">
      <c r="A32" s="15"/>
      <c r="B32" s="7"/>
      <c r="C32" s="7"/>
      <c r="D32" s="13"/>
      <c r="E32" s="7"/>
    </row>
    <row r="33" customFormat="false" ht="15" hidden="false" customHeight="true" outlineLevel="0" collapsed="false">
      <c r="A33" s="15"/>
      <c r="B33" s="7"/>
      <c r="C33" s="7"/>
      <c r="D33" s="13"/>
      <c r="E33" s="7"/>
    </row>
    <row r="34" customFormat="false" ht="15" hidden="false" customHeight="true" outlineLevel="0" collapsed="false">
      <c r="A34" s="15"/>
      <c r="B34" s="7"/>
      <c r="C34" s="7"/>
      <c r="D34" s="13"/>
      <c r="E34" s="7"/>
    </row>
    <row r="35" customFormat="false" ht="15" hidden="false" customHeight="true" outlineLevel="0" collapsed="false">
      <c r="A35" s="15"/>
      <c r="B35" s="7"/>
      <c r="C35" s="7"/>
      <c r="D35" s="13"/>
      <c r="E35" s="7"/>
    </row>
    <row r="36" customFormat="false" ht="15" hidden="false" customHeight="true" outlineLevel="0" collapsed="false">
      <c r="A36" s="15"/>
      <c r="B36" s="7"/>
      <c r="C36" s="7"/>
      <c r="D36" s="13"/>
      <c r="E36" s="7"/>
    </row>
    <row r="37" customFormat="false" ht="15" hidden="false" customHeight="true" outlineLevel="0" collapsed="false">
      <c r="A37" s="15"/>
      <c r="B37" s="7"/>
      <c r="C37" s="7"/>
      <c r="D37" s="13"/>
      <c r="E37" s="7"/>
    </row>
    <row r="38" customFormat="false" ht="15" hidden="false" customHeight="true" outlineLevel="0" collapsed="false">
      <c r="A38" s="15"/>
      <c r="B38" s="7"/>
      <c r="C38" s="7"/>
      <c r="D38" s="13"/>
      <c r="E38" s="7"/>
    </row>
    <row r="39" customFormat="false" ht="15" hidden="false" customHeight="true" outlineLevel="0" collapsed="false">
      <c r="A39" s="15"/>
      <c r="B39" s="7"/>
      <c r="C39" s="7"/>
      <c r="D39" s="13"/>
      <c r="E39" s="7"/>
    </row>
    <row r="40" customFormat="false" ht="15" hidden="false" customHeight="true" outlineLevel="0" collapsed="false">
      <c r="A40" s="15"/>
      <c r="B40" s="7"/>
      <c r="C40" s="7"/>
      <c r="D40" s="13"/>
      <c r="E40" s="7"/>
    </row>
    <row r="41" customFormat="false" ht="15" hidden="false" customHeight="true" outlineLevel="0" collapsed="false">
      <c r="A41" s="15"/>
      <c r="B41" s="7"/>
      <c r="C41" s="7"/>
      <c r="D41" s="13"/>
      <c r="E41" s="7"/>
    </row>
    <row r="42" customFormat="false" ht="15" hidden="false" customHeight="true" outlineLevel="0" collapsed="false">
      <c r="A42" s="15"/>
      <c r="B42" s="7"/>
      <c r="C42" s="7"/>
      <c r="D42" s="13"/>
      <c r="E42" s="7"/>
    </row>
    <row r="43" customFormat="false" ht="15" hidden="false" customHeight="true" outlineLevel="0" collapsed="false">
      <c r="A43" s="15"/>
      <c r="B43" s="7"/>
      <c r="C43" s="7"/>
      <c r="D43" s="13"/>
      <c r="E43" s="7"/>
    </row>
    <row r="44" customFormat="false" ht="15" hidden="false" customHeight="true" outlineLevel="0" collapsed="false">
      <c r="A44" s="15"/>
      <c r="B44" s="7"/>
      <c r="C44" s="7"/>
      <c r="D44" s="13"/>
      <c r="E44" s="7"/>
    </row>
    <row r="45" customFormat="false" ht="15" hidden="false" customHeight="true" outlineLevel="0" collapsed="false">
      <c r="A45" s="15"/>
      <c r="B45" s="7"/>
      <c r="C45" s="7"/>
      <c r="D45" s="13"/>
      <c r="E45" s="7"/>
    </row>
    <row r="46" customFormat="false" ht="15" hidden="false" customHeight="true" outlineLevel="0" collapsed="false">
      <c r="A46" s="15"/>
      <c r="B46" s="7"/>
      <c r="C46" s="7"/>
      <c r="D46" s="13"/>
      <c r="E46" s="7"/>
    </row>
    <row r="47" customFormat="false" ht="15" hidden="false" customHeight="true" outlineLevel="0" collapsed="false">
      <c r="A47" s="15"/>
      <c r="B47" s="7"/>
      <c r="C47" s="7"/>
      <c r="D47" s="13"/>
      <c r="E47" s="7"/>
    </row>
    <row r="48" customFormat="false" ht="15" hidden="false" customHeight="true" outlineLevel="0" collapsed="false">
      <c r="A48" s="15"/>
      <c r="B48" s="7"/>
      <c r="C48" s="7"/>
      <c r="D48" s="13"/>
      <c r="E48" s="7"/>
    </row>
    <row r="49" customFormat="false" ht="15" hidden="false" customHeight="true" outlineLevel="0" collapsed="false">
      <c r="A49" s="15"/>
      <c r="B49" s="7"/>
      <c r="C49" s="7"/>
      <c r="D49" s="13"/>
      <c r="E49" s="7"/>
    </row>
    <row r="50" customFormat="false" ht="15" hidden="false" customHeight="true" outlineLevel="0" collapsed="false">
      <c r="A50" s="15"/>
      <c r="B50" s="7"/>
      <c r="C50" s="7"/>
      <c r="D50" s="13"/>
      <c r="E50" s="7"/>
    </row>
    <row r="51" customFormat="false" ht="15" hidden="false" customHeight="true" outlineLevel="0" collapsed="false">
      <c r="A51" s="15"/>
      <c r="B51" s="7"/>
      <c r="C51" s="7"/>
      <c r="D51" s="13"/>
      <c r="E51" s="7"/>
    </row>
    <row r="52" customFormat="false" ht="15" hidden="false" customHeight="true" outlineLevel="0" collapsed="false">
      <c r="A52" s="15"/>
      <c r="B52" s="7"/>
      <c r="C52" s="7"/>
      <c r="D52" s="13"/>
      <c r="E52" s="7"/>
    </row>
    <row r="53" customFormat="false" ht="15" hidden="false" customHeight="true" outlineLevel="0" collapsed="false">
      <c r="A53" s="15"/>
      <c r="B53" s="7"/>
      <c r="C53" s="7"/>
      <c r="D53" s="13"/>
      <c r="E53" s="7"/>
    </row>
    <row r="54" customFormat="false" ht="15" hidden="false" customHeight="true" outlineLevel="0" collapsed="false">
      <c r="A54" s="15"/>
      <c r="B54" s="7"/>
      <c r="C54" s="7"/>
      <c r="D54" s="13"/>
      <c r="E54" s="7"/>
    </row>
    <row r="55" customFormat="false" ht="15" hidden="false" customHeight="true" outlineLevel="0" collapsed="false">
      <c r="A55" s="15"/>
      <c r="B55" s="7"/>
      <c r="C55" s="7"/>
      <c r="D55" s="13"/>
      <c r="E55" s="7"/>
    </row>
    <row r="56" customFormat="false" ht="15" hidden="false" customHeight="true" outlineLevel="0" collapsed="false">
      <c r="A56" s="15"/>
      <c r="B56" s="7"/>
      <c r="C56" s="7"/>
      <c r="D56" s="13"/>
      <c r="E56" s="7"/>
    </row>
    <row r="57" customFormat="false" ht="15" hidden="false" customHeight="true" outlineLevel="0" collapsed="false">
      <c r="A57" s="15"/>
      <c r="B57" s="7"/>
      <c r="C57" s="7"/>
      <c r="D57" s="13"/>
      <c r="E57" s="7"/>
    </row>
    <row r="58" customFormat="false" ht="15" hidden="false" customHeight="true" outlineLevel="0" collapsed="false">
      <c r="A58" s="15"/>
      <c r="B58" s="7"/>
      <c r="C58" s="7"/>
      <c r="D58" s="13"/>
      <c r="E58" s="7"/>
    </row>
    <row r="59" customFormat="false" ht="15" hidden="false" customHeight="true" outlineLevel="0" collapsed="false">
      <c r="A59" s="15"/>
      <c r="B59" s="7"/>
      <c r="C59" s="7"/>
      <c r="D59" s="13"/>
      <c r="E59" s="7"/>
    </row>
    <row r="60" customFormat="false" ht="15" hidden="false" customHeight="true" outlineLevel="0" collapsed="false">
      <c r="A60" s="15"/>
      <c r="B60" s="7"/>
      <c r="C60" s="7"/>
      <c r="D60" s="13"/>
      <c r="E60" s="7"/>
    </row>
    <row r="61" customFormat="false" ht="15" hidden="false" customHeight="true" outlineLevel="0" collapsed="false">
      <c r="A61" s="15"/>
      <c r="B61" s="7"/>
      <c r="C61" s="7"/>
      <c r="D61" s="13"/>
      <c r="E61" s="7"/>
    </row>
    <row r="62" customFormat="false" ht="15" hidden="false" customHeight="true" outlineLevel="0" collapsed="false">
      <c r="A62" s="15"/>
      <c r="B62" s="7"/>
      <c r="C62" s="7"/>
      <c r="D62" s="13"/>
      <c r="E62" s="7"/>
    </row>
    <row r="63" customFormat="false" ht="15" hidden="false" customHeight="true" outlineLevel="0" collapsed="false">
      <c r="A63" s="15"/>
      <c r="B63" s="7"/>
      <c r="C63" s="7"/>
      <c r="D63" s="13"/>
      <c r="E63" s="7"/>
    </row>
    <row r="64" customFormat="false" ht="15" hidden="false" customHeight="true" outlineLevel="0" collapsed="false">
      <c r="A64" s="15"/>
      <c r="B64" s="7"/>
      <c r="C64" s="7"/>
      <c r="D64" s="13"/>
      <c r="E64" s="7"/>
    </row>
    <row r="65" customFormat="false" ht="15" hidden="false" customHeight="true" outlineLevel="0" collapsed="false">
      <c r="A65" s="15"/>
      <c r="B65" s="7"/>
      <c r="C65" s="7"/>
      <c r="D65" s="13"/>
      <c r="E65" s="7"/>
    </row>
    <row r="66" customFormat="false" ht="15" hidden="false" customHeight="true" outlineLevel="0" collapsed="false">
      <c r="A66" s="15"/>
      <c r="B66" s="7"/>
      <c r="C66" s="7"/>
      <c r="D66" s="13"/>
      <c r="E66" s="7"/>
    </row>
    <row r="67" customFormat="false" ht="15" hidden="false" customHeight="true" outlineLevel="0" collapsed="false">
      <c r="A67" s="15"/>
      <c r="B67" s="7"/>
      <c r="C67" s="7"/>
      <c r="D67" s="13"/>
      <c r="E67" s="7"/>
    </row>
    <row r="68" customFormat="false" ht="15" hidden="false" customHeight="true" outlineLevel="0" collapsed="false">
      <c r="A68" s="15"/>
      <c r="B68" s="7"/>
      <c r="C68" s="7"/>
      <c r="D68" s="13"/>
      <c r="E68" s="7"/>
    </row>
    <row r="69" customFormat="false" ht="15" hidden="false" customHeight="true" outlineLevel="0" collapsed="false">
      <c r="A69" s="15"/>
      <c r="B69" s="7"/>
      <c r="C69" s="7"/>
      <c r="D69" s="13"/>
      <c r="E69" s="7"/>
    </row>
    <row r="70" customFormat="false" ht="15" hidden="false" customHeight="true" outlineLevel="0" collapsed="false">
      <c r="A70" s="15"/>
      <c r="B70" s="7"/>
      <c r="C70" s="7"/>
      <c r="D70" s="13"/>
      <c r="E70" s="7"/>
    </row>
    <row r="71" customFormat="false" ht="15" hidden="false" customHeight="true" outlineLevel="0" collapsed="false">
      <c r="A71" s="15"/>
      <c r="B71" s="7"/>
      <c r="C71" s="7"/>
      <c r="D71" s="13"/>
      <c r="E71" s="7"/>
    </row>
    <row r="72" customFormat="false" ht="15" hidden="false" customHeight="true" outlineLevel="0" collapsed="false">
      <c r="A72" s="15"/>
      <c r="B72" s="7"/>
      <c r="C72" s="7"/>
      <c r="D72" s="13"/>
      <c r="E72" s="7"/>
    </row>
    <row r="73" customFormat="false" ht="15" hidden="false" customHeight="true" outlineLevel="0" collapsed="false">
      <c r="A73" s="15"/>
      <c r="B73" s="7"/>
      <c r="C73" s="7"/>
      <c r="D73" s="13"/>
      <c r="E73" s="7"/>
    </row>
    <row r="74" customFormat="false" ht="15" hidden="false" customHeight="true" outlineLevel="0" collapsed="false">
      <c r="A74" s="15"/>
      <c r="B74" s="7"/>
      <c r="C74" s="7"/>
      <c r="D74" s="13"/>
      <c r="E74" s="7"/>
    </row>
    <row r="75" customFormat="false" ht="15" hidden="false" customHeight="true" outlineLevel="0" collapsed="false">
      <c r="A75" s="15"/>
      <c r="B75" s="7"/>
      <c r="C75" s="7"/>
      <c r="D75" s="13"/>
      <c r="E75" s="7"/>
    </row>
    <row r="76" customFormat="false" ht="15" hidden="false" customHeight="true" outlineLevel="0" collapsed="false">
      <c r="A76" s="15"/>
      <c r="B76" s="7"/>
      <c r="C76" s="7"/>
      <c r="D76" s="13"/>
      <c r="E76" s="7"/>
    </row>
    <row r="77" customFormat="false" ht="15" hidden="false" customHeight="true" outlineLevel="0" collapsed="false">
      <c r="A77" s="15"/>
      <c r="B77" s="7"/>
      <c r="C77" s="7"/>
      <c r="D77" s="13"/>
      <c r="E77" s="7"/>
    </row>
    <row r="78" customFormat="false" ht="15" hidden="false" customHeight="true" outlineLevel="0" collapsed="false">
      <c r="A78" s="15"/>
      <c r="B78" s="7"/>
      <c r="C78" s="7"/>
      <c r="D78" s="13"/>
      <c r="E78" s="7"/>
    </row>
    <row r="79" customFormat="false" ht="15" hidden="false" customHeight="true" outlineLevel="0" collapsed="false">
      <c r="A79" s="15"/>
      <c r="B79" s="7"/>
      <c r="C79" s="7"/>
      <c r="D79" s="13"/>
      <c r="E79" s="7"/>
    </row>
    <row r="80" customFormat="false" ht="15" hidden="false" customHeight="true" outlineLevel="0" collapsed="false">
      <c r="A80" s="15"/>
      <c r="B80" s="7"/>
      <c r="C80" s="7"/>
      <c r="D80" s="13"/>
      <c r="E80" s="7"/>
    </row>
    <row r="81" customFormat="false" ht="15" hidden="false" customHeight="true" outlineLevel="0" collapsed="false">
      <c r="A81" s="15"/>
      <c r="B81" s="7"/>
      <c r="C81" s="7"/>
      <c r="D81" s="13"/>
      <c r="E81" s="7"/>
    </row>
    <row r="82" customFormat="false" ht="15" hidden="false" customHeight="true" outlineLevel="0" collapsed="false">
      <c r="A82" s="15"/>
      <c r="B82" s="7"/>
      <c r="C82" s="7"/>
      <c r="D82" s="13"/>
      <c r="E82" s="7"/>
    </row>
    <row r="83" customFormat="false" ht="15" hidden="false" customHeight="true" outlineLevel="0" collapsed="false">
      <c r="A83" s="15"/>
      <c r="B83" s="7"/>
      <c r="C83" s="7"/>
      <c r="D83" s="13"/>
      <c r="E83" s="7"/>
    </row>
    <row r="84" customFormat="false" ht="15" hidden="false" customHeight="true" outlineLevel="0" collapsed="false">
      <c r="A84" s="15"/>
      <c r="B84" s="7"/>
      <c r="C84" s="7"/>
      <c r="D84" s="13"/>
      <c r="E84" s="7"/>
    </row>
    <row r="85" customFormat="false" ht="15" hidden="false" customHeight="true" outlineLevel="0" collapsed="false">
      <c r="A85" s="15"/>
      <c r="B85" s="7"/>
      <c r="C85" s="7"/>
      <c r="D85" s="13"/>
      <c r="E85" s="7"/>
    </row>
    <row r="86" customFormat="false" ht="15" hidden="false" customHeight="true" outlineLevel="0" collapsed="false">
      <c r="A86" s="15"/>
      <c r="B86" s="7"/>
      <c r="C86" s="7"/>
      <c r="D86" s="13"/>
      <c r="E86" s="7"/>
    </row>
    <row r="87" customFormat="false" ht="15" hidden="false" customHeight="true" outlineLevel="0" collapsed="false">
      <c r="A87" s="15"/>
      <c r="B87" s="7"/>
      <c r="C87" s="7"/>
      <c r="D87" s="13"/>
      <c r="E87" s="7"/>
    </row>
    <row r="88" customFormat="false" ht="15" hidden="false" customHeight="true" outlineLevel="0" collapsed="false">
      <c r="A88" s="15"/>
      <c r="B88" s="7"/>
      <c r="C88" s="7"/>
      <c r="D88" s="13"/>
      <c r="E88" s="7"/>
    </row>
    <row r="89" customFormat="false" ht="15" hidden="false" customHeight="true" outlineLevel="0" collapsed="false">
      <c r="A89" s="15"/>
      <c r="B89" s="7"/>
      <c r="C89" s="7"/>
      <c r="D89" s="13"/>
      <c r="E89" s="7"/>
    </row>
    <row r="90" customFormat="false" ht="15" hidden="false" customHeight="true" outlineLevel="0" collapsed="false">
      <c r="A90" s="15"/>
      <c r="B90" s="7"/>
      <c r="C90" s="7"/>
      <c r="D90" s="13"/>
      <c r="E90" s="7"/>
    </row>
    <row r="91" customFormat="false" ht="15" hidden="false" customHeight="true" outlineLevel="0" collapsed="false">
      <c r="A91" s="15"/>
      <c r="B91" s="7"/>
      <c r="C91" s="7"/>
      <c r="D91" s="13"/>
      <c r="E91" s="7"/>
    </row>
    <row r="92" customFormat="false" ht="15" hidden="false" customHeight="true" outlineLevel="0" collapsed="false">
      <c r="A92" s="15"/>
      <c r="B92" s="7"/>
      <c r="C92" s="7"/>
      <c r="D92" s="13"/>
      <c r="E92" s="7"/>
    </row>
    <row r="93" customFormat="false" ht="15" hidden="false" customHeight="true" outlineLevel="0" collapsed="false">
      <c r="A93" s="15"/>
      <c r="B93" s="7"/>
      <c r="C93" s="7"/>
      <c r="D93" s="13"/>
      <c r="E93" s="7"/>
    </row>
    <row r="94" customFormat="false" ht="15" hidden="false" customHeight="true" outlineLevel="0" collapsed="false">
      <c r="A94" s="15"/>
      <c r="B94" s="7"/>
      <c r="C94" s="7"/>
      <c r="D94" s="13"/>
      <c r="E94" s="7"/>
    </row>
    <row r="95" customFormat="false" ht="15" hidden="false" customHeight="true" outlineLevel="0" collapsed="false">
      <c r="A95" s="15"/>
      <c r="B95" s="7"/>
      <c r="C95" s="7"/>
      <c r="D95" s="13"/>
      <c r="E95" s="7"/>
    </row>
    <row r="96" customFormat="false" ht="15" hidden="false" customHeight="true" outlineLevel="0" collapsed="false">
      <c r="A96" s="15"/>
      <c r="B96" s="7"/>
      <c r="C96" s="7"/>
      <c r="D96" s="13"/>
      <c r="E96" s="7"/>
    </row>
    <row r="97" customFormat="false" ht="15" hidden="false" customHeight="true" outlineLevel="0" collapsed="false">
      <c r="A97" s="15"/>
      <c r="B97" s="7"/>
      <c r="C97" s="7"/>
      <c r="D97" s="13"/>
      <c r="E97" s="7"/>
    </row>
    <row r="98" customFormat="false" ht="15" hidden="false" customHeight="true" outlineLevel="0" collapsed="false">
      <c r="A98" s="15"/>
      <c r="B98" s="7"/>
      <c r="C98" s="7"/>
      <c r="D98" s="13"/>
      <c r="E98" s="7"/>
    </row>
    <row r="99" customFormat="false" ht="15" hidden="false" customHeight="true" outlineLevel="0" collapsed="false">
      <c r="A99" s="15"/>
      <c r="B99" s="7"/>
      <c r="C99" s="7"/>
      <c r="D99" s="13"/>
      <c r="E99" s="7"/>
    </row>
    <row r="100" customFormat="false" ht="15" hidden="false" customHeight="true" outlineLevel="0" collapsed="false">
      <c r="A100" s="15"/>
      <c r="B100" s="7"/>
      <c r="C100" s="7"/>
      <c r="D100" s="13"/>
      <c r="E100" s="7"/>
    </row>
    <row r="101" customFormat="false" ht="15" hidden="false" customHeight="true" outlineLevel="0" collapsed="false">
      <c r="A101" s="15"/>
      <c r="B101" s="7"/>
      <c r="C101" s="7"/>
      <c r="D101" s="13"/>
      <c r="E101" s="7"/>
    </row>
    <row r="102" customFormat="false" ht="15" hidden="false" customHeight="true" outlineLevel="0" collapsed="false">
      <c r="A102" s="15"/>
      <c r="B102" s="7"/>
      <c r="C102" s="7"/>
      <c r="D102" s="13"/>
      <c r="E102" s="7"/>
    </row>
    <row r="103" customFormat="false" ht="15" hidden="false" customHeight="true" outlineLevel="0" collapsed="false">
      <c r="A103" s="15"/>
      <c r="B103" s="7"/>
      <c r="C103" s="7"/>
      <c r="D103" s="13"/>
      <c r="E103" s="7"/>
    </row>
    <row r="104" customFormat="false" ht="15" hidden="false" customHeight="true" outlineLevel="0" collapsed="false">
      <c r="A104" s="15"/>
      <c r="B104" s="7"/>
      <c r="C104" s="7"/>
      <c r="D104" s="13"/>
      <c r="E104" s="7"/>
    </row>
    <row r="105" customFormat="false" ht="15" hidden="false" customHeight="true" outlineLevel="0" collapsed="false">
      <c r="A105" s="15"/>
      <c r="B105" s="7"/>
      <c r="C105" s="7"/>
      <c r="D105" s="13"/>
      <c r="E105" s="7"/>
    </row>
    <row r="106" customFormat="false" ht="15" hidden="false" customHeight="true" outlineLevel="0" collapsed="false">
      <c r="A106" s="15"/>
      <c r="B106" s="7"/>
      <c r="C106" s="7"/>
      <c r="D106" s="13"/>
      <c r="E106" s="7"/>
    </row>
    <row r="107" customFormat="false" ht="15" hidden="false" customHeight="true" outlineLevel="0" collapsed="false">
      <c r="A107" s="15"/>
      <c r="B107" s="7"/>
      <c r="C107" s="7"/>
      <c r="D107" s="13"/>
      <c r="E107" s="7"/>
    </row>
    <row r="108" customFormat="false" ht="15" hidden="false" customHeight="true" outlineLevel="0" collapsed="false">
      <c r="A108" s="15"/>
      <c r="B108" s="7"/>
      <c r="C108" s="7"/>
      <c r="D108" s="13"/>
      <c r="E108" s="7"/>
    </row>
    <row r="109" customFormat="false" ht="15" hidden="false" customHeight="true" outlineLevel="0" collapsed="false">
      <c r="A109" s="15"/>
      <c r="B109" s="7"/>
      <c r="C109" s="7"/>
      <c r="D109" s="13"/>
      <c r="E109" s="7"/>
    </row>
    <row r="110" customFormat="false" ht="15" hidden="false" customHeight="true" outlineLevel="0" collapsed="false">
      <c r="A110" s="15"/>
      <c r="B110" s="7"/>
      <c r="C110" s="7"/>
      <c r="D110" s="13"/>
      <c r="E110" s="7"/>
    </row>
    <row r="111" customFormat="false" ht="15" hidden="false" customHeight="true" outlineLevel="0" collapsed="false">
      <c r="A111" s="15"/>
      <c r="B111" s="7"/>
      <c r="C111" s="7"/>
      <c r="D111" s="13"/>
      <c r="E111" s="7"/>
    </row>
    <row r="112" customFormat="false" ht="15" hidden="false" customHeight="true" outlineLevel="0" collapsed="false">
      <c r="A112" s="15"/>
      <c r="B112" s="7"/>
      <c r="C112" s="7"/>
      <c r="D112" s="13"/>
      <c r="E112" s="7"/>
    </row>
    <row r="113" customFormat="false" ht="15" hidden="false" customHeight="true" outlineLevel="0" collapsed="false">
      <c r="A113" s="15"/>
      <c r="B113" s="7"/>
      <c r="C113" s="7"/>
      <c r="D113" s="13"/>
      <c r="E113" s="7"/>
    </row>
    <row r="114" customFormat="false" ht="15" hidden="false" customHeight="true" outlineLevel="0" collapsed="false">
      <c r="A114" s="15"/>
      <c r="B114" s="7"/>
      <c r="C114" s="7"/>
      <c r="D114" s="13"/>
      <c r="E114" s="7"/>
    </row>
    <row r="115" customFormat="false" ht="15" hidden="false" customHeight="true" outlineLevel="0" collapsed="false">
      <c r="A115" s="15"/>
      <c r="B115" s="7"/>
      <c r="C115" s="7"/>
      <c r="D115" s="13"/>
      <c r="E115" s="7"/>
    </row>
    <row r="116" customFormat="false" ht="15" hidden="false" customHeight="true" outlineLevel="0" collapsed="false">
      <c r="A116" s="15"/>
      <c r="B116" s="7"/>
      <c r="C116" s="7"/>
      <c r="D116" s="13"/>
      <c r="E116" s="7"/>
    </row>
    <row r="117" customFormat="false" ht="15" hidden="false" customHeight="true" outlineLevel="0" collapsed="false">
      <c r="A117" s="15"/>
      <c r="B117" s="7"/>
      <c r="C117" s="7"/>
      <c r="D117" s="13"/>
      <c r="E117" s="7"/>
    </row>
    <row r="118" customFormat="false" ht="15" hidden="false" customHeight="true" outlineLevel="0" collapsed="false">
      <c r="A118" s="15"/>
      <c r="B118" s="7"/>
      <c r="C118" s="7"/>
      <c r="D118" s="13"/>
      <c r="E118" s="7"/>
    </row>
    <row r="119" customFormat="false" ht="15" hidden="false" customHeight="true" outlineLevel="0" collapsed="false">
      <c r="A119" s="15"/>
      <c r="B119" s="7"/>
      <c r="C119" s="7"/>
      <c r="D119" s="13"/>
      <c r="E119" s="7"/>
    </row>
    <row r="120" customFormat="false" ht="15" hidden="false" customHeight="true" outlineLevel="0" collapsed="false">
      <c r="A120" s="15"/>
      <c r="B120" s="7"/>
      <c r="C120" s="7"/>
      <c r="D120" s="13"/>
      <c r="E120" s="7"/>
    </row>
    <row r="121" customFormat="false" ht="15" hidden="false" customHeight="true" outlineLevel="0" collapsed="false">
      <c r="A121" s="15"/>
      <c r="B121" s="7"/>
      <c r="C121" s="7"/>
      <c r="D121" s="13"/>
      <c r="E121" s="7"/>
    </row>
    <row r="122" customFormat="false" ht="15" hidden="false" customHeight="true" outlineLevel="0" collapsed="false">
      <c r="A122" s="15"/>
      <c r="B122" s="7"/>
      <c r="C122" s="7"/>
      <c r="D122" s="13"/>
      <c r="E122" s="7"/>
    </row>
    <row r="123" customFormat="false" ht="15" hidden="false" customHeight="true" outlineLevel="0" collapsed="false">
      <c r="A123" s="15"/>
      <c r="B123" s="7"/>
      <c r="C123" s="7"/>
      <c r="D123" s="13"/>
      <c r="E123" s="7"/>
    </row>
    <row r="124" customFormat="false" ht="15" hidden="false" customHeight="true" outlineLevel="0" collapsed="false">
      <c r="A124" s="15"/>
      <c r="B124" s="7"/>
      <c r="C124" s="7"/>
      <c r="D124" s="13"/>
      <c r="E124" s="7"/>
    </row>
    <row r="125" customFormat="false" ht="15" hidden="false" customHeight="true" outlineLevel="0" collapsed="false">
      <c r="A125" s="15"/>
      <c r="B125" s="7"/>
      <c r="C125" s="7"/>
      <c r="D125" s="13"/>
      <c r="E125" s="7"/>
    </row>
    <row r="126" customFormat="false" ht="15" hidden="false" customHeight="true" outlineLevel="0" collapsed="false">
      <c r="A126" s="15"/>
      <c r="B126" s="7"/>
      <c r="C126" s="7"/>
      <c r="D126" s="13"/>
      <c r="E126" s="7"/>
    </row>
    <row r="127" customFormat="false" ht="15" hidden="false" customHeight="true" outlineLevel="0" collapsed="false">
      <c r="A127" s="15"/>
      <c r="B127" s="7"/>
      <c r="C127" s="7"/>
      <c r="D127" s="13"/>
      <c r="E127" s="7"/>
    </row>
    <row r="128" customFormat="false" ht="15" hidden="false" customHeight="true" outlineLevel="0" collapsed="false">
      <c r="A128" s="15"/>
      <c r="B128" s="7"/>
      <c r="C128" s="7"/>
      <c r="D128" s="13"/>
      <c r="E128" s="7"/>
    </row>
    <row r="129" customFormat="false" ht="15" hidden="false" customHeight="true" outlineLevel="0" collapsed="false">
      <c r="A129" s="15"/>
      <c r="B129" s="7"/>
      <c r="C129" s="7"/>
      <c r="D129" s="13"/>
      <c r="E129" s="7"/>
    </row>
    <row r="130" customFormat="false" ht="15" hidden="false" customHeight="true" outlineLevel="0" collapsed="false">
      <c r="A130" s="15"/>
      <c r="B130" s="7"/>
      <c r="C130" s="7"/>
      <c r="D130" s="13"/>
      <c r="E130" s="7"/>
    </row>
    <row r="131" customFormat="false" ht="15" hidden="false" customHeight="true" outlineLevel="0" collapsed="false">
      <c r="A131" s="15"/>
      <c r="B131" s="7"/>
      <c r="C131" s="7"/>
      <c r="D131" s="13"/>
      <c r="E131" s="7"/>
    </row>
    <row r="132" customFormat="false" ht="15" hidden="false" customHeight="true" outlineLevel="0" collapsed="false">
      <c r="A132" s="15"/>
      <c r="B132" s="7"/>
      <c r="C132" s="7"/>
      <c r="D132" s="13"/>
      <c r="E132" s="7"/>
    </row>
    <row r="133" customFormat="false" ht="15" hidden="false" customHeight="true" outlineLevel="0" collapsed="false">
      <c r="A133" s="15"/>
      <c r="B133" s="7"/>
      <c r="C133" s="7"/>
      <c r="D133" s="13"/>
      <c r="E133" s="7"/>
    </row>
    <row r="134" customFormat="false" ht="15" hidden="false" customHeight="true" outlineLevel="0" collapsed="false">
      <c r="A134" s="15"/>
      <c r="B134" s="7"/>
      <c r="C134" s="7"/>
      <c r="D134" s="13"/>
      <c r="E134" s="7"/>
    </row>
    <row r="135" customFormat="false" ht="15" hidden="false" customHeight="true" outlineLevel="0" collapsed="false">
      <c r="A135" s="15"/>
      <c r="B135" s="7"/>
      <c r="C135" s="7"/>
      <c r="D135" s="13"/>
      <c r="E135" s="7"/>
    </row>
    <row r="136" customFormat="false" ht="15" hidden="false" customHeight="true" outlineLevel="0" collapsed="false">
      <c r="A136" s="15"/>
      <c r="B136" s="7"/>
      <c r="C136" s="7"/>
      <c r="D136" s="13"/>
      <c r="E136" s="7"/>
    </row>
    <row r="137" customFormat="false" ht="15" hidden="false" customHeight="true" outlineLevel="0" collapsed="false">
      <c r="A137" s="15"/>
      <c r="B137" s="7"/>
      <c r="C137" s="7"/>
      <c r="D137" s="13"/>
      <c r="E137" s="7"/>
    </row>
    <row r="138" customFormat="false" ht="15" hidden="false" customHeight="true" outlineLevel="0" collapsed="false">
      <c r="A138" s="15"/>
      <c r="B138" s="7"/>
      <c r="C138" s="7"/>
      <c r="D138" s="13"/>
      <c r="E138" s="7"/>
    </row>
    <row r="139" customFormat="false" ht="15" hidden="false" customHeight="true" outlineLevel="0" collapsed="false">
      <c r="A139" s="15"/>
      <c r="B139" s="7"/>
      <c r="C139" s="7"/>
      <c r="D139" s="13"/>
      <c r="E139" s="7"/>
    </row>
    <row r="140" customFormat="false" ht="15" hidden="false" customHeight="true" outlineLevel="0" collapsed="false">
      <c r="A140" s="15"/>
      <c r="B140" s="7"/>
      <c r="C140" s="7"/>
      <c r="D140" s="13"/>
      <c r="E140" s="7"/>
    </row>
    <row r="141" customFormat="false" ht="15" hidden="false" customHeight="true" outlineLevel="0" collapsed="false">
      <c r="A141" s="15"/>
      <c r="B141" s="7"/>
      <c r="C141" s="7"/>
      <c r="D141" s="13"/>
      <c r="E141" s="7"/>
    </row>
    <row r="142" customFormat="false" ht="15" hidden="false" customHeight="true" outlineLevel="0" collapsed="false">
      <c r="A142" s="15"/>
      <c r="B142" s="7"/>
      <c r="C142" s="7"/>
      <c r="D142" s="13"/>
      <c r="E142" s="7"/>
    </row>
    <row r="143" customFormat="false" ht="15" hidden="false" customHeight="true" outlineLevel="0" collapsed="false">
      <c r="A143" s="15"/>
      <c r="B143" s="7"/>
      <c r="C143" s="7"/>
      <c r="D143" s="13"/>
      <c r="E143" s="7"/>
    </row>
    <row r="144" customFormat="false" ht="15" hidden="false" customHeight="true" outlineLevel="0" collapsed="false">
      <c r="A144" s="15"/>
      <c r="B144" s="7"/>
      <c r="C144" s="7"/>
      <c r="D144" s="13"/>
      <c r="E144" s="7"/>
    </row>
    <row r="145" customFormat="false" ht="15" hidden="false" customHeight="true" outlineLevel="0" collapsed="false">
      <c r="A145" s="15"/>
      <c r="B145" s="7"/>
      <c r="C145" s="7"/>
      <c r="D145" s="13"/>
      <c r="E145" s="7"/>
    </row>
    <row r="146" customFormat="false" ht="15" hidden="false" customHeight="true" outlineLevel="0" collapsed="false">
      <c r="A146" s="15"/>
      <c r="B146" s="7"/>
      <c r="C146" s="7"/>
      <c r="D146" s="13"/>
      <c r="E146" s="7"/>
    </row>
    <row r="147" customFormat="false" ht="15" hidden="false" customHeight="true" outlineLevel="0" collapsed="false">
      <c r="A147" s="15"/>
      <c r="B147" s="7"/>
      <c r="C147" s="7"/>
      <c r="D147" s="13"/>
      <c r="E147" s="7"/>
    </row>
    <row r="148" customFormat="false" ht="15" hidden="false" customHeight="true" outlineLevel="0" collapsed="false">
      <c r="A148" s="15"/>
      <c r="B148" s="7"/>
      <c r="C148" s="7"/>
      <c r="D148" s="13"/>
      <c r="E148" s="7"/>
    </row>
    <row r="149" customFormat="false" ht="15" hidden="false" customHeight="true" outlineLevel="0" collapsed="false">
      <c r="A149" s="15"/>
      <c r="B149" s="7"/>
      <c r="C149" s="7"/>
      <c r="D149" s="13"/>
      <c r="E149" s="7"/>
    </row>
    <row r="150" customFormat="false" ht="15" hidden="false" customHeight="true" outlineLevel="0" collapsed="false">
      <c r="A150" s="15"/>
      <c r="B150" s="7"/>
      <c r="C150" s="7"/>
      <c r="D150" s="13"/>
      <c r="E150" s="7"/>
    </row>
    <row r="151" customFormat="false" ht="15" hidden="false" customHeight="true" outlineLevel="0" collapsed="false">
      <c r="A151" s="15"/>
      <c r="B151" s="7"/>
      <c r="C151" s="7"/>
      <c r="D151" s="13"/>
      <c r="E151" s="7"/>
    </row>
    <row r="152" customFormat="false" ht="15" hidden="false" customHeight="true" outlineLevel="0" collapsed="false">
      <c r="A152" s="15"/>
      <c r="B152" s="7"/>
      <c r="C152" s="7"/>
      <c r="D152" s="13"/>
      <c r="E152" s="7"/>
    </row>
    <row r="153" customFormat="false" ht="15" hidden="false" customHeight="true" outlineLevel="0" collapsed="false">
      <c r="A153" s="15"/>
      <c r="B153" s="7"/>
      <c r="C153" s="7"/>
      <c r="D153" s="13"/>
      <c r="E153" s="7"/>
    </row>
    <row r="154" customFormat="false" ht="15" hidden="false" customHeight="true" outlineLevel="0" collapsed="false">
      <c r="A154" s="15"/>
      <c r="B154" s="7"/>
      <c r="C154" s="7"/>
      <c r="D154" s="13"/>
      <c r="E154" s="7"/>
    </row>
    <row r="155" customFormat="false" ht="15" hidden="false" customHeight="true" outlineLevel="0" collapsed="false">
      <c r="A155" s="15"/>
      <c r="B155" s="7"/>
      <c r="C155" s="7"/>
      <c r="D155" s="13"/>
      <c r="E155" s="7"/>
    </row>
    <row r="156" customFormat="false" ht="15" hidden="false" customHeight="true" outlineLevel="0" collapsed="false">
      <c r="A156" s="15"/>
      <c r="B156" s="7"/>
      <c r="C156" s="7"/>
      <c r="D156" s="13"/>
      <c r="E156" s="7"/>
    </row>
    <row r="157" customFormat="false" ht="15" hidden="false" customHeight="true" outlineLevel="0" collapsed="false">
      <c r="A157" s="15"/>
      <c r="B157" s="7"/>
      <c r="C157" s="7"/>
      <c r="D157" s="13"/>
      <c r="E157" s="7"/>
    </row>
    <row r="158" customFormat="false" ht="15" hidden="false" customHeight="true" outlineLevel="0" collapsed="false">
      <c r="A158" s="15"/>
      <c r="B158" s="7"/>
      <c r="C158" s="7"/>
      <c r="D158" s="13"/>
      <c r="E158" s="7"/>
    </row>
    <row r="159" customFormat="false" ht="15" hidden="false" customHeight="true" outlineLevel="0" collapsed="false">
      <c r="A159" s="15"/>
      <c r="B159" s="7"/>
      <c r="C159" s="7"/>
      <c r="D159" s="13"/>
      <c r="E159" s="7"/>
    </row>
    <row r="160" customFormat="false" ht="15" hidden="false" customHeight="true" outlineLevel="0" collapsed="false">
      <c r="A160" s="15"/>
      <c r="B160" s="7"/>
      <c r="C160" s="7"/>
      <c r="D160" s="13"/>
      <c r="E160" s="7"/>
    </row>
    <row r="161" customFormat="false" ht="15" hidden="false" customHeight="true" outlineLevel="0" collapsed="false">
      <c r="A161" s="15"/>
      <c r="B161" s="7"/>
      <c r="C161" s="7"/>
      <c r="D161" s="13"/>
      <c r="E161" s="7"/>
    </row>
    <row r="162" customFormat="false" ht="15" hidden="false" customHeight="true" outlineLevel="0" collapsed="false">
      <c r="A162" s="15"/>
      <c r="B162" s="7"/>
      <c r="C162" s="7"/>
      <c r="D162" s="13"/>
      <c r="E162" s="7"/>
    </row>
    <row r="163" customFormat="false" ht="15" hidden="false" customHeight="true" outlineLevel="0" collapsed="false">
      <c r="A163" s="15"/>
      <c r="B163" s="7"/>
      <c r="C163" s="7"/>
      <c r="D163" s="13"/>
      <c r="E163" s="7"/>
    </row>
    <row r="164" customFormat="false" ht="15" hidden="false" customHeight="true" outlineLevel="0" collapsed="false">
      <c r="A164" s="15"/>
      <c r="B164" s="7"/>
      <c r="C164" s="7"/>
      <c r="D164" s="13"/>
      <c r="E164" s="7"/>
    </row>
    <row r="165" customFormat="false" ht="15" hidden="false" customHeight="true" outlineLevel="0" collapsed="false">
      <c r="A165" s="15"/>
      <c r="B165" s="7"/>
      <c r="C165" s="7"/>
      <c r="D165" s="13"/>
      <c r="E165" s="7"/>
    </row>
    <row r="166" customFormat="false" ht="15" hidden="false" customHeight="true" outlineLevel="0" collapsed="false">
      <c r="A166" s="15"/>
      <c r="B166" s="7"/>
      <c r="C166" s="7"/>
      <c r="D166" s="13"/>
      <c r="E166" s="7"/>
    </row>
    <row r="167" customFormat="false" ht="15" hidden="false" customHeight="true" outlineLevel="0" collapsed="false">
      <c r="A167" s="15"/>
      <c r="B167" s="7"/>
      <c r="C167" s="7"/>
      <c r="D167" s="13"/>
      <c r="E167" s="7"/>
    </row>
    <row r="168" customFormat="false" ht="15" hidden="false" customHeight="true" outlineLevel="0" collapsed="false">
      <c r="A168" s="15"/>
      <c r="B168" s="7"/>
      <c r="C168" s="7"/>
      <c r="D168" s="13"/>
      <c r="E168" s="7"/>
    </row>
    <row r="169" customFormat="false" ht="15" hidden="false" customHeight="true" outlineLevel="0" collapsed="false">
      <c r="A169" s="15"/>
      <c r="B169" s="7"/>
      <c r="C169" s="7"/>
      <c r="D169" s="13"/>
      <c r="E169" s="7"/>
    </row>
    <row r="170" customFormat="false" ht="15" hidden="false" customHeight="true" outlineLevel="0" collapsed="false">
      <c r="A170" s="15"/>
      <c r="B170" s="7"/>
      <c r="C170" s="7"/>
      <c r="D170" s="13"/>
      <c r="E170" s="7"/>
    </row>
    <row r="171" customFormat="false" ht="15" hidden="false" customHeight="true" outlineLevel="0" collapsed="false">
      <c r="A171" s="15"/>
      <c r="B171" s="7"/>
      <c r="C171" s="7"/>
      <c r="D171" s="13"/>
      <c r="E171" s="7"/>
    </row>
    <row r="172" customFormat="false" ht="15" hidden="false" customHeight="true" outlineLevel="0" collapsed="false">
      <c r="A172" s="15"/>
      <c r="B172" s="7"/>
      <c r="C172" s="7"/>
      <c r="D172" s="13"/>
      <c r="E172" s="7"/>
    </row>
    <row r="173" customFormat="false" ht="15" hidden="false" customHeight="true" outlineLevel="0" collapsed="false">
      <c r="A173" s="15"/>
      <c r="B173" s="7"/>
      <c r="C173" s="7"/>
      <c r="D173" s="13"/>
      <c r="E173" s="7"/>
    </row>
    <row r="174" customFormat="false" ht="15" hidden="false" customHeight="true" outlineLevel="0" collapsed="false">
      <c r="A174" s="15"/>
      <c r="B174" s="7"/>
      <c r="C174" s="7"/>
      <c r="D174" s="13"/>
      <c r="E174" s="7"/>
    </row>
    <row r="175" customFormat="false" ht="15" hidden="false" customHeight="true" outlineLevel="0" collapsed="false">
      <c r="A175" s="15"/>
      <c r="B175" s="7"/>
      <c r="C175" s="7"/>
      <c r="D175" s="13"/>
      <c r="E175" s="7"/>
    </row>
    <row r="176" customFormat="false" ht="15" hidden="false" customHeight="true" outlineLevel="0" collapsed="false">
      <c r="A176" s="15"/>
      <c r="B176" s="7"/>
      <c r="C176" s="7"/>
      <c r="D176" s="13"/>
      <c r="E176" s="7"/>
    </row>
    <row r="177" customFormat="false" ht="15" hidden="false" customHeight="true" outlineLevel="0" collapsed="false">
      <c r="A177" s="15"/>
      <c r="B177" s="7"/>
      <c r="C177" s="7"/>
      <c r="D177" s="13"/>
      <c r="E177" s="7"/>
    </row>
    <row r="178" customFormat="false" ht="15" hidden="false" customHeight="true" outlineLevel="0" collapsed="false">
      <c r="A178" s="15"/>
      <c r="B178" s="7"/>
      <c r="C178" s="7"/>
      <c r="D178" s="13"/>
      <c r="E178" s="7"/>
    </row>
    <row r="179" customFormat="false" ht="15" hidden="false" customHeight="true" outlineLevel="0" collapsed="false">
      <c r="A179" s="15"/>
      <c r="B179" s="7"/>
      <c r="C179" s="7"/>
      <c r="D179" s="13"/>
      <c r="E179" s="7"/>
    </row>
    <row r="180" customFormat="false" ht="15" hidden="false" customHeight="true" outlineLevel="0" collapsed="false">
      <c r="A180" s="15"/>
      <c r="B180" s="7"/>
      <c r="C180" s="7"/>
      <c r="D180" s="13"/>
      <c r="E180" s="7"/>
    </row>
    <row r="181" customFormat="false" ht="15" hidden="false" customHeight="true" outlineLevel="0" collapsed="false">
      <c r="A181" s="15"/>
      <c r="B181" s="7"/>
      <c r="C181" s="7"/>
      <c r="D181" s="13"/>
      <c r="E181" s="7"/>
    </row>
    <row r="182" customFormat="false" ht="15" hidden="false" customHeight="true" outlineLevel="0" collapsed="false">
      <c r="A182" s="15"/>
      <c r="B182" s="7"/>
      <c r="C182" s="7"/>
      <c r="D182" s="13"/>
      <c r="E182" s="7"/>
    </row>
    <row r="183" customFormat="false" ht="15" hidden="false" customHeight="true" outlineLevel="0" collapsed="false">
      <c r="A183" s="15"/>
      <c r="B183" s="7"/>
      <c r="C183" s="7"/>
      <c r="D183" s="13"/>
      <c r="E183" s="7"/>
    </row>
    <row r="184" customFormat="false" ht="15" hidden="false" customHeight="true" outlineLevel="0" collapsed="false">
      <c r="A184" s="15"/>
      <c r="B184" s="7"/>
      <c r="C184" s="7"/>
      <c r="D184" s="13"/>
      <c r="E184" s="7"/>
    </row>
    <row r="185" customFormat="false" ht="15" hidden="false" customHeight="true" outlineLevel="0" collapsed="false">
      <c r="A185" s="15"/>
      <c r="B185" s="7"/>
      <c r="C185" s="7"/>
      <c r="D185" s="13"/>
      <c r="E185" s="7"/>
    </row>
    <row r="186" customFormat="false" ht="15" hidden="false" customHeight="true" outlineLevel="0" collapsed="false">
      <c r="A186" s="15"/>
      <c r="B186" s="7"/>
      <c r="C186" s="7"/>
      <c r="D186" s="13"/>
      <c r="E186" s="7"/>
    </row>
    <row r="187" customFormat="false" ht="15" hidden="false" customHeight="true" outlineLevel="0" collapsed="false">
      <c r="A187" s="15"/>
      <c r="B187" s="7"/>
      <c r="C187" s="7"/>
      <c r="D187" s="13"/>
      <c r="E187" s="7"/>
    </row>
    <row r="188" customFormat="false" ht="15" hidden="false" customHeight="true" outlineLevel="0" collapsed="false">
      <c r="A188" s="15"/>
      <c r="B188" s="7"/>
      <c r="C188" s="7"/>
      <c r="D188" s="13"/>
      <c r="E188" s="7"/>
    </row>
    <row r="189" customFormat="false" ht="15" hidden="false" customHeight="true" outlineLevel="0" collapsed="false">
      <c r="A189" s="15"/>
      <c r="B189" s="7"/>
      <c r="C189" s="7"/>
      <c r="D189" s="13"/>
      <c r="E189" s="7"/>
    </row>
    <row r="190" customFormat="false" ht="15" hidden="false" customHeight="true" outlineLevel="0" collapsed="false">
      <c r="A190" s="15"/>
      <c r="B190" s="7"/>
      <c r="C190" s="7"/>
      <c r="D190" s="13"/>
      <c r="E190" s="7"/>
    </row>
    <row r="191" customFormat="false" ht="15" hidden="false" customHeight="true" outlineLevel="0" collapsed="false">
      <c r="A191" s="15"/>
      <c r="B191" s="7"/>
      <c r="C191" s="7"/>
      <c r="D191" s="13"/>
      <c r="E191" s="7"/>
    </row>
    <row r="192" customFormat="false" ht="15" hidden="false" customHeight="true" outlineLevel="0" collapsed="false">
      <c r="A192" s="15"/>
      <c r="B192" s="7"/>
      <c r="C192" s="7"/>
      <c r="D192" s="13"/>
      <c r="E192" s="7"/>
    </row>
    <row r="193" customFormat="false" ht="15" hidden="false" customHeight="true" outlineLevel="0" collapsed="false">
      <c r="A193" s="15"/>
      <c r="B193" s="7"/>
      <c r="C193" s="7"/>
      <c r="D193" s="13"/>
      <c r="E193" s="7"/>
    </row>
    <row r="194" customFormat="false" ht="15" hidden="false" customHeight="true" outlineLevel="0" collapsed="false">
      <c r="A194" s="15"/>
      <c r="B194" s="7"/>
      <c r="C194" s="7"/>
      <c r="D194" s="13"/>
      <c r="E194" s="7"/>
    </row>
    <row r="195" customFormat="false" ht="15" hidden="false" customHeight="true" outlineLevel="0" collapsed="false">
      <c r="A195" s="15"/>
      <c r="B195" s="7"/>
      <c r="C195" s="7"/>
      <c r="D195" s="13"/>
      <c r="E195" s="7"/>
    </row>
    <row r="196" customFormat="false" ht="15" hidden="false" customHeight="true" outlineLevel="0" collapsed="false">
      <c r="A196" s="15"/>
      <c r="B196" s="7"/>
      <c r="C196" s="7"/>
      <c r="D196" s="13"/>
      <c r="E196" s="7"/>
    </row>
    <row r="197" customFormat="false" ht="15" hidden="false" customHeight="true" outlineLevel="0" collapsed="false">
      <c r="A197" s="15"/>
      <c r="B197" s="7"/>
      <c r="C197" s="7"/>
      <c r="D197" s="13"/>
      <c r="E197" s="7"/>
    </row>
    <row r="198" customFormat="false" ht="15" hidden="false" customHeight="true" outlineLevel="0" collapsed="false">
      <c r="A198" s="15"/>
      <c r="B198" s="7"/>
      <c r="C198" s="7"/>
      <c r="D198" s="13"/>
      <c r="E198" s="7"/>
    </row>
    <row r="199" customFormat="false" ht="15" hidden="false" customHeight="true" outlineLevel="0" collapsed="false">
      <c r="A199" s="15"/>
      <c r="B199" s="7"/>
      <c r="C199" s="7"/>
      <c r="D199" s="13"/>
      <c r="E199" s="7"/>
    </row>
    <row r="200" customFormat="false" ht="15" hidden="false" customHeight="true" outlineLevel="0" collapsed="false">
      <c r="A200" s="15"/>
      <c r="B200" s="7"/>
      <c r="C200" s="7"/>
      <c r="D200" s="13"/>
      <c r="E200" s="7"/>
    </row>
    <row r="201" customFormat="false" ht="15" hidden="false" customHeight="true" outlineLevel="0" collapsed="false">
      <c r="A201" s="15"/>
      <c r="B201" s="7"/>
      <c r="C201" s="7"/>
      <c r="D201" s="13"/>
      <c r="E201" s="7"/>
    </row>
    <row r="202" customFormat="false" ht="15" hidden="false" customHeight="true" outlineLevel="0" collapsed="false">
      <c r="A202" s="15"/>
      <c r="B202" s="7"/>
      <c r="C202" s="7"/>
      <c r="D202" s="13"/>
      <c r="E202" s="7"/>
    </row>
    <row r="203" customFormat="false" ht="15" hidden="false" customHeight="true" outlineLevel="0" collapsed="false">
      <c r="A203" s="15"/>
      <c r="B203" s="7"/>
      <c r="C203" s="7"/>
      <c r="D203" s="13"/>
      <c r="E203" s="7"/>
    </row>
    <row r="204" customFormat="false" ht="15" hidden="false" customHeight="true" outlineLevel="0" collapsed="false">
      <c r="A204" s="15"/>
      <c r="B204" s="7"/>
      <c r="C204" s="7"/>
      <c r="D204" s="13"/>
      <c r="E204" s="7"/>
    </row>
    <row r="205" customFormat="false" ht="15" hidden="false" customHeight="true" outlineLevel="0" collapsed="false">
      <c r="A205" s="15"/>
      <c r="B205" s="7"/>
      <c r="C205" s="7"/>
      <c r="D205" s="13"/>
      <c r="E205" s="7"/>
    </row>
    <row r="206" customFormat="false" ht="15" hidden="false" customHeight="true" outlineLevel="0" collapsed="false">
      <c r="A206" s="15"/>
      <c r="B206" s="7"/>
      <c r="C206" s="7"/>
      <c r="D206" s="13"/>
      <c r="E206" s="7"/>
    </row>
    <row r="207" customFormat="false" ht="15" hidden="false" customHeight="true" outlineLevel="0" collapsed="false">
      <c r="A207" s="15"/>
      <c r="B207" s="7"/>
      <c r="C207" s="7"/>
      <c r="D207" s="13"/>
      <c r="E207" s="7"/>
    </row>
    <row r="208" customFormat="false" ht="15" hidden="false" customHeight="true" outlineLevel="0" collapsed="false">
      <c r="A208" s="15"/>
      <c r="B208" s="7"/>
      <c r="C208" s="7"/>
      <c r="D208" s="13"/>
      <c r="E208" s="7"/>
    </row>
    <row r="209" customFormat="false" ht="15" hidden="false" customHeight="true" outlineLevel="0" collapsed="false">
      <c r="A209" s="15"/>
      <c r="B209" s="7"/>
      <c r="C209" s="7"/>
      <c r="D209" s="13"/>
      <c r="E209" s="7"/>
    </row>
    <row r="210" customFormat="false" ht="15" hidden="false" customHeight="true" outlineLevel="0" collapsed="false">
      <c r="A210" s="15"/>
      <c r="B210" s="7"/>
      <c r="C210" s="7"/>
      <c r="D210" s="13"/>
      <c r="E210" s="7"/>
    </row>
    <row r="211" customFormat="false" ht="15" hidden="false" customHeight="true" outlineLevel="0" collapsed="false">
      <c r="A211" s="15"/>
      <c r="B211" s="7"/>
      <c r="C211" s="7"/>
      <c r="D211" s="13"/>
      <c r="E211" s="7"/>
    </row>
    <row r="212" customFormat="false" ht="15" hidden="false" customHeight="true" outlineLevel="0" collapsed="false">
      <c r="A212" s="15"/>
      <c r="B212" s="7"/>
      <c r="C212" s="7"/>
      <c r="D212" s="13"/>
      <c r="E212" s="7"/>
    </row>
    <row r="213" customFormat="false" ht="15" hidden="false" customHeight="true" outlineLevel="0" collapsed="false">
      <c r="A213" s="15"/>
      <c r="B213" s="7"/>
      <c r="C213" s="7"/>
      <c r="D213" s="13"/>
      <c r="E213" s="7"/>
    </row>
    <row r="214" customFormat="false" ht="15" hidden="false" customHeight="true" outlineLevel="0" collapsed="false">
      <c r="A214" s="15"/>
      <c r="B214" s="7"/>
      <c r="C214" s="7"/>
      <c r="D214" s="13"/>
      <c r="E214" s="7"/>
    </row>
    <row r="215" customFormat="false" ht="15" hidden="false" customHeight="true" outlineLevel="0" collapsed="false">
      <c r="A215" s="15"/>
      <c r="B215" s="7"/>
      <c r="C215" s="7"/>
      <c r="D215" s="13"/>
      <c r="E215" s="7"/>
    </row>
    <row r="216" customFormat="false" ht="15" hidden="false" customHeight="true" outlineLevel="0" collapsed="false">
      <c r="A216" s="15"/>
      <c r="B216" s="7"/>
      <c r="C216" s="7"/>
      <c r="D216" s="13"/>
      <c r="E216" s="7"/>
    </row>
    <row r="217" customFormat="false" ht="15" hidden="false" customHeight="true" outlineLevel="0" collapsed="false">
      <c r="A217" s="15"/>
      <c r="B217" s="7"/>
      <c r="C217" s="7"/>
      <c r="D217" s="13"/>
      <c r="E217" s="7"/>
    </row>
    <row r="218" customFormat="false" ht="15" hidden="false" customHeight="true" outlineLevel="0" collapsed="false">
      <c r="A218" s="15"/>
      <c r="B218" s="7"/>
      <c r="C218" s="7"/>
      <c r="D218" s="13"/>
      <c r="E218" s="7"/>
    </row>
    <row r="219" customFormat="false" ht="15" hidden="false" customHeight="true" outlineLevel="0" collapsed="false">
      <c r="A219" s="15"/>
      <c r="B219" s="7"/>
      <c r="C219" s="7"/>
      <c r="D219" s="13"/>
      <c r="E219" s="7"/>
    </row>
    <row r="220" customFormat="false" ht="15" hidden="false" customHeight="true" outlineLevel="0" collapsed="false">
      <c r="A220" s="15"/>
      <c r="B220" s="7"/>
      <c r="C220" s="7"/>
      <c r="D220" s="13"/>
      <c r="E220" s="7"/>
    </row>
    <row r="221" customFormat="false" ht="15" hidden="false" customHeight="true" outlineLevel="0" collapsed="false">
      <c r="A221" s="15"/>
      <c r="B221" s="7"/>
      <c r="C221" s="7"/>
      <c r="D221" s="13"/>
      <c r="E221" s="7"/>
    </row>
    <row r="222" customFormat="false" ht="15" hidden="false" customHeight="true" outlineLevel="0" collapsed="false">
      <c r="A222" s="15"/>
      <c r="B222" s="7"/>
      <c r="C222" s="7"/>
      <c r="D222" s="13"/>
      <c r="E222" s="7"/>
    </row>
    <row r="223" customFormat="false" ht="15" hidden="false" customHeight="true" outlineLevel="0" collapsed="false">
      <c r="A223" s="15"/>
      <c r="B223" s="7"/>
      <c r="C223" s="7"/>
      <c r="D223" s="13"/>
      <c r="E223" s="7"/>
    </row>
    <row r="224" customFormat="false" ht="15" hidden="false" customHeight="true" outlineLevel="0" collapsed="false">
      <c r="A224" s="15"/>
      <c r="B224" s="7"/>
      <c r="C224" s="7"/>
      <c r="D224" s="13"/>
      <c r="E224" s="7"/>
    </row>
    <row r="225" customFormat="false" ht="15" hidden="false" customHeight="true" outlineLevel="0" collapsed="false">
      <c r="A225" s="15"/>
      <c r="B225" s="7"/>
      <c r="C225" s="7"/>
      <c r="D225" s="13"/>
      <c r="E225" s="7"/>
    </row>
    <row r="226" customFormat="false" ht="15" hidden="false" customHeight="true" outlineLevel="0" collapsed="false">
      <c r="A226" s="15"/>
      <c r="B226" s="7"/>
      <c r="C226" s="7"/>
      <c r="D226" s="13"/>
      <c r="E226" s="7"/>
    </row>
    <row r="227" customFormat="false" ht="15" hidden="false" customHeight="true" outlineLevel="0" collapsed="false">
      <c r="A227" s="15"/>
      <c r="B227" s="7"/>
      <c r="C227" s="7"/>
      <c r="D227" s="13"/>
      <c r="E227" s="7"/>
    </row>
    <row r="228" customFormat="false" ht="15" hidden="false" customHeight="true" outlineLevel="0" collapsed="false">
      <c r="A228" s="15"/>
      <c r="B228" s="7"/>
      <c r="C228" s="7"/>
      <c r="D228" s="13"/>
      <c r="E228" s="7"/>
    </row>
    <row r="229" customFormat="false" ht="15" hidden="false" customHeight="true" outlineLevel="0" collapsed="false">
      <c r="A229" s="15"/>
      <c r="B229" s="7"/>
      <c r="C229" s="7"/>
      <c r="D229" s="13"/>
      <c r="E229" s="7"/>
    </row>
    <row r="230" customFormat="false" ht="15" hidden="false" customHeight="true" outlineLevel="0" collapsed="false">
      <c r="A230" s="15"/>
      <c r="B230" s="7"/>
      <c r="C230" s="7"/>
      <c r="D230" s="13"/>
      <c r="E230" s="7"/>
    </row>
    <row r="231" customFormat="false" ht="15" hidden="false" customHeight="true" outlineLevel="0" collapsed="false">
      <c r="A231" s="15"/>
      <c r="B231" s="7"/>
      <c r="C231" s="7"/>
      <c r="D231" s="13"/>
      <c r="E231" s="7"/>
    </row>
    <row r="232" customFormat="false" ht="15" hidden="false" customHeight="true" outlineLevel="0" collapsed="false">
      <c r="A232" s="15"/>
      <c r="B232" s="7"/>
      <c r="C232" s="7"/>
      <c r="D232" s="13"/>
      <c r="E232" s="7"/>
    </row>
    <row r="233" customFormat="false" ht="15" hidden="false" customHeight="true" outlineLevel="0" collapsed="false">
      <c r="A233" s="15"/>
      <c r="B233" s="7"/>
      <c r="C233" s="7"/>
      <c r="D233" s="13"/>
      <c r="E233" s="7"/>
    </row>
    <row r="234" customFormat="false" ht="15" hidden="false" customHeight="true" outlineLevel="0" collapsed="false">
      <c r="A234" s="15"/>
      <c r="B234" s="7"/>
      <c r="C234" s="7"/>
      <c r="D234" s="13"/>
      <c r="E234" s="7"/>
    </row>
    <row r="235" customFormat="false" ht="15" hidden="false" customHeight="true" outlineLevel="0" collapsed="false">
      <c r="A235" s="15"/>
      <c r="B235" s="7"/>
      <c r="C235" s="7"/>
      <c r="D235" s="13"/>
      <c r="E235" s="7"/>
    </row>
    <row r="236" customFormat="false" ht="15" hidden="false" customHeight="true" outlineLevel="0" collapsed="false">
      <c r="A236" s="15"/>
      <c r="B236" s="7"/>
      <c r="C236" s="7"/>
      <c r="D236" s="13"/>
      <c r="E236" s="7"/>
    </row>
    <row r="237" customFormat="false" ht="15" hidden="false" customHeight="true" outlineLevel="0" collapsed="false">
      <c r="A237" s="15"/>
      <c r="B237" s="7"/>
      <c r="C237" s="7"/>
      <c r="D237" s="13"/>
      <c r="E237" s="7"/>
    </row>
    <row r="238" customFormat="false" ht="15" hidden="false" customHeight="true" outlineLevel="0" collapsed="false">
      <c r="A238" s="15"/>
      <c r="B238" s="7"/>
      <c r="C238" s="7"/>
      <c r="D238" s="13"/>
      <c r="E238" s="7"/>
    </row>
    <row r="239" customFormat="false" ht="15" hidden="false" customHeight="true" outlineLevel="0" collapsed="false">
      <c r="A239" s="15"/>
      <c r="B239" s="7"/>
      <c r="C239" s="7"/>
      <c r="D239" s="13"/>
      <c r="E239" s="7"/>
    </row>
    <row r="240" customFormat="false" ht="15" hidden="false" customHeight="true" outlineLevel="0" collapsed="false">
      <c r="A240" s="15"/>
      <c r="B240" s="7"/>
      <c r="C240" s="7"/>
      <c r="D240" s="13"/>
      <c r="E240" s="7"/>
    </row>
    <row r="241" customFormat="false" ht="15" hidden="false" customHeight="true" outlineLevel="0" collapsed="false">
      <c r="A241" s="15"/>
      <c r="B241" s="7"/>
      <c r="C241" s="7"/>
      <c r="D241" s="13"/>
      <c r="E241" s="7"/>
    </row>
    <row r="242" customFormat="false" ht="15" hidden="false" customHeight="true" outlineLevel="0" collapsed="false">
      <c r="A242" s="15"/>
      <c r="B242" s="7"/>
      <c r="C242" s="7"/>
      <c r="D242" s="13"/>
      <c r="E242" s="7"/>
    </row>
    <row r="243" customFormat="false" ht="15" hidden="false" customHeight="true" outlineLevel="0" collapsed="false">
      <c r="A243" s="15"/>
      <c r="B243" s="7"/>
      <c r="C243" s="7"/>
      <c r="D243" s="13"/>
      <c r="E243" s="7"/>
    </row>
    <row r="244" customFormat="false" ht="15" hidden="false" customHeight="true" outlineLevel="0" collapsed="false">
      <c r="A244" s="15"/>
      <c r="B244" s="7"/>
      <c r="C244" s="7"/>
      <c r="D244" s="13"/>
      <c r="E244" s="7"/>
    </row>
    <row r="245" customFormat="false" ht="15" hidden="false" customHeight="true" outlineLevel="0" collapsed="false">
      <c r="A245" s="15"/>
      <c r="B245" s="7"/>
      <c r="C245" s="7"/>
      <c r="D245" s="13"/>
      <c r="E245" s="7"/>
    </row>
    <row r="246" customFormat="false" ht="15" hidden="false" customHeight="true" outlineLevel="0" collapsed="false">
      <c r="A246" s="15"/>
      <c r="B246" s="7"/>
      <c r="C246" s="7"/>
      <c r="D246" s="13"/>
      <c r="E246" s="7"/>
    </row>
    <row r="247" customFormat="false" ht="15" hidden="false" customHeight="true" outlineLevel="0" collapsed="false">
      <c r="A247" s="15"/>
      <c r="B247" s="7"/>
      <c r="C247" s="7"/>
      <c r="D247" s="13"/>
      <c r="E247" s="7"/>
    </row>
    <row r="248" customFormat="false" ht="15" hidden="false" customHeight="true" outlineLevel="0" collapsed="false">
      <c r="A248" s="15"/>
      <c r="B248" s="7"/>
      <c r="C248" s="7"/>
      <c r="D248" s="13"/>
      <c r="E248" s="7"/>
    </row>
    <row r="249" customFormat="false" ht="15" hidden="false" customHeight="true" outlineLevel="0" collapsed="false">
      <c r="A249" s="15"/>
      <c r="B249" s="7"/>
      <c r="C249" s="7"/>
      <c r="D249" s="13"/>
      <c r="E249" s="7"/>
    </row>
    <row r="250" customFormat="false" ht="15" hidden="false" customHeight="true" outlineLevel="0" collapsed="false">
      <c r="A250" s="15"/>
      <c r="B250" s="7"/>
      <c r="C250" s="7"/>
      <c r="D250" s="13"/>
      <c r="E250" s="7"/>
    </row>
    <row r="251" customFormat="false" ht="15" hidden="false" customHeight="true" outlineLevel="0" collapsed="false">
      <c r="A251" s="15"/>
      <c r="B251" s="7"/>
      <c r="C251" s="7"/>
      <c r="D251" s="13"/>
      <c r="E251" s="7"/>
    </row>
    <row r="252" customFormat="false" ht="15" hidden="false" customHeight="true" outlineLevel="0" collapsed="false">
      <c r="A252" s="15"/>
      <c r="B252" s="7"/>
      <c r="C252" s="7"/>
      <c r="D252" s="13"/>
      <c r="E252" s="7"/>
    </row>
    <row r="253" customFormat="false" ht="15" hidden="false" customHeight="true" outlineLevel="0" collapsed="false">
      <c r="A253" s="15"/>
      <c r="B253" s="7"/>
      <c r="C253" s="7"/>
      <c r="D253" s="13"/>
      <c r="E253" s="7"/>
    </row>
    <row r="254" customFormat="false" ht="15" hidden="false" customHeight="true" outlineLevel="0" collapsed="false">
      <c r="A254" s="15"/>
      <c r="B254" s="7"/>
      <c r="C254" s="7"/>
      <c r="D254" s="13"/>
      <c r="E254" s="7"/>
    </row>
    <row r="255" customFormat="false" ht="15" hidden="false" customHeight="true" outlineLevel="0" collapsed="false">
      <c r="A255" s="15"/>
      <c r="B255" s="7"/>
      <c r="C255" s="7"/>
      <c r="D255" s="13"/>
      <c r="E255" s="7"/>
    </row>
    <row r="256" customFormat="false" ht="15" hidden="false" customHeight="true" outlineLevel="0" collapsed="false">
      <c r="A256" s="15"/>
      <c r="B256" s="7"/>
      <c r="C256" s="7"/>
      <c r="D256" s="13"/>
      <c r="E256" s="7"/>
    </row>
    <row r="257" customFormat="false" ht="15" hidden="false" customHeight="true" outlineLevel="0" collapsed="false">
      <c r="A257" s="15"/>
      <c r="B257" s="7"/>
      <c r="C257" s="7"/>
      <c r="D257" s="13"/>
      <c r="E257" s="7"/>
    </row>
    <row r="258" customFormat="false" ht="15" hidden="false" customHeight="true" outlineLevel="0" collapsed="false">
      <c r="A258" s="15"/>
      <c r="B258" s="7"/>
      <c r="C258" s="7"/>
      <c r="D258" s="13"/>
      <c r="E258" s="7"/>
    </row>
    <row r="259" customFormat="false" ht="15" hidden="false" customHeight="true" outlineLevel="0" collapsed="false">
      <c r="A259" s="15"/>
      <c r="B259" s="7"/>
      <c r="C259" s="7"/>
      <c r="D259" s="13"/>
      <c r="E259" s="7"/>
    </row>
    <row r="260" customFormat="false" ht="15" hidden="false" customHeight="true" outlineLevel="0" collapsed="false">
      <c r="A260" s="15"/>
      <c r="B260" s="7"/>
      <c r="C260" s="7"/>
      <c r="D260" s="13"/>
      <c r="E260" s="7"/>
    </row>
    <row r="261" customFormat="false" ht="15" hidden="false" customHeight="true" outlineLevel="0" collapsed="false">
      <c r="A261" s="15"/>
      <c r="B261" s="7"/>
      <c r="C261" s="7"/>
      <c r="D261" s="13"/>
      <c r="E261" s="7"/>
    </row>
    <row r="262" customFormat="false" ht="15" hidden="false" customHeight="true" outlineLevel="0" collapsed="false">
      <c r="A262" s="15"/>
      <c r="B262" s="7"/>
      <c r="C262" s="7"/>
      <c r="D262" s="13"/>
      <c r="E262" s="7"/>
    </row>
    <row r="263" customFormat="false" ht="15" hidden="false" customHeight="true" outlineLevel="0" collapsed="false">
      <c r="A263" s="15"/>
      <c r="B263" s="7"/>
      <c r="C263" s="7"/>
      <c r="D263" s="13"/>
      <c r="E263" s="7"/>
    </row>
    <row r="264" customFormat="false" ht="15" hidden="false" customHeight="true" outlineLevel="0" collapsed="false">
      <c r="A264" s="15"/>
      <c r="B264" s="7"/>
      <c r="C264" s="7"/>
      <c r="D264" s="13"/>
      <c r="E264" s="7"/>
    </row>
    <row r="265" customFormat="false" ht="15" hidden="false" customHeight="true" outlineLevel="0" collapsed="false">
      <c r="A265" s="15"/>
      <c r="B265" s="7"/>
      <c r="C265" s="7"/>
      <c r="D265" s="13"/>
      <c r="E265" s="7"/>
    </row>
    <row r="266" customFormat="false" ht="15" hidden="false" customHeight="true" outlineLevel="0" collapsed="false">
      <c r="A266" s="15"/>
      <c r="B266" s="7"/>
      <c r="C266" s="7"/>
      <c r="D266" s="13"/>
      <c r="E266" s="7"/>
    </row>
    <row r="267" customFormat="false" ht="15" hidden="false" customHeight="true" outlineLevel="0" collapsed="false">
      <c r="A267" s="15"/>
      <c r="B267" s="7"/>
      <c r="C267" s="7"/>
      <c r="D267" s="13"/>
      <c r="E267" s="7"/>
    </row>
    <row r="268" customFormat="false" ht="15" hidden="false" customHeight="true" outlineLevel="0" collapsed="false">
      <c r="A268" s="15"/>
      <c r="B268" s="7"/>
      <c r="C268" s="7"/>
      <c r="D268" s="13"/>
      <c r="E268" s="7"/>
    </row>
    <row r="269" customFormat="false" ht="15" hidden="false" customHeight="true" outlineLevel="0" collapsed="false">
      <c r="A269" s="15"/>
      <c r="B269" s="7"/>
      <c r="C269" s="7"/>
      <c r="D269" s="13"/>
      <c r="E269" s="7"/>
    </row>
    <row r="270" customFormat="false" ht="15" hidden="false" customHeight="true" outlineLevel="0" collapsed="false">
      <c r="A270" s="15"/>
      <c r="B270" s="7"/>
      <c r="C270" s="7"/>
      <c r="D270" s="13"/>
      <c r="E270" s="7"/>
    </row>
    <row r="271" customFormat="false" ht="15" hidden="false" customHeight="true" outlineLevel="0" collapsed="false">
      <c r="A271" s="15"/>
      <c r="B271" s="7"/>
      <c r="C271" s="7"/>
      <c r="D271" s="13"/>
      <c r="E271" s="7"/>
    </row>
    <row r="272" customFormat="false" ht="15" hidden="false" customHeight="true" outlineLevel="0" collapsed="false">
      <c r="A272" s="15"/>
      <c r="B272" s="7"/>
      <c r="C272" s="7"/>
      <c r="D272" s="13"/>
      <c r="E272" s="7"/>
    </row>
    <row r="273" customFormat="false" ht="15" hidden="false" customHeight="true" outlineLevel="0" collapsed="false">
      <c r="A273" s="15"/>
      <c r="B273" s="7"/>
      <c r="C273" s="7"/>
      <c r="D273" s="13"/>
      <c r="E273" s="7"/>
    </row>
    <row r="274" customFormat="false" ht="15" hidden="false" customHeight="true" outlineLevel="0" collapsed="false">
      <c r="A274" s="15"/>
      <c r="B274" s="7"/>
      <c r="C274" s="7"/>
      <c r="D274" s="13"/>
      <c r="E274" s="7"/>
    </row>
    <row r="275" customFormat="false" ht="15" hidden="false" customHeight="true" outlineLevel="0" collapsed="false">
      <c r="A275" s="15"/>
      <c r="B275" s="7"/>
      <c r="C275" s="7"/>
      <c r="D275" s="13"/>
      <c r="E275" s="7"/>
    </row>
    <row r="276" customFormat="false" ht="15" hidden="false" customHeight="true" outlineLevel="0" collapsed="false">
      <c r="A276" s="15"/>
      <c r="B276" s="7"/>
      <c r="C276" s="7"/>
      <c r="D276" s="13"/>
      <c r="E276" s="7"/>
    </row>
    <row r="277" customFormat="false" ht="15" hidden="false" customHeight="true" outlineLevel="0" collapsed="false">
      <c r="A277" s="15"/>
      <c r="B277" s="7"/>
      <c r="C277" s="7"/>
      <c r="D277" s="13"/>
      <c r="E277" s="7"/>
    </row>
    <row r="278" customFormat="false" ht="15" hidden="false" customHeight="true" outlineLevel="0" collapsed="false">
      <c r="A278" s="15"/>
      <c r="B278" s="7"/>
      <c r="C278" s="7"/>
      <c r="D278" s="13"/>
      <c r="E278" s="7"/>
    </row>
    <row r="279" customFormat="false" ht="15" hidden="false" customHeight="true" outlineLevel="0" collapsed="false">
      <c r="A279" s="15"/>
      <c r="B279" s="7"/>
      <c r="C279" s="7"/>
      <c r="D279" s="13"/>
      <c r="E279" s="7"/>
    </row>
    <row r="280" customFormat="false" ht="15" hidden="false" customHeight="true" outlineLevel="0" collapsed="false">
      <c r="A280" s="15"/>
      <c r="B280" s="7"/>
      <c r="C280" s="7"/>
      <c r="D280" s="13"/>
      <c r="E280" s="7"/>
    </row>
    <row r="281" customFormat="false" ht="15" hidden="false" customHeight="true" outlineLevel="0" collapsed="false">
      <c r="A281" s="15"/>
      <c r="B281" s="7"/>
      <c r="C281" s="7"/>
      <c r="D281" s="13"/>
      <c r="E281" s="7"/>
    </row>
    <row r="282" customFormat="false" ht="15" hidden="false" customHeight="true" outlineLevel="0" collapsed="false">
      <c r="A282" s="15"/>
      <c r="B282" s="7"/>
      <c r="C282" s="7"/>
      <c r="D282" s="13"/>
      <c r="E282" s="7"/>
    </row>
    <row r="283" customFormat="false" ht="15" hidden="false" customHeight="true" outlineLevel="0" collapsed="false">
      <c r="A283" s="15"/>
      <c r="B283" s="7"/>
      <c r="C283" s="7"/>
      <c r="D283" s="13"/>
      <c r="E283" s="7"/>
    </row>
    <row r="284" customFormat="false" ht="15" hidden="false" customHeight="true" outlineLevel="0" collapsed="false">
      <c r="A284" s="15"/>
      <c r="B284" s="7"/>
      <c r="C284" s="7"/>
      <c r="D284" s="13"/>
      <c r="E284" s="7"/>
    </row>
    <row r="285" customFormat="false" ht="15" hidden="false" customHeight="true" outlineLevel="0" collapsed="false">
      <c r="A285" s="15"/>
      <c r="B285" s="7"/>
      <c r="C285" s="7"/>
      <c r="D285" s="13"/>
      <c r="E285" s="7"/>
    </row>
    <row r="286" customFormat="false" ht="15" hidden="false" customHeight="true" outlineLevel="0" collapsed="false">
      <c r="A286" s="15"/>
      <c r="B286" s="7"/>
      <c r="C286" s="7"/>
      <c r="D286" s="13"/>
      <c r="E286" s="7"/>
    </row>
    <row r="287" customFormat="false" ht="15" hidden="false" customHeight="true" outlineLevel="0" collapsed="false">
      <c r="A287" s="15"/>
      <c r="B287" s="7"/>
      <c r="C287" s="7"/>
      <c r="D287" s="13"/>
      <c r="E287" s="7"/>
    </row>
    <row r="288" customFormat="false" ht="15" hidden="false" customHeight="true" outlineLevel="0" collapsed="false">
      <c r="A288" s="15"/>
      <c r="B288" s="7"/>
      <c r="C288" s="7"/>
      <c r="D288" s="13"/>
      <c r="E288" s="7"/>
    </row>
    <row r="289" customFormat="false" ht="15" hidden="false" customHeight="true" outlineLevel="0" collapsed="false">
      <c r="A289" s="15"/>
      <c r="B289" s="7"/>
      <c r="C289" s="7"/>
      <c r="D289" s="13"/>
      <c r="E289" s="7"/>
    </row>
    <row r="290" customFormat="false" ht="15" hidden="false" customHeight="true" outlineLevel="0" collapsed="false">
      <c r="A290" s="15"/>
      <c r="B290" s="7"/>
      <c r="C290" s="7"/>
      <c r="D290" s="13"/>
      <c r="E290" s="7"/>
    </row>
    <row r="291" customFormat="false" ht="15" hidden="false" customHeight="true" outlineLevel="0" collapsed="false">
      <c r="A291" s="15"/>
      <c r="B291" s="7"/>
      <c r="C291" s="7"/>
      <c r="D291" s="13"/>
      <c r="E291" s="7"/>
    </row>
    <row r="292" customFormat="false" ht="15" hidden="false" customHeight="true" outlineLevel="0" collapsed="false">
      <c r="A292" s="15"/>
      <c r="B292" s="7"/>
      <c r="C292" s="7"/>
      <c r="D292" s="13"/>
      <c r="E292" s="7"/>
    </row>
    <row r="293" customFormat="false" ht="15" hidden="false" customHeight="true" outlineLevel="0" collapsed="false">
      <c r="A293" s="15"/>
      <c r="B293" s="7"/>
      <c r="C293" s="7"/>
      <c r="D293" s="13"/>
      <c r="E293" s="7"/>
    </row>
    <row r="294" customFormat="false" ht="15" hidden="false" customHeight="true" outlineLevel="0" collapsed="false">
      <c r="A294" s="15"/>
      <c r="B294" s="7"/>
      <c r="C294" s="7"/>
      <c r="D294" s="13"/>
      <c r="E294" s="7"/>
    </row>
    <row r="295" customFormat="false" ht="15" hidden="false" customHeight="true" outlineLevel="0" collapsed="false">
      <c r="A295" s="15"/>
      <c r="B295" s="7"/>
      <c r="C295" s="7"/>
      <c r="D295" s="13"/>
      <c r="E295" s="7"/>
    </row>
    <row r="296" customFormat="false" ht="15" hidden="false" customHeight="true" outlineLevel="0" collapsed="false">
      <c r="A296" s="15"/>
      <c r="B296" s="7"/>
      <c r="C296" s="7"/>
      <c r="D296" s="13"/>
      <c r="E296" s="7"/>
    </row>
    <row r="297" customFormat="false" ht="15" hidden="false" customHeight="true" outlineLevel="0" collapsed="false">
      <c r="A297" s="15"/>
      <c r="B297" s="7"/>
      <c r="C297" s="7"/>
      <c r="D297" s="13"/>
      <c r="E297" s="7"/>
    </row>
    <row r="298" customFormat="false" ht="15" hidden="false" customHeight="true" outlineLevel="0" collapsed="false">
      <c r="A298" s="15"/>
      <c r="B298" s="7"/>
      <c r="C298" s="7"/>
      <c r="D298" s="13"/>
      <c r="E298" s="7"/>
    </row>
    <row r="299" customFormat="false" ht="15" hidden="false" customHeight="true" outlineLevel="0" collapsed="false">
      <c r="A299" s="15"/>
      <c r="B299" s="7"/>
      <c r="C299" s="7"/>
      <c r="D299" s="13"/>
      <c r="E299" s="7"/>
    </row>
    <row r="300" customFormat="false" ht="15" hidden="false" customHeight="true" outlineLevel="0" collapsed="false">
      <c r="A300" s="15"/>
      <c r="B300" s="7"/>
      <c r="C300" s="7"/>
      <c r="D300" s="13"/>
      <c r="E300" s="7"/>
    </row>
    <row r="301" customFormat="false" ht="15" hidden="false" customHeight="true" outlineLevel="0" collapsed="false">
      <c r="A301" s="15"/>
      <c r="B301" s="7"/>
      <c r="C301" s="7"/>
      <c r="D301" s="13"/>
      <c r="E301" s="7"/>
    </row>
    <row r="302" customFormat="false" ht="15" hidden="false" customHeight="true" outlineLevel="0" collapsed="false">
      <c r="A302" s="15"/>
      <c r="B302" s="7"/>
      <c r="C302" s="7"/>
      <c r="D302" s="13"/>
      <c r="E302" s="7"/>
    </row>
    <row r="303" customFormat="false" ht="15" hidden="false" customHeight="true" outlineLevel="0" collapsed="false">
      <c r="A303" s="15"/>
      <c r="B303" s="7"/>
      <c r="C303" s="7"/>
      <c r="D303" s="13"/>
      <c r="E303" s="7"/>
    </row>
    <row r="304" customFormat="false" ht="15" hidden="false" customHeight="true" outlineLevel="0" collapsed="false">
      <c r="A304" s="15"/>
      <c r="B304" s="7"/>
      <c r="C304" s="7"/>
      <c r="D304" s="13"/>
      <c r="E304" s="7"/>
    </row>
    <row r="305" customFormat="false" ht="15" hidden="false" customHeight="true" outlineLevel="0" collapsed="false">
      <c r="A305" s="15"/>
      <c r="B305" s="7"/>
      <c r="C305" s="7"/>
      <c r="D305" s="13"/>
      <c r="E305" s="7"/>
    </row>
    <row r="306" customFormat="false" ht="15" hidden="false" customHeight="true" outlineLevel="0" collapsed="false">
      <c r="A306" s="15"/>
      <c r="B306" s="7"/>
      <c r="C306" s="7"/>
      <c r="D306" s="13"/>
      <c r="E306" s="7"/>
    </row>
    <row r="307" customFormat="false" ht="15" hidden="false" customHeight="true" outlineLevel="0" collapsed="false">
      <c r="A307" s="15"/>
      <c r="B307" s="7"/>
      <c r="C307" s="7"/>
      <c r="D307" s="13"/>
      <c r="E307" s="7"/>
    </row>
    <row r="308" customFormat="false" ht="15" hidden="false" customHeight="true" outlineLevel="0" collapsed="false">
      <c r="A308" s="15"/>
      <c r="B308" s="7"/>
      <c r="C308" s="7"/>
      <c r="D308" s="13"/>
      <c r="E308" s="7"/>
    </row>
    <row r="309" customFormat="false" ht="15" hidden="false" customHeight="true" outlineLevel="0" collapsed="false">
      <c r="A309" s="15"/>
      <c r="B309" s="7"/>
      <c r="C309" s="7"/>
      <c r="D309" s="13"/>
      <c r="E309" s="7"/>
    </row>
    <row r="310" customFormat="false" ht="15" hidden="false" customHeight="true" outlineLevel="0" collapsed="false">
      <c r="A310" s="15"/>
      <c r="B310" s="7"/>
      <c r="C310" s="7"/>
      <c r="D310" s="13"/>
      <c r="E310" s="7"/>
    </row>
    <row r="311" customFormat="false" ht="15" hidden="false" customHeight="true" outlineLevel="0" collapsed="false">
      <c r="A311" s="15"/>
      <c r="B311" s="7"/>
      <c r="C311" s="7"/>
      <c r="D311" s="13"/>
      <c r="E311" s="7"/>
    </row>
    <row r="312" customFormat="false" ht="15" hidden="false" customHeight="true" outlineLevel="0" collapsed="false">
      <c r="A312" s="15"/>
      <c r="B312" s="7"/>
      <c r="C312" s="7"/>
      <c r="D312" s="13"/>
      <c r="E312" s="7"/>
    </row>
    <row r="313" customFormat="false" ht="15" hidden="false" customHeight="true" outlineLevel="0" collapsed="false">
      <c r="A313" s="15"/>
      <c r="B313" s="7"/>
      <c r="C313" s="7"/>
      <c r="D313" s="13"/>
      <c r="E313" s="7"/>
    </row>
    <row r="314" customFormat="false" ht="15" hidden="false" customHeight="true" outlineLevel="0" collapsed="false">
      <c r="A314" s="15"/>
      <c r="B314" s="7"/>
      <c r="C314" s="7"/>
      <c r="D314" s="13"/>
      <c r="E314" s="7"/>
    </row>
    <row r="315" customFormat="false" ht="15" hidden="false" customHeight="true" outlineLevel="0" collapsed="false">
      <c r="A315" s="15"/>
      <c r="B315" s="7"/>
      <c r="C315" s="7"/>
      <c r="D315" s="13"/>
      <c r="E315" s="7"/>
    </row>
    <row r="316" customFormat="false" ht="15" hidden="false" customHeight="true" outlineLevel="0" collapsed="false">
      <c r="A316" s="15"/>
      <c r="B316" s="7"/>
      <c r="C316" s="7"/>
      <c r="D316" s="13"/>
      <c r="E316" s="7"/>
    </row>
    <row r="317" customFormat="false" ht="15" hidden="false" customHeight="true" outlineLevel="0" collapsed="false">
      <c r="A317" s="15"/>
      <c r="B317" s="7"/>
      <c r="C317" s="7"/>
      <c r="D317" s="13"/>
      <c r="E317" s="7"/>
    </row>
    <row r="318" customFormat="false" ht="15" hidden="false" customHeight="true" outlineLevel="0" collapsed="false">
      <c r="A318" s="15"/>
      <c r="B318" s="7"/>
      <c r="C318" s="7"/>
      <c r="D318" s="13"/>
      <c r="E318" s="7"/>
    </row>
    <row r="319" customFormat="false" ht="15" hidden="false" customHeight="true" outlineLevel="0" collapsed="false">
      <c r="A319" s="15"/>
      <c r="B319" s="7"/>
      <c r="C319" s="7"/>
      <c r="D319" s="13"/>
      <c r="E319" s="7"/>
    </row>
    <row r="320" customFormat="false" ht="15" hidden="false" customHeight="true" outlineLevel="0" collapsed="false">
      <c r="A320" s="15"/>
      <c r="B320" s="7"/>
      <c r="C320" s="7"/>
      <c r="D320" s="13"/>
      <c r="E320" s="7"/>
    </row>
    <row r="321" customFormat="false" ht="15" hidden="false" customHeight="true" outlineLevel="0" collapsed="false">
      <c r="A321" s="15"/>
      <c r="B321" s="7"/>
      <c r="C321" s="7"/>
      <c r="D321" s="13"/>
      <c r="E321" s="7"/>
    </row>
    <row r="322" customFormat="false" ht="15" hidden="false" customHeight="true" outlineLevel="0" collapsed="false">
      <c r="A322" s="15"/>
      <c r="B322" s="7"/>
      <c r="C322" s="7"/>
      <c r="D322" s="13"/>
      <c r="E322" s="7"/>
    </row>
    <row r="323" customFormat="false" ht="15" hidden="false" customHeight="true" outlineLevel="0" collapsed="false">
      <c r="A323" s="15"/>
      <c r="B323" s="7"/>
      <c r="C323" s="7"/>
      <c r="D323" s="13"/>
      <c r="E323" s="7"/>
    </row>
    <row r="324" customFormat="false" ht="15" hidden="false" customHeight="true" outlineLevel="0" collapsed="false">
      <c r="A324" s="15"/>
      <c r="B324" s="7"/>
      <c r="C324" s="7"/>
      <c r="D324" s="13"/>
      <c r="E324" s="7"/>
    </row>
    <row r="325" customFormat="false" ht="15" hidden="false" customHeight="true" outlineLevel="0" collapsed="false">
      <c r="A325" s="15"/>
      <c r="B325" s="7"/>
      <c r="C325" s="7"/>
      <c r="D325" s="13"/>
      <c r="E325" s="7"/>
    </row>
    <row r="326" customFormat="false" ht="15" hidden="false" customHeight="true" outlineLevel="0" collapsed="false">
      <c r="A326" s="15"/>
      <c r="B326" s="7"/>
      <c r="C326" s="7"/>
      <c r="D326" s="13"/>
      <c r="E326" s="7"/>
    </row>
    <row r="327" customFormat="false" ht="15" hidden="false" customHeight="true" outlineLevel="0" collapsed="false">
      <c r="A327" s="15"/>
      <c r="B327" s="7"/>
      <c r="C327" s="7"/>
      <c r="D327" s="13"/>
      <c r="E327" s="7"/>
    </row>
    <row r="328" customFormat="false" ht="15" hidden="false" customHeight="true" outlineLevel="0" collapsed="false">
      <c r="A328" s="15"/>
      <c r="B328" s="7"/>
      <c r="C328" s="7"/>
      <c r="D328" s="13"/>
      <c r="E328" s="7"/>
    </row>
    <row r="329" customFormat="false" ht="15" hidden="false" customHeight="true" outlineLevel="0" collapsed="false">
      <c r="A329" s="15"/>
      <c r="B329" s="7"/>
      <c r="C329" s="7"/>
      <c r="D329" s="13"/>
      <c r="E329" s="7"/>
    </row>
    <row r="330" customFormat="false" ht="15" hidden="false" customHeight="true" outlineLevel="0" collapsed="false">
      <c r="A330" s="15"/>
      <c r="B330" s="7"/>
      <c r="C330" s="7"/>
      <c r="D330" s="13"/>
      <c r="E330" s="7"/>
    </row>
    <row r="331" customFormat="false" ht="15" hidden="false" customHeight="true" outlineLevel="0" collapsed="false">
      <c r="A331" s="15"/>
      <c r="B331" s="7"/>
      <c r="C331" s="7"/>
      <c r="D331" s="13"/>
      <c r="E331" s="7"/>
    </row>
    <row r="332" customFormat="false" ht="15" hidden="false" customHeight="true" outlineLevel="0" collapsed="false">
      <c r="A332" s="15"/>
      <c r="B332" s="7"/>
      <c r="C332" s="7"/>
      <c r="D332" s="13"/>
      <c r="E332" s="7"/>
    </row>
    <row r="333" customFormat="false" ht="15" hidden="false" customHeight="true" outlineLevel="0" collapsed="false">
      <c r="A333" s="15"/>
      <c r="B333" s="7"/>
      <c r="C333" s="7"/>
      <c r="D333" s="13"/>
      <c r="E333" s="7"/>
    </row>
    <row r="334" customFormat="false" ht="15" hidden="false" customHeight="true" outlineLevel="0" collapsed="false">
      <c r="A334" s="15"/>
      <c r="B334" s="7"/>
      <c r="C334" s="7"/>
      <c r="D334" s="13"/>
      <c r="E334" s="7"/>
    </row>
    <row r="335" customFormat="false" ht="15" hidden="false" customHeight="true" outlineLevel="0" collapsed="false">
      <c r="A335" s="15"/>
      <c r="B335" s="7"/>
      <c r="C335" s="7"/>
      <c r="D335" s="13"/>
      <c r="E335" s="7"/>
    </row>
    <row r="336" customFormat="false" ht="15" hidden="false" customHeight="true" outlineLevel="0" collapsed="false">
      <c r="A336" s="15"/>
      <c r="B336" s="7"/>
      <c r="C336" s="7"/>
      <c r="D336" s="13"/>
      <c r="E336" s="7"/>
    </row>
    <row r="337" customFormat="false" ht="15" hidden="false" customHeight="true" outlineLevel="0" collapsed="false">
      <c r="A337" s="15"/>
      <c r="B337" s="7"/>
      <c r="C337" s="7"/>
      <c r="D337" s="13"/>
      <c r="E337" s="7"/>
    </row>
    <row r="338" customFormat="false" ht="15" hidden="false" customHeight="true" outlineLevel="0" collapsed="false">
      <c r="A338" s="15"/>
      <c r="B338" s="7"/>
      <c r="C338" s="7"/>
      <c r="D338" s="13"/>
      <c r="E338" s="7"/>
    </row>
    <row r="339" customFormat="false" ht="15" hidden="false" customHeight="true" outlineLevel="0" collapsed="false">
      <c r="A339" s="15"/>
      <c r="B339" s="7"/>
      <c r="C339" s="7"/>
      <c r="D339" s="13"/>
      <c r="E339" s="7"/>
    </row>
    <row r="340" customFormat="false" ht="15" hidden="false" customHeight="true" outlineLevel="0" collapsed="false">
      <c r="A340" s="15"/>
      <c r="B340" s="7"/>
      <c r="C340" s="7"/>
      <c r="D340" s="13"/>
      <c r="E340" s="7"/>
    </row>
    <row r="341" customFormat="false" ht="15" hidden="false" customHeight="true" outlineLevel="0" collapsed="false">
      <c r="A341" s="15"/>
      <c r="B341" s="7"/>
      <c r="C341" s="7"/>
      <c r="D341" s="13"/>
      <c r="E341" s="7"/>
    </row>
    <row r="342" customFormat="false" ht="15" hidden="false" customHeight="true" outlineLevel="0" collapsed="false">
      <c r="A342" s="15"/>
      <c r="B342" s="7"/>
      <c r="C342" s="7"/>
      <c r="D342" s="13"/>
      <c r="E342" s="7"/>
    </row>
    <row r="343" customFormat="false" ht="15" hidden="false" customHeight="true" outlineLevel="0" collapsed="false">
      <c r="A343" s="15"/>
      <c r="B343" s="7"/>
      <c r="C343" s="7"/>
      <c r="D343" s="13"/>
      <c r="E343" s="7"/>
    </row>
    <row r="344" customFormat="false" ht="15" hidden="false" customHeight="true" outlineLevel="0" collapsed="false">
      <c r="A344" s="15"/>
      <c r="B344" s="7"/>
      <c r="C344" s="7"/>
      <c r="D344" s="13"/>
      <c r="E344" s="7"/>
    </row>
    <row r="345" customFormat="false" ht="15" hidden="false" customHeight="true" outlineLevel="0" collapsed="false">
      <c r="A345" s="15"/>
      <c r="B345" s="7"/>
      <c r="C345" s="7"/>
      <c r="D345" s="13"/>
      <c r="E345" s="7"/>
    </row>
    <row r="346" customFormat="false" ht="15" hidden="false" customHeight="true" outlineLevel="0" collapsed="false">
      <c r="A346" s="15"/>
      <c r="B346" s="7"/>
      <c r="C346" s="7"/>
      <c r="D346" s="13"/>
      <c r="E346" s="7"/>
    </row>
    <row r="347" customFormat="false" ht="15" hidden="false" customHeight="true" outlineLevel="0" collapsed="false">
      <c r="A347" s="15"/>
      <c r="B347" s="7"/>
      <c r="C347" s="7"/>
      <c r="D347" s="13"/>
      <c r="E347" s="7"/>
    </row>
    <row r="348" customFormat="false" ht="15" hidden="false" customHeight="true" outlineLevel="0" collapsed="false">
      <c r="A348" s="15"/>
      <c r="B348" s="7"/>
      <c r="C348" s="7"/>
      <c r="D348" s="13"/>
      <c r="E348" s="7"/>
    </row>
    <row r="349" customFormat="false" ht="15" hidden="false" customHeight="true" outlineLevel="0" collapsed="false">
      <c r="A349" s="15"/>
      <c r="B349" s="7"/>
      <c r="C349" s="7"/>
      <c r="D349" s="13"/>
      <c r="E349" s="7"/>
    </row>
    <row r="350" customFormat="false" ht="15" hidden="false" customHeight="true" outlineLevel="0" collapsed="false">
      <c r="A350" s="15"/>
      <c r="B350" s="7"/>
      <c r="C350" s="7"/>
      <c r="D350" s="13"/>
      <c r="E350" s="7"/>
    </row>
    <row r="351" customFormat="false" ht="15" hidden="false" customHeight="true" outlineLevel="0" collapsed="false">
      <c r="A351" s="15"/>
      <c r="B351" s="7"/>
      <c r="C351" s="7"/>
      <c r="D351" s="13"/>
      <c r="E351" s="7"/>
    </row>
    <row r="352" customFormat="false" ht="15" hidden="false" customHeight="true" outlineLevel="0" collapsed="false">
      <c r="A352" s="15"/>
      <c r="B352" s="7"/>
      <c r="C352" s="7"/>
      <c r="D352" s="13"/>
      <c r="E352" s="7"/>
    </row>
    <row r="353" customFormat="false" ht="15" hidden="false" customHeight="true" outlineLevel="0" collapsed="false">
      <c r="A353" s="15"/>
      <c r="B353" s="7"/>
      <c r="C353" s="7"/>
      <c r="D353" s="13"/>
      <c r="E353" s="7"/>
    </row>
    <row r="354" customFormat="false" ht="15" hidden="false" customHeight="true" outlineLevel="0" collapsed="false">
      <c r="A354" s="15"/>
      <c r="B354" s="7"/>
      <c r="C354" s="7"/>
      <c r="D354" s="13"/>
      <c r="E354" s="7"/>
    </row>
    <row r="355" customFormat="false" ht="15" hidden="false" customHeight="true" outlineLevel="0" collapsed="false">
      <c r="A355" s="15"/>
      <c r="B355" s="7"/>
      <c r="C355" s="7"/>
      <c r="D355" s="13"/>
      <c r="E355" s="7"/>
    </row>
    <row r="356" customFormat="false" ht="15" hidden="false" customHeight="true" outlineLevel="0" collapsed="false">
      <c r="A356" s="15"/>
      <c r="B356" s="7"/>
      <c r="C356" s="7"/>
      <c r="D356" s="13"/>
      <c r="E356" s="7"/>
    </row>
    <row r="357" customFormat="false" ht="15" hidden="false" customHeight="true" outlineLevel="0" collapsed="false">
      <c r="A357" s="15"/>
      <c r="B357" s="7"/>
      <c r="C357" s="7"/>
      <c r="D357" s="13"/>
      <c r="E357" s="7"/>
    </row>
    <row r="358" customFormat="false" ht="15" hidden="false" customHeight="true" outlineLevel="0" collapsed="false">
      <c r="A358" s="15"/>
      <c r="B358" s="7"/>
      <c r="C358" s="7"/>
      <c r="D358" s="13"/>
      <c r="E358" s="7"/>
    </row>
    <row r="359" customFormat="false" ht="15" hidden="false" customHeight="true" outlineLevel="0" collapsed="false">
      <c r="A359" s="15"/>
      <c r="B359" s="7"/>
      <c r="C359" s="7"/>
      <c r="D359" s="13"/>
      <c r="E359" s="7"/>
    </row>
    <row r="360" customFormat="false" ht="15" hidden="false" customHeight="true" outlineLevel="0" collapsed="false">
      <c r="A360" s="15"/>
      <c r="B360" s="7"/>
      <c r="C360" s="7"/>
      <c r="D360" s="13"/>
      <c r="E360" s="7"/>
    </row>
    <row r="361" customFormat="false" ht="15" hidden="false" customHeight="true" outlineLevel="0" collapsed="false">
      <c r="A361" s="15"/>
      <c r="B361" s="7"/>
      <c r="C361" s="7"/>
      <c r="D361" s="13"/>
      <c r="E361" s="7"/>
    </row>
    <row r="362" customFormat="false" ht="15" hidden="false" customHeight="true" outlineLevel="0" collapsed="false">
      <c r="A362" s="15"/>
      <c r="B362" s="7"/>
      <c r="C362" s="7"/>
      <c r="D362" s="13"/>
      <c r="E362" s="7"/>
    </row>
    <row r="363" customFormat="false" ht="15" hidden="false" customHeight="true" outlineLevel="0" collapsed="false">
      <c r="A363" s="15"/>
      <c r="B363" s="7"/>
      <c r="C363" s="7"/>
      <c r="D363" s="13"/>
      <c r="E363" s="7"/>
    </row>
    <row r="364" customFormat="false" ht="15" hidden="false" customHeight="true" outlineLevel="0" collapsed="false">
      <c r="A364" s="15"/>
      <c r="B364" s="7"/>
      <c r="C364" s="7"/>
      <c r="D364" s="13"/>
      <c r="E364" s="7"/>
    </row>
    <row r="365" customFormat="false" ht="15" hidden="false" customHeight="true" outlineLevel="0" collapsed="false">
      <c r="A365" s="15"/>
      <c r="B365" s="7"/>
      <c r="C365" s="7"/>
      <c r="D365" s="13"/>
      <c r="E365" s="7"/>
    </row>
    <row r="366" customFormat="false" ht="15" hidden="false" customHeight="true" outlineLevel="0" collapsed="false">
      <c r="A366" s="15"/>
      <c r="B366" s="7"/>
      <c r="C366" s="7"/>
      <c r="D366" s="13"/>
      <c r="E366" s="7"/>
    </row>
    <row r="367" customFormat="false" ht="15" hidden="false" customHeight="true" outlineLevel="0" collapsed="false">
      <c r="A367" s="15"/>
      <c r="B367" s="7"/>
      <c r="C367" s="7"/>
      <c r="D367" s="13"/>
      <c r="E367" s="7"/>
    </row>
    <row r="368" customFormat="false" ht="15" hidden="false" customHeight="true" outlineLevel="0" collapsed="false">
      <c r="A368" s="15"/>
      <c r="B368" s="7"/>
      <c r="C368" s="7"/>
      <c r="D368" s="13"/>
      <c r="E368" s="7"/>
    </row>
    <row r="369" customFormat="false" ht="15" hidden="false" customHeight="true" outlineLevel="0" collapsed="false">
      <c r="A369" s="15"/>
      <c r="B369" s="7"/>
      <c r="C369" s="7"/>
      <c r="D369" s="13"/>
      <c r="E369" s="7"/>
    </row>
    <row r="370" customFormat="false" ht="15" hidden="false" customHeight="true" outlineLevel="0" collapsed="false">
      <c r="A370" s="15"/>
      <c r="B370" s="7"/>
      <c r="C370" s="7"/>
      <c r="D370" s="13"/>
      <c r="E370" s="7"/>
    </row>
    <row r="371" customFormat="false" ht="15" hidden="false" customHeight="true" outlineLevel="0" collapsed="false">
      <c r="A371" s="15"/>
      <c r="B371" s="7"/>
      <c r="C371" s="7"/>
      <c r="D371" s="13"/>
      <c r="E371" s="7"/>
    </row>
    <row r="372" customFormat="false" ht="15" hidden="false" customHeight="true" outlineLevel="0" collapsed="false">
      <c r="A372" s="15"/>
      <c r="B372" s="7"/>
      <c r="C372" s="7"/>
      <c r="D372" s="13"/>
      <c r="E372" s="7"/>
    </row>
    <row r="373" customFormat="false" ht="15" hidden="false" customHeight="true" outlineLevel="0" collapsed="false">
      <c r="A373" s="15"/>
      <c r="B373" s="7"/>
      <c r="C373" s="7"/>
      <c r="D373" s="13"/>
      <c r="E373" s="7"/>
    </row>
    <row r="374" customFormat="false" ht="15" hidden="false" customHeight="true" outlineLevel="0" collapsed="false">
      <c r="A374" s="15"/>
      <c r="B374" s="7"/>
      <c r="C374" s="7"/>
      <c r="D374" s="13"/>
      <c r="E374" s="7"/>
    </row>
    <row r="375" customFormat="false" ht="15" hidden="false" customHeight="true" outlineLevel="0" collapsed="false">
      <c r="A375" s="15"/>
      <c r="B375" s="7"/>
      <c r="C375" s="7"/>
      <c r="D375" s="13"/>
      <c r="E375" s="7"/>
    </row>
    <row r="376" customFormat="false" ht="15" hidden="false" customHeight="true" outlineLevel="0" collapsed="false">
      <c r="A376" s="15"/>
      <c r="B376" s="7"/>
      <c r="C376" s="7"/>
      <c r="D376" s="13"/>
      <c r="E376" s="7"/>
    </row>
    <row r="377" customFormat="false" ht="15" hidden="false" customHeight="true" outlineLevel="0" collapsed="false">
      <c r="A377" s="15"/>
      <c r="B377" s="7"/>
      <c r="C377" s="7"/>
      <c r="D377" s="13"/>
      <c r="E377" s="7"/>
    </row>
    <row r="378" customFormat="false" ht="15" hidden="false" customHeight="true" outlineLevel="0" collapsed="false">
      <c r="A378" s="15"/>
      <c r="B378" s="7"/>
      <c r="C378" s="7"/>
      <c r="D378" s="13"/>
      <c r="E378" s="7"/>
    </row>
    <row r="379" customFormat="false" ht="15" hidden="false" customHeight="true" outlineLevel="0" collapsed="false">
      <c r="A379" s="15"/>
      <c r="B379" s="7"/>
      <c r="C379" s="7"/>
      <c r="D379" s="13"/>
      <c r="E379" s="7"/>
    </row>
    <row r="380" customFormat="false" ht="15" hidden="false" customHeight="true" outlineLevel="0" collapsed="false">
      <c r="A380" s="15"/>
      <c r="B380" s="7"/>
      <c r="C380" s="7"/>
      <c r="D380" s="13"/>
      <c r="E380" s="7"/>
    </row>
    <row r="381" customFormat="false" ht="15" hidden="false" customHeight="true" outlineLevel="0" collapsed="false">
      <c r="A381" s="15"/>
      <c r="B381" s="7"/>
      <c r="C381" s="7"/>
      <c r="D381" s="13"/>
      <c r="E381" s="7"/>
    </row>
    <row r="382" customFormat="false" ht="15" hidden="false" customHeight="true" outlineLevel="0" collapsed="false">
      <c r="A382" s="15"/>
      <c r="B382" s="7"/>
      <c r="C382" s="7"/>
      <c r="D382" s="13"/>
      <c r="E382" s="7"/>
    </row>
    <row r="383" customFormat="false" ht="15" hidden="false" customHeight="true" outlineLevel="0" collapsed="false">
      <c r="A383" s="15"/>
      <c r="B383" s="7"/>
      <c r="C383" s="7"/>
      <c r="D383" s="13"/>
      <c r="E383" s="7"/>
    </row>
    <row r="384" customFormat="false" ht="15" hidden="false" customHeight="true" outlineLevel="0" collapsed="false">
      <c r="A384" s="15"/>
      <c r="B384" s="7"/>
      <c r="C384" s="7"/>
      <c r="D384" s="13"/>
      <c r="E384" s="7"/>
    </row>
    <row r="385" customFormat="false" ht="15" hidden="false" customHeight="true" outlineLevel="0" collapsed="false">
      <c r="A385" s="15"/>
      <c r="B385" s="7"/>
      <c r="C385" s="7"/>
      <c r="D385" s="13"/>
      <c r="E385" s="7"/>
    </row>
    <row r="386" customFormat="false" ht="15" hidden="false" customHeight="true" outlineLevel="0" collapsed="false">
      <c r="A386" s="15"/>
      <c r="B386" s="7"/>
      <c r="C386" s="7"/>
      <c r="D386" s="13"/>
      <c r="E386" s="7"/>
    </row>
    <row r="387" customFormat="false" ht="15" hidden="false" customHeight="true" outlineLevel="0" collapsed="false">
      <c r="A387" s="15"/>
      <c r="B387" s="7"/>
      <c r="C387" s="7"/>
      <c r="D387" s="13"/>
      <c r="E387" s="7"/>
    </row>
    <row r="388" customFormat="false" ht="15" hidden="false" customHeight="true" outlineLevel="0" collapsed="false">
      <c r="A388" s="15"/>
      <c r="B388" s="7"/>
      <c r="C388" s="7"/>
      <c r="D388" s="13"/>
      <c r="E388" s="7"/>
    </row>
    <row r="389" customFormat="false" ht="15" hidden="false" customHeight="true" outlineLevel="0" collapsed="false">
      <c r="A389" s="15"/>
      <c r="B389" s="7"/>
      <c r="C389" s="7"/>
      <c r="D389" s="13"/>
      <c r="E389" s="7"/>
    </row>
    <row r="390" customFormat="false" ht="15" hidden="false" customHeight="true" outlineLevel="0" collapsed="false">
      <c r="A390" s="15"/>
      <c r="B390" s="7"/>
      <c r="C390" s="7"/>
      <c r="D390" s="13"/>
      <c r="E390" s="7"/>
    </row>
    <row r="391" customFormat="false" ht="15" hidden="false" customHeight="true" outlineLevel="0" collapsed="false">
      <c r="A391" s="15"/>
      <c r="B391" s="7"/>
      <c r="C391" s="7"/>
      <c r="D391" s="13"/>
      <c r="E391" s="7"/>
    </row>
    <row r="392" customFormat="false" ht="15" hidden="false" customHeight="true" outlineLevel="0" collapsed="false">
      <c r="A392" s="15"/>
      <c r="B392" s="7"/>
      <c r="C392" s="7"/>
      <c r="D392" s="13"/>
      <c r="E392" s="7"/>
    </row>
    <row r="393" customFormat="false" ht="15" hidden="false" customHeight="true" outlineLevel="0" collapsed="false">
      <c r="A393" s="15"/>
      <c r="B393" s="7"/>
      <c r="C393" s="7"/>
      <c r="D393" s="13"/>
      <c r="E393" s="7"/>
    </row>
    <row r="394" customFormat="false" ht="15" hidden="false" customHeight="true" outlineLevel="0" collapsed="false">
      <c r="A394" s="15"/>
      <c r="B394" s="7"/>
      <c r="C394" s="7"/>
      <c r="D394" s="13"/>
      <c r="E394" s="7"/>
    </row>
    <row r="395" customFormat="false" ht="15" hidden="false" customHeight="true" outlineLevel="0" collapsed="false">
      <c r="A395" s="15"/>
      <c r="B395" s="7"/>
      <c r="C395" s="7"/>
      <c r="D395" s="13"/>
      <c r="E395" s="7"/>
    </row>
    <row r="396" customFormat="false" ht="15" hidden="false" customHeight="true" outlineLevel="0" collapsed="false">
      <c r="A396" s="15"/>
      <c r="B396" s="7"/>
      <c r="C396" s="7"/>
      <c r="D396" s="13"/>
      <c r="E396" s="7"/>
    </row>
    <row r="397" customFormat="false" ht="15" hidden="false" customHeight="true" outlineLevel="0" collapsed="false">
      <c r="A397" s="15"/>
      <c r="B397" s="7"/>
      <c r="C397" s="7"/>
      <c r="D397" s="13"/>
      <c r="E397" s="7"/>
    </row>
    <row r="398" customFormat="false" ht="15" hidden="false" customHeight="true" outlineLevel="0" collapsed="false">
      <c r="A398" s="15"/>
      <c r="B398" s="7"/>
      <c r="C398" s="7"/>
      <c r="D398" s="13"/>
      <c r="E398" s="7"/>
    </row>
    <row r="399" customFormat="false" ht="15" hidden="false" customHeight="true" outlineLevel="0" collapsed="false">
      <c r="A399" s="15"/>
      <c r="B399" s="7"/>
      <c r="C399" s="7"/>
      <c r="D399" s="13"/>
      <c r="E399" s="7"/>
    </row>
    <row r="400" customFormat="false" ht="15" hidden="false" customHeight="true" outlineLevel="0" collapsed="false">
      <c r="A400" s="15"/>
      <c r="B400" s="7"/>
      <c r="C400" s="7"/>
      <c r="D400" s="13"/>
      <c r="E400" s="7"/>
    </row>
    <row r="401" customFormat="false" ht="15" hidden="false" customHeight="true" outlineLevel="0" collapsed="false">
      <c r="A401" s="15"/>
      <c r="B401" s="7"/>
      <c r="C401" s="7"/>
      <c r="D401" s="13"/>
      <c r="E401" s="7"/>
    </row>
    <row r="402" customFormat="false" ht="15" hidden="false" customHeight="true" outlineLevel="0" collapsed="false">
      <c r="A402" s="15"/>
      <c r="B402" s="7"/>
      <c r="C402" s="7"/>
      <c r="D402" s="13"/>
      <c r="E402" s="7"/>
    </row>
    <row r="403" customFormat="false" ht="15" hidden="false" customHeight="true" outlineLevel="0" collapsed="false">
      <c r="A403" s="15"/>
      <c r="B403" s="7"/>
      <c r="C403" s="7"/>
      <c r="D403" s="13"/>
      <c r="E403" s="7"/>
    </row>
    <row r="404" customFormat="false" ht="15" hidden="false" customHeight="true" outlineLevel="0" collapsed="false">
      <c r="A404" s="15"/>
      <c r="B404" s="7"/>
      <c r="C404" s="7"/>
      <c r="D404" s="13"/>
      <c r="E404" s="7"/>
    </row>
    <row r="405" customFormat="false" ht="15" hidden="false" customHeight="true" outlineLevel="0" collapsed="false">
      <c r="A405" s="15"/>
      <c r="B405" s="7"/>
      <c r="C405" s="7"/>
      <c r="D405" s="13"/>
      <c r="E405" s="7"/>
    </row>
    <row r="406" customFormat="false" ht="15" hidden="false" customHeight="true" outlineLevel="0" collapsed="false">
      <c r="A406" s="15"/>
      <c r="B406" s="7"/>
      <c r="C406" s="7"/>
      <c r="D406" s="13"/>
      <c r="E406" s="7"/>
    </row>
    <row r="407" customFormat="false" ht="15" hidden="false" customHeight="true" outlineLevel="0" collapsed="false">
      <c r="A407" s="15"/>
      <c r="B407" s="7"/>
      <c r="C407" s="7"/>
      <c r="D407" s="13"/>
      <c r="E407" s="7"/>
    </row>
    <row r="408" customFormat="false" ht="15" hidden="false" customHeight="true" outlineLevel="0" collapsed="false">
      <c r="A408" s="15"/>
      <c r="B408" s="7"/>
      <c r="C408" s="7"/>
      <c r="D408" s="13"/>
      <c r="E408" s="7"/>
    </row>
    <row r="409" customFormat="false" ht="15" hidden="false" customHeight="true" outlineLevel="0" collapsed="false">
      <c r="A409" s="15"/>
      <c r="B409" s="7"/>
      <c r="C409" s="7"/>
      <c r="D409" s="13"/>
      <c r="E409" s="7"/>
    </row>
    <row r="410" customFormat="false" ht="15" hidden="false" customHeight="true" outlineLevel="0" collapsed="false">
      <c r="A410" s="15"/>
      <c r="B410" s="7"/>
      <c r="C410" s="7"/>
      <c r="D410" s="13"/>
      <c r="E410" s="7"/>
    </row>
    <row r="411" customFormat="false" ht="15" hidden="false" customHeight="true" outlineLevel="0" collapsed="false">
      <c r="A411" s="15"/>
      <c r="B411" s="7"/>
      <c r="C411" s="7"/>
      <c r="D411" s="13"/>
      <c r="E411" s="7"/>
    </row>
    <row r="412" customFormat="false" ht="15" hidden="false" customHeight="true" outlineLevel="0" collapsed="false">
      <c r="A412" s="15"/>
      <c r="B412" s="7"/>
      <c r="C412" s="7"/>
      <c r="D412" s="13"/>
      <c r="E412" s="7"/>
    </row>
    <row r="413" customFormat="false" ht="15" hidden="false" customHeight="true" outlineLevel="0" collapsed="false">
      <c r="A413" s="15"/>
      <c r="B413" s="7"/>
      <c r="C413" s="7"/>
      <c r="D413" s="13"/>
      <c r="E413" s="7"/>
    </row>
    <row r="414" customFormat="false" ht="15" hidden="false" customHeight="true" outlineLevel="0" collapsed="false">
      <c r="A414" s="15"/>
      <c r="B414" s="7"/>
      <c r="C414" s="7"/>
      <c r="D414" s="13"/>
      <c r="E414" s="7"/>
    </row>
    <row r="415" customFormat="false" ht="15" hidden="false" customHeight="true" outlineLevel="0" collapsed="false">
      <c r="A415" s="15"/>
      <c r="B415" s="7"/>
      <c r="C415" s="7"/>
      <c r="D415" s="13"/>
      <c r="E415" s="7"/>
    </row>
    <row r="416" customFormat="false" ht="15" hidden="false" customHeight="true" outlineLevel="0" collapsed="false">
      <c r="A416" s="15"/>
      <c r="B416" s="7"/>
      <c r="C416" s="7"/>
      <c r="D416" s="13"/>
      <c r="E416" s="7"/>
    </row>
    <row r="417" customFormat="false" ht="15" hidden="false" customHeight="true" outlineLevel="0" collapsed="false">
      <c r="A417" s="15"/>
      <c r="B417" s="7"/>
      <c r="C417" s="7"/>
      <c r="D417" s="13"/>
      <c r="E417" s="7"/>
    </row>
    <row r="418" customFormat="false" ht="15" hidden="false" customHeight="true" outlineLevel="0" collapsed="false">
      <c r="A418" s="15"/>
      <c r="B418" s="7"/>
      <c r="C418" s="7"/>
      <c r="D418" s="13"/>
      <c r="E418" s="7"/>
    </row>
    <row r="419" customFormat="false" ht="15" hidden="false" customHeight="true" outlineLevel="0" collapsed="false">
      <c r="A419" s="15"/>
      <c r="B419" s="7"/>
      <c r="C419" s="7"/>
      <c r="D419" s="13"/>
      <c r="E419" s="7"/>
    </row>
    <row r="420" customFormat="false" ht="15" hidden="false" customHeight="true" outlineLevel="0" collapsed="false">
      <c r="A420" s="15"/>
      <c r="B420" s="7"/>
      <c r="C420" s="7"/>
      <c r="D420" s="13"/>
      <c r="E420" s="7"/>
    </row>
    <row r="421" customFormat="false" ht="15" hidden="false" customHeight="true" outlineLevel="0" collapsed="false">
      <c r="A421" s="15"/>
      <c r="B421" s="7"/>
      <c r="C421" s="7"/>
      <c r="D421" s="13"/>
      <c r="E421" s="7"/>
    </row>
    <row r="422" customFormat="false" ht="15" hidden="false" customHeight="true" outlineLevel="0" collapsed="false">
      <c r="A422" s="15"/>
      <c r="B422" s="7"/>
      <c r="C422" s="7"/>
      <c r="D422" s="13"/>
      <c r="E422" s="7"/>
    </row>
    <row r="423" customFormat="false" ht="15" hidden="false" customHeight="true" outlineLevel="0" collapsed="false">
      <c r="A423" s="15"/>
      <c r="B423" s="7"/>
      <c r="C423" s="7"/>
      <c r="D423" s="13"/>
      <c r="E423" s="7"/>
    </row>
    <row r="424" customFormat="false" ht="15" hidden="false" customHeight="true" outlineLevel="0" collapsed="false">
      <c r="A424" s="15"/>
      <c r="B424" s="7"/>
      <c r="C424" s="7"/>
      <c r="D424" s="13"/>
      <c r="E424" s="7"/>
    </row>
    <row r="425" customFormat="false" ht="15" hidden="false" customHeight="true" outlineLevel="0" collapsed="false">
      <c r="A425" s="15"/>
      <c r="B425" s="7"/>
      <c r="C425" s="7"/>
      <c r="D425" s="13"/>
      <c r="E425" s="7"/>
    </row>
    <row r="426" customFormat="false" ht="15" hidden="false" customHeight="true" outlineLevel="0" collapsed="false">
      <c r="A426" s="15"/>
      <c r="B426" s="7"/>
      <c r="C426" s="7"/>
      <c r="D426" s="13"/>
      <c r="E426" s="7"/>
    </row>
    <row r="427" customFormat="false" ht="15" hidden="false" customHeight="true" outlineLevel="0" collapsed="false">
      <c r="A427" s="15"/>
      <c r="B427" s="7"/>
      <c r="C427" s="7"/>
      <c r="D427" s="13"/>
      <c r="E427" s="7"/>
    </row>
    <row r="428" customFormat="false" ht="15" hidden="false" customHeight="true" outlineLevel="0" collapsed="false">
      <c r="A428" s="15"/>
      <c r="B428" s="7"/>
      <c r="C428" s="7"/>
      <c r="D428" s="13"/>
      <c r="E428" s="7"/>
    </row>
    <row r="429" customFormat="false" ht="15" hidden="false" customHeight="true" outlineLevel="0" collapsed="false">
      <c r="A429" s="15"/>
      <c r="B429" s="7"/>
      <c r="C429" s="7"/>
      <c r="D429" s="13"/>
      <c r="E429" s="7"/>
    </row>
    <row r="430" customFormat="false" ht="15" hidden="false" customHeight="true" outlineLevel="0" collapsed="false">
      <c r="A430" s="15"/>
      <c r="B430" s="7"/>
      <c r="C430" s="7"/>
      <c r="D430" s="13"/>
      <c r="E430" s="7"/>
    </row>
    <row r="431" customFormat="false" ht="15" hidden="false" customHeight="true" outlineLevel="0" collapsed="false">
      <c r="A431" s="15"/>
      <c r="B431" s="7"/>
      <c r="C431" s="7"/>
      <c r="D431" s="13"/>
      <c r="E431" s="7"/>
    </row>
    <row r="432" customFormat="false" ht="15" hidden="false" customHeight="true" outlineLevel="0" collapsed="false">
      <c r="A432" s="15"/>
      <c r="B432" s="7"/>
      <c r="C432" s="7"/>
      <c r="D432" s="13"/>
      <c r="E432" s="7"/>
    </row>
    <row r="433" customFormat="false" ht="15" hidden="false" customHeight="true" outlineLevel="0" collapsed="false">
      <c r="A433" s="15"/>
      <c r="B433" s="7"/>
      <c r="C433" s="7"/>
      <c r="D433" s="13"/>
      <c r="E433" s="7"/>
    </row>
    <row r="434" customFormat="false" ht="15" hidden="false" customHeight="true" outlineLevel="0" collapsed="false">
      <c r="A434" s="15"/>
      <c r="B434" s="7"/>
      <c r="C434" s="7"/>
      <c r="D434" s="13"/>
      <c r="E434" s="7"/>
    </row>
    <row r="435" customFormat="false" ht="15" hidden="false" customHeight="true" outlineLevel="0" collapsed="false">
      <c r="A435" s="15"/>
      <c r="B435" s="7"/>
      <c r="C435" s="7"/>
      <c r="D435" s="13"/>
      <c r="E435" s="7"/>
    </row>
    <row r="436" customFormat="false" ht="15" hidden="false" customHeight="true" outlineLevel="0" collapsed="false">
      <c r="A436" s="15"/>
      <c r="B436" s="7"/>
      <c r="C436" s="7"/>
      <c r="D436" s="13"/>
      <c r="E436" s="7"/>
    </row>
    <row r="437" customFormat="false" ht="15" hidden="false" customHeight="true" outlineLevel="0" collapsed="false">
      <c r="A437" s="15"/>
      <c r="B437" s="7"/>
      <c r="C437" s="7"/>
      <c r="D437" s="13"/>
      <c r="E437" s="7"/>
    </row>
    <row r="438" customFormat="false" ht="15" hidden="false" customHeight="true" outlineLevel="0" collapsed="false">
      <c r="A438" s="15"/>
      <c r="B438" s="7"/>
      <c r="C438" s="7"/>
      <c r="D438" s="13"/>
      <c r="E438" s="7"/>
    </row>
    <row r="439" customFormat="false" ht="15" hidden="false" customHeight="true" outlineLevel="0" collapsed="false">
      <c r="A439" s="15"/>
      <c r="B439" s="7"/>
      <c r="C439" s="7"/>
      <c r="D439" s="13"/>
      <c r="E439" s="7"/>
    </row>
    <row r="440" customFormat="false" ht="15" hidden="false" customHeight="true" outlineLevel="0" collapsed="false">
      <c r="A440" s="15"/>
      <c r="B440" s="7"/>
      <c r="C440" s="7"/>
      <c r="D440" s="13"/>
      <c r="E440" s="7"/>
    </row>
    <row r="441" customFormat="false" ht="15" hidden="false" customHeight="true" outlineLevel="0" collapsed="false">
      <c r="A441" s="15"/>
      <c r="B441" s="7"/>
      <c r="C441" s="7"/>
      <c r="D441" s="13"/>
      <c r="E441" s="7"/>
    </row>
    <row r="442" customFormat="false" ht="15" hidden="false" customHeight="true" outlineLevel="0" collapsed="false">
      <c r="A442" s="15"/>
      <c r="B442" s="7"/>
      <c r="C442" s="7"/>
      <c r="D442" s="13"/>
      <c r="E442" s="7"/>
    </row>
    <row r="443" customFormat="false" ht="15" hidden="false" customHeight="true" outlineLevel="0" collapsed="false">
      <c r="A443" s="15"/>
      <c r="B443" s="7"/>
      <c r="C443" s="7"/>
      <c r="D443" s="13"/>
      <c r="E443" s="7"/>
    </row>
    <row r="444" customFormat="false" ht="15" hidden="false" customHeight="true" outlineLevel="0" collapsed="false">
      <c r="A444" s="15"/>
      <c r="B444" s="7"/>
      <c r="C444" s="7"/>
      <c r="D444" s="13"/>
      <c r="E444" s="7"/>
    </row>
    <row r="445" customFormat="false" ht="15" hidden="false" customHeight="true" outlineLevel="0" collapsed="false">
      <c r="A445" s="15"/>
      <c r="B445" s="7"/>
      <c r="C445" s="7"/>
      <c r="D445" s="13"/>
      <c r="E445" s="7"/>
    </row>
    <row r="446" customFormat="false" ht="15" hidden="false" customHeight="true" outlineLevel="0" collapsed="false">
      <c r="A446" s="15"/>
      <c r="B446" s="7"/>
      <c r="C446" s="7"/>
      <c r="D446" s="13"/>
      <c r="E446" s="7"/>
    </row>
    <row r="447" customFormat="false" ht="15" hidden="false" customHeight="true" outlineLevel="0" collapsed="false">
      <c r="A447" s="15"/>
      <c r="B447" s="7"/>
      <c r="C447" s="7"/>
      <c r="D447" s="13"/>
      <c r="E447" s="7"/>
    </row>
    <row r="448" customFormat="false" ht="15" hidden="false" customHeight="true" outlineLevel="0" collapsed="false">
      <c r="A448" s="15"/>
      <c r="B448" s="7"/>
      <c r="C448" s="7"/>
      <c r="D448" s="13"/>
      <c r="E448" s="7"/>
    </row>
    <row r="449" customFormat="false" ht="15" hidden="false" customHeight="true" outlineLevel="0" collapsed="false">
      <c r="A449" s="15"/>
      <c r="B449" s="7"/>
      <c r="C449" s="7"/>
      <c r="D449" s="13"/>
      <c r="E449" s="7"/>
    </row>
    <row r="450" customFormat="false" ht="15" hidden="false" customHeight="true" outlineLevel="0" collapsed="false">
      <c r="A450" s="15"/>
      <c r="B450" s="7"/>
      <c r="C450" s="7"/>
      <c r="D450" s="13"/>
      <c r="E450" s="7"/>
    </row>
    <row r="451" customFormat="false" ht="15" hidden="false" customHeight="true" outlineLevel="0" collapsed="false">
      <c r="A451" s="15"/>
      <c r="B451" s="7"/>
      <c r="C451" s="7"/>
      <c r="D451" s="13"/>
      <c r="E451" s="7"/>
    </row>
    <row r="452" customFormat="false" ht="15" hidden="false" customHeight="true" outlineLevel="0" collapsed="false">
      <c r="A452" s="15"/>
      <c r="B452" s="7"/>
      <c r="C452" s="7"/>
      <c r="D452" s="13"/>
      <c r="E452" s="7"/>
    </row>
    <row r="453" customFormat="false" ht="15" hidden="false" customHeight="true" outlineLevel="0" collapsed="false">
      <c r="A453" s="15"/>
      <c r="B453" s="7"/>
      <c r="C453" s="7"/>
      <c r="D453" s="13"/>
      <c r="E453" s="7"/>
    </row>
    <row r="454" customFormat="false" ht="15" hidden="false" customHeight="true" outlineLevel="0" collapsed="false">
      <c r="A454" s="15"/>
      <c r="B454" s="7"/>
      <c r="C454" s="7"/>
      <c r="D454" s="13"/>
      <c r="E454" s="7"/>
    </row>
    <row r="455" customFormat="false" ht="15" hidden="false" customHeight="true" outlineLevel="0" collapsed="false">
      <c r="A455" s="15"/>
      <c r="B455" s="7"/>
      <c r="C455" s="7"/>
      <c r="D455" s="13"/>
      <c r="E455" s="7"/>
    </row>
    <row r="456" customFormat="false" ht="15" hidden="false" customHeight="true" outlineLevel="0" collapsed="false">
      <c r="A456" s="15"/>
      <c r="B456" s="7"/>
      <c r="C456" s="7"/>
      <c r="D456" s="13"/>
      <c r="E456" s="7"/>
    </row>
    <row r="457" customFormat="false" ht="15" hidden="false" customHeight="true" outlineLevel="0" collapsed="false">
      <c r="A457" s="15"/>
      <c r="B457" s="7"/>
      <c r="C457" s="7"/>
      <c r="D457" s="13"/>
      <c r="E457" s="7"/>
    </row>
    <row r="458" customFormat="false" ht="15" hidden="false" customHeight="true" outlineLevel="0" collapsed="false">
      <c r="A458" s="15"/>
      <c r="B458" s="7"/>
      <c r="C458" s="7"/>
      <c r="D458" s="13"/>
      <c r="E458" s="7"/>
    </row>
    <row r="459" customFormat="false" ht="15" hidden="false" customHeight="true" outlineLevel="0" collapsed="false">
      <c r="A459" s="15"/>
      <c r="B459" s="7"/>
      <c r="C459" s="7"/>
      <c r="D459" s="13"/>
      <c r="E459" s="7"/>
    </row>
    <row r="460" customFormat="false" ht="15" hidden="false" customHeight="true" outlineLevel="0" collapsed="false">
      <c r="A460" s="15"/>
      <c r="B460" s="7"/>
      <c r="C460" s="7"/>
      <c r="D460" s="13"/>
      <c r="E460" s="7"/>
    </row>
    <row r="461" customFormat="false" ht="15" hidden="false" customHeight="true" outlineLevel="0" collapsed="false">
      <c r="A461" s="15"/>
      <c r="B461" s="7"/>
      <c r="C461" s="7"/>
      <c r="D461" s="13"/>
      <c r="E461" s="7"/>
    </row>
    <row r="462" customFormat="false" ht="15" hidden="false" customHeight="true" outlineLevel="0" collapsed="false">
      <c r="A462" s="15"/>
      <c r="B462" s="7"/>
      <c r="C462" s="7"/>
      <c r="D462" s="13"/>
      <c r="E462" s="7"/>
    </row>
    <row r="463" customFormat="false" ht="15" hidden="false" customHeight="true" outlineLevel="0" collapsed="false">
      <c r="A463" s="15"/>
      <c r="B463" s="7"/>
      <c r="C463" s="7"/>
      <c r="D463" s="13"/>
      <c r="E463" s="7"/>
    </row>
    <row r="464" customFormat="false" ht="15" hidden="false" customHeight="true" outlineLevel="0" collapsed="false">
      <c r="A464" s="15"/>
      <c r="B464" s="7"/>
      <c r="C464" s="7"/>
      <c r="D464" s="13"/>
      <c r="E464" s="7"/>
    </row>
    <row r="465" customFormat="false" ht="15" hidden="false" customHeight="true" outlineLevel="0" collapsed="false">
      <c r="A465" s="15"/>
      <c r="B465" s="7"/>
      <c r="C465" s="7"/>
      <c r="D465" s="13"/>
      <c r="E465" s="7"/>
    </row>
    <row r="466" customFormat="false" ht="15" hidden="false" customHeight="true" outlineLevel="0" collapsed="false">
      <c r="A466" s="15"/>
      <c r="B466" s="7"/>
      <c r="C466" s="7"/>
      <c r="D466" s="13"/>
      <c r="E466" s="7"/>
    </row>
    <row r="467" customFormat="false" ht="15" hidden="false" customHeight="true" outlineLevel="0" collapsed="false">
      <c r="A467" s="15"/>
      <c r="B467" s="7"/>
      <c r="C467" s="7"/>
      <c r="D467" s="13"/>
      <c r="E467" s="7"/>
    </row>
    <row r="468" customFormat="false" ht="15" hidden="false" customHeight="true" outlineLevel="0" collapsed="false">
      <c r="A468" s="15"/>
      <c r="B468" s="7"/>
      <c r="C468" s="7"/>
      <c r="D468" s="13"/>
      <c r="E468" s="7"/>
    </row>
    <row r="469" customFormat="false" ht="15" hidden="false" customHeight="true" outlineLevel="0" collapsed="false">
      <c r="A469" s="15"/>
      <c r="B469" s="7"/>
      <c r="C469" s="7"/>
      <c r="D469" s="13"/>
      <c r="E469" s="7"/>
    </row>
    <row r="470" customFormat="false" ht="15" hidden="false" customHeight="true" outlineLevel="0" collapsed="false">
      <c r="A470" s="15"/>
      <c r="B470" s="7"/>
      <c r="C470" s="7"/>
      <c r="D470" s="13"/>
      <c r="E470" s="7"/>
    </row>
    <row r="471" customFormat="false" ht="15" hidden="false" customHeight="true" outlineLevel="0" collapsed="false">
      <c r="A471" s="15"/>
      <c r="B471" s="7"/>
      <c r="C471" s="7"/>
      <c r="D471" s="13"/>
      <c r="E471" s="7"/>
    </row>
    <row r="472" customFormat="false" ht="15" hidden="false" customHeight="true" outlineLevel="0" collapsed="false">
      <c r="A472" s="15"/>
      <c r="B472" s="7"/>
      <c r="C472" s="7"/>
      <c r="D472" s="13"/>
      <c r="E472" s="7"/>
    </row>
    <row r="473" customFormat="false" ht="15" hidden="false" customHeight="true" outlineLevel="0" collapsed="false">
      <c r="A473" s="15"/>
      <c r="B473" s="7"/>
      <c r="C473" s="7"/>
      <c r="D473" s="13"/>
      <c r="E473" s="7"/>
    </row>
    <row r="474" customFormat="false" ht="15" hidden="false" customHeight="true" outlineLevel="0" collapsed="false">
      <c r="A474" s="15"/>
      <c r="B474" s="7"/>
      <c r="C474" s="7"/>
      <c r="D474" s="13"/>
      <c r="E474" s="7"/>
    </row>
    <row r="475" customFormat="false" ht="15" hidden="false" customHeight="true" outlineLevel="0" collapsed="false">
      <c r="A475" s="15"/>
      <c r="B475" s="7"/>
      <c r="C475" s="7"/>
      <c r="D475" s="13"/>
      <c r="E475" s="7"/>
    </row>
    <row r="476" customFormat="false" ht="15" hidden="false" customHeight="true" outlineLevel="0" collapsed="false">
      <c r="A476" s="15"/>
      <c r="B476" s="7"/>
      <c r="C476" s="7"/>
      <c r="D476" s="13"/>
      <c r="E476" s="7"/>
    </row>
    <row r="477" customFormat="false" ht="15" hidden="false" customHeight="true" outlineLevel="0" collapsed="false">
      <c r="A477" s="15"/>
      <c r="B477" s="7"/>
      <c r="C477" s="7"/>
      <c r="D477" s="13"/>
      <c r="E477" s="7"/>
    </row>
    <row r="478" customFormat="false" ht="15" hidden="false" customHeight="true" outlineLevel="0" collapsed="false">
      <c r="A478" s="15"/>
      <c r="B478" s="7"/>
      <c r="C478" s="7"/>
      <c r="D478" s="13"/>
      <c r="E478" s="7"/>
    </row>
    <row r="479" customFormat="false" ht="15" hidden="false" customHeight="true" outlineLevel="0" collapsed="false">
      <c r="A479" s="15"/>
      <c r="B479" s="7"/>
      <c r="C479" s="7"/>
      <c r="D479" s="13"/>
      <c r="E479" s="7"/>
    </row>
    <row r="480" customFormat="false" ht="15" hidden="false" customHeight="true" outlineLevel="0" collapsed="false">
      <c r="A480" s="15"/>
      <c r="B480" s="7"/>
      <c r="C480" s="7"/>
      <c r="D480" s="13"/>
      <c r="E480" s="7"/>
    </row>
    <row r="481" customFormat="false" ht="15" hidden="false" customHeight="true" outlineLevel="0" collapsed="false">
      <c r="A481" s="15"/>
      <c r="B481" s="7"/>
      <c r="C481" s="7"/>
      <c r="D481" s="13"/>
      <c r="E481" s="7"/>
    </row>
    <row r="482" customFormat="false" ht="15" hidden="false" customHeight="true" outlineLevel="0" collapsed="false">
      <c r="A482" s="15"/>
      <c r="B482" s="7"/>
      <c r="C482" s="7"/>
      <c r="D482" s="13"/>
      <c r="E482" s="7"/>
    </row>
    <row r="483" customFormat="false" ht="15" hidden="false" customHeight="true" outlineLevel="0" collapsed="false">
      <c r="A483" s="15"/>
      <c r="B483" s="7"/>
      <c r="C483" s="7"/>
      <c r="D483" s="13"/>
      <c r="E483" s="7"/>
    </row>
    <row r="484" customFormat="false" ht="15" hidden="false" customHeight="true" outlineLevel="0" collapsed="false">
      <c r="A484" s="15"/>
      <c r="B484" s="7"/>
      <c r="C484" s="7"/>
      <c r="D484" s="13"/>
      <c r="E484" s="7"/>
    </row>
    <row r="485" customFormat="false" ht="15" hidden="false" customHeight="true" outlineLevel="0" collapsed="false">
      <c r="A485" s="15"/>
      <c r="B485" s="7"/>
      <c r="C485" s="7"/>
      <c r="D485" s="13"/>
      <c r="E485" s="7"/>
    </row>
    <row r="486" customFormat="false" ht="15" hidden="false" customHeight="true" outlineLevel="0" collapsed="false">
      <c r="A486" s="15"/>
      <c r="B486" s="7"/>
      <c r="C486" s="7"/>
      <c r="D486" s="13"/>
      <c r="E486" s="7"/>
    </row>
    <row r="487" customFormat="false" ht="15" hidden="false" customHeight="true" outlineLevel="0" collapsed="false">
      <c r="A487" s="15"/>
      <c r="B487" s="7"/>
      <c r="C487" s="7"/>
      <c r="D487" s="13"/>
      <c r="E487" s="7"/>
    </row>
    <row r="488" customFormat="false" ht="15" hidden="false" customHeight="true" outlineLevel="0" collapsed="false">
      <c r="A488" s="15"/>
      <c r="B488" s="7"/>
      <c r="C488" s="7"/>
      <c r="D488" s="13"/>
      <c r="E488" s="7"/>
    </row>
    <row r="489" customFormat="false" ht="15" hidden="false" customHeight="true" outlineLevel="0" collapsed="false">
      <c r="A489" s="15"/>
      <c r="B489" s="7"/>
      <c r="C489" s="7"/>
      <c r="D489" s="13"/>
      <c r="E489" s="7"/>
    </row>
    <row r="490" customFormat="false" ht="15" hidden="false" customHeight="true" outlineLevel="0" collapsed="false">
      <c r="A490" s="15"/>
      <c r="B490" s="7"/>
      <c r="C490" s="7"/>
      <c r="D490" s="13"/>
      <c r="E490" s="7"/>
    </row>
    <row r="491" customFormat="false" ht="15" hidden="false" customHeight="true" outlineLevel="0" collapsed="false">
      <c r="A491" s="15"/>
      <c r="B491" s="7"/>
      <c r="C491" s="7"/>
      <c r="D491" s="13"/>
      <c r="E491" s="7"/>
    </row>
    <row r="492" customFormat="false" ht="15" hidden="false" customHeight="true" outlineLevel="0" collapsed="false">
      <c r="A492" s="15"/>
      <c r="B492" s="7"/>
      <c r="C492" s="7"/>
      <c r="D492" s="13"/>
      <c r="E492" s="7"/>
    </row>
    <row r="493" customFormat="false" ht="15" hidden="false" customHeight="true" outlineLevel="0" collapsed="false">
      <c r="A493" s="15"/>
      <c r="B493" s="7"/>
      <c r="C493" s="7"/>
      <c r="D493" s="13"/>
      <c r="E493" s="7"/>
    </row>
    <row r="494" customFormat="false" ht="15" hidden="false" customHeight="true" outlineLevel="0" collapsed="false">
      <c r="A494" s="15"/>
      <c r="B494" s="7"/>
      <c r="C494" s="7"/>
      <c r="D494" s="13"/>
      <c r="E494" s="7"/>
    </row>
    <row r="495" customFormat="false" ht="15" hidden="false" customHeight="true" outlineLevel="0" collapsed="false">
      <c r="A495" s="15"/>
      <c r="B495" s="7"/>
      <c r="C495" s="7"/>
      <c r="D495" s="13"/>
      <c r="E495" s="7"/>
    </row>
    <row r="496" customFormat="false" ht="15" hidden="false" customHeight="true" outlineLevel="0" collapsed="false">
      <c r="A496" s="15"/>
      <c r="B496" s="7"/>
      <c r="C496" s="7"/>
      <c r="D496" s="13"/>
      <c r="E496" s="7"/>
    </row>
    <row r="497" customFormat="false" ht="15" hidden="false" customHeight="true" outlineLevel="0" collapsed="false">
      <c r="A497" s="15"/>
      <c r="B497" s="7"/>
      <c r="C497" s="7"/>
      <c r="D497" s="13"/>
      <c r="E497" s="7"/>
    </row>
    <row r="498" customFormat="false" ht="15" hidden="false" customHeight="true" outlineLevel="0" collapsed="false">
      <c r="A498" s="15"/>
      <c r="B498" s="7"/>
      <c r="C498" s="7"/>
      <c r="D498" s="13"/>
      <c r="E498" s="7"/>
    </row>
    <row r="499" customFormat="false" ht="15" hidden="false" customHeight="true" outlineLevel="0" collapsed="false">
      <c r="A499" s="15"/>
      <c r="B499" s="7"/>
      <c r="C499" s="7"/>
      <c r="D499" s="13"/>
      <c r="E499" s="7"/>
    </row>
    <row r="500" customFormat="false" ht="15" hidden="false" customHeight="true" outlineLevel="0" collapsed="false">
      <c r="A500" s="15"/>
      <c r="B500" s="7"/>
      <c r="C500" s="7"/>
      <c r="D500" s="13"/>
      <c r="E500" s="7"/>
    </row>
    <row r="501" customFormat="false" ht="15" hidden="false" customHeight="true" outlineLevel="0" collapsed="false">
      <c r="A501" s="15"/>
      <c r="B501" s="7"/>
      <c r="C501" s="7"/>
      <c r="D501" s="13"/>
      <c r="E501" s="7"/>
    </row>
  </sheetData>
  <dataValidations count="1">
    <dataValidation allowBlank="true" errorStyle="stop" operator="between" showDropDown="false" showErrorMessage="false" showInputMessage="false" sqref="B2:B501" type="list">
      <formula1>Settings!$H$3:$H$10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32"/>
    <col collapsed="false" customWidth="true" hidden="false" outlineLevel="0" max="5" min="5" style="1" width="16"/>
  </cols>
  <sheetData>
    <row r="1" customFormat="false" ht="31.5" hidden="false" customHeight="true" outlineLevel="0" collapsed="false">
      <c r="A1" s="11" t="s">
        <v>124</v>
      </c>
      <c r="B1" s="11" t="s">
        <v>1180</v>
      </c>
      <c r="C1" s="11" t="s">
        <v>1159</v>
      </c>
      <c r="D1" s="11" t="s">
        <v>196</v>
      </c>
      <c r="E1" s="11" t="s">
        <v>1181</v>
      </c>
    </row>
    <row r="2" customFormat="false" ht="15" hidden="false" customHeight="true" outlineLevel="0" collapsed="false">
      <c r="A2" s="15" t="n">
        <v>46218</v>
      </c>
      <c r="B2" s="7" t="s">
        <v>1182</v>
      </c>
      <c r="C2" s="13" t="n">
        <v>100000</v>
      </c>
      <c r="D2" s="7" t="s">
        <v>1183</v>
      </c>
      <c r="E2" s="7" t="s">
        <v>16</v>
      </c>
    </row>
    <row r="3" customFormat="false" ht="15" hidden="false" customHeight="true" outlineLevel="0" collapsed="false">
      <c r="A3" s="15" t="n">
        <v>46218</v>
      </c>
      <c r="B3" s="7" t="s">
        <v>1182</v>
      </c>
      <c r="C3" s="13" t="n">
        <v>100000</v>
      </c>
      <c r="D3" s="7" t="s">
        <v>1183</v>
      </c>
      <c r="E3" s="7" t="s">
        <v>24</v>
      </c>
    </row>
    <row r="4" customFormat="false" ht="15" hidden="false" customHeight="true" outlineLevel="0" collapsed="false">
      <c r="A4" s="15" t="n">
        <v>46218</v>
      </c>
      <c r="B4" s="7" t="s">
        <v>1182</v>
      </c>
      <c r="C4" s="13" t="n">
        <v>100000</v>
      </c>
      <c r="D4" s="7" t="s">
        <v>1183</v>
      </c>
      <c r="E4" s="7" t="s">
        <v>32</v>
      </c>
    </row>
    <row r="5" customFormat="false" ht="15" hidden="false" customHeight="true" outlineLevel="0" collapsed="false">
      <c r="A5" s="15" t="n">
        <v>46295</v>
      </c>
      <c r="B5" s="7" t="s">
        <v>1184</v>
      </c>
      <c r="C5" s="13" t="n">
        <v>10000</v>
      </c>
      <c r="D5" s="7" t="s">
        <v>1185</v>
      </c>
      <c r="E5" s="7" t="s">
        <v>16</v>
      </c>
    </row>
    <row r="6" customFormat="false" ht="15" hidden="false" customHeight="true" outlineLevel="0" collapsed="false">
      <c r="A6" s="15" t="n">
        <v>46305</v>
      </c>
      <c r="B6" s="7" t="s">
        <v>1184</v>
      </c>
      <c r="C6" s="13" t="n">
        <v>8000</v>
      </c>
      <c r="D6" s="7" t="s">
        <v>1185</v>
      </c>
      <c r="E6" s="7" t="s">
        <v>24</v>
      </c>
    </row>
    <row r="7" customFormat="false" ht="15" hidden="false" customHeight="true" outlineLevel="0" collapsed="false">
      <c r="A7" s="15"/>
      <c r="B7" s="7"/>
      <c r="C7" s="13"/>
      <c r="D7" s="7"/>
      <c r="E7" s="7"/>
    </row>
    <row r="8" customFormat="false" ht="15" hidden="false" customHeight="true" outlineLevel="0" collapsed="false">
      <c r="A8" s="15"/>
      <c r="B8" s="7"/>
      <c r="C8" s="13"/>
      <c r="D8" s="7"/>
      <c r="E8" s="7"/>
    </row>
    <row r="9" customFormat="false" ht="15" hidden="false" customHeight="true" outlineLevel="0" collapsed="false">
      <c r="A9" s="15"/>
      <c r="B9" s="7"/>
      <c r="C9" s="13"/>
      <c r="D9" s="7"/>
      <c r="E9" s="7"/>
    </row>
    <row r="10" customFormat="false" ht="15" hidden="false" customHeight="true" outlineLevel="0" collapsed="false">
      <c r="A10" s="15"/>
      <c r="B10" s="7"/>
      <c r="C10" s="13"/>
      <c r="D10" s="7"/>
      <c r="E10" s="7"/>
    </row>
    <row r="11" customFormat="false" ht="15" hidden="false" customHeight="true" outlineLevel="0" collapsed="false">
      <c r="A11" s="15"/>
      <c r="B11" s="7"/>
      <c r="C11" s="13"/>
      <c r="D11" s="7"/>
      <c r="E11" s="7"/>
    </row>
    <row r="12" customFormat="false" ht="15" hidden="false" customHeight="true" outlineLevel="0" collapsed="false">
      <c r="A12" s="15"/>
      <c r="B12" s="7"/>
      <c r="C12" s="13"/>
      <c r="D12" s="7"/>
      <c r="E12" s="7"/>
    </row>
    <row r="13" customFormat="false" ht="15" hidden="false" customHeight="true" outlineLevel="0" collapsed="false">
      <c r="A13" s="15"/>
      <c r="B13" s="7"/>
      <c r="C13" s="13"/>
      <c r="D13" s="7"/>
      <c r="E13" s="7"/>
    </row>
    <row r="14" customFormat="false" ht="15" hidden="false" customHeight="true" outlineLevel="0" collapsed="false">
      <c r="A14" s="15"/>
      <c r="B14" s="7"/>
      <c r="C14" s="13"/>
      <c r="D14" s="7"/>
      <c r="E14" s="7"/>
    </row>
    <row r="15" customFormat="false" ht="15" hidden="false" customHeight="true" outlineLevel="0" collapsed="false">
      <c r="A15" s="15"/>
      <c r="B15" s="7"/>
      <c r="C15" s="13"/>
      <c r="D15" s="7"/>
      <c r="E15" s="7"/>
    </row>
    <row r="16" customFormat="false" ht="15" hidden="false" customHeight="true" outlineLevel="0" collapsed="false">
      <c r="A16" s="15"/>
      <c r="B16" s="7"/>
      <c r="C16" s="13"/>
      <c r="D16" s="7"/>
      <c r="E16" s="7"/>
    </row>
    <row r="17" customFormat="false" ht="15" hidden="false" customHeight="true" outlineLevel="0" collapsed="false">
      <c r="A17" s="15"/>
      <c r="B17" s="7"/>
      <c r="C17" s="13"/>
      <c r="D17" s="7"/>
      <c r="E17" s="7"/>
    </row>
    <row r="18" customFormat="false" ht="15" hidden="false" customHeight="true" outlineLevel="0" collapsed="false">
      <c r="A18" s="15"/>
      <c r="B18" s="7"/>
      <c r="C18" s="13"/>
      <c r="D18" s="7"/>
      <c r="E18" s="7"/>
    </row>
    <row r="19" customFormat="false" ht="15" hidden="false" customHeight="true" outlineLevel="0" collapsed="false">
      <c r="A19" s="15"/>
      <c r="B19" s="7"/>
      <c r="C19" s="13"/>
      <c r="D19" s="7"/>
      <c r="E19" s="7"/>
    </row>
    <row r="20" customFormat="false" ht="15" hidden="false" customHeight="true" outlineLevel="0" collapsed="false">
      <c r="A20" s="15"/>
      <c r="B20" s="7"/>
      <c r="C20" s="13"/>
      <c r="D20" s="7"/>
      <c r="E20" s="7"/>
    </row>
    <row r="21" customFormat="false" ht="15" hidden="false" customHeight="true" outlineLevel="0" collapsed="false">
      <c r="A21" s="15"/>
      <c r="B21" s="7"/>
      <c r="C21" s="13"/>
      <c r="D21" s="7"/>
      <c r="E21" s="7"/>
    </row>
    <row r="22" customFormat="false" ht="15" hidden="false" customHeight="true" outlineLevel="0" collapsed="false">
      <c r="A22" s="15"/>
      <c r="B22" s="7"/>
      <c r="C22" s="13"/>
      <c r="D22" s="7"/>
      <c r="E22" s="7"/>
    </row>
    <row r="23" customFormat="false" ht="15" hidden="false" customHeight="true" outlineLevel="0" collapsed="false">
      <c r="A23" s="15"/>
      <c r="B23" s="7"/>
      <c r="C23" s="13"/>
      <c r="D23" s="7"/>
      <c r="E23" s="7"/>
    </row>
    <row r="24" customFormat="false" ht="15" hidden="false" customHeight="true" outlineLevel="0" collapsed="false">
      <c r="A24" s="15"/>
      <c r="B24" s="7"/>
      <c r="C24" s="13"/>
      <c r="D24" s="7"/>
      <c r="E24" s="7"/>
    </row>
    <row r="25" customFormat="false" ht="15" hidden="false" customHeight="true" outlineLevel="0" collapsed="false">
      <c r="A25" s="15"/>
      <c r="B25" s="7"/>
      <c r="C25" s="13"/>
      <c r="D25" s="7"/>
      <c r="E25" s="7"/>
    </row>
    <row r="26" customFormat="false" ht="15" hidden="false" customHeight="true" outlineLevel="0" collapsed="false">
      <c r="A26" s="15"/>
      <c r="B26" s="7"/>
      <c r="C26" s="13"/>
      <c r="D26" s="7"/>
      <c r="E26" s="7"/>
    </row>
    <row r="27" customFormat="false" ht="15" hidden="false" customHeight="true" outlineLevel="0" collapsed="false">
      <c r="A27" s="15"/>
      <c r="B27" s="7"/>
      <c r="C27" s="13"/>
      <c r="D27" s="7"/>
      <c r="E27" s="7"/>
    </row>
    <row r="28" customFormat="false" ht="15" hidden="false" customHeight="true" outlineLevel="0" collapsed="false">
      <c r="A28" s="15"/>
      <c r="B28" s="7"/>
      <c r="C28" s="13"/>
      <c r="D28" s="7"/>
      <c r="E28" s="7"/>
    </row>
    <row r="29" customFormat="false" ht="15" hidden="false" customHeight="true" outlineLevel="0" collapsed="false">
      <c r="A29" s="15"/>
      <c r="B29" s="7"/>
      <c r="C29" s="13"/>
      <c r="D29" s="7"/>
      <c r="E29" s="7"/>
    </row>
    <row r="30" customFormat="false" ht="15" hidden="false" customHeight="true" outlineLevel="0" collapsed="false">
      <c r="A30" s="15"/>
      <c r="B30" s="7"/>
      <c r="C30" s="13"/>
      <c r="D30" s="7"/>
      <c r="E30" s="7"/>
    </row>
    <row r="31" customFormat="false" ht="15" hidden="false" customHeight="true" outlineLevel="0" collapsed="false">
      <c r="A31" s="15"/>
      <c r="B31" s="7"/>
      <c r="C31" s="13"/>
      <c r="D31" s="7"/>
      <c r="E31" s="7"/>
    </row>
    <row r="32" customFormat="false" ht="15" hidden="false" customHeight="true" outlineLevel="0" collapsed="false">
      <c r="A32" s="15"/>
      <c r="B32" s="7"/>
      <c r="C32" s="13"/>
      <c r="D32" s="7"/>
      <c r="E32" s="7"/>
    </row>
    <row r="33" customFormat="false" ht="15" hidden="false" customHeight="true" outlineLevel="0" collapsed="false">
      <c r="A33" s="15"/>
      <c r="B33" s="7"/>
      <c r="C33" s="13"/>
      <c r="D33" s="7"/>
      <c r="E33" s="7"/>
    </row>
    <row r="34" customFormat="false" ht="15" hidden="false" customHeight="true" outlineLevel="0" collapsed="false">
      <c r="A34" s="15"/>
      <c r="B34" s="7"/>
      <c r="C34" s="13"/>
      <c r="D34" s="7"/>
      <c r="E34" s="7"/>
    </row>
    <row r="35" customFormat="false" ht="15" hidden="false" customHeight="true" outlineLevel="0" collapsed="false">
      <c r="A35" s="15"/>
      <c r="B35" s="7"/>
      <c r="C35" s="13"/>
      <c r="D35" s="7"/>
      <c r="E35" s="7"/>
    </row>
    <row r="36" customFormat="false" ht="15" hidden="false" customHeight="true" outlineLevel="0" collapsed="false">
      <c r="A36" s="15"/>
      <c r="B36" s="7"/>
      <c r="C36" s="13"/>
      <c r="D36" s="7"/>
      <c r="E36" s="7"/>
    </row>
    <row r="37" customFormat="false" ht="15" hidden="false" customHeight="true" outlineLevel="0" collapsed="false">
      <c r="A37" s="15"/>
      <c r="B37" s="7"/>
      <c r="C37" s="13"/>
      <c r="D37" s="7"/>
      <c r="E37" s="7"/>
    </row>
    <row r="38" customFormat="false" ht="15" hidden="false" customHeight="true" outlineLevel="0" collapsed="false">
      <c r="A38" s="15"/>
      <c r="B38" s="7"/>
      <c r="C38" s="13"/>
      <c r="D38" s="7"/>
      <c r="E38" s="7"/>
    </row>
    <row r="39" customFormat="false" ht="15" hidden="false" customHeight="true" outlineLevel="0" collapsed="false">
      <c r="A39" s="15"/>
      <c r="B39" s="7"/>
      <c r="C39" s="13"/>
      <c r="D39" s="7"/>
      <c r="E39" s="7"/>
    </row>
    <row r="40" customFormat="false" ht="15" hidden="false" customHeight="true" outlineLevel="0" collapsed="false">
      <c r="A40" s="15"/>
      <c r="B40" s="7"/>
      <c r="C40" s="13"/>
      <c r="D40" s="7"/>
      <c r="E40" s="7"/>
    </row>
    <row r="41" customFormat="false" ht="15" hidden="false" customHeight="true" outlineLevel="0" collapsed="false">
      <c r="A41" s="15"/>
      <c r="B41" s="7"/>
      <c r="C41" s="13"/>
      <c r="D41" s="7"/>
      <c r="E41" s="7"/>
    </row>
    <row r="42" customFormat="false" ht="15" hidden="false" customHeight="true" outlineLevel="0" collapsed="false">
      <c r="A42" s="15"/>
      <c r="B42" s="7"/>
      <c r="C42" s="13"/>
      <c r="D42" s="7"/>
      <c r="E42" s="7"/>
    </row>
    <row r="43" customFormat="false" ht="15" hidden="false" customHeight="true" outlineLevel="0" collapsed="false">
      <c r="A43" s="15"/>
      <c r="B43" s="7"/>
      <c r="C43" s="13"/>
      <c r="D43" s="7"/>
      <c r="E43" s="7"/>
    </row>
    <row r="44" customFormat="false" ht="15" hidden="false" customHeight="true" outlineLevel="0" collapsed="false">
      <c r="A44" s="15"/>
      <c r="B44" s="7"/>
      <c r="C44" s="13"/>
      <c r="D44" s="7"/>
      <c r="E44" s="7"/>
    </row>
    <row r="45" customFormat="false" ht="15" hidden="false" customHeight="true" outlineLevel="0" collapsed="false">
      <c r="A45" s="15"/>
      <c r="B45" s="7"/>
      <c r="C45" s="13"/>
      <c r="D45" s="7"/>
      <c r="E45" s="7"/>
    </row>
    <row r="46" customFormat="false" ht="15" hidden="false" customHeight="true" outlineLevel="0" collapsed="false">
      <c r="A46" s="15"/>
      <c r="B46" s="7"/>
      <c r="C46" s="13"/>
      <c r="D46" s="7"/>
      <c r="E46" s="7"/>
    </row>
    <row r="47" customFormat="false" ht="15" hidden="false" customHeight="true" outlineLevel="0" collapsed="false">
      <c r="A47" s="15"/>
      <c r="B47" s="7"/>
      <c r="C47" s="13"/>
      <c r="D47" s="7"/>
      <c r="E47" s="7"/>
    </row>
    <row r="48" customFormat="false" ht="15" hidden="false" customHeight="true" outlineLevel="0" collapsed="false">
      <c r="A48" s="15"/>
      <c r="B48" s="7"/>
      <c r="C48" s="13"/>
      <c r="D48" s="7"/>
      <c r="E48" s="7"/>
    </row>
    <row r="49" customFormat="false" ht="15" hidden="false" customHeight="true" outlineLevel="0" collapsed="false">
      <c r="A49" s="15"/>
      <c r="B49" s="7"/>
      <c r="C49" s="13"/>
      <c r="D49" s="7"/>
      <c r="E49" s="7"/>
    </row>
    <row r="50" customFormat="false" ht="15" hidden="false" customHeight="true" outlineLevel="0" collapsed="false">
      <c r="A50" s="15"/>
      <c r="B50" s="7"/>
      <c r="C50" s="13"/>
      <c r="D50" s="7"/>
      <c r="E50" s="7"/>
    </row>
    <row r="51" customFormat="false" ht="15" hidden="false" customHeight="true" outlineLevel="0" collapsed="false">
      <c r="A51" s="15"/>
      <c r="B51" s="7"/>
      <c r="C51" s="13"/>
      <c r="D51" s="7"/>
      <c r="E51" s="7"/>
    </row>
    <row r="52" customFormat="false" ht="15" hidden="false" customHeight="true" outlineLevel="0" collapsed="false">
      <c r="A52" s="15"/>
      <c r="B52" s="7"/>
      <c r="C52" s="13"/>
      <c r="D52" s="7"/>
      <c r="E52" s="7"/>
    </row>
    <row r="53" customFormat="false" ht="15" hidden="false" customHeight="true" outlineLevel="0" collapsed="false">
      <c r="A53" s="15"/>
      <c r="B53" s="7"/>
      <c r="C53" s="13"/>
      <c r="D53" s="7"/>
      <c r="E53" s="7"/>
    </row>
    <row r="54" customFormat="false" ht="15" hidden="false" customHeight="true" outlineLevel="0" collapsed="false">
      <c r="A54" s="15"/>
      <c r="B54" s="7"/>
      <c r="C54" s="13"/>
      <c r="D54" s="7"/>
      <c r="E54" s="7"/>
    </row>
    <row r="55" customFormat="false" ht="15" hidden="false" customHeight="true" outlineLevel="0" collapsed="false">
      <c r="A55" s="15"/>
      <c r="B55" s="7"/>
      <c r="C55" s="13"/>
      <c r="D55" s="7"/>
      <c r="E55" s="7"/>
    </row>
    <row r="56" customFormat="false" ht="15" hidden="false" customHeight="true" outlineLevel="0" collapsed="false">
      <c r="A56" s="15"/>
      <c r="B56" s="7"/>
      <c r="C56" s="13"/>
      <c r="D56" s="7"/>
      <c r="E56" s="7"/>
    </row>
    <row r="57" customFormat="false" ht="15" hidden="false" customHeight="true" outlineLevel="0" collapsed="false">
      <c r="A57" s="15"/>
      <c r="B57" s="7"/>
      <c r="C57" s="13"/>
      <c r="D57" s="7"/>
      <c r="E57" s="7"/>
    </row>
    <row r="58" customFormat="false" ht="15" hidden="false" customHeight="true" outlineLevel="0" collapsed="false">
      <c r="A58" s="15"/>
      <c r="B58" s="7"/>
      <c r="C58" s="13"/>
      <c r="D58" s="7"/>
      <c r="E58" s="7"/>
    </row>
    <row r="59" customFormat="false" ht="15" hidden="false" customHeight="true" outlineLevel="0" collapsed="false">
      <c r="A59" s="15"/>
      <c r="B59" s="7"/>
      <c r="C59" s="13"/>
      <c r="D59" s="7"/>
      <c r="E59" s="7"/>
    </row>
    <row r="60" customFormat="false" ht="15" hidden="false" customHeight="true" outlineLevel="0" collapsed="false">
      <c r="A60" s="15"/>
      <c r="B60" s="7"/>
      <c r="C60" s="13"/>
      <c r="D60" s="7"/>
      <c r="E60" s="7"/>
    </row>
    <row r="61" customFormat="false" ht="15" hidden="false" customHeight="true" outlineLevel="0" collapsed="false">
      <c r="A61" s="15"/>
      <c r="B61" s="7"/>
      <c r="C61" s="13"/>
      <c r="D61" s="7"/>
      <c r="E61" s="7"/>
    </row>
    <row r="62" customFormat="false" ht="15" hidden="false" customHeight="true" outlineLevel="0" collapsed="false">
      <c r="A62" s="15"/>
      <c r="B62" s="7"/>
      <c r="C62" s="13"/>
      <c r="D62" s="7"/>
      <c r="E62" s="7"/>
    </row>
    <row r="63" customFormat="false" ht="15" hidden="false" customHeight="true" outlineLevel="0" collapsed="false">
      <c r="A63" s="15"/>
      <c r="B63" s="7"/>
      <c r="C63" s="13"/>
      <c r="D63" s="7"/>
      <c r="E63" s="7"/>
    </row>
    <row r="64" customFormat="false" ht="15" hidden="false" customHeight="true" outlineLevel="0" collapsed="false">
      <c r="A64" s="15"/>
      <c r="B64" s="7"/>
      <c r="C64" s="13"/>
      <c r="D64" s="7"/>
      <c r="E64" s="7"/>
    </row>
    <row r="65" customFormat="false" ht="15" hidden="false" customHeight="true" outlineLevel="0" collapsed="false">
      <c r="A65" s="15"/>
      <c r="B65" s="7"/>
      <c r="C65" s="13"/>
      <c r="D65" s="7"/>
      <c r="E65" s="7"/>
    </row>
    <row r="66" customFormat="false" ht="15" hidden="false" customHeight="true" outlineLevel="0" collapsed="false">
      <c r="A66" s="15"/>
      <c r="B66" s="7"/>
      <c r="C66" s="13"/>
      <c r="D66" s="7"/>
      <c r="E66" s="7"/>
    </row>
    <row r="67" customFormat="false" ht="15" hidden="false" customHeight="true" outlineLevel="0" collapsed="false">
      <c r="A67" s="15"/>
      <c r="B67" s="7"/>
      <c r="C67" s="13"/>
      <c r="D67" s="7"/>
      <c r="E67" s="7"/>
    </row>
    <row r="68" customFormat="false" ht="15" hidden="false" customHeight="true" outlineLevel="0" collapsed="false">
      <c r="A68" s="15"/>
      <c r="B68" s="7"/>
      <c r="C68" s="13"/>
      <c r="D68" s="7"/>
      <c r="E68" s="7"/>
    </row>
    <row r="69" customFormat="false" ht="15" hidden="false" customHeight="true" outlineLevel="0" collapsed="false">
      <c r="A69" s="15"/>
      <c r="B69" s="7"/>
      <c r="C69" s="13"/>
      <c r="D69" s="7"/>
      <c r="E69" s="7"/>
    </row>
    <row r="70" customFormat="false" ht="15" hidden="false" customHeight="true" outlineLevel="0" collapsed="false">
      <c r="A70" s="15"/>
      <c r="B70" s="7"/>
      <c r="C70" s="13"/>
      <c r="D70" s="7"/>
      <c r="E70" s="7"/>
    </row>
    <row r="71" customFormat="false" ht="15" hidden="false" customHeight="true" outlineLevel="0" collapsed="false">
      <c r="A71" s="15"/>
      <c r="B71" s="7"/>
      <c r="C71" s="13"/>
      <c r="D71" s="7"/>
      <c r="E71" s="7"/>
    </row>
    <row r="72" customFormat="false" ht="15" hidden="false" customHeight="true" outlineLevel="0" collapsed="false">
      <c r="A72" s="15"/>
      <c r="B72" s="7"/>
      <c r="C72" s="13"/>
      <c r="D72" s="7"/>
      <c r="E72" s="7"/>
    </row>
    <row r="73" customFormat="false" ht="15" hidden="false" customHeight="true" outlineLevel="0" collapsed="false">
      <c r="A73" s="15"/>
      <c r="B73" s="7"/>
      <c r="C73" s="13"/>
      <c r="D73" s="7"/>
      <c r="E73" s="7"/>
    </row>
    <row r="74" customFormat="false" ht="15" hidden="false" customHeight="true" outlineLevel="0" collapsed="false">
      <c r="A74" s="15"/>
      <c r="B74" s="7"/>
      <c r="C74" s="13"/>
      <c r="D74" s="7"/>
      <c r="E74" s="7"/>
    </row>
    <row r="75" customFormat="false" ht="15" hidden="false" customHeight="true" outlineLevel="0" collapsed="false">
      <c r="A75" s="15"/>
      <c r="B75" s="7"/>
      <c r="C75" s="13"/>
      <c r="D75" s="7"/>
      <c r="E75" s="7"/>
    </row>
    <row r="76" customFormat="false" ht="15" hidden="false" customHeight="true" outlineLevel="0" collapsed="false">
      <c r="A76" s="15"/>
      <c r="B76" s="7"/>
      <c r="C76" s="13"/>
      <c r="D76" s="7"/>
      <c r="E76" s="7"/>
    </row>
    <row r="77" customFormat="false" ht="15" hidden="false" customHeight="true" outlineLevel="0" collapsed="false">
      <c r="A77" s="15"/>
      <c r="B77" s="7"/>
      <c r="C77" s="13"/>
      <c r="D77" s="7"/>
      <c r="E77" s="7"/>
    </row>
    <row r="78" customFormat="false" ht="15" hidden="false" customHeight="true" outlineLevel="0" collapsed="false">
      <c r="A78" s="15"/>
      <c r="B78" s="7"/>
      <c r="C78" s="13"/>
      <c r="D78" s="7"/>
      <c r="E78" s="7"/>
    </row>
    <row r="79" customFormat="false" ht="15" hidden="false" customHeight="true" outlineLevel="0" collapsed="false">
      <c r="A79" s="15"/>
      <c r="B79" s="7"/>
      <c r="C79" s="13"/>
      <c r="D79" s="7"/>
      <c r="E79" s="7"/>
    </row>
    <row r="80" customFormat="false" ht="15" hidden="false" customHeight="true" outlineLevel="0" collapsed="false">
      <c r="A80" s="15"/>
      <c r="B80" s="7"/>
      <c r="C80" s="13"/>
      <c r="D80" s="7"/>
      <c r="E80" s="7"/>
    </row>
    <row r="81" customFormat="false" ht="15" hidden="false" customHeight="true" outlineLevel="0" collapsed="false">
      <c r="A81" s="15"/>
      <c r="B81" s="7"/>
      <c r="C81" s="13"/>
      <c r="D81" s="7"/>
      <c r="E81" s="7"/>
    </row>
    <row r="82" customFormat="false" ht="15" hidden="false" customHeight="true" outlineLevel="0" collapsed="false">
      <c r="A82" s="15"/>
      <c r="B82" s="7"/>
      <c r="C82" s="13"/>
      <c r="D82" s="7"/>
      <c r="E82" s="7"/>
    </row>
    <row r="83" customFormat="false" ht="15" hidden="false" customHeight="true" outlineLevel="0" collapsed="false">
      <c r="A83" s="15"/>
      <c r="B83" s="7"/>
      <c r="C83" s="13"/>
      <c r="D83" s="7"/>
      <c r="E83" s="7"/>
    </row>
    <row r="84" customFormat="false" ht="15" hidden="false" customHeight="true" outlineLevel="0" collapsed="false">
      <c r="A84" s="15"/>
      <c r="B84" s="7"/>
      <c r="C84" s="13"/>
      <c r="D84" s="7"/>
      <c r="E84" s="7"/>
    </row>
    <row r="85" customFormat="false" ht="15" hidden="false" customHeight="true" outlineLevel="0" collapsed="false">
      <c r="A85" s="15"/>
      <c r="B85" s="7"/>
      <c r="C85" s="13"/>
      <c r="D85" s="7"/>
      <c r="E85" s="7"/>
    </row>
    <row r="86" customFormat="false" ht="15" hidden="false" customHeight="true" outlineLevel="0" collapsed="false">
      <c r="A86" s="15"/>
      <c r="B86" s="7"/>
      <c r="C86" s="13"/>
      <c r="D86" s="7"/>
      <c r="E86" s="7"/>
    </row>
    <row r="87" customFormat="false" ht="15" hidden="false" customHeight="true" outlineLevel="0" collapsed="false">
      <c r="A87" s="15"/>
      <c r="B87" s="7"/>
      <c r="C87" s="13"/>
      <c r="D87" s="7"/>
      <c r="E87" s="7"/>
    </row>
    <row r="88" customFormat="false" ht="15" hidden="false" customHeight="true" outlineLevel="0" collapsed="false">
      <c r="A88" s="15"/>
      <c r="B88" s="7"/>
      <c r="C88" s="13"/>
      <c r="D88" s="7"/>
      <c r="E88" s="7"/>
    </row>
    <row r="89" customFormat="false" ht="15" hidden="false" customHeight="true" outlineLevel="0" collapsed="false">
      <c r="A89" s="15"/>
      <c r="B89" s="7"/>
      <c r="C89" s="13"/>
      <c r="D89" s="7"/>
      <c r="E89" s="7"/>
    </row>
    <row r="90" customFormat="false" ht="15" hidden="false" customHeight="true" outlineLevel="0" collapsed="false">
      <c r="A90" s="15"/>
      <c r="B90" s="7"/>
      <c r="C90" s="13"/>
      <c r="D90" s="7"/>
      <c r="E90" s="7"/>
    </row>
    <row r="91" customFormat="false" ht="15" hidden="false" customHeight="true" outlineLevel="0" collapsed="false">
      <c r="A91" s="15"/>
      <c r="B91" s="7"/>
      <c r="C91" s="13"/>
      <c r="D91" s="7"/>
      <c r="E91" s="7"/>
    </row>
    <row r="92" customFormat="false" ht="15" hidden="false" customHeight="true" outlineLevel="0" collapsed="false">
      <c r="A92" s="15"/>
      <c r="B92" s="7"/>
      <c r="C92" s="13"/>
      <c r="D92" s="7"/>
      <c r="E92" s="7"/>
    </row>
    <row r="93" customFormat="false" ht="15" hidden="false" customHeight="true" outlineLevel="0" collapsed="false">
      <c r="A93" s="15"/>
      <c r="B93" s="7"/>
      <c r="C93" s="13"/>
      <c r="D93" s="7"/>
      <c r="E93" s="7"/>
    </row>
    <row r="94" customFormat="false" ht="15" hidden="false" customHeight="true" outlineLevel="0" collapsed="false">
      <c r="A94" s="15"/>
      <c r="B94" s="7"/>
      <c r="C94" s="13"/>
      <c r="D94" s="7"/>
      <c r="E94" s="7"/>
    </row>
    <row r="95" customFormat="false" ht="15" hidden="false" customHeight="true" outlineLevel="0" collapsed="false">
      <c r="A95" s="15"/>
      <c r="B95" s="7"/>
      <c r="C95" s="13"/>
      <c r="D95" s="7"/>
      <c r="E95" s="7"/>
    </row>
    <row r="96" customFormat="false" ht="15" hidden="false" customHeight="true" outlineLevel="0" collapsed="false">
      <c r="A96" s="15"/>
      <c r="B96" s="7"/>
      <c r="C96" s="13"/>
      <c r="D96" s="7"/>
      <c r="E96" s="7"/>
    </row>
    <row r="97" customFormat="false" ht="15" hidden="false" customHeight="true" outlineLevel="0" collapsed="false">
      <c r="A97" s="15"/>
      <c r="B97" s="7"/>
      <c r="C97" s="13"/>
      <c r="D97" s="7"/>
      <c r="E97" s="7"/>
    </row>
    <row r="98" customFormat="false" ht="15" hidden="false" customHeight="true" outlineLevel="0" collapsed="false">
      <c r="A98" s="15"/>
      <c r="B98" s="7"/>
      <c r="C98" s="13"/>
      <c r="D98" s="7"/>
      <c r="E98" s="7"/>
    </row>
    <row r="99" customFormat="false" ht="15" hidden="false" customHeight="true" outlineLevel="0" collapsed="false">
      <c r="A99" s="15"/>
      <c r="B99" s="7"/>
      <c r="C99" s="13"/>
      <c r="D99" s="7"/>
      <c r="E99" s="7"/>
    </row>
    <row r="100" customFormat="false" ht="15" hidden="false" customHeight="true" outlineLevel="0" collapsed="false">
      <c r="A100" s="15"/>
      <c r="B100" s="7"/>
      <c r="C100" s="13"/>
      <c r="D100" s="7"/>
      <c r="E100" s="7"/>
    </row>
    <row r="101" customFormat="false" ht="15" hidden="false" customHeight="true" outlineLevel="0" collapsed="false">
      <c r="A101" s="15"/>
      <c r="B101" s="7"/>
      <c r="C101" s="13"/>
      <c r="D101" s="7"/>
      <c r="E101" s="7"/>
    </row>
    <row r="102" customFormat="false" ht="15" hidden="false" customHeight="true" outlineLevel="0" collapsed="false">
      <c r="A102" s="15"/>
      <c r="B102" s="7"/>
      <c r="C102" s="13"/>
      <c r="D102" s="7"/>
      <c r="E102" s="7"/>
    </row>
    <row r="103" customFormat="false" ht="15" hidden="false" customHeight="true" outlineLevel="0" collapsed="false">
      <c r="A103" s="15"/>
      <c r="B103" s="7"/>
      <c r="C103" s="13"/>
      <c r="D103" s="7"/>
      <c r="E103" s="7"/>
    </row>
    <row r="104" customFormat="false" ht="15" hidden="false" customHeight="true" outlineLevel="0" collapsed="false">
      <c r="A104" s="15"/>
      <c r="B104" s="7"/>
      <c r="C104" s="13"/>
      <c r="D104" s="7"/>
      <c r="E104" s="7"/>
    </row>
    <row r="105" customFormat="false" ht="15" hidden="false" customHeight="true" outlineLevel="0" collapsed="false">
      <c r="A105" s="15"/>
      <c r="B105" s="7"/>
      <c r="C105" s="13"/>
      <c r="D105" s="7"/>
      <c r="E105" s="7"/>
    </row>
    <row r="106" customFormat="false" ht="15" hidden="false" customHeight="true" outlineLevel="0" collapsed="false">
      <c r="A106" s="15"/>
      <c r="B106" s="7"/>
      <c r="C106" s="13"/>
      <c r="D106" s="7"/>
      <c r="E106" s="7"/>
    </row>
    <row r="107" customFormat="false" ht="15" hidden="false" customHeight="true" outlineLevel="0" collapsed="false">
      <c r="A107" s="15"/>
      <c r="B107" s="7"/>
      <c r="C107" s="13"/>
      <c r="D107" s="7"/>
      <c r="E107" s="7"/>
    </row>
    <row r="108" customFormat="false" ht="15" hidden="false" customHeight="true" outlineLevel="0" collapsed="false">
      <c r="A108" s="15"/>
      <c r="B108" s="7"/>
      <c r="C108" s="13"/>
      <c r="D108" s="7"/>
      <c r="E108" s="7"/>
    </row>
    <row r="109" customFormat="false" ht="15" hidden="false" customHeight="true" outlineLevel="0" collapsed="false">
      <c r="A109" s="15"/>
      <c r="B109" s="7"/>
      <c r="C109" s="13"/>
      <c r="D109" s="7"/>
      <c r="E109" s="7"/>
    </row>
    <row r="110" customFormat="false" ht="15" hidden="false" customHeight="true" outlineLevel="0" collapsed="false">
      <c r="A110" s="15"/>
      <c r="B110" s="7"/>
      <c r="C110" s="13"/>
      <c r="D110" s="7"/>
      <c r="E110" s="7"/>
    </row>
    <row r="111" customFormat="false" ht="15" hidden="false" customHeight="true" outlineLevel="0" collapsed="false">
      <c r="A111" s="15"/>
      <c r="B111" s="7"/>
      <c r="C111" s="13"/>
      <c r="D111" s="7"/>
      <c r="E111" s="7"/>
    </row>
    <row r="112" customFormat="false" ht="15" hidden="false" customHeight="true" outlineLevel="0" collapsed="false">
      <c r="A112" s="15"/>
      <c r="B112" s="7"/>
      <c r="C112" s="13"/>
      <c r="D112" s="7"/>
      <c r="E112" s="7"/>
    </row>
    <row r="113" customFormat="false" ht="15" hidden="false" customHeight="true" outlineLevel="0" collapsed="false">
      <c r="A113" s="15"/>
      <c r="B113" s="7"/>
      <c r="C113" s="13"/>
      <c r="D113" s="7"/>
      <c r="E113" s="7"/>
    </row>
    <row r="114" customFormat="false" ht="15" hidden="false" customHeight="true" outlineLevel="0" collapsed="false">
      <c r="A114" s="15"/>
      <c r="B114" s="7"/>
      <c r="C114" s="13"/>
      <c r="D114" s="7"/>
      <c r="E114" s="7"/>
    </row>
    <row r="115" customFormat="false" ht="15" hidden="false" customHeight="true" outlineLevel="0" collapsed="false">
      <c r="A115" s="15"/>
      <c r="B115" s="7"/>
      <c r="C115" s="13"/>
      <c r="D115" s="7"/>
      <c r="E115" s="7"/>
    </row>
    <row r="116" customFormat="false" ht="15" hidden="false" customHeight="true" outlineLevel="0" collapsed="false">
      <c r="A116" s="15"/>
      <c r="B116" s="7"/>
      <c r="C116" s="13"/>
      <c r="D116" s="7"/>
      <c r="E116" s="7"/>
    </row>
    <row r="117" customFormat="false" ht="15" hidden="false" customHeight="true" outlineLevel="0" collapsed="false">
      <c r="A117" s="15"/>
      <c r="B117" s="7"/>
      <c r="C117" s="13"/>
      <c r="D117" s="7"/>
      <c r="E117" s="7"/>
    </row>
    <row r="118" customFormat="false" ht="15" hidden="false" customHeight="true" outlineLevel="0" collapsed="false">
      <c r="A118" s="15"/>
      <c r="B118" s="7"/>
      <c r="C118" s="13"/>
      <c r="D118" s="7"/>
      <c r="E118" s="7"/>
    </row>
    <row r="119" customFormat="false" ht="15" hidden="false" customHeight="true" outlineLevel="0" collapsed="false">
      <c r="A119" s="15"/>
      <c r="B119" s="7"/>
      <c r="C119" s="13"/>
      <c r="D119" s="7"/>
      <c r="E119" s="7"/>
    </row>
    <row r="120" customFormat="false" ht="15" hidden="false" customHeight="true" outlineLevel="0" collapsed="false">
      <c r="A120" s="15"/>
      <c r="B120" s="7"/>
      <c r="C120" s="13"/>
      <c r="D120" s="7"/>
      <c r="E120" s="7"/>
    </row>
    <row r="121" customFormat="false" ht="15" hidden="false" customHeight="true" outlineLevel="0" collapsed="false">
      <c r="A121" s="15"/>
      <c r="B121" s="7"/>
      <c r="C121" s="13"/>
      <c r="D121" s="7"/>
      <c r="E121" s="7"/>
    </row>
    <row r="122" customFormat="false" ht="15" hidden="false" customHeight="true" outlineLevel="0" collapsed="false">
      <c r="A122" s="15"/>
      <c r="B122" s="7"/>
      <c r="C122" s="13"/>
      <c r="D122" s="7"/>
      <c r="E122" s="7"/>
    </row>
    <row r="123" customFormat="false" ht="15" hidden="false" customHeight="true" outlineLevel="0" collapsed="false">
      <c r="A123" s="15"/>
      <c r="B123" s="7"/>
      <c r="C123" s="13"/>
      <c r="D123" s="7"/>
      <c r="E123" s="7"/>
    </row>
    <row r="124" customFormat="false" ht="15" hidden="false" customHeight="true" outlineLevel="0" collapsed="false">
      <c r="A124" s="15"/>
      <c r="B124" s="7"/>
      <c r="C124" s="13"/>
      <c r="D124" s="7"/>
      <c r="E124" s="7"/>
    </row>
    <row r="125" customFormat="false" ht="15" hidden="false" customHeight="true" outlineLevel="0" collapsed="false">
      <c r="A125" s="15"/>
      <c r="B125" s="7"/>
      <c r="C125" s="13"/>
      <c r="D125" s="7"/>
      <c r="E125" s="7"/>
    </row>
    <row r="126" customFormat="false" ht="15" hidden="false" customHeight="true" outlineLevel="0" collapsed="false">
      <c r="A126" s="15"/>
      <c r="B126" s="7"/>
      <c r="C126" s="13"/>
      <c r="D126" s="7"/>
      <c r="E126" s="7"/>
    </row>
    <row r="127" customFormat="false" ht="15" hidden="false" customHeight="true" outlineLevel="0" collapsed="false">
      <c r="A127" s="15"/>
      <c r="B127" s="7"/>
      <c r="C127" s="13"/>
      <c r="D127" s="7"/>
      <c r="E127" s="7"/>
    </row>
    <row r="128" customFormat="false" ht="15" hidden="false" customHeight="true" outlineLevel="0" collapsed="false">
      <c r="A128" s="15"/>
      <c r="B128" s="7"/>
      <c r="C128" s="13"/>
      <c r="D128" s="7"/>
      <c r="E128" s="7"/>
    </row>
    <row r="129" customFormat="false" ht="15" hidden="false" customHeight="true" outlineLevel="0" collapsed="false">
      <c r="A129" s="15"/>
      <c r="B129" s="7"/>
      <c r="C129" s="13"/>
      <c r="D129" s="7"/>
      <c r="E129" s="7"/>
    </row>
    <row r="130" customFormat="false" ht="15" hidden="false" customHeight="true" outlineLevel="0" collapsed="false">
      <c r="A130" s="15"/>
      <c r="B130" s="7"/>
      <c r="C130" s="13"/>
      <c r="D130" s="7"/>
      <c r="E130" s="7"/>
    </row>
    <row r="131" customFormat="false" ht="15" hidden="false" customHeight="true" outlineLevel="0" collapsed="false">
      <c r="A131" s="15"/>
      <c r="B131" s="7"/>
      <c r="C131" s="13"/>
      <c r="D131" s="7"/>
      <c r="E131" s="7"/>
    </row>
    <row r="132" customFormat="false" ht="15" hidden="false" customHeight="true" outlineLevel="0" collapsed="false">
      <c r="A132" s="15"/>
      <c r="B132" s="7"/>
      <c r="C132" s="13"/>
      <c r="D132" s="7"/>
      <c r="E132" s="7"/>
    </row>
    <row r="133" customFormat="false" ht="15" hidden="false" customHeight="true" outlineLevel="0" collapsed="false">
      <c r="A133" s="15"/>
      <c r="B133" s="7"/>
      <c r="C133" s="13"/>
      <c r="D133" s="7"/>
      <c r="E133" s="7"/>
    </row>
    <row r="134" customFormat="false" ht="15" hidden="false" customHeight="true" outlineLevel="0" collapsed="false">
      <c r="A134" s="15"/>
      <c r="B134" s="7"/>
      <c r="C134" s="13"/>
      <c r="D134" s="7"/>
      <c r="E134" s="7"/>
    </row>
    <row r="135" customFormat="false" ht="15" hidden="false" customHeight="true" outlineLevel="0" collapsed="false">
      <c r="A135" s="15"/>
      <c r="B135" s="7"/>
      <c r="C135" s="13"/>
      <c r="D135" s="7"/>
      <c r="E135" s="7"/>
    </row>
    <row r="136" customFormat="false" ht="15" hidden="false" customHeight="true" outlineLevel="0" collapsed="false">
      <c r="A136" s="15"/>
      <c r="B136" s="7"/>
      <c r="C136" s="13"/>
      <c r="D136" s="7"/>
      <c r="E136" s="7"/>
    </row>
    <row r="137" customFormat="false" ht="15" hidden="false" customHeight="true" outlineLevel="0" collapsed="false">
      <c r="A137" s="15"/>
      <c r="B137" s="7"/>
      <c r="C137" s="13"/>
      <c r="D137" s="7"/>
      <c r="E137" s="7"/>
    </row>
    <row r="138" customFormat="false" ht="15" hidden="false" customHeight="true" outlineLevel="0" collapsed="false">
      <c r="A138" s="15"/>
      <c r="B138" s="7"/>
      <c r="C138" s="13"/>
      <c r="D138" s="7"/>
      <c r="E138" s="7"/>
    </row>
    <row r="139" customFormat="false" ht="15" hidden="false" customHeight="true" outlineLevel="0" collapsed="false">
      <c r="A139" s="15"/>
      <c r="B139" s="7"/>
      <c r="C139" s="13"/>
      <c r="D139" s="7"/>
      <c r="E139" s="7"/>
    </row>
    <row r="140" customFormat="false" ht="15" hidden="false" customHeight="true" outlineLevel="0" collapsed="false">
      <c r="A140" s="15"/>
      <c r="B140" s="7"/>
      <c r="C140" s="13"/>
      <c r="D140" s="7"/>
      <c r="E140" s="7"/>
    </row>
    <row r="141" customFormat="false" ht="15" hidden="false" customHeight="true" outlineLevel="0" collapsed="false">
      <c r="A141" s="15"/>
      <c r="B141" s="7"/>
      <c r="C141" s="13"/>
      <c r="D141" s="7"/>
      <c r="E141" s="7"/>
    </row>
    <row r="142" customFormat="false" ht="15" hidden="false" customHeight="true" outlineLevel="0" collapsed="false">
      <c r="A142" s="15"/>
      <c r="B142" s="7"/>
      <c r="C142" s="13"/>
      <c r="D142" s="7"/>
      <c r="E142" s="7"/>
    </row>
    <row r="143" customFormat="false" ht="15" hidden="false" customHeight="true" outlineLevel="0" collapsed="false">
      <c r="A143" s="15"/>
      <c r="B143" s="7"/>
      <c r="C143" s="13"/>
      <c r="D143" s="7"/>
      <c r="E143" s="7"/>
    </row>
    <row r="144" customFormat="false" ht="15" hidden="false" customHeight="true" outlineLevel="0" collapsed="false">
      <c r="A144" s="15"/>
      <c r="B144" s="7"/>
      <c r="C144" s="13"/>
      <c r="D144" s="7"/>
      <c r="E144" s="7"/>
    </row>
    <row r="145" customFormat="false" ht="15" hidden="false" customHeight="true" outlineLevel="0" collapsed="false">
      <c r="A145" s="15"/>
      <c r="B145" s="7"/>
      <c r="C145" s="13"/>
      <c r="D145" s="7"/>
      <c r="E145" s="7"/>
    </row>
    <row r="146" customFormat="false" ht="15" hidden="false" customHeight="true" outlineLevel="0" collapsed="false">
      <c r="A146" s="15"/>
      <c r="B146" s="7"/>
      <c r="C146" s="13"/>
      <c r="D146" s="7"/>
      <c r="E146" s="7"/>
    </row>
    <row r="147" customFormat="false" ht="15" hidden="false" customHeight="true" outlineLevel="0" collapsed="false">
      <c r="A147" s="15"/>
      <c r="B147" s="7"/>
      <c r="C147" s="13"/>
      <c r="D147" s="7"/>
      <c r="E147" s="7"/>
    </row>
    <row r="148" customFormat="false" ht="15" hidden="false" customHeight="true" outlineLevel="0" collapsed="false">
      <c r="A148" s="15"/>
      <c r="B148" s="7"/>
      <c r="C148" s="13"/>
      <c r="D148" s="7"/>
      <c r="E148" s="7"/>
    </row>
    <row r="149" customFormat="false" ht="15" hidden="false" customHeight="true" outlineLevel="0" collapsed="false">
      <c r="A149" s="15"/>
      <c r="B149" s="7"/>
      <c r="C149" s="13"/>
      <c r="D149" s="7"/>
      <c r="E149" s="7"/>
    </row>
    <row r="150" customFormat="false" ht="15" hidden="false" customHeight="true" outlineLevel="0" collapsed="false">
      <c r="A150" s="15"/>
      <c r="B150" s="7"/>
      <c r="C150" s="13"/>
      <c r="D150" s="7"/>
      <c r="E150" s="7"/>
    </row>
    <row r="151" customFormat="false" ht="15" hidden="false" customHeight="true" outlineLevel="0" collapsed="false">
      <c r="A151" s="15"/>
      <c r="B151" s="7"/>
      <c r="C151" s="13"/>
      <c r="D151" s="7"/>
      <c r="E151" s="7"/>
    </row>
    <row r="152" customFormat="false" ht="15" hidden="false" customHeight="true" outlineLevel="0" collapsed="false">
      <c r="A152" s="15"/>
      <c r="B152" s="7"/>
      <c r="C152" s="13"/>
      <c r="D152" s="7"/>
      <c r="E152" s="7"/>
    </row>
    <row r="153" customFormat="false" ht="15" hidden="false" customHeight="true" outlineLevel="0" collapsed="false">
      <c r="A153" s="15"/>
      <c r="B153" s="7"/>
      <c r="C153" s="13"/>
      <c r="D153" s="7"/>
      <c r="E153" s="7"/>
    </row>
    <row r="154" customFormat="false" ht="15" hidden="false" customHeight="true" outlineLevel="0" collapsed="false">
      <c r="A154" s="15"/>
      <c r="B154" s="7"/>
      <c r="C154" s="13"/>
      <c r="D154" s="7"/>
      <c r="E154" s="7"/>
    </row>
    <row r="155" customFormat="false" ht="15" hidden="false" customHeight="true" outlineLevel="0" collapsed="false">
      <c r="A155" s="15"/>
      <c r="B155" s="7"/>
      <c r="C155" s="13"/>
      <c r="D155" s="7"/>
      <c r="E155" s="7"/>
    </row>
    <row r="156" customFormat="false" ht="15" hidden="false" customHeight="true" outlineLevel="0" collapsed="false">
      <c r="A156" s="15"/>
      <c r="B156" s="7"/>
      <c r="C156" s="13"/>
      <c r="D156" s="7"/>
      <c r="E156" s="7"/>
    </row>
    <row r="157" customFormat="false" ht="15" hidden="false" customHeight="true" outlineLevel="0" collapsed="false">
      <c r="A157" s="15"/>
      <c r="B157" s="7"/>
      <c r="C157" s="13"/>
      <c r="D157" s="7"/>
      <c r="E157" s="7"/>
    </row>
    <row r="158" customFormat="false" ht="15" hidden="false" customHeight="true" outlineLevel="0" collapsed="false">
      <c r="A158" s="15"/>
      <c r="B158" s="7"/>
      <c r="C158" s="13"/>
      <c r="D158" s="7"/>
      <c r="E158" s="7"/>
    </row>
    <row r="159" customFormat="false" ht="15" hidden="false" customHeight="true" outlineLevel="0" collapsed="false">
      <c r="A159" s="15"/>
      <c r="B159" s="7"/>
      <c r="C159" s="13"/>
      <c r="D159" s="7"/>
      <c r="E159" s="7"/>
    </row>
    <row r="160" customFormat="false" ht="15" hidden="false" customHeight="true" outlineLevel="0" collapsed="false">
      <c r="A160" s="15"/>
      <c r="B160" s="7"/>
      <c r="C160" s="13"/>
      <c r="D160" s="7"/>
      <c r="E160" s="7"/>
    </row>
    <row r="161" customFormat="false" ht="15" hidden="false" customHeight="true" outlineLevel="0" collapsed="false">
      <c r="A161" s="15"/>
      <c r="B161" s="7"/>
      <c r="C161" s="13"/>
      <c r="D161" s="7"/>
      <c r="E161" s="7"/>
    </row>
    <row r="162" customFormat="false" ht="15" hidden="false" customHeight="true" outlineLevel="0" collapsed="false">
      <c r="A162" s="15"/>
      <c r="B162" s="7"/>
      <c r="C162" s="13"/>
      <c r="D162" s="7"/>
      <c r="E162" s="7"/>
    </row>
    <row r="163" customFormat="false" ht="15" hidden="false" customHeight="true" outlineLevel="0" collapsed="false">
      <c r="A163" s="15"/>
      <c r="B163" s="7"/>
      <c r="C163" s="13"/>
      <c r="D163" s="7"/>
      <c r="E163" s="7"/>
    </row>
    <row r="164" customFormat="false" ht="15" hidden="false" customHeight="true" outlineLevel="0" collapsed="false">
      <c r="A164" s="15"/>
      <c r="B164" s="7"/>
      <c r="C164" s="13"/>
      <c r="D164" s="7"/>
      <c r="E164" s="7"/>
    </row>
    <row r="165" customFormat="false" ht="15" hidden="false" customHeight="true" outlineLevel="0" collapsed="false">
      <c r="A165" s="15"/>
      <c r="B165" s="7"/>
      <c r="C165" s="13"/>
      <c r="D165" s="7"/>
      <c r="E165" s="7"/>
    </row>
    <row r="166" customFormat="false" ht="15" hidden="false" customHeight="true" outlineLevel="0" collapsed="false">
      <c r="A166" s="15"/>
      <c r="B166" s="7"/>
      <c r="C166" s="13"/>
      <c r="D166" s="7"/>
      <c r="E166" s="7"/>
    </row>
    <row r="167" customFormat="false" ht="15" hidden="false" customHeight="true" outlineLevel="0" collapsed="false">
      <c r="A167" s="15"/>
      <c r="B167" s="7"/>
      <c r="C167" s="13"/>
      <c r="D167" s="7"/>
      <c r="E167" s="7"/>
    </row>
    <row r="168" customFormat="false" ht="15" hidden="false" customHeight="true" outlineLevel="0" collapsed="false">
      <c r="A168" s="15"/>
      <c r="B168" s="7"/>
      <c r="C168" s="13"/>
      <c r="D168" s="7"/>
      <c r="E168" s="7"/>
    </row>
    <row r="169" customFormat="false" ht="15" hidden="false" customHeight="true" outlineLevel="0" collapsed="false">
      <c r="A169" s="15"/>
      <c r="B169" s="7"/>
      <c r="C169" s="13"/>
      <c r="D169" s="7"/>
      <c r="E169" s="7"/>
    </row>
    <row r="170" customFormat="false" ht="15" hidden="false" customHeight="true" outlineLevel="0" collapsed="false">
      <c r="A170" s="15"/>
      <c r="B170" s="7"/>
      <c r="C170" s="13"/>
      <c r="D170" s="7"/>
      <c r="E170" s="7"/>
    </row>
    <row r="171" customFormat="false" ht="15" hidden="false" customHeight="true" outlineLevel="0" collapsed="false">
      <c r="A171" s="15"/>
      <c r="B171" s="7"/>
      <c r="C171" s="13"/>
      <c r="D171" s="7"/>
      <c r="E171" s="7"/>
    </row>
    <row r="172" customFormat="false" ht="15" hidden="false" customHeight="true" outlineLevel="0" collapsed="false">
      <c r="A172" s="15"/>
      <c r="B172" s="7"/>
      <c r="C172" s="13"/>
      <c r="D172" s="7"/>
      <c r="E172" s="7"/>
    </row>
    <row r="173" customFormat="false" ht="15" hidden="false" customHeight="true" outlineLevel="0" collapsed="false">
      <c r="A173" s="15"/>
      <c r="B173" s="7"/>
      <c r="C173" s="13"/>
      <c r="D173" s="7"/>
      <c r="E173" s="7"/>
    </row>
    <row r="174" customFormat="false" ht="15" hidden="false" customHeight="true" outlineLevel="0" collapsed="false">
      <c r="A174" s="15"/>
      <c r="B174" s="7"/>
      <c r="C174" s="13"/>
      <c r="D174" s="7"/>
      <c r="E174" s="7"/>
    </row>
    <row r="175" customFormat="false" ht="15" hidden="false" customHeight="true" outlineLevel="0" collapsed="false">
      <c r="A175" s="15"/>
      <c r="B175" s="7"/>
      <c r="C175" s="13"/>
      <c r="D175" s="7"/>
      <c r="E175" s="7"/>
    </row>
    <row r="176" customFormat="false" ht="15" hidden="false" customHeight="true" outlineLevel="0" collapsed="false">
      <c r="A176" s="15"/>
      <c r="B176" s="7"/>
      <c r="C176" s="13"/>
      <c r="D176" s="7"/>
      <c r="E176" s="7"/>
    </row>
    <row r="177" customFormat="false" ht="15" hidden="false" customHeight="true" outlineLevel="0" collapsed="false">
      <c r="A177" s="15"/>
      <c r="B177" s="7"/>
      <c r="C177" s="13"/>
      <c r="D177" s="7"/>
      <c r="E177" s="7"/>
    </row>
    <row r="178" customFormat="false" ht="15" hidden="false" customHeight="true" outlineLevel="0" collapsed="false">
      <c r="A178" s="15"/>
      <c r="B178" s="7"/>
      <c r="C178" s="13"/>
      <c r="D178" s="7"/>
      <c r="E178" s="7"/>
    </row>
    <row r="179" customFormat="false" ht="15" hidden="false" customHeight="true" outlineLevel="0" collapsed="false">
      <c r="A179" s="15"/>
      <c r="B179" s="7"/>
      <c r="C179" s="13"/>
      <c r="D179" s="7"/>
      <c r="E179" s="7"/>
    </row>
    <row r="180" customFormat="false" ht="15" hidden="false" customHeight="true" outlineLevel="0" collapsed="false">
      <c r="A180" s="15"/>
      <c r="B180" s="7"/>
      <c r="C180" s="13"/>
      <c r="D180" s="7"/>
      <c r="E180" s="7"/>
    </row>
    <row r="181" customFormat="false" ht="15" hidden="false" customHeight="true" outlineLevel="0" collapsed="false">
      <c r="A181" s="15"/>
      <c r="B181" s="7"/>
      <c r="C181" s="13"/>
      <c r="D181" s="7"/>
      <c r="E181" s="7"/>
    </row>
    <row r="182" customFormat="false" ht="15" hidden="false" customHeight="true" outlineLevel="0" collapsed="false">
      <c r="A182" s="15"/>
      <c r="B182" s="7"/>
      <c r="C182" s="13"/>
      <c r="D182" s="7"/>
      <c r="E182" s="7"/>
    </row>
    <row r="183" customFormat="false" ht="15" hidden="false" customHeight="true" outlineLevel="0" collapsed="false">
      <c r="A183" s="15"/>
      <c r="B183" s="7"/>
      <c r="C183" s="13"/>
      <c r="D183" s="7"/>
      <c r="E183" s="7"/>
    </row>
    <row r="184" customFormat="false" ht="15" hidden="false" customHeight="true" outlineLevel="0" collapsed="false">
      <c r="A184" s="15"/>
      <c r="B184" s="7"/>
      <c r="C184" s="13"/>
      <c r="D184" s="7"/>
      <c r="E184" s="7"/>
    </row>
    <row r="185" customFormat="false" ht="15" hidden="false" customHeight="true" outlineLevel="0" collapsed="false">
      <c r="A185" s="15"/>
      <c r="B185" s="7"/>
      <c r="C185" s="13"/>
      <c r="D185" s="7"/>
      <c r="E185" s="7"/>
    </row>
    <row r="186" customFormat="false" ht="15" hidden="false" customHeight="true" outlineLevel="0" collapsed="false">
      <c r="A186" s="15"/>
      <c r="B186" s="7"/>
      <c r="C186" s="13"/>
      <c r="D186" s="7"/>
      <c r="E186" s="7"/>
    </row>
    <row r="187" customFormat="false" ht="15" hidden="false" customHeight="true" outlineLevel="0" collapsed="false">
      <c r="A187" s="15"/>
      <c r="B187" s="7"/>
      <c r="C187" s="13"/>
      <c r="D187" s="7"/>
      <c r="E187" s="7"/>
    </row>
    <row r="188" customFormat="false" ht="15" hidden="false" customHeight="true" outlineLevel="0" collapsed="false">
      <c r="A188" s="15"/>
      <c r="B188" s="7"/>
      <c r="C188" s="13"/>
      <c r="D188" s="7"/>
      <c r="E188" s="7"/>
    </row>
    <row r="189" customFormat="false" ht="15" hidden="false" customHeight="true" outlineLevel="0" collapsed="false">
      <c r="A189" s="15"/>
      <c r="B189" s="7"/>
      <c r="C189" s="13"/>
      <c r="D189" s="7"/>
      <c r="E189" s="7"/>
    </row>
    <row r="190" customFormat="false" ht="15" hidden="false" customHeight="true" outlineLevel="0" collapsed="false">
      <c r="A190" s="15"/>
      <c r="B190" s="7"/>
      <c r="C190" s="13"/>
      <c r="D190" s="7"/>
      <c r="E190" s="7"/>
    </row>
    <row r="191" customFormat="false" ht="15" hidden="false" customHeight="true" outlineLevel="0" collapsed="false">
      <c r="A191" s="15"/>
      <c r="B191" s="7"/>
      <c r="C191" s="13"/>
      <c r="D191" s="7"/>
      <c r="E191" s="7"/>
    </row>
    <row r="192" customFormat="false" ht="15" hidden="false" customHeight="true" outlineLevel="0" collapsed="false">
      <c r="A192" s="15"/>
      <c r="B192" s="7"/>
      <c r="C192" s="13"/>
      <c r="D192" s="7"/>
      <c r="E192" s="7"/>
    </row>
    <row r="193" customFormat="false" ht="15" hidden="false" customHeight="true" outlineLevel="0" collapsed="false">
      <c r="A193" s="15"/>
      <c r="B193" s="7"/>
      <c r="C193" s="13"/>
      <c r="D193" s="7"/>
      <c r="E193" s="7"/>
    </row>
    <row r="194" customFormat="false" ht="15" hidden="false" customHeight="true" outlineLevel="0" collapsed="false">
      <c r="A194" s="15"/>
      <c r="B194" s="7"/>
      <c r="C194" s="13"/>
      <c r="D194" s="7"/>
      <c r="E194" s="7"/>
    </row>
    <row r="195" customFormat="false" ht="15" hidden="false" customHeight="true" outlineLevel="0" collapsed="false">
      <c r="A195" s="15"/>
      <c r="B195" s="7"/>
      <c r="C195" s="13"/>
      <c r="D195" s="7"/>
      <c r="E195" s="7"/>
    </row>
    <row r="196" customFormat="false" ht="15" hidden="false" customHeight="true" outlineLevel="0" collapsed="false">
      <c r="A196" s="15"/>
      <c r="B196" s="7"/>
      <c r="C196" s="13"/>
      <c r="D196" s="7"/>
      <c r="E196" s="7"/>
    </row>
    <row r="197" customFormat="false" ht="15" hidden="false" customHeight="true" outlineLevel="0" collapsed="false">
      <c r="A197" s="15"/>
      <c r="B197" s="7"/>
      <c r="C197" s="13"/>
      <c r="D197" s="7"/>
      <c r="E197" s="7"/>
    </row>
    <row r="198" customFormat="false" ht="15" hidden="false" customHeight="true" outlineLevel="0" collapsed="false">
      <c r="A198" s="15"/>
      <c r="B198" s="7"/>
      <c r="C198" s="13"/>
      <c r="D198" s="7"/>
      <c r="E198" s="7"/>
    </row>
    <row r="199" customFormat="false" ht="15" hidden="false" customHeight="true" outlineLevel="0" collapsed="false">
      <c r="A199" s="15"/>
      <c r="B199" s="7"/>
      <c r="C199" s="13"/>
      <c r="D199" s="7"/>
      <c r="E199" s="7"/>
    </row>
    <row r="200" customFormat="false" ht="15" hidden="false" customHeight="true" outlineLevel="0" collapsed="false">
      <c r="A200" s="15"/>
      <c r="B200" s="7"/>
      <c r="C200" s="13"/>
      <c r="D200" s="7"/>
      <c r="E200" s="7"/>
    </row>
    <row r="201" customFormat="false" ht="15" hidden="false" customHeight="true" outlineLevel="0" collapsed="false">
      <c r="A201" s="15"/>
      <c r="B201" s="7"/>
      <c r="C201" s="13"/>
      <c r="D201" s="7"/>
      <c r="E201" s="7"/>
    </row>
    <row r="202" customFormat="false" ht="15" hidden="false" customHeight="true" outlineLevel="0" collapsed="false">
      <c r="A202" s="15"/>
      <c r="B202" s="7"/>
      <c r="C202" s="13"/>
      <c r="D202" s="7"/>
      <c r="E202" s="7"/>
    </row>
    <row r="203" customFormat="false" ht="15" hidden="false" customHeight="true" outlineLevel="0" collapsed="false">
      <c r="A203" s="15"/>
      <c r="B203" s="7"/>
      <c r="C203" s="13"/>
      <c r="D203" s="7"/>
      <c r="E203" s="7"/>
    </row>
    <row r="204" customFormat="false" ht="15" hidden="false" customHeight="true" outlineLevel="0" collapsed="false">
      <c r="A204" s="15"/>
      <c r="B204" s="7"/>
      <c r="C204" s="13"/>
      <c r="D204" s="7"/>
      <c r="E204" s="7"/>
    </row>
    <row r="205" customFormat="false" ht="15" hidden="false" customHeight="true" outlineLevel="0" collapsed="false">
      <c r="A205" s="15"/>
      <c r="B205" s="7"/>
      <c r="C205" s="13"/>
      <c r="D205" s="7"/>
      <c r="E205" s="7"/>
    </row>
    <row r="206" customFormat="false" ht="15" hidden="false" customHeight="true" outlineLevel="0" collapsed="false">
      <c r="A206" s="15"/>
      <c r="B206" s="7"/>
      <c r="C206" s="13"/>
      <c r="D206" s="7"/>
      <c r="E206" s="7"/>
    </row>
    <row r="207" customFormat="false" ht="15" hidden="false" customHeight="true" outlineLevel="0" collapsed="false">
      <c r="A207" s="15"/>
      <c r="B207" s="7"/>
      <c r="C207" s="13"/>
      <c r="D207" s="7"/>
      <c r="E207" s="7"/>
    </row>
    <row r="208" customFormat="false" ht="15" hidden="false" customHeight="true" outlineLevel="0" collapsed="false">
      <c r="A208" s="15"/>
      <c r="B208" s="7"/>
      <c r="C208" s="13"/>
      <c r="D208" s="7"/>
      <c r="E208" s="7"/>
    </row>
    <row r="209" customFormat="false" ht="15" hidden="false" customHeight="true" outlineLevel="0" collapsed="false">
      <c r="A209" s="15"/>
      <c r="B209" s="7"/>
      <c r="C209" s="13"/>
      <c r="D209" s="7"/>
      <c r="E209" s="7"/>
    </row>
    <row r="210" customFormat="false" ht="15" hidden="false" customHeight="true" outlineLevel="0" collapsed="false">
      <c r="A210" s="15"/>
      <c r="B210" s="7"/>
      <c r="C210" s="13"/>
      <c r="D210" s="7"/>
      <c r="E210" s="7"/>
    </row>
    <row r="211" customFormat="false" ht="15" hidden="false" customHeight="true" outlineLevel="0" collapsed="false">
      <c r="A211" s="15"/>
      <c r="B211" s="7"/>
      <c r="C211" s="13"/>
      <c r="D211" s="7"/>
      <c r="E211" s="7"/>
    </row>
    <row r="212" customFormat="false" ht="15" hidden="false" customHeight="true" outlineLevel="0" collapsed="false">
      <c r="A212" s="15"/>
      <c r="B212" s="7"/>
      <c r="C212" s="13"/>
      <c r="D212" s="7"/>
      <c r="E212" s="7"/>
    </row>
    <row r="213" customFormat="false" ht="15" hidden="false" customHeight="true" outlineLevel="0" collapsed="false">
      <c r="A213" s="15"/>
      <c r="B213" s="7"/>
      <c r="C213" s="13"/>
      <c r="D213" s="7"/>
      <c r="E213" s="7"/>
    </row>
    <row r="214" customFormat="false" ht="15" hidden="false" customHeight="true" outlineLevel="0" collapsed="false">
      <c r="A214" s="15"/>
      <c r="B214" s="7"/>
      <c r="C214" s="13"/>
      <c r="D214" s="7"/>
      <c r="E214" s="7"/>
    </row>
    <row r="215" customFormat="false" ht="15" hidden="false" customHeight="true" outlineLevel="0" collapsed="false">
      <c r="A215" s="15"/>
      <c r="B215" s="7"/>
      <c r="C215" s="13"/>
      <c r="D215" s="7"/>
      <c r="E215" s="7"/>
    </row>
    <row r="216" customFormat="false" ht="15" hidden="false" customHeight="true" outlineLevel="0" collapsed="false">
      <c r="A216" s="15"/>
      <c r="B216" s="7"/>
      <c r="C216" s="13"/>
      <c r="D216" s="7"/>
      <c r="E216" s="7"/>
    </row>
    <row r="217" customFormat="false" ht="15" hidden="false" customHeight="true" outlineLevel="0" collapsed="false">
      <c r="A217" s="15"/>
      <c r="B217" s="7"/>
      <c r="C217" s="13"/>
      <c r="D217" s="7"/>
      <c r="E217" s="7"/>
    </row>
    <row r="218" customFormat="false" ht="15" hidden="false" customHeight="true" outlineLevel="0" collapsed="false">
      <c r="A218" s="15"/>
      <c r="B218" s="7"/>
      <c r="C218" s="13"/>
      <c r="D218" s="7"/>
      <c r="E218" s="7"/>
    </row>
    <row r="219" customFormat="false" ht="15" hidden="false" customHeight="true" outlineLevel="0" collapsed="false">
      <c r="A219" s="15"/>
      <c r="B219" s="7"/>
      <c r="C219" s="13"/>
      <c r="D219" s="7"/>
      <c r="E219" s="7"/>
    </row>
    <row r="220" customFormat="false" ht="15" hidden="false" customHeight="true" outlineLevel="0" collapsed="false">
      <c r="A220" s="15"/>
      <c r="B220" s="7"/>
      <c r="C220" s="13"/>
      <c r="D220" s="7"/>
      <c r="E220" s="7"/>
    </row>
    <row r="221" customFormat="false" ht="15" hidden="false" customHeight="true" outlineLevel="0" collapsed="false">
      <c r="A221" s="15"/>
      <c r="B221" s="7"/>
      <c r="C221" s="13"/>
      <c r="D221" s="7"/>
      <c r="E221" s="7"/>
    </row>
    <row r="222" customFormat="false" ht="15" hidden="false" customHeight="true" outlineLevel="0" collapsed="false">
      <c r="A222" s="15"/>
      <c r="B222" s="7"/>
      <c r="C222" s="13"/>
      <c r="D222" s="7"/>
      <c r="E222" s="7"/>
    </row>
    <row r="223" customFormat="false" ht="15" hidden="false" customHeight="true" outlineLevel="0" collapsed="false">
      <c r="A223" s="15"/>
      <c r="B223" s="7"/>
      <c r="C223" s="13"/>
      <c r="D223" s="7"/>
      <c r="E223" s="7"/>
    </row>
    <row r="224" customFormat="false" ht="15" hidden="false" customHeight="true" outlineLevel="0" collapsed="false">
      <c r="A224" s="15"/>
      <c r="B224" s="7"/>
      <c r="C224" s="13"/>
      <c r="D224" s="7"/>
      <c r="E224" s="7"/>
    </row>
    <row r="225" customFormat="false" ht="15" hidden="false" customHeight="true" outlineLevel="0" collapsed="false">
      <c r="A225" s="15"/>
      <c r="B225" s="7"/>
      <c r="C225" s="13"/>
      <c r="D225" s="7"/>
      <c r="E225" s="7"/>
    </row>
    <row r="226" customFormat="false" ht="15" hidden="false" customHeight="true" outlineLevel="0" collapsed="false">
      <c r="A226" s="15"/>
      <c r="B226" s="7"/>
      <c r="C226" s="13"/>
      <c r="D226" s="7"/>
      <c r="E226" s="7"/>
    </row>
    <row r="227" customFormat="false" ht="15" hidden="false" customHeight="true" outlineLevel="0" collapsed="false">
      <c r="A227" s="15"/>
      <c r="B227" s="7"/>
      <c r="C227" s="13"/>
      <c r="D227" s="7"/>
      <c r="E227" s="7"/>
    </row>
    <row r="228" customFormat="false" ht="15" hidden="false" customHeight="true" outlineLevel="0" collapsed="false">
      <c r="A228" s="15"/>
      <c r="B228" s="7"/>
      <c r="C228" s="13"/>
      <c r="D228" s="7"/>
      <c r="E228" s="7"/>
    </row>
    <row r="229" customFormat="false" ht="15" hidden="false" customHeight="true" outlineLevel="0" collapsed="false">
      <c r="A229" s="15"/>
      <c r="B229" s="7"/>
      <c r="C229" s="13"/>
      <c r="D229" s="7"/>
      <c r="E229" s="7"/>
    </row>
    <row r="230" customFormat="false" ht="15" hidden="false" customHeight="true" outlineLevel="0" collapsed="false">
      <c r="A230" s="15"/>
      <c r="B230" s="7"/>
      <c r="C230" s="13"/>
      <c r="D230" s="7"/>
      <c r="E230" s="7"/>
    </row>
    <row r="231" customFormat="false" ht="15" hidden="false" customHeight="true" outlineLevel="0" collapsed="false">
      <c r="A231" s="15"/>
      <c r="B231" s="7"/>
      <c r="C231" s="13"/>
      <c r="D231" s="7"/>
      <c r="E231" s="7"/>
    </row>
    <row r="232" customFormat="false" ht="15" hidden="false" customHeight="true" outlineLevel="0" collapsed="false">
      <c r="A232" s="15"/>
      <c r="B232" s="7"/>
      <c r="C232" s="13"/>
      <c r="D232" s="7"/>
      <c r="E232" s="7"/>
    </row>
    <row r="233" customFormat="false" ht="15" hidden="false" customHeight="true" outlineLevel="0" collapsed="false">
      <c r="A233" s="15"/>
      <c r="B233" s="7"/>
      <c r="C233" s="13"/>
      <c r="D233" s="7"/>
      <c r="E233" s="7"/>
    </row>
    <row r="234" customFormat="false" ht="15" hidden="false" customHeight="true" outlineLevel="0" collapsed="false">
      <c r="A234" s="15"/>
      <c r="B234" s="7"/>
      <c r="C234" s="13"/>
      <c r="D234" s="7"/>
      <c r="E234" s="7"/>
    </row>
    <row r="235" customFormat="false" ht="15" hidden="false" customHeight="true" outlineLevel="0" collapsed="false">
      <c r="A235" s="15"/>
      <c r="B235" s="7"/>
      <c r="C235" s="13"/>
      <c r="D235" s="7"/>
      <c r="E235" s="7"/>
    </row>
    <row r="236" customFormat="false" ht="15" hidden="false" customHeight="true" outlineLevel="0" collapsed="false">
      <c r="A236" s="15"/>
      <c r="B236" s="7"/>
      <c r="C236" s="13"/>
      <c r="D236" s="7"/>
      <c r="E236" s="7"/>
    </row>
    <row r="237" customFormat="false" ht="15" hidden="false" customHeight="true" outlineLevel="0" collapsed="false">
      <c r="A237" s="15"/>
      <c r="B237" s="7"/>
      <c r="C237" s="13"/>
      <c r="D237" s="7"/>
      <c r="E237" s="7"/>
    </row>
    <row r="238" customFormat="false" ht="15" hidden="false" customHeight="true" outlineLevel="0" collapsed="false">
      <c r="A238" s="15"/>
      <c r="B238" s="7"/>
      <c r="C238" s="13"/>
      <c r="D238" s="7"/>
      <c r="E238" s="7"/>
    </row>
    <row r="239" customFormat="false" ht="15" hidden="false" customHeight="true" outlineLevel="0" collapsed="false">
      <c r="A239" s="15"/>
      <c r="B239" s="7"/>
      <c r="C239" s="13"/>
      <c r="D239" s="7"/>
      <c r="E239" s="7"/>
    </row>
    <row r="240" customFormat="false" ht="15" hidden="false" customHeight="true" outlineLevel="0" collapsed="false">
      <c r="A240" s="15"/>
      <c r="B240" s="7"/>
      <c r="C240" s="13"/>
      <c r="D240" s="7"/>
      <c r="E240" s="7"/>
    </row>
    <row r="241" customFormat="false" ht="15" hidden="false" customHeight="true" outlineLevel="0" collapsed="false">
      <c r="A241" s="15"/>
      <c r="B241" s="7"/>
      <c r="C241" s="13"/>
      <c r="D241" s="7"/>
      <c r="E241" s="7"/>
    </row>
    <row r="242" customFormat="false" ht="15" hidden="false" customHeight="true" outlineLevel="0" collapsed="false">
      <c r="A242" s="15"/>
      <c r="B242" s="7"/>
      <c r="C242" s="13"/>
      <c r="D242" s="7"/>
      <c r="E242" s="7"/>
    </row>
    <row r="243" customFormat="false" ht="15" hidden="false" customHeight="true" outlineLevel="0" collapsed="false">
      <c r="A243" s="15"/>
      <c r="B243" s="7"/>
      <c r="C243" s="13"/>
      <c r="D243" s="7"/>
      <c r="E243" s="7"/>
    </row>
    <row r="244" customFormat="false" ht="15" hidden="false" customHeight="true" outlineLevel="0" collapsed="false">
      <c r="A244" s="15"/>
      <c r="B244" s="7"/>
      <c r="C244" s="13"/>
      <c r="D244" s="7"/>
      <c r="E244" s="7"/>
    </row>
    <row r="245" customFormat="false" ht="15" hidden="false" customHeight="true" outlineLevel="0" collapsed="false">
      <c r="A245" s="15"/>
      <c r="B245" s="7"/>
      <c r="C245" s="13"/>
      <c r="D245" s="7"/>
      <c r="E245" s="7"/>
    </row>
    <row r="246" customFormat="false" ht="15" hidden="false" customHeight="true" outlineLevel="0" collapsed="false">
      <c r="A246" s="15"/>
      <c r="B246" s="7"/>
      <c r="C246" s="13"/>
      <c r="D246" s="7"/>
      <c r="E246" s="7"/>
    </row>
    <row r="247" customFormat="false" ht="15" hidden="false" customHeight="true" outlineLevel="0" collapsed="false">
      <c r="A247" s="15"/>
      <c r="B247" s="7"/>
      <c r="C247" s="13"/>
      <c r="D247" s="7"/>
      <c r="E247" s="7"/>
    </row>
    <row r="248" customFormat="false" ht="15" hidden="false" customHeight="true" outlineLevel="0" collapsed="false">
      <c r="A248" s="15"/>
      <c r="B248" s="7"/>
      <c r="C248" s="13"/>
      <c r="D248" s="7"/>
      <c r="E248" s="7"/>
    </row>
    <row r="249" customFormat="false" ht="15" hidden="false" customHeight="true" outlineLevel="0" collapsed="false">
      <c r="A249" s="15"/>
      <c r="B249" s="7"/>
      <c r="C249" s="13"/>
      <c r="D249" s="7"/>
      <c r="E249" s="7"/>
    </row>
    <row r="250" customFormat="false" ht="15" hidden="false" customHeight="true" outlineLevel="0" collapsed="false">
      <c r="A250" s="15"/>
      <c r="B250" s="7"/>
      <c r="C250" s="13"/>
      <c r="D250" s="7"/>
      <c r="E250" s="7"/>
    </row>
    <row r="251" customFormat="false" ht="15" hidden="false" customHeight="true" outlineLevel="0" collapsed="false">
      <c r="A251" s="15"/>
      <c r="B251" s="7"/>
      <c r="C251" s="13"/>
      <c r="D251" s="7"/>
      <c r="E251" s="7"/>
    </row>
    <row r="252" customFormat="false" ht="15" hidden="false" customHeight="true" outlineLevel="0" collapsed="false">
      <c r="A252" s="15"/>
      <c r="B252" s="7"/>
      <c r="C252" s="13"/>
      <c r="D252" s="7"/>
      <c r="E252" s="7"/>
    </row>
    <row r="253" customFormat="false" ht="15" hidden="false" customHeight="true" outlineLevel="0" collapsed="false">
      <c r="A253" s="15"/>
      <c r="B253" s="7"/>
      <c r="C253" s="13"/>
      <c r="D253" s="7"/>
      <c r="E253" s="7"/>
    </row>
    <row r="254" customFormat="false" ht="15" hidden="false" customHeight="true" outlineLevel="0" collapsed="false">
      <c r="A254" s="15"/>
      <c r="B254" s="7"/>
      <c r="C254" s="13"/>
      <c r="D254" s="7"/>
      <c r="E254" s="7"/>
    </row>
    <row r="255" customFormat="false" ht="15" hidden="false" customHeight="true" outlineLevel="0" collapsed="false">
      <c r="A255" s="15"/>
      <c r="B255" s="7"/>
      <c r="C255" s="13"/>
      <c r="D255" s="7"/>
      <c r="E255" s="7"/>
    </row>
    <row r="256" customFormat="false" ht="15" hidden="false" customHeight="true" outlineLevel="0" collapsed="false">
      <c r="A256" s="15"/>
      <c r="B256" s="7"/>
      <c r="C256" s="13"/>
      <c r="D256" s="7"/>
      <c r="E256" s="7"/>
    </row>
    <row r="257" customFormat="false" ht="15" hidden="false" customHeight="true" outlineLevel="0" collapsed="false">
      <c r="A257" s="15"/>
      <c r="B257" s="7"/>
      <c r="C257" s="13"/>
      <c r="D257" s="7"/>
      <c r="E257" s="7"/>
    </row>
    <row r="258" customFormat="false" ht="15" hidden="false" customHeight="true" outlineLevel="0" collapsed="false">
      <c r="A258" s="15"/>
      <c r="B258" s="7"/>
      <c r="C258" s="13"/>
      <c r="D258" s="7"/>
      <c r="E258" s="7"/>
    </row>
    <row r="259" customFormat="false" ht="15" hidden="false" customHeight="true" outlineLevel="0" collapsed="false">
      <c r="A259" s="15"/>
      <c r="B259" s="7"/>
      <c r="C259" s="13"/>
      <c r="D259" s="7"/>
      <c r="E259" s="7"/>
    </row>
    <row r="260" customFormat="false" ht="15" hidden="false" customHeight="true" outlineLevel="0" collapsed="false">
      <c r="A260" s="15"/>
      <c r="B260" s="7"/>
      <c r="C260" s="13"/>
      <c r="D260" s="7"/>
      <c r="E260" s="7"/>
    </row>
    <row r="261" customFormat="false" ht="15" hidden="false" customHeight="true" outlineLevel="0" collapsed="false">
      <c r="A261" s="15"/>
      <c r="B261" s="7"/>
      <c r="C261" s="13"/>
      <c r="D261" s="7"/>
      <c r="E261" s="7"/>
    </row>
    <row r="262" customFormat="false" ht="15" hidden="false" customHeight="true" outlineLevel="0" collapsed="false">
      <c r="A262" s="15"/>
      <c r="B262" s="7"/>
      <c r="C262" s="13"/>
      <c r="D262" s="7"/>
      <c r="E262" s="7"/>
    </row>
    <row r="263" customFormat="false" ht="15" hidden="false" customHeight="true" outlineLevel="0" collapsed="false">
      <c r="A263" s="15"/>
      <c r="B263" s="7"/>
      <c r="C263" s="13"/>
      <c r="D263" s="7"/>
      <c r="E263" s="7"/>
    </row>
    <row r="264" customFormat="false" ht="15" hidden="false" customHeight="true" outlineLevel="0" collapsed="false">
      <c r="A264" s="15"/>
      <c r="B264" s="7"/>
      <c r="C264" s="13"/>
      <c r="D264" s="7"/>
      <c r="E264" s="7"/>
    </row>
    <row r="265" customFormat="false" ht="15" hidden="false" customHeight="true" outlineLevel="0" collapsed="false">
      <c r="A265" s="15"/>
      <c r="B265" s="7"/>
      <c r="C265" s="13"/>
      <c r="D265" s="7"/>
      <c r="E265" s="7"/>
    </row>
    <row r="266" customFormat="false" ht="15" hidden="false" customHeight="true" outlineLevel="0" collapsed="false">
      <c r="A266" s="15"/>
      <c r="B266" s="7"/>
      <c r="C266" s="13"/>
      <c r="D266" s="7"/>
      <c r="E266" s="7"/>
    </row>
    <row r="267" customFormat="false" ht="15" hidden="false" customHeight="true" outlineLevel="0" collapsed="false">
      <c r="A267" s="15"/>
      <c r="B267" s="7"/>
      <c r="C267" s="13"/>
      <c r="D267" s="7"/>
      <c r="E267" s="7"/>
    </row>
    <row r="268" customFormat="false" ht="15" hidden="false" customHeight="true" outlineLevel="0" collapsed="false">
      <c r="A268" s="15"/>
      <c r="B268" s="7"/>
      <c r="C268" s="13"/>
      <c r="D268" s="7"/>
      <c r="E268" s="7"/>
    </row>
    <row r="269" customFormat="false" ht="15" hidden="false" customHeight="true" outlineLevel="0" collapsed="false">
      <c r="A269" s="15"/>
      <c r="B269" s="7"/>
      <c r="C269" s="13"/>
      <c r="D269" s="7"/>
      <c r="E269" s="7"/>
    </row>
    <row r="270" customFormat="false" ht="15" hidden="false" customHeight="true" outlineLevel="0" collapsed="false">
      <c r="A270" s="15"/>
      <c r="B270" s="7"/>
      <c r="C270" s="13"/>
      <c r="D270" s="7"/>
      <c r="E270" s="7"/>
    </row>
    <row r="271" customFormat="false" ht="15" hidden="false" customHeight="true" outlineLevel="0" collapsed="false">
      <c r="A271" s="15"/>
      <c r="B271" s="7"/>
      <c r="C271" s="13"/>
      <c r="D271" s="7"/>
      <c r="E271" s="7"/>
    </row>
    <row r="272" customFormat="false" ht="15" hidden="false" customHeight="true" outlineLevel="0" collapsed="false">
      <c r="A272" s="15"/>
      <c r="B272" s="7"/>
      <c r="C272" s="13"/>
      <c r="D272" s="7"/>
      <c r="E272" s="7"/>
    </row>
    <row r="273" customFormat="false" ht="15" hidden="false" customHeight="true" outlineLevel="0" collapsed="false">
      <c r="A273" s="15"/>
      <c r="B273" s="7"/>
      <c r="C273" s="13"/>
      <c r="D273" s="7"/>
      <c r="E273" s="7"/>
    </row>
    <row r="274" customFormat="false" ht="15" hidden="false" customHeight="true" outlineLevel="0" collapsed="false">
      <c r="A274" s="15"/>
      <c r="B274" s="7"/>
      <c r="C274" s="13"/>
      <c r="D274" s="7"/>
      <c r="E274" s="7"/>
    </row>
    <row r="275" customFormat="false" ht="15" hidden="false" customHeight="true" outlineLevel="0" collapsed="false">
      <c r="A275" s="15"/>
      <c r="B275" s="7"/>
      <c r="C275" s="13"/>
      <c r="D275" s="7"/>
      <c r="E275" s="7"/>
    </row>
    <row r="276" customFormat="false" ht="15" hidden="false" customHeight="true" outlineLevel="0" collapsed="false">
      <c r="A276" s="15"/>
      <c r="B276" s="7"/>
      <c r="C276" s="13"/>
      <c r="D276" s="7"/>
      <c r="E276" s="7"/>
    </row>
    <row r="277" customFormat="false" ht="15" hidden="false" customHeight="true" outlineLevel="0" collapsed="false">
      <c r="A277" s="15"/>
      <c r="B277" s="7"/>
      <c r="C277" s="13"/>
      <c r="D277" s="7"/>
      <c r="E277" s="7"/>
    </row>
    <row r="278" customFormat="false" ht="15" hidden="false" customHeight="true" outlineLevel="0" collapsed="false">
      <c r="A278" s="15"/>
      <c r="B278" s="7"/>
      <c r="C278" s="13"/>
      <c r="D278" s="7"/>
      <c r="E278" s="7"/>
    </row>
    <row r="279" customFormat="false" ht="15" hidden="false" customHeight="true" outlineLevel="0" collapsed="false">
      <c r="A279" s="15"/>
      <c r="B279" s="7"/>
      <c r="C279" s="13"/>
      <c r="D279" s="7"/>
      <c r="E279" s="7"/>
    </row>
    <row r="280" customFormat="false" ht="15" hidden="false" customHeight="true" outlineLevel="0" collapsed="false">
      <c r="A280" s="15"/>
      <c r="B280" s="7"/>
      <c r="C280" s="13"/>
      <c r="D280" s="7"/>
      <c r="E280" s="7"/>
    </row>
    <row r="281" customFormat="false" ht="15" hidden="false" customHeight="true" outlineLevel="0" collapsed="false">
      <c r="A281" s="15"/>
      <c r="B281" s="7"/>
      <c r="C281" s="13"/>
      <c r="D281" s="7"/>
      <c r="E281" s="7"/>
    </row>
    <row r="282" customFormat="false" ht="15" hidden="false" customHeight="true" outlineLevel="0" collapsed="false">
      <c r="A282" s="15"/>
      <c r="B282" s="7"/>
      <c r="C282" s="13"/>
      <c r="D282" s="7"/>
      <c r="E282" s="7"/>
    </row>
    <row r="283" customFormat="false" ht="15" hidden="false" customHeight="true" outlineLevel="0" collapsed="false">
      <c r="A283" s="15"/>
      <c r="B283" s="7"/>
      <c r="C283" s="13"/>
      <c r="D283" s="7"/>
      <c r="E283" s="7"/>
    </row>
    <row r="284" customFormat="false" ht="15" hidden="false" customHeight="true" outlineLevel="0" collapsed="false">
      <c r="A284" s="15"/>
      <c r="B284" s="7"/>
      <c r="C284" s="13"/>
      <c r="D284" s="7"/>
      <c r="E284" s="7"/>
    </row>
    <row r="285" customFormat="false" ht="15" hidden="false" customHeight="true" outlineLevel="0" collapsed="false">
      <c r="A285" s="15"/>
      <c r="B285" s="7"/>
      <c r="C285" s="13"/>
      <c r="D285" s="7"/>
      <c r="E285" s="7"/>
    </row>
    <row r="286" customFormat="false" ht="15" hidden="false" customHeight="true" outlineLevel="0" collapsed="false">
      <c r="A286" s="15"/>
      <c r="B286" s="7"/>
      <c r="C286" s="13"/>
      <c r="D286" s="7"/>
      <c r="E286" s="7"/>
    </row>
    <row r="287" customFormat="false" ht="15" hidden="false" customHeight="true" outlineLevel="0" collapsed="false">
      <c r="A287" s="15"/>
      <c r="B287" s="7"/>
      <c r="C287" s="13"/>
      <c r="D287" s="7"/>
      <c r="E287" s="7"/>
    </row>
    <row r="288" customFormat="false" ht="15" hidden="false" customHeight="true" outlineLevel="0" collapsed="false">
      <c r="A288" s="15"/>
      <c r="B288" s="7"/>
      <c r="C288" s="13"/>
      <c r="D288" s="7"/>
      <c r="E288" s="7"/>
    </row>
    <row r="289" customFormat="false" ht="15" hidden="false" customHeight="true" outlineLevel="0" collapsed="false">
      <c r="A289" s="15"/>
      <c r="B289" s="7"/>
      <c r="C289" s="13"/>
      <c r="D289" s="7"/>
      <c r="E289" s="7"/>
    </row>
    <row r="290" customFormat="false" ht="15" hidden="false" customHeight="true" outlineLevel="0" collapsed="false">
      <c r="A290" s="15"/>
      <c r="B290" s="7"/>
      <c r="C290" s="13"/>
      <c r="D290" s="7"/>
      <c r="E290" s="7"/>
    </row>
    <row r="291" customFormat="false" ht="15" hidden="false" customHeight="true" outlineLevel="0" collapsed="false">
      <c r="A291" s="15"/>
      <c r="B291" s="7"/>
      <c r="C291" s="13"/>
      <c r="D291" s="7"/>
      <c r="E291" s="7"/>
    </row>
    <row r="292" customFormat="false" ht="15" hidden="false" customHeight="true" outlineLevel="0" collapsed="false">
      <c r="A292" s="15"/>
      <c r="B292" s="7"/>
      <c r="C292" s="13"/>
      <c r="D292" s="7"/>
      <c r="E292" s="7"/>
    </row>
    <row r="293" customFormat="false" ht="15" hidden="false" customHeight="true" outlineLevel="0" collapsed="false">
      <c r="A293" s="15"/>
      <c r="B293" s="7"/>
      <c r="C293" s="13"/>
      <c r="D293" s="7"/>
      <c r="E293" s="7"/>
    </row>
    <row r="294" customFormat="false" ht="15" hidden="false" customHeight="true" outlineLevel="0" collapsed="false">
      <c r="A294" s="15"/>
      <c r="B294" s="7"/>
      <c r="C294" s="13"/>
      <c r="D294" s="7"/>
      <c r="E294" s="7"/>
    </row>
    <row r="295" customFormat="false" ht="15" hidden="false" customHeight="true" outlineLevel="0" collapsed="false">
      <c r="A295" s="15"/>
      <c r="B295" s="7"/>
      <c r="C295" s="13"/>
      <c r="D295" s="7"/>
      <c r="E295" s="7"/>
    </row>
    <row r="296" customFormat="false" ht="15" hidden="false" customHeight="true" outlineLevel="0" collapsed="false">
      <c r="A296" s="15"/>
      <c r="B296" s="7"/>
      <c r="C296" s="13"/>
      <c r="D296" s="7"/>
      <c r="E296" s="7"/>
    </row>
    <row r="297" customFormat="false" ht="15" hidden="false" customHeight="true" outlineLevel="0" collapsed="false">
      <c r="A297" s="15"/>
      <c r="B297" s="7"/>
      <c r="C297" s="13"/>
      <c r="D297" s="7"/>
      <c r="E297" s="7"/>
    </row>
    <row r="298" customFormat="false" ht="15" hidden="false" customHeight="true" outlineLevel="0" collapsed="false">
      <c r="A298" s="15"/>
      <c r="B298" s="7"/>
      <c r="C298" s="13"/>
      <c r="D298" s="7"/>
      <c r="E298" s="7"/>
    </row>
    <row r="299" customFormat="false" ht="15" hidden="false" customHeight="true" outlineLevel="0" collapsed="false">
      <c r="A299" s="15"/>
      <c r="B299" s="7"/>
      <c r="C299" s="13"/>
      <c r="D299" s="7"/>
      <c r="E299" s="7"/>
    </row>
    <row r="300" customFormat="false" ht="15" hidden="false" customHeight="true" outlineLevel="0" collapsed="false">
      <c r="A300" s="15"/>
      <c r="B300" s="7"/>
      <c r="C300" s="13"/>
      <c r="D300" s="7"/>
      <c r="E300" s="7"/>
    </row>
    <row r="301" customFormat="false" ht="15" hidden="false" customHeight="true" outlineLevel="0" collapsed="false">
      <c r="A301" s="15"/>
      <c r="B301" s="7"/>
      <c r="C301" s="13"/>
      <c r="D301" s="7"/>
      <c r="E301" s="7"/>
    </row>
    <row r="302" customFormat="false" ht="15" hidden="false" customHeight="true" outlineLevel="0" collapsed="false">
      <c r="A302" s="15"/>
      <c r="B302" s="7"/>
      <c r="C302" s="13"/>
      <c r="D302" s="7"/>
      <c r="E302" s="7"/>
    </row>
    <row r="303" customFormat="false" ht="15" hidden="false" customHeight="true" outlineLevel="0" collapsed="false">
      <c r="A303" s="15"/>
      <c r="B303" s="7"/>
      <c r="C303" s="13"/>
      <c r="D303" s="7"/>
      <c r="E303" s="7"/>
    </row>
    <row r="304" customFormat="false" ht="15" hidden="false" customHeight="true" outlineLevel="0" collapsed="false">
      <c r="A304" s="15"/>
      <c r="B304" s="7"/>
      <c r="C304" s="13"/>
      <c r="D304" s="7"/>
      <c r="E304" s="7"/>
    </row>
    <row r="305" customFormat="false" ht="15" hidden="false" customHeight="true" outlineLevel="0" collapsed="false">
      <c r="A305" s="15"/>
      <c r="B305" s="7"/>
      <c r="C305" s="13"/>
      <c r="D305" s="7"/>
      <c r="E305" s="7"/>
    </row>
    <row r="306" customFormat="false" ht="15" hidden="false" customHeight="true" outlineLevel="0" collapsed="false">
      <c r="A306" s="15"/>
      <c r="B306" s="7"/>
      <c r="C306" s="13"/>
      <c r="D306" s="7"/>
      <c r="E306" s="7"/>
    </row>
    <row r="307" customFormat="false" ht="15" hidden="false" customHeight="true" outlineLevel="0" collapsed="false">
      <c r="A307" s="15"/>
      <c r="B307" s="7"/>
      <c r="C307" s="13"/>
      <c r="D307" s="7"/>
      <c r="E307" s="7"/>
    </row>
    <row r="308" customFormat="false" ht="15" hidden="false" customHeight="true" outlineLevel="0" collapsed="false">
      <c r="A308" s="15"/>
      <c r="B308" s="7"/>
      <c r="C308" s="13"/>
      <c r="D308" s="7"/>
      <c r="E308" s="7"/>
    </row>
    <row r="309" customFormat="false" ht="15" hidden="false" customHeight="true" outlineLevel="0" collapsed="false">
      <c r="A309" s="15"/>
      <c r="B309" s="7"/>
      <c r="C309" s="13"/>
      <c r="D309" s="7"/>
      <c r="E309" s="7"/>
    </row>
    <row r="310" customFormat="false" ht="15" hidden="false" customHeight="true" outlineLevel="0" collapsed="false">
      <c r="A310" s="15"/>
      <c r="B310" s="7"/>
      <c r="C310" s="13"/>
      <c r="D310" s="7"/>
      <c r="E310" s="7"/>
    </row>
    <row r="311" customFormat="false" ht="15" hidden="false" customHeight="true" outlineLevel="0" collapsed="false">
      <c r="A311" s="15"/>
      <c r="B311" s="7"/>
      <c r="C311" s="13"/>
      <c r="D311" s="7"/>
      <c r="E311" s="7"/>
    </row>
    <row r="312" customFormat="false" ht="15" hidden="false" customHeight="true" outlineLevel="0" collapsed="false">
      <c r="A312" s="15"/>
      <c r="B312" s="7"/>
      <c r="C312" s="13"/>
      <c r="D312" s="7"/>
      <c r="E312" s="7"/>
    </row>
    <row r="313" customFormat="false" ht="15" hidden="false" customHeight="true" outlineLevel="0" collapsed="false">
      <c r="A313" s="15"/>
      <c r="B313" s="7"/>
      <c r="C313" s="13"/>
      <c r="D313" s="7"/>
      <c r="E313" s="7"/>
    </row>
    <row r="314" customFormat="false" ht="15" hidden="false" customHeight="true" outlineLevel="0" collapsed="false">
      <c r="A314" s="15"/>
      <c r="B314" s="7"/>
      <c r="C314" s="13"/>
      <c r="D314" s="7"/>
      <c r="E314" s="7"/>
    </row>
    <row r="315" customFormat="false" ht="15" hidden="false" customHeight="true" outlineLevel="0" collapsed="false">
      <c r="A315" s="15"/>
      <c r="B315" s="7"/>
      <c r="C315" s="13"/>
      <c r="D315" s="7"/>
      <c r="E315" s="7"/>
    </row>
    <row r="316" customFormat="false" ht="15" hidden="false" customHeight="true" outlineLevel="0" collapsed="false">
      <c r="A316" s="15"/>
      <c r="B316" s="7"/>
      <c r="C316" s="13"/>
      <c r="D316" s="7"/>
      <c r="E316" s="7"/>
    </row>
    <row r="317" customFormat="false" ht="15" hidden="false" customHeight="true" outlineLevel="0" collapsed="false">
      <c r="A317" s="15"/>
      <c r="B317" s="7"/>
      <c r="C317" s="13"/>
      <c r="D317" s="7"/>
      <c r="E317" s="7"/>
    </row>
    <row r="318" customFormat="false" ht="15" hidden="false" customHeight="true" outlineLevel="0" collapsed="false">
      <c r="A318" s="15"/>
      <c r="B318" s="7"/>
      <c r="C318" s="13"/>
      <c r="D318" s="7"/>
      <c r="E318" s="7"/>
    </row>
    <row r="319" customFormat="false" ht="15" hidden="false" customHeight="true" outlineLevel="0" collapsed="false">
      <c r="A319" s="15"/>
      <c r="B319" s="7"/>
      <c r="C319" s="13"/>
      <c r="D319" s="7"/>
      <c r="E319" s="7"/>
    </row>
    <row r="320" customFormat="false" ht="15" hidden="false" customHeight="true" outlineLevel="0" collapsed="false">
      <c r="A320" s="15"/>
      <c r="B320" s="7"/>
      <c r="C320" s="13"/>
      <c r="D320" s="7"/>
      <c r="E320" s="7"/>
    </row>
    <row r="321" customFormat="false" ht="15" hidden="false" customHeight="true" outlineLevel="0" collapsed="false">
      <c r="A321" s="15"/>
      <c r="B321" s="7"/>
      <c r="C321" s="13"/>
      <c r="D321" s="7"/>
      <c r="E321" s="7"/>
    </row>
    <row r="322" customFormat="false" ht="15" hidden="false" customHeight="true" outlineLevel="0" collapsed="false">
      <c r="A322" s="15"/>
      <c r="B322" s="7"/>
      <c r="C322" s="13"/>
      <c r="D322" s="7"/>
      <c r="E322" s="7"/>
    </row>
    <row r="323" customFormat="false" ht="15" hidden="false" customHeight="true" outlineLevel="0" collapsed="false">
      <c r="A323" s="15"/>
      <c r="B323" s="7"/>
      <c r="C323" s="13"/>
      <c r="D323" s="7"/>
      <c r="E323" s="7"/>
    </row>
    <row r="324" customFormat="false" ht="15" hidden="false" customHeight="true" outlineLevel="0" collapsed="false">
      <c r="A324" s="15"/>
      <c r="B324" s="7"/>
      <c r="C324" s="13"/>
      <c r="D324" s="7"/>
      <c r="E324" s="7"/>
    </row>
    <row r="325" customFormat="false" ht="15" hidden="false" customHeight="true" outlineLevel="0" collapsed="false">
      <c r="A325" s="15"/>
      <c r="B325" s="7"/>
      <c r="C325" s="13"/>
      <c r="D325" s="7"/>
      <c r="E325" s="7"/>
    </row>
    <row r="326" customFormat="false" ht="15" hidden="false" customHeight="true" outlineLevel="0" collapsed="false">
      <c r="A326" s="15"/>
      <c r="B326" s="7"/>
      <c r="C326" s="13"/>
      <c r="D326" s="7"/>
      <c r="E326" s="7"/>
    </row>
    <row r="327" customFormat="false" ht="15" hidden="false" customHeight="true" outlineLevel="0" collapsed="false">
      <c r="A327" s="15"/>
      <c r="B327" s="7"/>
      <c r="C327" s="13"/>
      <c r="D327" s="7"/>
      <c r="E327" s="7"/>
    </row>
    <row r="328" customFormat="false" ht="15" hidden="false" customHeight="true" outlineLevel="0" collapsed="false">
      <c r="A328" s="15"/>
      <c r="B328" s="7"/>
      <c r="C328" s="13"/>
      <c r="D328" s="7"/>
      <c r="E328" s="7"/>
    </row>
    <row r="329" customFormat="false" ht="15" hidden="false" customHeight="true" outlineLevel="0" collapsed="false">
      <c r="A329" s="15"/>
      <c r="B329" s="7"/>
      <c r="C329" s="13"/>
      <c r="D329" s="7"/>
      <c r="E329" s="7"/>
    </row>
    <row r="330" customFormat="false" ht="15" hidden="false" customHeight="true" outlineLevel="0" collapsed="false">
      <c r="A330" s="15"/>
      <c r="B330" s="7"/>
      <c r="C330" s="13"/>
      <c r="D330" s="7"/>
      <c r="E330" s="7"/>
    </row>
    <row r="331" customFormat="false" ht="15" hidden="false" customHeight="true" outlineLevel="0" collapsed="false">
      <c r="A331" s="15"/>
      <c r="B331" s="7"/>
      <c r="C331" s="13"/>
      <c r="D331" s="7"/>
      <c r="E331" s="7"/>
    </row>
    <row r="332" customFormat="false" ht="15" hidden="false" customHeight="true" outlineLevel="0" collapsed="false">
      <c r="A332" s="15"/>
      <c r="B332" s="7"/>
      <c r="C332" s="13"/>
      <c r="D332" s="7"/>
      <c r="E332" s="7"/>
    </row>
    <row r="333" customFormat="false" ht="15" hidden="false" customHeight="true" outlineLevel="0" collapsed="false">
      <c r="A333" s="15"/>
      <c r="B333" s="7"/>
      <c r="C333" s="13"/>
      <c r="D333" s="7"/>
      <c r="E333" s="7"/>
    </row>
    <row r="334" customFormat="false" ht="15" hidden="false" customHeight="true" outlineLevel="0" collapsed="false">
      <c r="A334" s="15"/>
      <c r="B334" s="7"/>
      <c r="C334" s="13"/>
      <c r="D334" s="7"/>
      <c r="E334" s="7"/>
    </row>
    <row r="335" customFormat="false" ht="15" hidden="false" customHeight="true" outlineLevel="0" collapsed="false">
      <c r="A335" s="15"/>
      <c r="B335" s="7"/>
      <c r="C335" s="13"/>
      <c r="D335" s="7"/>
      <c r="E335" s="7"/>
    </row>
    <row r="336" customFormat="false" ht="15" hidden="false" customHeight="true" outlineLevel="0" collapsed="false">
      <c r="A336" s="15"/>
      <c r="B336" s="7"/>
      <c r="C336" s="13"/>
      <c r="D336" s="7"/>
      <c r="E336" s="7"/>
    </row>
    <row r="337" customFormat="false" ht="15" hidden="false" customHeight="true" outlineLevel="0" collapsed="false">
      <c r="A337" s="15"/>
      <c r="B337" s="7"/>
      <c r="C337" s="13"/>
      <c r="D337" s="7"/>
      <c r="E337" s="7"/>
    </row>
    <row r="338" customFormat="false" ht="15" hidden="false" customHeight="true" outlineLevel="0" collapsed="false">
      <c r="A338" s="15"/>
      <c r="B338" s="7"/>
      <c r="C338" s="13"/>
      <c r="D338" s="7"/>
      <c r="E338" s="7"/>
    </row>
    <row r="339" customFormat="false" ht="15" hidden="false" customHeight="true" outlineLevel="0" collapsed="false">
      <c r="A339" s="15"/>
      <c r="B339" s="7"/>
      <c r="C339" s="13"/>
      <c r="D339" s="7"/>
      <c r="E339" s="7"/>
    </row>
    <row r="340" customFormat="false" ht="15" hidden="false" customHeight="true" outlineLevel="0" collapsed="false">
      <c r="A340" s="15"/>
      <c r="B340" s="7"/>
      <c r="C340" s="13"/>
      <c r="D340" s="7"/>
      <c r="E340" s="7"/>
    </row>
    <row r="341" customFormat="false" ht="15" hidden="false" customHeight="true" outlineLevel="0" collapsed="false">
      <c r="A341" s="15"/>
      <c r="B341" s="7"/>
      <c r="C341" s="13"/>
      <c r="D341" s="7"/>
      <c r="E341" s="7"/>
    </row>
    <row r="342" customFormat="false" ht="15" hidden="false" customHeight="true" outlineLevel="0" collapsed="false">
      <c r="A342" s="15"/>
      <c r="B342" s="7"/>
      <c r="C342" s="13"/>
      <c r="D342" s="7"/>
      <c r="E342" s="7"/>
    </row>
    <row r="343" customFormat="false" ht="15" hidden="false" customHeight="true" outlineLevel="0" collapsed="false">
      <c r="A343" s="15"/>
      <c r="B343" s="7"/>
      <c r="C343" s="13"/>
      <c r="D343" s="7"/>
      <c r="E343" s="7"/>
    </row>
    <row r="344" customFormat="false" ht="15" hidden="false" customHeight="true" outlineLevel="0" collapsed="false">
      <c r="A344" s="15"/>
      <c r="B344" s="7"/>
      <c r="C344" s="13"/>
      <c r="D344" s="7"/>
      <c r="E344" s="7"/>
    </row>
    <row r="345" customFormat="false" ht="15" hidden="false" customHeight="true" outlineLevel="0" collapsed="false">
      <c r="A345" s="15"/>
      <c r="B345" s="7"/>
      <c r="C345" s="13"/>
      <c r="D345" s="7"/>
      <c r="E345" s="7"/>
    </row>
    <row r="346" customFormat="false" ht="15" hidden="false" customHeight="true" outlineLevel="0" collapsed="false">
      <c r="A346" s="15"/>
      <c r="B346" s="7"/>
      <c r="C346" s="13"/>
      <c r="D346" s="7"/>
      <c r="E346" s="7"/>
    </row>
    <row r="347" customFormat="false" ht="15" hidden="false" customHeight="true" outlineLevel="0" collapsed="false">
      <c r="A347" s="15"/>
      <c r="B347" s="7"/>
      <c r="C347" s="13"/>
      <c r="D347" s="7"/>
      <c r="E347" s="7"/>
    </row>
    <row r="348" customFormat="false" ht="15" hidden="false" customHeight="true" outlineLevel="0" collapsed="false">
      <c r="A348" s="15"/>
      <c r="B348" s="7"/>
      <c r="C348" s="13"/>
      <c r="D348" s="7"/>
      <c r="E348" s="7"/>
    </row>
    <row r="349" customFormat="false" ht="15" hidden="false" customHeight="true" outlineLevel="0" collapsed="false">
      <c r="A349" s="15"/>
      <c r="B349" s="7"/>
      <c r="C349" s="13"/>
      <c r="D349" s="7"/>
      <c r="E349" s="7"/>
    </row>
    <row r="350" customFormat="false" ht="15" hidden="false" customHeight="true" outlineLevel="0" collapsed="false">
      <c r="A350" s="15"/>
      <c r="B350" s="7"/>
      <c r="C350" s="13"/>
      <c r="D350" s="7"/>
      <c r="E350" s="7"/>
    </row>
    <row r="351" customFormat="false" ht="15" hidden="false" customHeight="true" outlineLevel="0" collapsed="false">
      <c r="A351" s="15"/>
      <c r="B351" s="7"/>
      <c r="C351" s="13"/>
      <c r="D351" s="7"/>
      <c r="E351" s="7"/>
    </row>
    <row r="352" customFormat="false" ht="15" hidden="false" customHeight="true" outlineLevel="0" collapsed="false">
      <c r="A352" s="15"/>
      <c r="B352" s="7"/>
      <c r="C352" s="13"/>
      <c r="D352" s="7"/>
      <c r="E352" s="7"/>
    </row>
    <row r="353" customFormat="false" ht="15" hidden="false" customHeight="true" outlineLevel="0" collapsed="false">
      <c r="A353" s="15"/>
      <c r="B353" s="7"/>
      <c r="C353" s="13"/>
      <c r="D353" s="7"/>
      <c r="E353" s="7"/>
    </row>
    <row r="354" customFormat="false" ht="15" hidden="false" customHeight="true" outlineLevel="0" collapsed="false">
      <c r="A354" s="15"/>
      <c r="B354" s="7"/>
      <c r="C354" s="13"/>
      <c r="D354" s="7"/>
      <c r="E354" s="7"/>
    </row>
    <row r="355" customFormat="false" ht="15" hidden="false" customHeight="true" outlineLevel="0" collapsed="false">
      <c r="A355" s="15"/>
      <c r="B355" s="7"/>
      <c r="C355" s="13"/>
      <c r="D355" s="7"/>
      <c r="E355" s="7"/>
    </row>
    <row r="356" customFormat="false" ht="15" hidden="false" customHeight="true" outlineLevel="0" collapsed="false">
      <c r="A356" s="15"/>
      <c r="B356" s="7"/>
      <c r="C356" s="13"/>
      <c r="D356" s="7"/>
      <c r="E356" s="7"/>
    </row>
    <row r="357" customFormat="false" ht="15" hidden="false" customHeight="true" outlineLevel="0" collapsed="false">
      <c r="A357" s="15"/>
      <c r="B357" s="7"/>
      <c r="C357" s="13"/>
      <c r="D357" s="7"/>
      <c r="E357" s="7"/>
    </row>
    <row r="358" customFormat="false" ht="15" hidden="false" customHeight="true" outlineLevel="0" collapsed="false">
      <c r="A358" s="15"/>
      <c r="B358" s="7"/>
      <c r="C358" s="13"/>
      <c r="D358" s="7"/>
      <c r="E358" s="7"/>
    </row>
    <row r="359" customFormat="false" ht="15" hidden="false" customHeight="true" outlineLevel="0" collapsed="false">
      <c r="A359" s="15"/>
      <c r="B359" s="7"/>
      <c r="C359" s="13"/>
      <c r="D359" s="7"/>
      <c r="E359" s="7"/>
    </row>
    <row r="360" customFormat="false" ht="15" hidden="false" customHeight="true" outlineLevel="0" collapsed="false">
      <c r="A360" s="15"/>
      <c r="B360" s="7"/>
      <c r="C360" s="13"/>
      <c r="D360" s="7"/>
      <c r="E360" s="7"/>
    </row>
    <row r="361" customFormat="false" ht="15" hidden="false" customHeight="true" outlineLevel="0" collapsed="false">
      <c r="A361" s="15"/>
      <c r="B361" s="7"/>
      <c r="C361" s="13"/>
      <c r="D361" s="7"/>
      <c r="E361" s="7"/>
    </row>
    <row r="362" customFormat="false" ht="15" hidden="false" customHeight="true" outlineLevel="0" collapsed="false">
      <c r="A362" s="15"/>
      <c r="B362" s="7"/>
      <c r="C362" s="13"/>
      <c r="D362" s="7"/>
      <c r="E362" s="7"/>
    </row>
    <row r="363" customFormat="false" ht="15" hidden="false" customHeight="true" outlineLevel="0" collapsed="false">
      <c r="A363" s="15"/>
      <c r="B363" s="7"/>
      <c r="C363" s="13"/>
      <c r="D363" s="7"/>
      <c r="E363" s="7"/>
    </row>
    <row r="364" customFormat="false" ht="15" hidden="false" customHeight="true" outlineLevel="0" collapsed="false">
      <c r="A364" s="15"/>
      <c r="B364" s="7"/>
      <c r="C364" s="13"/>
      <c r="D364" s="7"/>
      <c r="E364" s="7"/>
    </row>
    <row r="365" customFormat="false" ht="15" hidden="false" customHeight="true" outlineLevel="0" collapsed="false">
      <c r="A365" s="15"/>
      <c r="B365" s="7"/>
      <c r="C365" s="13"/>
      <c r="D365" s="7"/>
      <c r="E365" s="7"/>
    </row>
    <row r="366" customFormat="false" ht="15" hidden="false" customHeight="true" outlineLevel="0" collapsed="false">
      <c r="A366" s="15"/>
      <c r="B366" s="7"/>
      <c r="C366" s="13"/>
      <c r="D366" s="7"/>
      <c r="E366" s="7"/>
    </row>
    <row r="367" customFormat="false" ht="15" hidden="false" customHeight="true" outlineLevel="0" collapsed="false">
      <c r="A367" s="15"/>
      <c r="B367" s="7"/>
      <c r="C367" s="13"/>
      <c r="D367" s="7"/>
      <c r="E367" s="7"/>
    </row>
    <row r="368" customFormat="false" ht="15" hidden="false" customHeight="true" outlineLevel="0" collapsed="false">
      <c r="A368" s="15"/>
      <c r="B368" s="7"/>
      <c r="C368" s="13"/>
      <c r="D368" s="7"/>
      <c r="E368" s="7"/>
    </row>
    <row r="369" customFormat="false" ht="15" hidden="false" customHeight="true" outlineLevel="0" collapsed="false">
      <c r="A369" s="15"/>
      <c r="B369" s="7"/>
      <c r="C369" s="13"/>
      <c r="D369" s="7"/>
      <c r="E369" s="7"/>
    </row>
    <row r="370" customFormat="false" ht="15" hidden="false" customHeight="true" outlineLevel="0" collapsed="false">
      <c r="A370" s="15"/>
      <c r="B370" s="7"/>
      <c r="C370" s="13"/>
      <c r="D370" s="7"/>
      <c r="E370" s="7"/>
    </row>
    <row r="371" customFormat="false" ht="15" hidden="false" customHeight="true" outlineLevel="0" collapsed="false">
      <c r="A371" s="15"/>
      <c r="B371" s="7"/>
      <c r="C371" s="13"/>
      <c r="D371" s="7"/>
      <c r="E371" s="7"/>
    </row>
    <row r="372" customFormat="false" ht="15" hidden="false" customHeight="true" outlineLevel="0" collapsed="false">
      <c r="A372" s="15"/>
      <c r="B372" s="7"/>
      <c r="C372" s="13"/>
      <c r="D372" s="7"/>
      <c r="E372" s="7"/>
    </row>
    <row r="373" customFormat="false" ht="15" hidden="false" customHeight="true" outlineLevel="0" collapsed="false">
      <c r="A373" s="15"/>
      <c r="B373" s="7"/>
      <c r="C373" s="13"/>
      <c r="D373" s="7"/>
      <c r="E373" s="7"/>
    </row>
    <row r="374" customFormat="false" ht="15" hidden="false" customHeight="true" outlineLevel="0" collapsed="false">
      <c r="A374" s="15"/>
      <c r="B374" s="7"/>
      <c r="C374" s="13"/>
      <c r="D374" s="7"/>
      <c r="E374" s="7"/>
    </row>
    <row r="375" customFormat="false" ht="15" hidden="false" customHeight="true" outlineLevel="0" collapsed="false">
      <c r="A375" s="15"/>
      <c r="B375" s="7"/>
      <c r="C375" s="13"/>
      <c r="D375" s="7"/>
      <c r="E375" s="7"/>
    </row>
    <row r="376" customFormat="false" ht="15" hidden="false" customHeight="true" outlineLevel="0" collapsed="false">
      <c r="A376" s="15"/>
      <c r="B376" s="7"/>
      <c r="C376" s="13"/>
      <c r="D376" s="7"/>
      <c r="E376" s="7"/>
    </row>
    <row r="377" customFormat="false" ht="15" hidden="false" customHeight="true" outlineLevel="0" collapsed="false">
      <c r="A377" s="15"/>
      <c r="B377" s="7"/>
      <c r="C377" s="13"/>
      <c r="D377" s="7"/>
      <c r="E377" s="7"/>
    </row>
    <row r="378" customFormat="false" ht="15" hidden="false" customHeight="true" outlineLevel="0" collapsed="false">
      <c r="A378" s="15"/>
      <c r="B378" s="7"/>
      <c r="C378" s="13"/>
      <c r="D378" s="7"/>
      <c r="E378" s="7"/>
    </row>
    <row r="379" customFormat="false" ht="15" hidden="false" customHeight="true" outlineLevel="0" collapsed="false">
      <c r="A379" s="15"/>
      <c r="B379" s="7"/>
      <c r="C379" s="13"/>
      <c r="D379" s="7"/>
      <c r="E379" s="7"/>
    </row>
    <row r="380" customFormat="false" ht="15" hidden="false" customHeight="true" outlineLevel="0" collapsed="false">
      <c r="A380" s="15"/>
      <c r="B380" s="7"/>
      <c r="C380" s="13"/>
      <c r="D380" s="7"/>
      <c r="E380" s="7"/>
    </row>
    <row r="381" customFormat="false" ht="15" hidden="false" customHeight="true" outlineLevel="0" collapsed="false">
      <c r="A381" s="15"/>
      <c r="B381" s="7"/>
      <c r="C381" s="13"/>
      <c r="D381" s="7"/>
      <c r="E381" s="7"/>
    </row>
    <row r="382" customFormat="false" ht="15" hidden="false" customHeight="true" outlineLevel="0" collapsed="false">
      <c r="A382" s="15"/>
      <c r="B382" s="7"/>
      <c r="C382" s="13"/>
      <c r="D382" s="7"/>
      <c r="E382" s="7"/>
    </row>
    <row r="383" customFormat="false" ht="15" hidden="false" customHeight="true" outlineLevel="0" collapsed="false">
      <c r="A383" s="15"/>
      <c r="B383" s="7"/>
      <c r="C383" s="13"/>
      <c r="D383" s="7"/>
      <c r="E383" s="7"/>
    </row>
    <row r="384" customFormat="false" ht="15" hidden="false" customHeight="true" outlineLevel="0" collapsed="false">
      <c r="A384" s="15"/>
      <c r="B384" s="7"/>
      <c r="C384" s="13"/>
      <c r="D384" s="7"/>
      <c r="E384" s="7"/>
    </row>
    <row r="385" customFormat="false" ht="15" hidden="false" customHeight="true" outlineLevel="0" collapsed="false">
      <c r="A385" s="15"/>
      <c r="B385" s="7"/>
      <c r="C385" s="13"/>
      <c r="D385" s="7"/>
      <c r="E385" s="7"/>
    </row>
    <row r="386" customFormat="false" ht="15" hidden="false" customHeight="true" outlineLevel="0" collapsed="false">
      <c r="A386" s="15"/>
      <c r="B386" s="7"/>
      <c r="C386" s="13"/>
      <c r="D386" s="7"/>
      <c r="E386" s="7"/>
    </row>
    <row r="387" customFormat="false" ht="15" hidden="false" customHeight="true" outlineLevel="0" collapsed="false">
      <c r="A387" s="15"/>
      <c r="B387" s="7"/>
      <c r="C387" s="13"/>
      <c r="D387" s="7"/>
      <c r="E387" s="7"/>
    </row>
    <row r="388" customFormat="false" ht="15" hidden="false" customHeight="true" outlineLevel="0" collapsed="false">
      <c r="A388" s="15"/>
      <c r="B388" s="7"/>
      <c r="C388" s="13"/>
      <c r="D388" s="7"/>
      <c r="E388" s="7"/>
    </row>
    <row r="389" customFormat="false" ht="15" hidden="false" customHeight="true" outlineLevel="0" collapsed="false">
      <c r="A389" s="15"/>
      <c r="B389" s="7"/>
      <c r="C389" s="13"/>
      <c r="D389" s="7"/>
      <c r="E389" s="7"/>
    </row>
    <row r="390" customFormat="false" ht="15" hidden="false" customHeight="true" outlineLevel="0" collapsed="false">
      <c r="A390" s="15"/>
      <c r="B390" s="7"/>
      <c r="C390" s="13"/>
      <c r="D390" s="7"/>
      <c r="E390" s="7"/>
    </row>
    <row r="391" customFormat="false" ht="15" hidden="false" customHeight="true" outlineLevel="0" collapsed="false">
      <c r="A391" s="15"/>
      <c r="B391" s="7"/>
      <c r="C391" s="13"/>
      <c r="D391" s="7"/>
      <c r="E391" s="7"/>
    </row>
    <row r="392" customFormat="false" ht="15" hidden="false" customHeight="true" outlineLevel="0" collapsed="false">
      <c r="A392" s="15"/>
      <c r="B392" s="7"/>
      <c r="C392" s="13"/>
      <c r="D392" s="7"/>
      <c r="E392" s="7"/>
    </row>
    <row r="393" customFormat="false" ht="15" hidden="false" customHeight="true" outlineLevel="0" collapsed="false">
      <c r="A393" s="15"/>
      <c r="B393" s="7"/>
      <c r="C393" s="13"/>
      <c r="D393" s="7"/>
      <c r="E393" s="7"/>
    </row>
    <row r="394" customFormat="false" ht="15" hidden="false" customHeight="true" outlineLevel="0" collapsed="false">
      <c r="A394" s="15"/>
      <c r="B394" s="7"/>
      <c r="C394" s="13"/>
      <c r="D394" s="7"/>
      <c r="E394" s="7"/>
    </row>
    <row r="395" customFormat="false" ht="15" hidden="false" customHeight="true" outlineLevel="0" collapsed="false">
      <c r="A395" s="15"/>
      <c r="B395" s="7"/>
      <c r="C395" s="13"/>
      <c r="D395" s="7"/>
      <c r="E395" s="7"/>
    </row>
    <row r="396" customFormat="false" ht="15" hidden="false" customHeight="true" outlineLevel="0" collapsed="false">
      <c r="A396" s="15"/>
      <c r="B396" s="7"/>
      <c r="C396" s="13"/>
      <c r="D396" s="7"/>
      <c r="E396" s="7"/>
    </row>
    <row r="397" customFormat="false" ht="15" hidden="false" customHeight="true" outlineLevel="0" collapsed="false">
      <c r="A397" s="15"/>
      <c r="B397" s="7"/>
      <c r="C397" s="13"/>
      <c r="D397" s="7"/>
      <c r="E397" s="7"/>
    </row>
    <row r="398" customFormat="false" ht="15" hidden="false" customHeight="true" outlineLevel="0" collapsed="false">
      <c r="A398" s="15"/>
      <c r="B398" s="7"/>
      <c r="C398" s="13"/>
      <c r="D398" s="7"/>
      <c r="E398" s="7"/>
    </row>
    <row r="399" customFormat="false" ht="15" hidden="false" customHeight="true" outlineLevel="0" collapsed="false">
      <c r="A399" s="15"/>
      <c r="B399" s="7"/>
      <c r="C399" s="13"/>
      <c r="D399" s="7"/>
      <c r="E399" s="7"/>
    </row>
    <row r="400" customFormat="false" ht="15" hidden="false" customHeight="true" outlineLevel="0" collapsed="false">
      <c r="A400" s="15"/>
      <c r="B400" s="7"/>
      <c r="C400" s="13"/>
      <c r="D400" s="7"/>
      <c r="E400" s="7"/>
    </row>
    <row r="401" customFormat="false" ht="15" hidden="false" customHeight="true" outlineLevel="0" collapsed="false">
      <c r="A401" s="15"/>
      <c r="B401" s="7"/>
      <c r="C401" s="13"/>
      <c r="D401" s="7"/>
      <c r="E401" s="7"/>
    </row>
    <row r="402" customFormat="false" ht="15" hidden="false" customHeight="true" outlineLevel="0" collapsed="false">
      <c r="A402" s="15"/>
      <c r="B402" s="7"/>
      <c r="C402" s="13"/>
      <c r="D402" s="7"/>
      <c r="E402" s="7"/>
    </row>
    <row r="403" customFormat="false" ht="15" hidden="false" customHeight="true" outlineLevel="0" collapsed="false">
      <c r="A403" s="15"/>
      <c r="B403" s="7"/>
      <c r="C403" s="13"/>
      <c r="D403" s="7"/>
      <c r="E403" s="7"/>
    </row>
    <row r="404" customFormat="false" ht="15" hidden="false" customHeight="true" outlineLevel="0" collapsed="false">
      <c r="A404" s="15"/>
      <c r="B404" s="7"/>
      <c r="C404" s="13"/>
      <c r="D404" s="7"/>
      <c r="E404" s="7"/>
    </row>
    <row r="405" customFormat="false" ht="15" hidden="false" customHeight="true" outlineLevel="0" collapsed="false">
      <c r="A405" s="15"/>
      <c r="B405" s="7"/>
      <c r="C405" s="13"/>
      <c r="D405" s="7"/>
      <c r="E405" s="7"/>
    </row>
    <row r="406" customFormat="false" ht="15" hidden="false" customHeight="true" outlineLevel="0" collapsed="false">
      <c r="A406" s="15"/>
      <c r="B406" s="7"/>
      <c r="C406" s="13"/>
      <c r="D406" s="7"/>
      <c r="E406" s="7"/>
    </row>
    <row r="407" customFormat="false" ht="15" hidden="false" customHeight="true" outlineLevel="0" collapsed="false">
      <c r="A407" s="15"/>
      <c r="B407" s="7"/>
      <c r="C407" s="13"/>
      <c r="D407" s="7"/>
      <c r="E407" s="7"/>
    </row>
    <row r="408" customFormat="false" ht="15" hidden="false" customHeight="true" outlineLevel="0" collapsed="false">
      <c r="A408" s="15"/>
      <c r="B408" s="7"/>
      <c r="C408" s="13"/>
      <c r="D408" s="7"/>
      <c r="E408" s="7"/>
    </row>
    <row r="409" customFormat="false" ht="15" hidden="false" customHeight="true" outlineLevel="0" collapsed="false">
      <c r="A409" s="15"/>
      <c r="B409" s="7"/>
      <c r="C409" s="13"/>
      <c r="D409" s="7"/>
      <c r="E409" s="7"/>
    </row>
    <row r="410" customFormat="false" ht="15" hidden="false" customHeight="true" outlineLevel="0" collapsed="false">
      <c r="A410" s="15"/>
      <c r="B410" s="7"/>
      <c r="C410" s="13"/>
      <c r="D410" s="7"/>
      <c r="E410" s="7"/>
    </row>
    <row r="411" customFormat="false" ht="15" hidden="false" customHeight="true" outlineLevel="0" collapsed="false">
      <c r="A411" s="15"/>
      <c r="B411" s="7"/>
      <c r="C411" s="13"/>
      <c r="D411" s="7"/>
      <c r="E411" s="7"/>
    </row>
    <row r="412" customFormat="false" ht="15" hidden="false" customHeight="true" outlineLevel="0" collapsed="false">
      <c r="A412" s="15"/>
      <c r="B412" s="7"/>
      <c r="C412" s="13"/>
      <c r="D412" s="7"/>
      <c r="E412" s="7"/>
    </row>
    <row r="413" customFormat="false" ht="15" hidden="false" customHeight="true" outlineLevel="0" collapsed="false">
      <c r="A413" s="15"/>
      <c r="B413" s="7"/>
      <c r="C413" s="13"/>
      <c r="D413" s="7"/>
      <c r="E413" s="7"/>
    </row>
    <row r="414" customFormat="false" ht="15" hidden="false" customHeight="true" outlineLevel="0" collapsed="false">
      <c r="A414" s="15"/>
      <c r="B414" s="7"/>
      <c r="C414" s="13"/>
      <c r="D414" s="7"/>
      <c r="E414" s="7"/>
    </row>
    <row r="415" customFormat="false" ht="15" hidden="false" customHeight="true" outlineLevel="0" collapsed="false">
      <c r="A415" s="15"/>
      <c r="B415" s="7"/>
      <c r="C415" s="13"/>
      <c r="D415" s="7"/>
      <c r="E415" s="7"/>
    </row>
    <row r="416" customFormat="false" ht="15" hidden="false" customHeight="true" outlineLevel="0" collapsed="false">
      <c r="A416" s="15"/>
      <c r="B416" s="7"/>
      <c r="C416" s="13"/>
      <c r="D416" s="7"/>
      <c r="E416" s="7"/>
    </row>
    <row r="417" customFormat="false" ht="15" hidden="false" customHeight="true" outlineLevel="0" collapsed="false">
      <c r="A417" s="15"/>
      <c r="B417" s="7"/>
      <c r="C417" s="13"/>
      <c r="D417" s="7"/>
      <c r="E417" s="7"/>
    </row>
    <row r="418" customFormat="false" ht="15" hidden="false" customHeight="true" outlineLevel="0" collapsed="false">
      <c r="A418" s="15"/>
      <c r="B418" s="7"/>
      <c r="C418" s="13"/>
      <c r="D418" s="7"/>
      <c r="E418" s="7"/>
    </row>
    <row r="419" customFormat="false" ht="15" hidden="false" customHeight="true" outlineLevel="0" collapsed="false">
      <c r="A419" s="15"/>
      <c r="B419" s="7"/>
      <c r="C419" s="13"/>
      <c r="D419" s="7"/>
      <c r="E419" s="7"/>
    </row>
    <row r="420" customFormat="false" ht="15" hidden="false" customHeight="true" outlineLevel="0" collapsed="false">
      <c r="A420" s="15"/>
      <c r="B420" s="7"/>
      <c r="C420" s="13"/>
      <c r="D420" s="7"/>
      <c r="E420" s="7"/>
    </row>
    <row r="421" customFormat="false" ht="15" hidden="false" customHeight="true" outlineLevel="0" collapsed="false">
      <c r="A421" s="15"/>
      <c r="B421" s="7"/>
      <c r="C421" s="13"/>
      <c r="D421" s="7"/>
      <c r="E421" s="7"/>
    </row>
    <row r="422" customFormat="false" ht="15" hidden="false" customHeight="true" outlineLevel="0" collapsed="false">
      <c r="A422" s="15"/>
      <c r="B422" s="7"/>
      <c r="C422" s="13"/>
      <c r="D422" s="7"/>
      <c r="E422" s="7"/>
    </row>
    <row r="423" customFormat="false" ht="15" hidden="false" customHeight="true" outlineLevel="0" collapsed="false">
      <c r="A423" s="15"/>
      <c r="B423" s="7"/>
      <c r="C423" s="13"/>
      <c r="D423" s="7"/>
      <c r="E423" s="7"/>
    </row>
    <row r="424" customFormat="false" ht="15" hidden="false" customHeight="true" outlineLevel="0" collapsed="false">
      <c r="A424" s="15"/>
      <c r="B424" s="7"/>
      <c r="C424" s="13"/>
      <c r="D424" s="7"/>
      <c r="E424" s="7"/>
    </row>
    <row r="425" customFormat="false" ht="15" hidden="false" customHeight="true" outlineLevel="0" collapsed="false">
      <c r="A425" s="15"/>
      <c r="B425" s="7"/>
      <c r="C425" s="13"/>
      <c r="D425" s="7"/>
      <c r="E425" s="7"/>
    </row>
    <row r="426" customFormat="false" ht="15" hidden="false" customHeight="true" outlineLevel="0" collapsed="false">
      <c r="A426" s="15"/>
      <c r="B426" s="7"/>
      <c r="C426" s="13"/>
      <c r="D426" s="7"/>
      <c r="E426" s="7"/>
    </row>
    <row r="427" customFormat="false" ht="15" hidden="false" customHeight="true" outlineLevel="0" collapsed="false">
      <c r="A427" s="15"/>
      <c r="B427" s="7"/>
      <c r="C427" s="13"/>
      <c r="D427" s="7"/>
      <c r="E427" s="7"/>
    </row>
    <row r="428" customFormat="false" ht="15" hidden="false" customHeight="true" outlineLevel="0" collapsed="false">
      <c r="A428" s="15"/>
      <c r="B428" s="7"/>
      <c r="C428" s="13"/>
      <c r="D428" s="7"/>
      <c r="E428" s="7"/>
    </row>
    <row r="429" customFormat="false" ht="15" hidden="false" customHeight="true" outlineLevel="0" collapsed="false">
      <c r="A429" s="15"/>
      <c r="B429" s="7"/>
      <c r="C429" s="13"/>
      <c r="D429" s="7"/>
      <c r="E429" s="7"/>
    </row>
    <row r="430" customFormat="false" ht="15" hidden="false" customHeight="true" outlineLevel="0" collapsed="false">
      <c r="A430" s="15"/>
      <c r="B430" s="7"/>
      <c r="C430" s="13"/>
      <c r="D430" s="7"/>
      <c r="E430" s="7"/>
    </row>
    <row r="431" customFormat="false" ht="15" hidden="false" customHeight="true" outlineLevel="0" collapsed="false">
      <c r="A431" s="15"/>
      <c r="B431" s="7"/>
      <c r="C431" s="13"/>
      <c r="D431" s="7"/>
      <c r="E431" s="7"/>
    </row>
    <row r="432" customFormat="false" ht="15" hidden="false" customHeight="true" outlineLevel="0" collapsed="false">
      <c r="A432" s="15"/>
      <c r="B432" s="7"/>
      <c r="C432" s="13"/>
      <c r="D432" s="7"/>
      <c r="E432" s="7"/>
    </row>
    <row r="433" customFormat="false" ht="15" hidden="false" customHeight="true" outlineLevel="0" collapsed="false">
      <c r="A433" s="15"/>
      <c r="B433" s="7"/>
      <c r="C433" s="13"/>
      <c r="D433" s="7"/>
      <c r="E433" s="7"/>
    </row>
    <row r="434" customFormat="false" ht="15" hidden="false" customHeight="true" outlineLevel="0" collapsed="false">
      <c r="A434" s="15"/>
      <c r="B434" s="7"/>
      <c r="C434" s="13"/>
      <c r="D434" s="7"/>
      <c r="E434" s="7"/>
    </row>
    <row r="435" customFormat="false" ht="15" hidden="false" customHeight="true" outlineLevel="0" collapsed="false">
      <c r="A435" s="15"/>
      <c r="B435" s="7"/>
      <c r="C435" s="13"/>
      <c r="D435" s="7"/>
      <c r="E435" s="7"/>
    </row>
    <row r="436" customFormat="false" ht="15" hidden="false" customHeight="true" outlineLevel="0" collapsed="false">
      <c r="A436" s="15"/>
      <c r="B436" s="7"/>
      <c r="C436" s="13"/>
      <c r="D436" s="7"/>
      <c r="E436" s="7"/>
    </row>
    <row r="437" customFormat="false" ht="15" hidden="false" customHeight="true" outlineLevel="0" collapsed="false">
      <c r="A437" s="15"/>
      <c r="B437" s="7"/>
      <c r="C437" s="13"/>
      <c r="D437" s="7"/>
      <c r="E437" s="7"/>
    </row>
    <row r="438" customFormat="false" ht="15" hidden="false" customHeight="true" outlineLevel="0" collapsed="false">
      <c r="A438" s="15"/>
      <c r="B438" s="7"/>
      <c r="C438" s="13"/>
      <c r="D438" s="7"/>
      <c r="E438" s="7"/>
    </row>
    <row r="439" customFormat="false" ht="15" hidden="false" customHeight="true" outlineLevel="0" collapsed="false">
      <c r="A439" s="15"/>
      <c r="B439" s="7"/>
      <c r="C439" s="13"/>
      <c r="D439" s="7"/>
      <c r="E439" s="7"/>
    </row>
    <row r="440" customFormat="false" ht="15" hidden="false" customHeight="true" outlineLevel="0" collapsed="false">
      <c r="A440" s="15"/>
      <c r="B440" s="7"/>
      <c r="C440" s="13"/>
      <c r="D440" s="7"/>
      <c r="E440" s="7"/>
    </row>
    <row r="441" customFormat="false" ht="15" hidden="false" customHeight="true" outlineLevel="0" collapsed="false">
      <c r="A441" s="15"/>
      <c r="B441" s="7"/>
      <c r="C441" s="13"/>
      <c r="D441" s="7"/>
      <c r="E441" s="7"/>
    </row>
    <row r="442" customFormat="false" ht="15" hidden="false" customHeight="true" outlineLevel="0" collapsed="false">
      <c r="A442" s="15"/>
      <c r="B442" s="7"/>
      <c r="C442" s="13"/>
      <c r="D442" s="7"/>
      <c r="E442" s="7"/>
    </row>
    <row r="443" customFormat="false" ht="15" hidden="false" customHeight="true" outlineLevel="0" collapsed="false">
      <c r="A443" s="15"/>
      <c r="B443" s="7"/>
      <c r="C443" s="13"/>
      <c r="D443" s="7"/>
      <c r="E443" s="7"/>
    </row>
    <row r="444" customFormat="false" ht="15" hidden="false" customHeight="true" outlineLevel="0" collapsed="false">
      <c r="A444" s="15"/>
      <c r="B444" s="7"/>
      <c r="C444" s="13"/>
      <c r="D444" s="7"/>
      <c r="E444" s="7"/>
    </row>
    <row r="445" customFormat="false" ht="15" hidden="false" customHeight="true" outlineLevel="0" collapsed="false">
      <c r="A445" s="15"/>
      <c r="B445" s="7"/>
      <c r="C445" s="13"/>
      <c r="D445" s="7"/>
      <c r="E445" s="7"/>
    </row>
    <row r="446" customFormat="false" ht="15" hidden="false" customHeight="true" outlineLevel="0" collapsed="false">
      <c r="A446" s="15"/>
      <c r="B446" s="7"/>
      <c r="C446" s="13"/>
      <c r="D446" s="7"/>
      <c r="E446" s="7"/>
    </row>
    <row r="447" customFormat="false" ht="15" hidden="false" customHeight="true" outlineLevel="0" collapsed="false">
      <c r="A447" s="15"/>
      <c r="B447" s="7"/>
      <c r="C447" s="13"/>
      <c r="D447" s="7"/>
      <c r="E447" s="7"/>
    </row>
    <row r="448" customFormat="false" ht="15" hidden="false" customHeight="true" outlineLevel="0" collapsed="false">
      <c r="A448" s="15"/>
      <c r="B448" s="7"/>
      <c r="C448" s="13"/>
      <c r="D448" s="7"/>
      <c r="E448" s="7"/>
    </row>
    <row r="449" customFormat="false" ht="15" hidden="false" customHeight="true" outlineLevel="0" collapsed="false">
      <c r="A449" s="15"/>
      <c r="B449" s="7"/>
      <c r="C449" s="13"/>
      <c r="D449" s="7"/>
      <c r="E449" s="7"/>
    </row>
    <row r="450" customFormat="false" ht="15" hidden="false" customHeight="true" outlineLevel="0" collapsed="false">
      <c r="A450" s="15"/>
      <c r="B450" s="7"/>
      <c r="C450" s="13"/>
      <c r="D450" s="7"/>
      <c r="E450" s="7"/>
    </row>
    <row r="451" customFormat="false" ht="15" hidden="false" customHeight="true" outlineLevel="0" collapsed="false">
      <c r="A451" s="15"/>
      <c r="B451" s="7"/>
      <c r="C451" s="13"/>
      <c r="D451" s="7"/>
      <c r="E451" s="7"/>
    </row>
    <row r="452" customFormat="false" ht="15" hidden="false" customHeight="true" outlineLevel="0" collapsed="false">
      <c r="A452" s="15"/>
      <c r="B452" s="7"/>
      <c r="C452" s="13"/>
      <c r="D452" s="7"/>
      <c r="E452" s="7"/>
    </row>
    <row r="453" customFormat="false" ht="15" hidden="false" customHeight="true" outlineLevel="0" collapsed="false">
      <c r="A453" s="15"/>
      <c r="B453" s="7"/>
      <c r="C453" s="13"/>
      <c r="D453" s="7"/>
      <c r="E453" s="7"/>
    </row>
    <row r="454" customFormat="false" ht="15" hidden="false" customHeight="true" outlineLevel="0" collapsed="false">
      <c r="A454" s="15"/>
      <c r="B454" s="7"/>
      <c r="C454" s="13"/>
      <c r="D454" s="7"/>
      <c r="E454" s="7"/>
    </row>
    <row r="455" customFormat="false" ht="15" hidden="false" customHeight="true" outlineLevel="0" collapsed="false">
      <c r="A455" s="15"/>
      <c r="B455" s="7"/>
      <c r="C455" s="13"/>
      <c r="D455" s="7"/>
      <c r="E455" s="7"/>
    </row>
    <row r="456" customFormat="false" ht="15" hidden="false" customHeight="true" outlineLevel="0" collapsed="false">
      <c r="A456" s="15"/>
      <c r="B456" s="7"/>
      <c r="C456" s="13"/>
      <c r="D456" s="7"/>
      <c r="E456" s="7"/>
    </row>
    <row r="457" customFormat="false" ht="15" hidden="false" customHeight="true" outlineLevel="0" collapsed="false">
      <c r="A457" s="15"/>
      <c r="B457" s="7"/>
      <c r="C457" s="13"/>
      <c r="D457" s="7"/>
      <c r="E457" s="7"/>
    </row>
    <row r="458" customFormat="false" ht="15" hidden="false" customHeight="true" outlineLevel="0" collapsed="false">
      <c r="A458" s="15"/>
      <c r="B458" s="7"/>
      <c r="C458" s="13"/>
      <c r="D458" s="7"/>
      <c r="E458" s="7"/>
    </row>
    <row r="459" customFormat="false" ht="15" hidden="false" customHeight="true" outlineLevel="0" collapsed="false">
      <c r="A459" s="15"/>
      <c r="B459" s="7"/>
      <c r="C459" s="13"/>
      <c r="D459" s="7"/>
      <c r="E459" s="7"/>
    </row>
    <row r="460" customFormat="false" ht="15" hidden="false" customHeight="true" outlineLevel="0" collapsed="false">
      <c r="A460" s="15"/>
      <c r="B460" s="7"/>
      <c r="C460" s="13"/>
      <c r="D460" s="7"/>
      <c r="E460" s="7"/>
    </row>
    <row r="461" customFormat="false" ht="15" hidden="false" customHeight="true" outlineLevel="0" collapsed="false">
      <c r="A461" s="15"/>
      <c r="B461" s="7"/>
      <c r="C461" s="13"/>
      <c r="D461" s="7"/>
      <c r="E461" s="7"/>
    </row>
    <row r="462" customFormat="false" ht="15" hidden="false" customHeight="true" outlineLevel="0" collapsed="false">
      <c r="A462" s="15"/>
      <c r="B462" s="7"/>
      <c r="C462" s="13"/>
      <c r="D462" s="7"/>
      <c r="E462" s="7"/>
    </row>
    <row r="463" customFormat="false" ht="15" hidden="false" customHeight="true" outlineLevel="0" collapsed="false">
      <c r="A463" s="15"/>
      <c r="B463" s="7"/>
      <c r="C463" s="13"/>
      <c r="D463" s="7"/>
      <c r="E463" s="7"/>
    </row>
    <row r="464" customFormat="false" ht="15" hidden="false" customHeight="true" outlineLevel="0" collapsed="false">
      <c r="A464" s="15"/>
      <c r="B464" s="7"/>
      <c r="C464" s="13"/>
      <c r="D464" s="7"/>
      <c r="E464" s="7"/>
    </row>
    <row r="465" customFormat="false" ht="15" hidden="false" customHeight="true" outlineLevel="0" collapsed="false">
      <c r="A465" s="15"/>
      <c r="B465" s="7"/>
      <c r="C465" s="13"/>
      <c r="D465" s="7"/>
      <c r="E465" s="7"/>
    </row>
    <row r="466" customFormat="false" ht="15" hidden="false" customHeight="true" outlineLevel="0" collapsed="false">
      <c r="A466" s="15"/>
      <c r="B466" s="7"/>
      <c r="C466" s="13"/>
      <c r="D466" s="7"/>
      <c r="E466" s="7"/>
    </row>
    <row r="467" customFormat="false" ht="15" hidden="false" customHeight="true" outlineLevel="0" collapsed="false">
      <c r="A467" s="15"/>
      <c r="B467" s="7"/>
      <c r="C467" s="13"/>
      <c r="D467" s="7"/>
      <c r="E467" s="7"/>
    </row>
    <row r="468" customFormat="false" ht="15" hidden="false" customHeight="true" outlineLevel="0" collapsed="false">
      <c r="A468" s="15"/>
      <c r="B468" s="7"/>
      <c r="C468" s="13"/>
      <c r="D468" s="7"/>
      <c r="E468" s="7"/>
    </row>
    <row r="469" customFormat="false" ht="15" hidden="false" customHeight="true" outlineLevel="0" collapsed="false">
      <c r="A469" s="15"/>
      <c r="B469" s="7"/>
      <c r="C469" s="13"/>
      <c r="D469" s="7"/>
      <c r="E469" s="7"/>
    </row>
    <row r="470" customFormat="false" ht="15" hidden="false" customHeight="true" outlineLevel="0" collapsed="false">
      <c r="A470" s="15"/>
      <c r="B470" s="7"/>
      <c r="C470" s="13"/>
      <c r="D470" s="7"/>
      <c r="E470" s="7"/>
    </row>
    <row r="471" customFormat="false" ht="15" hidden="false" customHeight="true" outlineLevel="0" collapsed="false">
      <c r="A471" s="15"/>
      <c r="B471" s="7"/>
      <c r="C471" s="13"/>
      <c r="D471" s="7"/>
      <c r="E471" s="7"/>
    </row>
    <row r="472" customFormat="false" ht="15" hidden="false" customHeight="true" outlineLevel="0" collapsed="false">
      <c r="A472" s="15"/>
      <c r="B472" s="7"/>
      <c r="C472" s="13"/>
      <c r="D472" s="7"/>
      <c r="E472" s="7"/>
    </row>
    <row r="473" customFormat="false" ht="15" hidden="false" customHeight="true" outlineLevel="0" collapsed="false">
      <c r="A473" s="15"/>
      <c r="B473" s="7"/>
      <c r="C473" s="13"/>
      <c r="D473" s="7"/>
      <c r="E473" s="7"/>
    </row>
    <row r="474" customFormat="false" ht="15" hidden="false" customHeight="true" outlineLevel="0" collapsed="false">
      <c r="A474" s="15"/>
      <c r="B474" s="7"/>
      <c r="C474" s="13"/>
      <c r="D474" s="7"/>
      <c r="E474" s="7"/>
    </row>
    <row r="475" customFormat="false" ht="15" hidden="false" customHeight="true" outlineLevel="0" collapsed="false">
      <c r="A475" s="15"/>
      <c r="B475" s="7"/>
      <c r="C475" s="13"/>
      <c r="D475" s="7"/>
      <c r="E475" s="7"/>
    </row>
    <row r="476" customFormat="false" ht="15" hidden="false" customHeight="true" outlineLevel="0" collapsed="false">
      <c r="A476" s="15"/>
      <c r="B476" s="7"/>
      <c r="C476" s="13"/>
      <c r="D476" s="7"/>
      <c r="E476" s="7"/>
    </row>
    <row r="477" customFormat="false" ht="15" hidden="false" customHeight="true" outlineLevel="0" collapsed="false">
      <c r="A477" s="15"/>
      <c r="B477" s="7"/>
      <c r="C477" s="13"/>
      <c r="D477" s="7"/>
      <c r="E477" s="7"/>
    </row>
    <row r="478" customFormat="false" ht="15" hidden="false" customHeight="true" outlineLevel="0" collapsed="false">
      <c r="A478" s="15"/>
      <c r="B478" s="7"/>
      <c r="C478" s="13"/>
      <c r="D478" s="7"/>
      <c r="E478" s="7"/>
    </row>
    <row r="479" customFormat="false" ht="15" hidden="false" customHeight="true" outlineLevel="0" collapsed="false">
      <c r="A479" s="15"/>
      <c r="B479" s="7"/>
      <c r="C479" s="13"/>
      <c r="D479" s="7"/>
      <c r="E479" s="7"/>
    </row>
    <row r="480" customFormat="false" ht="15" hidden="false" customHeight="true" outlineLevel="0" collapsed="false">
      <c r="A480" s="15"/>
      <c r="B480" s="7"/>
      <c r="C480" s="13"/>
      <c r="D480" s="7"/>
      <c r="E480" s="7"/>
    </row>
    <row r="481" customFormat="false" ht="15" hidden="false" customHeight="true" outlineLevel="0" collapsed="false">
      <c r="A481" s="15"/>
      <c r="B481" s="7"/>
      <c r="C481" s="13"/>
      <c r="D481" s="7"/>
      <c r="E481" s="7"/>
    </row>
    <row r="482" customFormat="false" ht="15" hidden="false" customHeight="true" outlineLevel="0" collapsed="false">
      <c r="A482" s="15"/>
      <c r="B482" s="7"/>
      <c r="C482" s="13"/>
      <c r="D482" s="7"/>
      <c r="E482" s="7"/>
    </row>
    <row r="483" customFormat="false" ht="15" hidden="false" customHeight="true" outlineLevel="0" collapsed="false">
      <c r="A483" s="15"/>
      <c r="B483" s="7"/>
      <c r="C483" s="13"/>
      <c r="D483" s="7"/>
      <c r="E483" s="7"/>
    </row>
    <row r="484" customFormat="false" ht="15" hidden="false" customHeight="true" outlineLevel="0" collapsed="false">
      <c r="A484" s="15"/>
      <c r="B484" s="7"/>
      <c r="C484" s="13"/>
      <c r="D484" s="7"/>
      <c r="E484" s="7"/>
    </row>
    <row r="485" customFormat="false" ht="15" hidden="false" customHeight="true" outlineLevel="0" collapsed="false">
      <c r="A485" s="15"/>
      <c r="B485" s="7"/>
      <c r="C485" s="13"/>
      <c r="D485" s="7"/>
      <c r="E485" s="7"/>
    </row>
    <row r="486" customFormat="false" ht="15" hidden="false" customHeight="true" outlineLevel="0" collapsed="false">
      <c r="A486" s="15"/>
      <c r="B486" s="7"/>
      <c r="C486" s="13"/>
      <c r="D486" s="7"/>
      <c r="E486" s="7"/>
    </row>
    <row r="487" customFormat="false" ht="15" hidden="false" customHeight="true" outlineLevel="0" collapsed="false">
      <c r="A487" s="15"/>
      <c r="B487" s="7"/>
      <c r="C487" s="13"/>
      <c r="D487" s="7"/>
      <c r="E487" s="7"/>
    </row>
    <row r="488" customFormat="false" ht="15" hidden="false" customHeight="true" outlineLevel="0" collapsed="false">
      <c r="A488" s="15"/>
      <c r="B488" s="7"/>
      <c r="C488" s="13"/>
      <c r="D488" s="7"/>
      <c r="E488" s="7"/>
    </row>
    <row r="489" customFormat="false" ht="15" hidden="false" customHeight="true" outlineLevel="0" collapsed="false">
      <c r="A489" s="15"/>
      <c r="B489" s="7"/>
      <c r="C489" s="13"/>
      <c r="D489" s="7"/>
      <c r="E489" s="7"/>
    </row>
    <row r="490" customFormat="false" ht="15" hidden="false" customHeight="true" outlineLevel="0" collapsed="false">
      <c r="A490" s="15"/>
      <c r="B490" s="7"/>
      <c r="C490" s="13"/>
      <c r="D490" s="7"/>
      <c r="E490" s="7"/>
    </row>
    <row r="491" customFormat="false" ht="15" hidden="false" customHeight="true" outlineLevel="0" collapsed="false">
      <c r="A491" s="15"/>
      <c r="B491" s="7"/>
      <c r="C491" s="13"/>
      <c r="D491" s="7"/>
      <c r="E491" s="7"/>
    </row>
    <row r="492" customFormat="false" ht="15" hidden="false" customHeight="true" outlineLevel="0" collapsed="false">
      <c r="A492" s="15"/>
      <c r="B492" s="7"/>
      <c r="C492" s="13"/>
      <c r="D492" s="7"/>
      <c r="E492" s="7"/>
    </row>
    <row r="493" customFormat="false" ht="15" hidden="false" customHeight="true" outlineLevel="0" collapsed="false">
      <c r="A493" s="15"/>
      <c r="B493" s="7"/>
      <c r="C493" s="13"/>
      <c r="D493" s="7"/>
      <c r="E493" s="7"/>
    </row>
    <row r="494" customFormat="false" ht="15" hidden="false" customHeight="true" outlineLevel="0" collapsed="false">
      <c r="A494" s="15"/>
      <c r="B494" s="7"/>
      <c r="C494" s="13"/>
      <c r="D494" s="7"/>
      <c r="E494" s="7"/>
    </row>
    <row r="495" customFormat="false" ht="15" hidden="false" customHeight="true" outlineLevel="0" collapsed="false">
      <c r="A495" s="15"/>
      <c r="B495" s="7"/>
      <c r="C495" s="13"/>
      <c r="D495" s="7"/>
      <c r="E495" s="7"/>
    </row>
    <row r="496" customFormat="false" ht="15" hidden="false" customHeight="true" outlineLevel="0" collapsed="false">
      <c r="A496" s="15"/>
      <c r="B496" s="7"/>
      <c r="C496" s="13"/>
      <c r="D496" s="7"/>
      <c r="E496" s="7"/>
    </row>
    <row r="497" customFormat="false" ht="15" hidden="false" customHeight="true" outlineLevel="0" collapsed="false">
      <c r="A497" s="15"/>
      <c r="B497" s="7"/>
      <c r="C497" s="13"/>
      <c r="D497" s="7"/>
      <c r="E497" s="7"/>
    </row>
    <row r="498" customFormat="false" ht="15" hidden="false" customHeight="true" outlineLevel="0" collapsed="false">
      <c r="A498" s="15"/>
      <c r="B498" s="7"/>
      <c r="C498" s="13"/>
      <c r="D498" s="7"/>
      <c r="E498" s="7"/>
    </row>
    <row r="499" customFormat="false" ht="15" hidden="false" customHeight="true" outlineLevel="0" collapsed="false">
      <c r="A499" s="15"/>
      <c r="B499" s="7"/>
      <c r="C499" s="13"/>
      <c r="D499" s="7"/>
      <c r="E499" s="7"/>
    </row>
    <row r="500" customFormat="false" ht="15" hidden="false" customHeight="true" outlineLevel="0" collapsed="false">
      <c r="A500" s="15"/>
      <c r="B500" s="7"/>
      <c r="C500" s="13"/>
      <c r="D500" s="7"/>
      <c r="E500" s="7"/>
    </row>
    <row r="501" customFormat="false" ht="15" hidden="false" customHeight="true" outlineLevel="0" collapsed="false">
      <c r="A501" s="15"/>
      <c r="B501" s="7"/>
      <c r="C501" s="13"/>
      <c r="D501" s="7"/>
      <c r="E501" s="7"/>
    </row>
  </sheetData>
  <dataValidations count="2">
    <dataValidation allowBlank="true" errorStyle="stop" operator="between" showDropDown="false" showErrorMessage="false" showInputMessage="false" sqref="B2:B501" type="list">
      <formula1>"Owner Drawing,Capital In"</formula1>
      <formula2>0</formula2>
    </dataValidation>
    <dataValidation allowBlank="true" errorStyle="stop" operator="between" showDropDown="false" showErrorMessage="false" showInputMessage="false" sqref="E2:E501" type="list">
      <formula1>Settings!$I$3:$I$7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5"/>
    <col collapsed="false" customWidth="true" hidden="false" outlineLevel="0" max="3" min="3" style="1" width="13"/>
    <col collapsed="false" customWidth="true" hidden="false" outlineLevel="0" max="4" min="4" style="1" width="15"/>
    <col collapsed="false" customWidth="true" hidden="false" outlineLevel="0" max="5" min="5" style="1" width="17"/>
    <col collapsed="false" customWidth="true" hidden="false" outlineLevel="0" max="7" min="6" style="1" width="15"/>
    <col collapsed="false" customWidth="true" hidden="false" outlineLevel="0" max="8" min="8" style="1" width="18"/>
    <col collapsed="false" customWidth="true" hidden="false" outlineLevel="0" max="9" min="9" style="1" width="15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2" t="s">
        <v>1186</v>
      </c>
    </row>
    <row r="2" customFormat="false" ht="15" hidden="false" customHeight="true" outlineLevel="0" collapsed="false">
      <c r="A2" s="19" t="s">
        <v>1187</v>
      </c>
    </row>
    <row r="3" customFormat="false" ht="15" hidden="false" customHeight="true" outlineLevel="0" collapsed="false">
      <c r="A3" s="4" t="s">
        <v>1188</v>
      </c>
    </row>
    <row r="4" customFormat="false" ht="30" hidden="false" customHeight="true" outlineLevel="0" collapsed="false">
      <c r="A4" s="20" t="s">
        <v>1189</v>
      </c>
      <c r="B4" s="20" t="s">
        <v>1190</v>
      </c>
      <c r="C4" s="20" t="s">
        <v>1191</v>
      </c>
      <c r="D4" s="20" t="s">
        <v>1192</v>
      </c>
      <c r="E4" s="20" t="s">
        <v>1193</v>
      </c>
      <c r="F4" s="20" t="s">
        <v>1194</v>
      </c>
      <c r="G4" s="20" t="s">
        <v>1195</v>
      </c>
      <c r="H4" s="20" t="s">
        <v>1196</v>
      </c>
      <c r="I4" s="20" t="s">
        <v>1197</v>
      </c>
      <c r="J4" s="20" t="s">
        <v>1198</v>
      </c>
    </row>
    <row r="5" customFormat="false" ht="15" hidden="false" customHeight="true" outlineLevel="0" collapsed="false">
      <c r="A5" s="21" t="n">
        <f aca="false">DATE(Settings!$B$9,1,1)</f>
        <v>46023</v>
      </c>
      <c r="B5" s="22" t="n">
        <f aca="false">SUMIFS(Sales_Items!$H$2:$H$3001,Sales_Items!$B$2:$B$3001,"&gt;="&amp;$A5,Sales_Items!$B$2:$B$3001,"&lt;"&amp;DATE(YEAR($A5),MONTH($A5)+1,1))</f>
        <v>0</v>
      </c>
      <c r="C5" s="22" t="n">
        <f aca="false">SUMIFS(Sales_Memo!$F$2:$F$1001,Sales_Memo!$B$2:$B$1001,"&gt;="&amp;$A5,Sales_Memo!$B$2:$B$1001,"&lt;"&amp;DATE(YEAR($A5),MONTH($A5)+1,1))</f>
        <v>0</v>
      </c>
      <c r="D5" s="22" t="n">
        <f aca="false">B5-C5</f>
        <v>0</v>
      </c>
      <c r="E5" s="22" t="n">
        <f aca="false">SUMIFS(Sales_Items!$I$2:$I$3001,Sales_Items!$B$2:$B$3001,"&gt;="&amp;$A5,Sales_Items!$B$2:$B$3001,"&lt;"&amp;DATE(YEAR($A5),MONTH($A5)+1,1))</f>
        <v>0</v>
      </c>
      <c r="F5" s="22" t="n">
        <f aca="false">D5-E5</f>
        <v>0</v>
      </c>
      <c r="G5" s="22" t="n">
        <f aca="false">SUMIFS(Running_Costs!$D$2:$D$1001,Running_Costs!$A$2:$A$1001,"&gt;="&amp;$A5,Running_Costs!$A$2:$A$1001,"&lt;"&amp;DATE(YEAR($A5),MONTH($A5)+1,1))</f>
        <v>0</v>
      </c>
      <c r="H5" s="23" t="n">
        <f aca="false">F5-G5</f>
        <v>0</v>
      </c>
      <c r="I5" s="22" t="n">
        <f aca="false">SUMIFS(Fixed_Costs!$D$2:$D$501,Fixed_Costs!$A$2:$A$501,"&gt;="&amp;$A5,Fixed_Costs!$A$2:$A$501,"&lt;"&amp;DATE(YEAR($A5),MONTH($A5)+1,1))</f>
        <v>0</v>
      </c>
      <c r="J5" s="22" t="n">
        <f aca="false">H5-I5</f>
        <v>0</v>
      </c>
    </row>
    <row r="6" customFormat="false" ht="15" hidden="false" customHeight="true" outlineLevel="0" collapsed="false">
      <c r="A6" s="21" t="n">
        <f aca="false">DATE(Settings!$B$9,2,1)</f>
        <v>46054</v>
      </c>
      <c r="B6" s="22" t="n">
        <f aca="false">SUMIFS(Sales_Items!$H$2:$H$3001,Sales_Items!$B$2:$B$3001,"&gt;="&amp;$A6,Sales_Items!$B$2:$B$3001,"&lt;"&amp;DATE(YEAR($A6),MONTH($A6)+1,1))</f>
        <v>0</v>
      </c>
      <c r="C6" s="22" t="n">
        <f aca="false">SUMIFS(Sales_Memo!$F$2:$F$1001,Sales_Memo!$B$2:$B$1001,"&gt;="&amp;$A6,Sales_Memo!$B$2:$B$1001,"&lt;"&amp;DATE(YEAR($A6),MONTH($A6)+1,1))</f>
        <v>0</v>
      </c>
      <c r="D6" s="22" t="n">
        <f aca="false">B6-C6</f>
        <v>0</v>
      </c>
      <c r="E6" s="22" t="n">
        <f aca="false">SUMIFS(Sales_Items!$I$2:$I$3001,Sales_Items!$B$2:$B$3001,"&gt;="&amp;$A6,Sales_Items!$B$2:$B$3001,"&lt;"&amp;DATE(YEAR($A6),MONTH($A6)+1,1))</f>
        <v>0</v>
      </c>
      <c r="F6" s="22" t="n">
        <f aca="false">D6-E6</f>
        <v>0</v>
      </c>
      <c r="G6" s="22" t="n">
        <f aca="false">SUMIFS(Running_Costs!$D$2:$D$1001,Running_Costs!$A$2:$A$1001,"&gt;="&amp;$A6,Running_Costs!$A$2:$A$1001,"&lt;"&amp;DATE(YEAR($A6),MONTH($A6)+1,1))</f>
        <v>0</v>
      </c>
      <c r="H6" s="23" t="n">
        <f aca="false">F6-G6</f>
        <v>0</v>
      </c>
      <c r="I6" s="22" t="n">
        <f aca="false">SUMIFS(Fixed_Costs!$D$2:$D$501,Fixed_Costs!$A$2:$A$501,"&gt;="&amp;$A6,Fixed_Costs!$A$2:$A$501,"&lt;"&amp;DATE(YEAR($A6),MONTH($A6)+1,1))</f>
        <v>0</v>
      </c>
      <c r="J6" s="22" t="n">
        <f aca="false">H6-I6</f>
        <v>0</v>
      </c>
    </row>
    <row r="7" customFormat="false" ht="15" hidden="false" customHeight="true" outlineLevel="0" collapsed="false">
      <c r="A7" s="21" t="n">
        <f aca="false">DATE(Settings!$B$9,3,1)</f>
        <v>46082</v>
      </c>
      <c r="B7" s="22" t="n">
        <f aca="false">SUMIFS(Sales_Items!$H$2:$H$3001,Sales_Items!$B$2:$B$3001,"&gt;="&amp;$A7,Sales_Items!$B$2:$B$3001,"&lt;"&amp;DATE(YEAR($A7),MONTH($A7)+1,1))</f>
        <v>0</v>
      </c>
      <c r="C7" s="22" t="n">
        <f aca="false">SUMIFS(Sales_Memo!$F$2:$F$1001,Sales_Memo!$B$2:$B$1001,"&gt;="&amp;$A7,Sales_Memo!$B$2:$B$1001,"&lt;"&amp;DATE(YEAR($A7),MONTH($A7)+1,1))</f>
        <v>0</v>
      </c>
      <c r="D7" s="22" t="n">
        <f aca="false">B7-C7</f>
        <v>0</v>
      </c>
      <c r="E7" s="22" t="n">
        <f aca="false">SUMIFS(Sales_Items!$I$2:$I$3001,Sales_Items!$B$2:$B$3001,"&gt;="&amp;$A7,Sales_Items!$B$2:$B$3001,"&lt;"&amp;DATE(YEAR($A7),MONTH($A7)+1,1))</f>
        <v>0</v>
      </c>
      <c r="F7" s="22" t="n">
        <f aca="false">D7-E7</f>
        <v>0</v>
      </c>
      <c r="G7" s="22" t="n">
        <f aca="false">SUMIFS(Running_Costs!$D$2:$D$1001,Running_Costs!$A$2:$A$1001,"&gt;="&amp;$A7,Running_Costs!$A$2:$A$1001,"&lt;"&amp;DATE(YEAR($A7),MONTH($A7)+1,1))</f>
        <v>0</v>
      </c>
      <c r="H7" s="23" t="n">
        <f aca="false">F7-G7</f>
        <v>0</v>
      </c>
      <c r="I7" s="22" t="n">
        <f aca="false">SUMIFS(Fixed_Costs!$D$2:$D$501,Fixed_Costs!$A$2:$A$501,"&gt;="&amp;$A7,Fixed_Costs!$A$2:$A$501,"&lt;"&amp;DATE(YEAR($A7),MONTH($A7)+1,1))</f>
        <v>0</v>
      </c>
      <c r="J7" s="22" t="n">
        <f aca="false">H7-I7</f>
        <v>0</v>
      </c>
    </row>
    <row r="8" customFormat="false" ht="15" hidden="false" customHeight="true" outlineLevel="0" collapsed="false">
      <c r="A8" s="21" t="n">
        <f aca="false">DATE(Settings!$B$9,4,1)</f>
        <v>46113</v>
      </c>
      <c r="B8" s="22" t="n">
        <f aca="false">SUMIFS(Sales_Items!$H$2:$H$3001,Sales_Items!$B$2:$B$3001,"&gt;="&amp;$A8,Sales_Items!$B$2:$B$3001,"&lt;"&amp;DATE(YEAR($A8),MONTH($A8)+1,1))</f>
        <v>0</v>
      </c>
      <c r="C8" s="22" t="n">
        <f aca="false">SUMIFS(Sales_Memo!$F$2:$F$1001,Sales_Memo!$B$2:$B$1001,"&gt;="&amp;$A8,Sales_Memo!$B$2:$B$1001,"&lt;"&amp;DATE(YEAR($A8),MONTH($A8)+1,1))</f>
        <v>0</v>
      </c>
      <c r="D8" s="22" t="n">
        <f aca="false">B8-C8</f>
        <v>0</v>
      </c>
      <c r="E8" s="22" t="n">
        <f aca="false">SUMIFS(Sales_Items!$I$2:$I$3001,Sales_Items!$B$2:$B$3001,"&gt;="&amp;$A8,Sales_Items!$B$2:$B$3001,"&lt;"&amp;DATE(YEAR($A8),MONTH($A8)+1,1))</f>
        <v>0</v>
      </c>
      <c r="F8" s="22" t="n">
        <f aca="false">D8-E8</f>
        <v>0</v>
      </c>
      <c r="G8" s="22" t="n">
        <f aca="false">SUMIFS(Running_Costs!$D$2:$D$1001,Running_Costs!$A$2:$A$1001,"&gt;="&amp;$A8,Running_Costs!$A$2:$A$1001,"&lt;"&amp;DATE(YEAR($A8),MONTH($A8)+1,1))</f>
        <v>0</v>
      </c>
      <c r="H8" s="23" t="n">
        <f aca="false">F8-G8</f>
        <v>0</v>
      </c>
      <c r="I8" s="22" t="n">
        <f aca="false">SUMIFS(Fixed_Costs!$D$2:$D$501,Fixed_Costs!$A$2:$A$501,"&gt;="&amp;$A8,Fixed_Costs!$A$2:$A$501,"&lt;"&amp;DATE(YEAR($A8),MONTH($A8)+1,1))</f>
        <v>0</v>
      </c>
      <c r="J8" s="22" t="n">
        <f aca="false">H8-I8</f>
        <v>0</v>
      </c>
    </row>
    <row r="9" customFormat="false" ht="15" hidden="false" customHeight="true" outlineLevel="0" collapsed="false">
      <c r="A9" s="21" t="n">
        <f aca="false">DATE(Settings!$B$9,5,1)</f>
        <v>46143</v>
      </c>
      <c r="B9" s="22" t="n">
        <f aca="false">SUMIFS(Sales_Items!$H$2:$H$3001,Sales_Items!$B$2:$B$3001,"&gt;="&amp;$A9,Sales_Items!$B$2:$B$3001,"&lt;"&amp;DATE(YEAR($A9),MONTH($A9)+1,1))</f>
        <v>0</v>
      </c>
      <c r="C9" s="22" t="n">
        <f aca="false">SUMIFS(Sales_Memo!$F$2:$F$1001,Sales_Memo!$B$2:$B$1001,"&gt;="&amp;$A9,Sales_Memo!$B$2:$B$1001,"&lt;"&amp;DATE(YEAR($A9),MONTH($A9)+1,1))</f>
        <v>0</v>
      </c>
      <c r="D9" s="22" t="n">
        <f aca="false">B9-C9</f>
        <v>0</v>
      </c>
      <c r="E9" s="22" t="n">
        <f aca="false">SUMIFS(Sales_Items!$I$2:$I$3001,Sales_Items!$B$2:$B$3001,"&gt;="&amp;$A9,Sales_Items!$B$2:$B$3001,"&lt;"&amp;DATE(YEAR($A9),MONTH($A9)+1,1))</f>
        <v>0</v>
      </c>
      <c r="F9" s="22" t="n">
        <f aca="false">D9-E9</f>
        <v>0</v>
      </c>
      <c r="G9" s="22" t="n">
        <f aca="false">SUMIFS(Running_Costs!$D$2:$D$1001,Running_Costs!$A$2:$A$1001,"&gt;="&amp;$A9,Running_Costs!$A$2:$A$1001,"&lt;"&amp;DATE(YEAR($A9),MONTH($A9)+1,1))</f>
        <v>0</v>
      </c>
      <c r="H9" s="23" t="n">
        <f aca="false">F9-G9</f>
        <v>0</v>
      </c>
      <c r="I9" s="22" t="n">
        <f aca="false">SUMIFS(Fixed_Costs!$D$2:$D$501,Fixed_Costs!$A$2:$A$501,"&gt;="&amp;$A9,Fixed_Costs!$A$2:$A$501,"&lt;"&amp;DATE(YEAR($A9),MONTH($A9)+1,1))</f>
        <v>0</v>
      </c>
      <c r="J9" s="22" t="n">
        <f aca="false">H9-I9</f>
        <v>0</v>
      </c>
    </row>
    <row r="10" customFormat="false" ht="15" hidden="false" customHeight="true" outlineLevel="0" collapsed="false">
      <c r="A10" s="21" t="n">
        <f aca="false">DATE(Settings!$B$9,6,1)</f>
        <v>46174</v>
      </c>
      <c r="B10" s="22" t="n">
        <f aca="false">SUMIFS(Sales_Items!$H$2:$H$3001,Sales_Items!$B$2:$B$3001,"&gt;="&amp;$A10,Sales_Items!$B$2:$B$3001,"&lt;"&amp;DATE(YEAR($A10),MONTH($A10)+1,1))</f>
        <v>0</v>
      </c>
      <c r="C10" s="22" t="n">
        <f aca="false">SUMIFS(Sales_Memo!$F$2:$F$1001,Sales_Memo!$B$2:$B$1001,"&gt;="&amp;$A10,Sales_Memo!$B$2:$B$1001,"&lt;"&amp;DATE(YEAR($A10),MONTH($A10)+1,1))</f>
        <v>0</v>
      </c>
      <c r="D10" s="22" t="n">
        <f aca="false">B10-C10</f>
        <v>0</v>
      </c>
      <c r="E10" s="22" t="n">
        <f aca="false">SUMIFS(Sales_Items!$I$2:$I$3001,Sales_Items!$B$2:$B$3001,"&gt;="&amp;$A10,Sales_Items!$B$2:$B$3001,"&lt;"&amp;DATE(YEAR($A10),MONTH($A10)+1,1))</f>
        <v>0</v>
      </c>
      <c r="F10" s="22" t="n">
        <f aca="false">D10-E10</f>
        <v>0</v>
      </c>
      <c r="G10" s="22" t="n">
        <f aca="false">SUMIFS(Running_Costs!$D$2:$D$1001,Running_Costs!$A$2:$A$1001,"&gt;="&amp;$A10,Running_Costs!$A$2:$A$1001,"&lt;"&amp;DATE(YEAR($A10),MONTH($A10)+1,1))</f>
        <v>0</v>
      </c>
      <c r="H10" s="23" t="n">
        <f aca="false">F10-G10</f>
        <v>0</v>
      </c>
      <c r="I10" s="22" t="n">
        <f aca="false">SUMIFS(Fixed_Costs!$D$2:$D$501,Fixed_Costs!$A$2:$A$501,"&gt;="&amp;$A10,Fixed_Costs!$A$2:$A$501,"&lt;"&amp;DATE(YEAR($A10),MONTH($A10)+1,1))</f>
        <v>0</v>
      </c>
      <c r="J10" s="22" t="n">
        <f aca="false">H10-I10</f>
        <v>0</v>
      </c>
    </row>
    <row r="11" customFormat="false" ht="15" hidden="false" customHeight="true" outlineLevel="0" collapsed="false">
      <c r="A11" s="21" t="n">
        <f aca="false">DATE(Settings!$B$9,7,1)</f>
        <v>46204</v>
      </c>
      <c r="B11" s="22" t="n">
        <f aca="false">SUMIFS(Sales_Items!$H$2:$H$3001,Sales_Items!$B$2:$B$3001,"&gt;="&amp;$A11,Sales_Items!$B$2:$B$3001,"&lt;"&amp;DATE(YEAR($A11),MONTH($A11)+1,1))</f>
        <v>0</v>
      </c>
      <c r="C11" s="22" t="n">
        <f aca="false">SUMIFS(Sales_Memo!$F$2:$F$1001,Sales_Memo!$B$2:$B$1001,"&gt;="&amp;$A11,Sales_Memo!$B$2:$B$1001,"&lt;"&amp;DATE(YEAR($A11),MONTH($A11)+1,1))</f>
        <v>0</v>
      </c>
      <c r="D11" s="22" t="n">
        <f aca="false">B11-C11</f>
        <v>0</v>
      </c>
      <c r="E11" s="22" t="n">
        <f aca="false">SUMIFS(Sales_Items!$I$2:$I$3001,Sales_Items!$B$2:$B$3001,"&gt;="&amp;$A11,Sales_Items!$B$2:$B$3001,"&lt;"&amp;DATE(YEAR($A11),MONTH($A11)+1,1))</f>
        <v>0</v>
      </c>
      <c r="F11" s="22" t="n">
        <f aca="false">D11-E11</f>
        <v>0</v>
      </c>
      <c r="G11" s="22" t="n">
        <f aca="false">SUMIFS(Running_Costs!$D$2:$D$1001,Running_Costs!$A$2:$A$1001,"&gt;="&amp;$A11,Running_Costs!$A$2:$A$1001,"&lt;"&amp;DATE(YEAR($A11),MONTH($A11)+1,1))</f>
        <v>0</v>
      </c>
      <c r="H11" s="23" t="n">
        <f aca="false">F11-G11</f>
        <v>0</v>
      </c>
      <c r="I11" s="22" t="n">
        <f aca="false">SUMIFS(Fixed_Costs!$D$2:$D$501,Fixed_Costs!$A$2:$A$501,"&gt;="&amp;$A11,Fixed_Costs!$A$2:$A$501,"&lt;"&amp;DATE(YEAR($A11),MONTH($A11)+1,1))</f>
        <v>235000</v>
      </c>
      <c r="J11" s="22" t="n">
        <f aca="false">H11-I11</f>
        <v>-235000</v>
      </c>
    </row>
    <row r="12" customFormat="false" ht="15" hidden="false" customHeight="true" outlineLevel="0" collapsed="false">
      <c r="A12" s="21" t="n">
        <f aca="false">DATE(Settings!$B$9,8,1)</f>
        <v>46235</v>
      </c>
      <c r="B12" s="22" t="n">
        <f aca="false">SUMIFS(Sales_Items!$H$2:$H$3001,Sales_Items!$B$2:$B$3001,"&gt;="&amp;$A12,Sales_Items!$B$2:$B$3001,"&lt;"&amp;DATE(YEAR($A12),MONTH($A12)+1,1))</f>
        <v>267510</v>
      </c>
      <c r="C12" s="22" t="n">
        <f aca="false">SUMIFS(Sales_Memo!$F$2:$F$1001,Sales_Memo!$B$2:$B$1001,"&gt;="&amp;$A12,Sales_Memo!$B$2:$B$1001,"&lt;"&amp;DATE(YEAR($A12),MONTH($A12)+1,1))</f>
        <v>4390</v>
      </c>
      <c r="D12" s="22" t="n">
        <f aca="false">B12-C12</f>
        <v>263120</v>
      </c>
      <c r="E12" s="22" t="n">
        <f aca="false">SUMIFS(Sales_Items!$I$2:$I$3001,Sales_Items!$B$2:$B$3001,"&gt;="&amp;$A12,Sales_Items!$B$2:$B$3001,"&lt;"&amp;DATE(YEAR($A12),MONTH($A12)+1,1))</f>
        <v>184760</v>
      </c>
      <c r="F12" s="22" t="n">
        <f aca="false">D12-E12</f>
        <v>78360</v>
      </c>
      <c r="G12" s="22" t="n">
        <f aca="false">SUMIFS(Running_Costs!$D$2:$D$1001,Running_Costs!$A$2:$A$1001,"&gt;="&amp;$A12,Running_Costs!$A$2:$A$1001,"&lt;"&amp;DATE(YEAR($A12),MONTH($A12)+1,1))</f>
        <v>50433</v>
      </c>
      <c r="H12" s="23" t="n">
        <f aca="false">F12-G12</f>
        <v>27927</v>
      </c>
      <c r="I12" s="22" t="n">
        <f aca="false">SUMIFS(Fixed_Costs!$D$2:$D$501,Fixed_Costs!$A$2:$A$501,"&gt;="&amp;$A12,Fixed_Costs!$A$2:$A$501,"&lt;"&amp;DATE(YEAR($A12),MONTH($A12)+1,1))</f>
        <v>8000</v>
      </c>
      <c r="J12" s="22" t="n">
        <f aca="false">H12-I12</f>
        <v>19927</v>
      </c>
    </row>
    <row r="13" customFormat="false" ht="15" hidden="false" customHeight="true" outlineLevel="0" collapsed="false">
      <c r="A13" s="21" t="n">
        <f aca="false">DATE(Settings!$B$9,9,1)</f>
        <v>46266</v>
      </c>
      <c r="B13" s="22" t="n">
        <f aca="false">SUMIFS(Sales_Items!$H$2:$H$3001,Sales_Items!$B$2:$B$3001,"&gt;="&amp;$A13,Sales_Items!$B$2:$B$3001,"&lt;"&amp;DATE(YEAR($A13),MONTH($A13)+1,1))</f>
        <v>289970</v>
      </c>
      <c r="C13" s="22" t="n">
        <f aca="false">SUMIFS(Sales_Memo!$F$2:$F$1001,Sales_Memo!$B$2:$B$1001,"&gt;="&amp;$A13,Sales_Memo!$B$2:$B$1001,"&lt;"&amp;DATE(YEAR($A13),MONTH($A13)+1,1))</f>
        <v>5860</v>
      </c>
      <c r="D13" s="22" t="n">
        <f aca="false">B13-C13</f>
        <v>284110</v>
      </c>
      <c r="E13" s="22" t="n">
        <f aca="false">SUMIFS(Sales_Items!$I$2:$I$3001,Sales_Items!$B$2:$B$3001,"&gt;="&amp;$A13,Sales_Items!$B$2:$B$3001,"&lt;"&amp;DATE(YEAR($A13),MONTH($A13)+1,1))</f>
        <v>197560</v>
      </c>
      <c r="F13" s="22" t="n">
        <f aca="false">D13-E13</f>
        <v>86550</v>
      </c>
      <c r="G13" s="22" t="n">
        <f aca="false">SUMIFS(Running_Costs!$D$2:$D$1001,Running_Costs!$A$2:$A$1001,"&gt;="&amp;$A13,Running_Costs!$A$2:$A$1001,"&lt;"&amp;DATE(YEAR($A13),MONTH($A13)+1,1))</f>
        <v>51591</v>
      </c>
      <c r="H13" s="23" t="n">
        <f aca="false">F13-G13</f>
        <v>34959</v>
      </c>
      <c r="I13" s="22" t="n">
        <f aca="false">SUMIFS(Fixed_Costs!$D$2:$D$501,Fixed_Costs!$A$2:$A$501,"&gt;="&amp;$A13,Fixed_Costs!$A$2:$A$501,"&lt;"&amp;DATE(YEAR($A13),MONTH($A13)+1,1))</f>
        <v>0</v>
      </c>
      <c r="J13" s="22" t="n">
        <f aca="false">H13-I13</f>
        <v>34959</v>
      </c>
    </row>
    <row r="14" customFormat="false" ht="15" hidden="false" customHeight="true" outlineLevel="0" collapsed="false">
      <c r="A14" s="21" t="n">
        <f aca="false">DATE(Settings!$B$9,10,1)</f>
        <v>46296</v>
      </c>
      <c r="B14" s="22" t="n">
        <f aca="false">SUMIFS(Sales_Items!$H$2:$H$3001,Sales_Items!$B$2:$B$3001,"&gt;="&amp;$A14,Sales_Items!$B$2:$B$3001,"&lt;"&amp;DATE(YEAR($A14),MONTH($A14)+1,1))</f>
        <v>227530</v>
      </c>
      <c r="C14" s="22" t="n">
        <f aca="false">SUMIFS(Sales_Memo!$F$2:$F$1001,Sales_Memo!$B$2:$B$1001,"&gt;="&amp;$A14,Sales_Memo!$B$2:$B$1001,"&lt;"&amp;DATE(YEAR($A14),MONTH($A14)+1,1))</f>
        <v>5160</v>
      </c>
      <c r="D14" s="22" t="n">
        <f aca="false">B14-C14</f>
        <v>222370</v>
      </c>
      <c r="E14" s="22" t="n">
        <f aca="false">SUMIFS(Sales_Items!$I$2:$I$3001,Sales_Items!$B$2:$B$3001,"&gt;="&amp;$A14,Sales_Items!$B$2:$B$3001,"&lt;"&amp;DATE(YEAR($A14),MONTH($A14)+1,1))</f>
        <v>155620</v>
      </c>
      <c r="F14" s="22" t="n">
        <f aca="false">D14-E14</f>
        <v>66750</v>
      </c>
      <c r="G14" s="22" t="n">
        <f aca="false">SUMIFS(Running_Costs!$D$2:$D$1001,Running_Costs!$A$2:$A$1001,"&gt;="&amp;$A14,Running_Costs!$A$2:$A$1001,"&lt;"&amp;DATE(YEAR($A14),MONTH($A14)+1,1))</f>
        <v>50180</v>
      </c>
      <c r="H14" s="23" t="n">
        <f aca="false">F14-G14</f>
        <v>16570</v>
      </c>
      <c r="I14" s="22" t="n">
        <f aca="false">SUMIFS(Fixed_Costs!$D$2:$D$501,Fixed_Costs!$A$2:$A$501,"&gt;="&amp;$A14,Fixed_Costs!$A$2:$A$501,"&lt;"&amp;DATE(YEAR($A14),MONTH($A14)+1,1))</f>
        <v>0</v>
      </c>
      <c r="J14" s="22" t="n">
        <f aca="false">H14-I14</f>
        <v>16570</v>
      </c>
    </row>
    <row r="15" customFormat="false" ht="15" hidden="false" customHeight="true" outlineLevel="0" collapsed="false">
      <c r="A15" s="21" t="n">
        <f aca="false">DATE(Settings!$B$9,11,1)</f>
        <v>46327</v>
      </c>
      <c r="B15" s="22" t="n">
        <f aca="false">SUMIFS(Sales_Items!$H$2:$H$3001,Sales_Items!$B$2:$B$3001,"&gt;="&amp;$A15,Sales_Items!$B$2:$B$3001,"&lt;"&amp;DATE(YEAR($A15),MONTH($A15)+1,1))</f>
        <v>0</v>
      </c>
      <c r="C15" s="22" t="n">
        <f aca="false">SUMIFS(Sales_Memo!$F$2:$F$1001,Sales_Memo!$B$2:$B$1001,"&gt;="&amp;$A15,Sales_Memo!$B$2:$B$1001,"&lt;"&amp;DATE(YEAR($A15),MONTH($A15)+1,1))</f>
        <v>0</v>
      </c>
      <c r="D15" s="22" t="n">
        <f aca="false">B15-C15</f>
        <v>0</v>
      </c>
      <c r="E15" s="22" t="n">
        <f aca="false">SUMIFS(Sales_Items!$I$2:$I$3001,Sales_Items!$B$2:$B$3001,"&gt;="&amp;$A15,Sales_Items!$B$2:$B$3001,"&lt;"&amp;DATE(YEAR($A15),MONTH($A15)+1,1))</f>
        <v>0</v>
      </c>
      <c r="F15" s="22" t="n">
        <f aca="false">D15-E15</f>
        <v>0</v>
      </c>
      <c r="G15" s="22" t="n">
        <f aca="false">SUMIFS(Running_Costs!$D$2:$D$1001,Running_Costs!$A$2:$A$1001,"&gt;="&amp;$A15,Running_Costs!$A$2:$A$1001,"&lt;"&amp;DATE(YEAR($A15),MONTH($A15)+1,1))</f>
        <v>0</v>
      </c>
      <c r="H15" s="23" t="n">
        <f aca="false">F15-G15</f>
        <v>0</v>
      </c>
      <c r="I15" s="22" t="n">
        <f aca="false">SUMIFS(Fixed_Costs!$D$2:$D$501,Fixed_Costs!$A$2:$A$501,"&gt;="&amp;$A15,Fixed_Costs!$A$2:$A$501,"&lt;"&amp;DATE(YEAR($A15),MONTH($A15)+1,1))</f>
        <v>0</v>
      </c>
      <c r="J15" s="22" t="n">
        <f aca="false">H15-I15</f>
        <v>0</v>
      </c>
    </row>
    <row r="16" customFormat="false" ht="15" hidden="false" customHeight="true" outlineLevel="0" collapsed="false">
      <c r="A16" s="21" t="n">
        <f aca="false">DATE(Settings!$B$9,12,1)</f>
        <v>46357</v>
      </c>
      <c r="B16" s="22" t="n">
        <f aca="false">SUMIFS(Sales_Items!$H$2:$H$3001,Sales_Items!$B$2:$B$3001,"&gt;="&amp;$A16,Sales_Items!$B$2:$B$3001,"&lt;"&amp;DATE(YEAR($A16),MONTH($A16)+1,1))</f>
        <v>0</v>
      </c>
      <c r="C16" s="22" t="n">
        <f aca="false">SUMIFS(Sales_Memo!$F$2:$F$1001,Sales_Memo!$B$2:$B$1001,"&gt;="&amp;$A16,Sales_Memo!$B$2:$B$1001,"&lt;"&amp;DATE(YEAR($A16),MONTH($A16)+1,1))</f>
        <v>0</v>
      </c>
      <c r="D16" s="22" t="n">
        <f aca="false">B16-C16</f>
        <v>0</v>
      </c>
      <c r="E16" s="22" t="n">
        <f aca="false">SUMIFS(Sales_Items!$I$2:$I$3001,Sales_Items!$B$2:$B$3001,"&gt;="&amp;$A16,Sales_Items!$B$2:$B$3001,"&lt;"&amp;DATE(YEAR($A16),MONTH($A16)+1,1))</f>
        <v>0</v>
      </c>
      <c r="F16" s="22" t="n">
        <f aca="false">D16-E16</f>
        <v>0</v>
      </c>
      <c r="G16" s="22" t="n">
        <f aca="false">SUMIFS(Running_Costs!$D$2:$D$1001,Running_Costs!$A$2:$A$1001,"&gt;="&amp;$A16,Running_Costs!$A$2:$A$1001,"&lt;"&amp;DATE(YEAR($A16),MONTH($A16)+1,1))</f>
        <v>0</v>
      </c>
      <c r="H16" s="23" t="n">
        <f aca="false">F16-G16</f>
        <v>0</v>
      </c>
      <c r="I16" s="22" t="n">
        <f aca="false">SUMIFS(Fixed_Costs!$D$2:$D$501,Fixed_Costs!$A$2:$A$501,"&gt;="&amp;$A16,Fixed_Costs!$A$2:$A$501,"&lt;"&amp;DATE(YEAR($A16),MONTH($A16)+1,1))</f>
        <v>0</v>
      </c>
      <c r="J16" s="22" t="n">
        <f aca="false">H16-I16</f>
        <v>0</v>
      </c>
    </row>
    <row r="17" customFormat="false" ht="15" hidden="false" customHeight="true" outlineLevel="0" collapsed="false">
      <c r="A17" s="24" t="s">
        <v>1199</v>
      </c>
      <c r="B17" s="25" t="n">
        <f aca="false">SUM(B5:B16)</f>
        <v>785010</v>
      </c>
      <c r="C17" s="25" t="n">
        <f aca="false">SUM(C5:C16)</f>
        <v>15410</v>
      </c>
      <c r="D17" s="25" t="n">
        <f aca="false">SUM(D5:D16)</f>
        <v>769600</v>
      </c>
      <c r="E17" s="25" t="n">
        <f aca="false">SUM(E5:E16)</f>
        <v>537940</v>
      </c>
      <c r="F17" s="25" t="n">
        <f aca="false">SUM(F5:F16)</f>
        <v>231660</v>
      </c>
      <c r="G17" s="25" t="n">
        <f aca="false">SUM(G5:G16)</f>
        <v>152204</v>
      </c>
      <c r="H17" s="25" t="n">
        <f aca="false">SUM(H5:H16)</f>
        <v>79456</v>
      </c>
      <c r="I17" s="25" t="n">
        <f aca="false">SUM(I5:I16)</f>
        <v>243000</v>
      </c>
      <c r="J17" s="25" t="n">
        <f aca="false">SUM(J5:J16)</f>
        <v>-163544</v>
      </c>
    </row>
    <row r="21" customFormat="false" ht="15" hidden="false" customHeight="true" outlineLevel="0" collapsed="false">
      <c r="A21" s="4" t="s">
        <v>1200</v>
      </c>
    </row>
    <row r="22" customFormat="false" ht="30" hidden="false" customHeight="true" outlineLevel="0" collapsed="false">
      <c r="A22" s="20" t="s">
        <v>1189</v>
      </c>
      <c r="B22" s="20" t="s">
        <v>1190</v>
      </c>
      <c r="C22" s="20" t="s">
        <v>1191</v>
      </c>
      <c r="D22" s="20" t="s">
        <v>1192</v>
      </c>
      <c r="E22" s="20" t="s">
        <v>1193</v>
      </c>
      <c r="F22" s="20" t="s">
        <v>1194</v>
      </c>
      <c r="G22" s="20" t="s">
        <v>1195</v>
      </c>
      <c r="H22" s="20" t="s">
        <v>1196</v>
      </c>
      <c r="I22" s="20" t="s">
        <v>1197</v>
      </c>
      <c r="J22" s="20" t="s">
        <v>1198</v>
      </c>
    </row>
    <row r="23" customFormat="false" ht="15" hidden="false" customHeight="true" outlineLevel="0" collapsed="false">
      <c r="A23" s="26" t="n">
        <f aca="false">Settings!$B$11</f>
        <v>2026</v>
      </c>
      <c r="B23" s="22" t="n">
        <f aca="false">SUMIFS(Sales_Items!$H$2:$H$3001,Sales_Items!$B$2:$B$3001,"&gt;="&amp;DATE($A23,1,1),Sales_Items!$B$2:$B$3001,"&lt;"&amp;DATE($A23+1,1,1))</f>
        <v>785010</v>
      </c>
      <c r="C23" s="22" t="n">
        <f aca="false">SUMIFS(Sales_Memo!$F$2:$F$1001,Sales_Memo!$B$2:$B$1001,"&gt;="&amp;DATE($A23,1,1),Sales_Memo!$B$2:$B$1001,"&lt;"&amp;DATE($A23+1,1,1))</f>
        <v>15410</v>
      </c>
      <c r="D23" s="22" t="n">
        <f aca="false">B23-C23</f>
        <v>769600</v>
      </c>
      <c r="E23" s="22" t="n">
        <f aca="false">SUMIFS(Sales_Items!$I$2:$I$3001,Sales_Items!$B$2:$B$3001,"&gt;="&amp;DATE($A23,1,1),Sales_Items!$B$2:$B$3001,"&lt;"&amp;DATE($A23+1,1,1))</f>
        <v>537940</v>
      </c>
      <c r="F23" s="22" t="n">
        <f aca="false">D23-E23</f>
        <v>231660</v>
      </c>
      <c r="G23" s="22" t="n">
        <f aca="false">SUMIFS(Running_Costs!$D$2:$D$1001,Running_Costs!$A$2:$A$1001,"&gt;="&amp;DATE($A23,1,1),Running_Costs!$A$2:$A$1001,"&lt;"&amp;DATE($A23+1,1,1))</f>
        <v>152204</v>
      </c>
      <c r="H23" s="23" t="n">
        <f aca="false">F23-G23</f>
        <v>79456</v>
      </c>
      <c r="I23" s="22" t="n">
        <f aca="false">SUMIFS(Fixed_Costs!$D$2:$D$501,Fixed_Costs!$A$2:$A$501,"&gt;="&amp;DATE($A23,1,1),Fixed_Costs!$A$2:$A$501,"&lt;"&amp;DATE($A23+1,1,1))</f>
        <v>243000</v>
      </c>
      <c r="J23" s="22" t="n">
        <f aca="false">H23-I23</f>
        <v>-163544</v>
      </c>
    </row>
    <row r="24" customFormat="false" ht="15" hidden="false" customHeight="true" outlineLevel="0" collapsed="false">
      <c r="A24" s="26" t="n">
        <f aca="false">A23+1</f>
        <v>2027</v>
      </c>
      <c r="B24" s="22" t="n">
        <f aca="false">SUMIFS(Sales_Items!$H$2:$H$3001,Sales_Items!$B$2:$B$3001,"&gt;="&amp;DATE($A24,1,1),Sales_Items!$B$2:$B$3001,"&lt;"&amp;DATE($A24+1,1,1))</f>
        <v>0</v>
      </c>
      <c r="C24" s="22" t="n">
        <f aca="false">SUMIFS(Sales_Memo!$F$2:$F$1001,Sales_Memo!$B$2:$B$1001,"&gt;="&amp;DATE($A24,1,1),Sales_Memo!$B$2:$B$1001,"&lt;"&amp;DATE($A24+1,1,1))</f>
        <v>0</v>
      </c>
      <c r="D24" s="22" t="n">
        <f aca="false">B24-C24</f>
        <v>0</v>
      </c>
      <c r="E24" s="22" t="n">
        <f aca="false">SUMIFS(Sales_Items!$I$2:$I$3001,Sales_Items!$B$2:$B$3001,"&gt;="&amp;DATE($A24,1,1),Sales_Items!$B$2:$B$3001,"&lt;"&amp;DATE($A24+1,1,1))</f>
        <v>0</v>
      </c>
      <c r="F24" s="22" t="n">
        <f aca="false">D24-E24</f>
        <v>0</v>
      </c>
      <c r="G24" s="22" t="n">
        <f aca="false">SUMIFS(Running_Costs!$D$2:$D$1001,Running_Costs!$A$2:$A$1001,"&gt;="&amp;DATE($A24,1,1),Running_Costs!$A$2:$A$1001,"&lt;"&amp;DATE($A24+1,1,1))</f>
        <v>0</v>
      </c>
      <c r="H24" s="23" t="n">
        <f aca="false">F24-G24</f>
        <v>0</v>
      </c>
      <c r="I24" s="22" t="n">
        <f aca="false">SUMIFS(Fixed_Costs!$D$2:$D$501,Fixed_Costs!$A$2:$A$501,"&gt;="&amp;DATE($A24,1,1),Fixed_Costs!$A$2:$A$501,"&lt;"&amp;DATE($A24+1,1,1))</f>
        <v>0</v>
      </c>
      <c r="J24" s="22" t="n">
        <f aca="false">H24-I24</f>
        <v>0</v>
      </c>
    </row>
    <row r="25" customFormat="false" ht="15" hidden="false" customHeight="true" outlineLevel="0" collapsed="false">
      <c r="A25" s="26" t="n">
        <f aca="false">A24+1</f>
        <v>2028</v>
      </c>
      <c r="B25" s="22" t="n">
        <f aca="false">SUMIFS(Sales_Items!$H$2:$H$3001,Sales_Items!$B$2:$B$3001,"&gt;="&amp;DATE($A25,1,1),Sales_Items!$B$2:$B$3001,"&lt;"&amp;DATE($A25+1,1,1))</f>
        <v>0</v>
      </c>
      <c r="C25" s="22" t="n">
        <f aca="false">SUMIFS(Sales_Memo!$F$2:$F$1001,Sales_Memo!$B$2:$B$1001,"&gt;="&amp;DATE($A25,1,1),Sales_Memo!$B$2:$B$1001,"&lt;"&amp;DATE($A25+1,1,1))</f>
        <v>0</v>
      </c>
      <c r="D25" s="22" t="n">
        <f aca="false">B25-C25</f>
        <v>0</v>
      </c>
      <c r="E25" s="22" t="n">
        <f aca="false">SUMIFS(Sales_Items!$I$2:$I$3001,Sales_Items!$B$2:$B$3001,"&gt;="&amp;DATE($A25,1,1),Sales_Items!$B$2:$B$3001,"&lt;"&amp;DATE($A25+1,1,1))</f>
        <v>0</v>
      </c>
      <c r="F25" s="22" t="n">
        <f aca="false">D25-E25</f>
        <v>0</v>
      </c>
      <c r="G25" s="22" t="n">
        <f aca="false">SUMIFS(Running_Costs!$D$2:$D$1001,Running_Costs!$A$2:$A$1001,"&gt;="&amp;DATE($A25,1,1),Running_Costs!$A$2:$A$1001,"&lt;"&amp;DATE($A25+1,1,1))</f>
        <v>0</v>
      </c>
      <c r="H25" s="23" t="n">
        <f aca="false">F25-G25</f>
        <v>0</v>
      </c>
      <c r="I25" s="22" t="n">
        <f aca="false">SUMIFS(Fixed_Costs!$D$2:$D$501,Fixed_Costs!$A$2:$A$501,"&gt;="&amp;DATE($A25,1,1),Fixed_Costs!$A$2:$A$501,"&lt;"&amp;DATE($A25+1,1,1))</f>
        <v>0</v>
      </c>
      <c r="J25" s="22" t="n">
        <f aca="false">H25-I25</f>
        <v>0</v>
      </c>
    </row>
    <row r="26" customFormat="false" ht="15" hidden="false" customHeight="true" outlineLevel="0" collapsed="false">
      <c r="A26" s="26" t="n">
        <f aca="false">A25+1</f>
        <v>2029</v>
      </c>
      <c r="B26" s="22" t="n">
        <f aca="false">SUMIFS(Sales_Items!$H$2:$H$3001,Sales_Items!$B$2:$B$3001,"&gt;="&amp;DATE($A26,1,1),Sales_Items!$B$2:$B$3001,"&lt;"&amp;DATE($A26+1,1,1))</f>
        <v>0</v>
      </c>
      <c r="C26" s="22" t="n">
        <f aca="false">SUMIFS(Sales_Memo!$F$2:$F$1001,Sales_Memo!$B$2:$B$1001,"&gt;="&amp;DATE($A26,1,1),Sales_Memo!$B$2:$B$1001,"&lt;"&amp;DATE($A26+1,1,1))</f>
        <v>0</v>
      </c>
      <c r="D26" s="22" t="n">
        <f aca="false">B26-C26</f>
        <v>0</v>
      </c>
      <c r="E26" s="22" t="n">
        <f aca="false">SUMIFS(Sales_Items!$I$2:$I$3001,Sales_Items!$B$2:$B$3001,"&gt;="&amp;DATE($A26,1,1),Sales_Items!$B$2:$B$3001,"&lt;"&amp;DATE($A26+1,1,1))</f>
        <v>0</v>
      </c>
      <c r="F26" s="22" t="n">
        <f aca="false">D26-E26</f>
        <v>0</v>
      </c>
      <c r="G26" s="22" t="n">
        <f aca="false">SUMIFS(Running_Costs!$D$2:$D$1001,Running_Costs!$A$2:$A$1001,"&gt;="&amp;DATE($A26,1,1),Running_Costs!$A$2:$A$1001,"&lt;"&amp;DATE($A26+1,1,1))</f>
        <v>0</v>
      </c>
      <c r="H26" s="23" t="n">
        <f aca="false">F26-G26</f>
        <v>0</v>
      </c>
      <c r="I26" s="22" t="n">
        <f aca="false">SUMIFS(Fixed_Costs!$D$2:$D$501,Fixed_Costs!$A$2:$A$501,"&gt;="&amp;DATE($A26,1,1),Fixed_Costs!$A$2:$A$501,"&lt;"&amp;DATE($A26+1,1,1))</f>
        <v>0</v>
      </c>
      <c r="J26" s="22" t="n">
        <f aca="false">H26-I26</f>
        <v>0</v>
      </c>
    </row>
    <row r="27" customFormat="false" ht="15" hidden="false" customHeight="true" outlineLevel="0" collapsed="false">
      <c r="A27" s="26" t="n">
        <f aca="false">A26+1</f>
        <v>2030</v>
      </c>
      <c r="B27" s="22" t="n">
        <f aca="false">SUMIFS(Sales_Items!$H$2:$H$3001,Sales_Items!$B$2:$B$3001,"&gt;="&amp;DATE($A27,1,1),Sales_Items!$B$2:$B$3001,"&lt;"&amp;DATE($A27+1,1,1))</f>
        <v>0</v>
      </c>
      <c r="C27" s="22" t="n">
        <f aca="false">SUMIFS(Sales_Memo!$F$2:$F$1001,Sales_Memo!$B$2:$B$1001,"&gt;="&amp;DATE($A27,1,1),Sales_Memo!$B$2:$B$1001,"&lt;"&amp;DATE($A27+1,1,1))</f>
        <v>0</v>
      </c>
      <c r="D27" s="22" t="n">
        <f aca="false">B27-C27</f>
        <v>0</v>
      </c>
      <c r="E27" s="22" t="n">
        <f aca="false">SUMIFS(Sales_Items!$I$2:$I$3001,Sales_Items!$B$2:$B$3001,"&gt;="&amp;DATE($A27,1,1),Sales_Items!$B$2:$B$3001,"&lt;"&amp;DATE($A27+1,1,1))</f>
        <v>0</v>
      </c>
      <c r="F27" s="22" t="n">
        <f aca="false">D27-E27</f>
        <v>0</v>
      </c>
      <c r="G27" s="22" t="n">
        <f aca="false">SUMIFS(Running_Costs!$D$2:$D$1001,Running_Costs!$A$2:$A$1001,"&gt;="&amp;DATE($A27,1,1),Running_Costs!$A$2:$A$1001,"&lt;"&amp;DATE($A27+1,1,1))</f>
        <v>0</v>
      </c>
      <c r="H27" s="23" t="n">
        <f aca="false">F27-G27</f>
        <v>0</v>
      </c>
      <c r="I27" s="22" t="n">
        <f aca="false">SUMIFS(Fixed_Costs!$D$2:$D$501,Fixed_Costs!$A$2:$A$501,"&gt;="&amp;DATE($A27,1,1),Fixed_Costs!$A$2:$A$501,"&lt;"&amp;DATE($A27+1,1,1))</f>
        <v>0</v>
      </c>
      <c r="J27" s="22" t="n">
        <f aca="false">H27-I27</f>
        <v>0</v>
      </c>
    </row>
    <row r="28" customFormat="false" ht="15" hidden="false" customHeight="true" outlineLevel="0" collapsed="false">
      <c r="A28" s="24" t="s">
        <v>1199</v>
      </c>
      <c r="B28" s="25" t="n">
        <f aca="false">SUM(B23:B27)</f>
        <v>785010</v>
      </c>
      <c r="C28" s="25" t="n">
        <f aca="false">SUM(C23:C27)</f>
        <v>15410</v>
      </c>
      <c r="D28" s="25" t="n">
        <f aca="false">SUM(D23:D27)</f>
        <v>769600</v>
      </c>
      <c r="E28" s="25" t="n">
        <f aca="false">SUM(E23:E27)</f>
        <v>537940</v>
      </c>
      <c r="F28" s="25" t="n">
        <f aca="false">SUM(F23:F27)</f>
        <v>231660</v>
      </c>
      <c r="G28" s="25" t="n">
        <f aca="false">SUM(G23:G27)</f>
        <v>152204</v>
      </c>
      <c r="H28" s="25" t="n">
        <f aca="false">SUM(H23:H27)</f>
        <v>79456</v>
      </c>
      <c r="I28" s="25" t="n">
        <f aca="false">SUM(I23:I27)</f>
        <v>243000</v>
      </c>
      <c r="J28" s="25" t="n">
        <f aca="false">SUM(J23:J27)</f>
        <v>-163544</v>
      </c>
    </row>
    <row r="30" customFormat="false" ht="15" hidden="false" customHeight="true" outlineLevel="0" collapsed="false">
      <c r="A30" s="4" t="s">
        <v>1201</v>
      </c>
    </row>
    <row r="31" customFormat="false" ht="30" hidden="false" customHeight="true" outlineLevel="0" collapsed="false">
      <c r="A31" s="20" t="s">
        <v>1189</v>
      </c>
      <c r="B31" s="20" t="s">
        <v>1190</v>
      </c>
      <c r="C31" s="20" t="s">
        <v>1191</v>
      </c>
      <c r="D31" s="20" t="s">
        <v>1192</v>
      </c>
      <c r="E31" s="20" t="s">
        <v>1193</v>
      </c>
      <c r="F31" s="20" t="s">
        <v>1194</v>
      </c>
      <c r="G31" s="20" t="s">
        <v>1195</v>
      </c>
      <c r="H31" s="20" t="s">
        <v>1196</v>
      </c>
      <c r="I31" s="20" t="s">
        <v>1197</v>
      </c>
      <c r="J31" s="20" t="s">
        <v>1198</v>
      </c>
    </row>
    <row r="32" customFormat="false" ht="15" hidden="false" customHeight="true" outlineLevel="0" collapsed="false">
      <c r="A32" s="27" t="n">
        <f aca="true">TODAY()-WEEKDAY(TODAY(),2)+1-7*11</f>
        <v>46237</v>
      </c>
      <c r="B32" s="22" t="n">
        <f aca="false">SUMIFS(Sales_Items!$H$2:$H$3001,Sales_Items!$B$2:$B$3001,"&gt;="&amp;$A32,Sales_Items!$B$2:$B$3001,"&lt;"&amp;($A32+7))</f>
        <v>63130</v>
      </c>
      <c r="C32" s="22" t="n">
        <f aca="false">SUMIFS(Sales_Memo!$F$2:$F$1001,Sales_Memo!$B$2:$B$1001,"&gt;="&amp;$A32,Sales_Memo!$B$2:$B$1001,"&lt;"&amp;($A32+7))</f>
        <v>1110</v>
      </c>
      <c r="D32" s="22" t="n">
        <f aca="false">B32-C32</f>
        <v>62020</v>
      </c>
      <c r="E32" s="22" t="n">
        <f aca="false">SUMIFS(Sales_Items!$I$2:$I$3001,Sales_Items!$B$2:$B$3001,"&gt;="&amp;$A32,Sales_Items!$B$2:$B$3001,"&lt;"&amp;($A32+7))</f>
        <v>43710</v>
      </c>
      <c r="F32" s="22" t="n">
        <f aca="false">D32-E32</f>
        <v>18310</v>
      </c>
      <c r="G32" s="22" t="n">
        <f aca="false">SUMIFS(Running_Costs!$D$2:$D$1001,Running_Costs!$A$2:$A$1001,"&gt;="&amp;$A32,Running_Costs!$A$2:$A$1001,"&lt;"&amp;($A32+7))</f>
        <v>20000</v>
      </c>
      <c r="H32" s="23" t="n">
        <f aca="false">F32-G32</f>
        <v>-1690</v>
      </c>
      <c r="I32" s="22" t="n">
        <f aca="false">SUMIFS(Fixed_Costs!$D$2:$D$501,Fixed_Costs!$A$2:$A$501,"&gt;="&amp;$A32,Fixed_Costs!$A$2:$A$501,"&lt;"&amp;($A32+7))</f>
        <v>0</v>
      </c>
      <c r="J32" s="22" t="n">
        <f aca="false">H32-I32</f>
        <v>-1690</v>
      </c>
    </row>
    <row r="33" customFormat="false" ht="15" hidden="false" customHeight="true" outlineLevel="0" collapsed="false">
      <c r="A33" s="27" t="n">
        <f aca="true">TODAY()-WEEKDAY(TODAY(),2)+1-7*10</f>
        <v>46244</v>
      </c>
      <c r="B33" s="22" t="n">
        <f aca="false">SUMIFS(Sales_Items!$H$2:$H$3001,Sales_Items!$B$2:$B$3001,"&gt;="&amp;$A33,Sales_Items!$B$2:$B$3001,"&lt;"&amp;($A33+7))</f>
        <v>70130</v>
      </c>
      <c r="C33" s="22" t="n">
        <f aca="false">SUMIFS(Sales_Memo!$F$2:$F$1001,Sales_Memo!$B$2:$B$1001,"&gt;="&amp;$A33,Sales_Memo!$B$2:$B$1001,"&lt;"&amp;($A33+7))</f>
        <v>1370</v>
      </c>
      <c r="D33" s="22" t="n">
        <f aca="false">B33-C33</f>
        <v>68760</v>
      </c>
      <c r="E33" s="22" t="n">
        <f aca="false">SUMIFS(Sales_Items!$I$2:$I$3001,Sales_Items!$B$2:$B$3001,"&gt;="&amp;$A33,Sales_Items!$B$2:$B$3001,"&lt;"&amp;($A33+7))</f>
        <v>47200</v>
      </c>
      <c r="F33" s="22" t="n">
        <f aca="false">D33-E33</f>
        <v>21560</v>
      </c>
      <c r="G33" s="22" t="n">
        <f aca="false">SUMIFS(Running_Costs!$D$2:$D$1001,Running_Costs!$A$2:$A$1001,"&gt;="&amp;$A33,Running_Costs!$A$2:$A$1001,"&lt;"&amp;($A33+7))</f>
        <v>5773</v>
      </c>
      <c r="H33" s="23" t="n">
        <f aca="false">F33-G33</f>
        <v>15787</v>
      </c>
      <c r="I33" s="22" t="n">
        <f aca="false">SUMIFS(Fixed_Costs!$D$2:$D$501,Fixed_Costs!$A$2:$A$501,"&gt;="&amp;$A33,Fixed_Costs!$A$2:$A$501,"&lt;"&amp;($A33+7))</f>
        <v>0</v>
      </c>
      <c r="J33" s="22" t="n">
        <f aca="false">H33-I33</f>
        <v>15787</v>
      </c>
    </row>
    <row r="34" customFormat="false" ht="15" hidden="false" customHeight="true" outlineLevel="0" collapsed="false">
      <c r="A34" s="27" t="n">
        <f aca="true">TODAY()-WEEKDAY(TODAY(),2)+1-7*9</f>
        <v>46251</v>
      </c>
      <c r="B34" s="22" t="n">
        <f aca="false">SUMIFS(Sales_Items!$H$2:$H$3001,Sales_Items!$B$2:$B$3001,"&gt;="&amp;$A34,Sales_Items!$B$2:$B$3001,"&lt;"&amp;($A34+7))</f>
        <v>63330</v>
      </c>
      <c r="C34" s="22" t="n">
        <f aca="false">SUMIFS(Sales_Memo!$F$2:$F$1001,Sales_Memo!$B$2:$B$1001,"&gt;="&amp;$A34,Sales_Memo!$B$2:$B$1001,"&lt;"&amp;($A34+7))</f>
        <v>740</v>
      </c>
      <c r="D34" s="22" t="n">
        <f aca="false">B34-C34</f>
        <v>62590</v>
      </c>
      <c r="E34" s="22" t="n">
        <f aca="false">SUMIFS(Sales_Items!$I$2:$I$3001,Sales_Items!$B$2:$B$3001,"&gt;="&amp;$A34,Sales_Items!$B$2:$B$3001,"&lt;"&amp;($A34+7))</f>
        <v>43915</v>
      </c>
      <c r="F34" s="22" t="n">
        <f aca="false">D34-E34</f>
        <v>18675</v>
      </c>
      <c r="G34" s="22" t="n">
        <f aca="false">SUMIFS(Running_Costs!$D$2:$D$1001,Running_Costs!$A$2:$A$1001,"&gt;="&amp;$A34,Running_Costs!$A$2:$A$1001,"&lt;"&amp;($A34+7))</f>
        <v>660</v>
      </c>
      <c r="H34" s="23" t="n">
        <f aca="false">F34-G34</f>
        <v>18015</v>
      </c>
      <c r="I34" s="22" t="n">
        <f aca="false">SUMIFS(Fixed_Costs!$D$2:$D$501,Fixed_Costs!$A$2:$A$501,"&gt;="&amp;$A34,Fixed_Costs!$A$2:$A$501,"&lt;"&amp;($A34+7))</f>
        <v>0</v>
      </c>
      <c r="J34" s="22" t="n">
        <f aca="false">H34-I34</f>
        <v>18015</v>
      </c>
    </row>
    <row r="35" customFormat="false" ht="15" hidden="false" customHeight="true" outlineLevel="0" collapsed="false">
      <c r="A35" s="27" t="n">
        <f aca="true">TODAY()-WEEKDAY(TODAY(),2)+1-7*8</f>
        <v>46258</v>
      </c>
      <c r="B35" s="22" t="n">
        <f aca="false">SUMIFS(Sales_Items!$H$2:$H$3001,Sales_Items!$B$2:$B$3001,"&gt;="&amp;$A35,Sales_Items!$B$2:$B$3001,"&lt;"&amp;($A35+7))</f>
        <v>60830</v>
      </c>
      <c r="C35" s="22" t="n">
        <f aca="false">SUMIFS(Sales_Memo!$F$2:$F$1001,Sales_Memo!$B$2:$B$1001,"&gt;="&amp;$A35,Sales_Memo!$B$2:$B$1001,"&lt;"&amp;($A35+7))</f>
        <v>1010</v>
      </c>
      <c r="D35" s="22" t="n">
        <f aca="false">B35-C35</f>
        <v>59820</v>
      </c>
      <c r="E35" s="22" t="n">
        <f aca="false">SUMIFS(Sales_Items!$I$2:$I$3001,Sales_Items!$B$2:$B$3001,"&gt;="&amp;$A35,Sales_Items!$B$2:$B$3001,"&lt;"&amp;($A35+7))</f>
        <v>42480</v>
      </c>
      <c r="F35" s="22" t="n">
        <f aca="false">D35-E35</f>
        <v>17340</v>
      </c>
      <c r="G35" s="22" t="n">
        <f aca="false">SUMIFS(Running_Costs!$D$2:$D$1001,Running_Costs!$A$2:$A$1001,"&gt;="&amp;$A35,Running_Costs!$A$2:$A$1001,"&lt;"&amp;($A35+7))</f>
        <v>0</v>
      </c>
      <c r="H35" s="23" t="n">
        <f aca="false">F35-G35</f>
        <v>17340</v>
      </c>
      <c r="I35" s="22" t="n">
        <f aca="false">SUMIFS(Fixed_Costs!$D$2:$D$501,Fixed_Costs!$A$2:$A$501,"&gt;="&amp;$A35,Fixed_Costs!$A$2:$A$501,"&lt;"&amp;($A35+7))</f>
        <v>0</v>
      </c>
      <c r="J35" s="22" t="n">
        <f aca="false">H35-I35</f>
        <v>17340</v>
      </c>
    </row>
    <row r="36" customFormat="false" ht="15" hidden="false" customHeight="true" outlineLevel="0" collapsed="false">
      <c r="A36" s="27" t="n">
        <f aca="true">TODAY()-WEEKDAY(TODAY(),2)+1-7*7</f>
        <v>46265</v>
      </c>
      <c r="B36" s="22" t="n">
        <f aca="false">SUMIFS(Sales_Items!$H$2:$H$3001,Sales_Items!$B$2:$B$3001,"&gt;="&amp;$A36,Sales_Items!$B$2:$B$3001,"&lt;"&amp;($A36+7))</f>
        <v>65750</v>
      </c>
      <c r="C36" s="22" t="n">
        <f aca="false">SUMIFS(Sales_Memo!$F$2:$F$1001,Sales_Memo!$B$2:$B$1001,"&gt;="&amp;$A36,Sales_Memo!$B$2:$B$1001,"&lt;"&amp;($A36+7))</f>
        <v>970</v>
      </c>
      <c r="D36" s="22" t="n">
        <f aca="false">B36-C36</f>
        <v>64780</v>
      </c>
      <c r="E36" s="22" t="n">
        <f aca="false">SUMIFS(Sales_Items!$I$2:$I$3001,Sales_Items!$B$2:$B$3001,"&gt;="&amp;$A36,Sales_Items!$B$2:$B$3001,"&lt;"&amp;($A36+7))</f>
        <v>45910</v>
      </c>
      <c r="F36" s="22" t="n">
        <f aca="false">D36-E36</f>
        <v>18870</v>
      </c>
      <c r="G36" s="22" t="n">
        <f aca="false">SUMIFS(Running_Costs!$D$2:$D$1001,Running_Costs!$A$2:$A$1001,"&gt;="&amp;$A36,Running_Costs!$A$2:$A$1001,"&lt;"&amp;($A36+7))</f>
        <v>44000</v>
      </c>
      <c r="H36" s="23" t="n">
        <f aca="false">F36-G36</f>
        <v>-25130</v>
      </c>
      <c r="I36" s="22" t="n">
        <f aca="false">SUMIFS(Fixed_Costs!$D$2:$D$501,Fixed_Costs!$A$2:$A$501,"&gt;="&amp;$A36,Fixed_Costs!$A$2:$A$501,"&lt;"&amp;($A36+7))</f>
        <v>0</v>
      </c>
      <c r="J36" s="22" t="n">
        <f aca="false">H36-I36</f>
        <v>-25130</v>
      </c>
    </row>
    <row r="37" customFormat="false" ht="15" hidden="false" customHeight="true" outlineLevel="0" collapsed="false">
      <c r="A37" s="27" t="n">
        <f aca="true">TODAY()-WEEKDAY(TODAY(),2)+1-7*6</f>
        <v>46272</v>
      </c>
      <c r="B37" s="22" t="n">
        <f aca="false">SUMIFS(Sales_Items!$H$2:$H$3001,Sales_Items!$B$2:$B$3001,"&gt;="&amp;$A37,Sales_Items!$B$2:$B$3001,"&lt;"&amp;($A37+7))</f>
        <v>68090</v>
      </c>
      <c r="C37" s="22" t="n">
        <f aca="false">SUMIFS(Sales_Memo!$F$2:$F$1001,Sales_Memo!$B$2:$B$1001,"&gt;="&amp;$A37,Sales_Memo!$B$2:$B$1001,"&lt;"&amp;($A37+7))</f>
        <v>1630</v>
      </c>
      <c r="D37" s="22" t="n">
        <f aca="false">B37-C37</f>
        <v>66460</v>
      </c>
      <c r="E37" s="22" t="n">
        <f aca="false">SUMIFS(Sales_Items!$I$2:$I$3001,Sales_Items!$B$2:$B$3001,"&gt;="&amp;$A37,Sales_Items!$B$2:$B$3001,"&lt;"&amp;($A37+7))</f>
        <v>46330</v>
      </c>
      <c r="F37" s="22" t="n">
        <f aca="false">D37-E37</f>
        <v>20130</v>
      </c>
      <c r="G37" s="22" t="n">
        <f aca="false">SUMIFS(Running_Costs!$D$2:$D$1001,Running_Costs!$A$2:$A$1001,"&gt;="&amp;$A37,Running_Costs!$A$2:$A$1001,"&lt;"&amp;($A37+7))</f>
        <v>3979</v>
      </c>
      <c r="H37" s="23" t="n">
        <f aca="false">F37-G37</f>
        <v>16151</v>
      </c>
      <c r="I37" s="22" t="n">
        <f aca="false">SUMIFS(Fixed_Costs!$D$2:$D$501,Fixed_Costs!$A$2:$A$501,"&gt;="&amp;$A37,Fixed_Costs!$A$2:$A$501,"&lt;"&amp;($A37+7))</f>
        <v>0</v>
      </c>
      <c r="J37" s="22" t="n">
        <f aca="false">H37-I37</f>
        <v>16151</v>
      </c>
    </row>
    <row r="38" customFormat="false" ht="15" hidden="false" customHeight="true" outlineLevel="0" collapsed="false">
      <c r="A38" s="27" t="n">
        <f aca="true">TODAY()-WEEKDAY(TODAY(),2)+1-7*5</f>
        <v>46279</v>
      </c>
      <c r="B38" s="22" t="n">
        <f aca="false">SUMIFS(Sales_Items!$H$2:$H$3001,Sales_Items!$B$2:$B$3001,"&gt;="&amp;$A38,Sales_Items!$B$2:$B$3001,"&lt;"&amp;($A38+7))</f>
        <v>68500</v>
      </c>
      <c r="C38" s="22" t="n">
        <f aca="false">SUMIFS(Sales_Memo!$F$2:$F$1001,Sales_Memo!$B$2:$B$1001,"&gt;="&amp;$A38,Sales_Memo!$B$2:$B$1001,"&lt;"&amp;($A38+7))</f>
        <v>1640</v>
      </c>
      <c r="D38" s="22" t="n">
        <f aca="false">B38-C38</f>
        <v>66860</v>
      </c>
      <c r="E38" s="22" t="n">
        <f aca="false">SUMIFS(Sales_Items!$I$2:$I$3001,Sales_Items!$B$2:$B$3001,"&gt;="&amp;$A38,Sales_Items!$B$2:$B$3001,"&lt;"&amp;($A38+7))</f>
        <v>46900</v>
      </c>
      <c r="F38" s="22" t="n">
        <f aca="false">D38-E38</f>
        <v>19960</v>
      </c>
      <c r="G38" s="22" t="n">
        <f aca="false">SUMIFS(Running_Costs!$D$2:$D$1001,Running_Costs!$A$2:$A$1001,"&gt;="&amp;$A38,Running_Costs!$A$2:$A$1001,"&lt;"&amp;($A38+7))</f>
        <v>3612</v>
      </c>
      <c r="H38" s="23" t="n">
        <f aca="false">F38-G38</f>
        <v>16348</v>
      </c>
      <c r="I38" s="22" t="n">
        <f aca="false">SUMIFS(Fixed_Costs!$D$2:$D$501,Fixed_Costs!$A$2:$A$501,"&gt;="&amp;$A38,Fixed_Costs!$A$2:$A$501,"&lt;"&amp;($A38+7))</f>
        <v>0</v>
      </c>
      <c r="J38" s="22" t="n">
        <f aca="false">H38-I38</f>
        <v>16348</v>
      </c>
    </row>
    <row r="39" customFormat="false" ht="15" hidden="false" customHeight="true" outlineLevel="0" collapsed="false">
      <c r="A39" s="27" t="n">
        <f aca="true">TODAY()-WEEKDAY(TODAY(),2)+1-7*4</f>
        <v>46286</v>
      </c>
      <c r="B39" s="22" t="n">
        <f aca="false">SUMIFS(Sales_Items!$H$2:$H$3001,Sales_Items!$B$2:$B$3001,"&gt;="&amp;$A39,Sales_Items!$B$2:$B$3001,"&lt;"&amp;($A39+7))</f>
        <v>67430</v>
      </c>
      <c r="C39" s="22" t="n">
        <f aca="false">SUMIFS(Sales_Memo!$F$2:$F$1001,Sales_Memo!$B$2:$B$1001,"&gt;="&amp;$A39,Sales_Memo!$B$2:$B$1001,"&lt;"&amp;($A39+7))</f>
        <v>1270</v>
      </c>
      <c r="D39" s="22" t="n">
        <f aca="false">B39-C39</f>
        <v>66160</v>
      </c>
      <c r="E39" s="22" t="n">
        <f aca="false">SUMIFS(Sales_Items!$I$2:$I$3001,Sales_Items!$B$2:$B$3001,"&gt;="&amp;$A39,Sales_Items!$B$2:$B$3001,"&lt;"&amp;($A39+7))</f>
        <v>45545</v>
      </c>
      <c r="F39" s="22" t="n">
        <f aca="false">D39-E39</f>
        <v>20615</v>
      </c>
      <c r="G39" s="22" t="n">
        <f aca="false">SUMIFS(Running_Costs!$D$2:$D$1001,Running_Costs!$A$2:$A$1001,"&gt;="&amp;$A39,Running_Costs!$A$2:$A$1001,"&lt;"&amp;($A39+7))</f>
        <v>0</v>
      </c>
      <c r="H39" s="23" t="n">
        <f aca="false">F39-G39</f>
        <v>20615</v>
      </c>
      <c r="I39" s="22" t="n">
        <f aca="false">SUMIFS(Fixed_Costs!$D$2:$D$501,Fixed_Costs!$A$2:$A$501,"&gt;="&amp;$A39,Fixed_Costs!$A$2:$A$501,"&lt;"&amp;($A39+7))</f>
        <v>0</v>
      </c>
      <c r="J39" s="22" t="n">
        <f aca="false">H39-I39</f>
        <v>20615</v>
      </c>
    </row>
    <row r="40" customFormat="false" ht="15" hidden="false" customHeight="true" outlineLevel="0" collapsed="false">
      <c r="A40" s="27" t="n">
        <f aca="true">TODAY()-WEEKDAY(TODAY(),2)+1-7*3</f>
        <v>46293</v>
      </c>
      <c r="B40" s="22" t="n">
        <f aca="false">SUMIFS(Sales_Items!$H$2:$H$3001,Sales_Items!$B$2:$B$3001,"&gt;="&amp;$A40,Sales_Items!$B$2:$B$3001,"&lt;"&amp;($A40+7))</f>
        <v>59130</v>
      </c>
      <c r="C40" s="22" t="n">
        <f aca="false">SUMIFS(Sales_Memo!$F$2:$F$1001,Sales_Memo!$B$2:$B$1001,"&gt;="&amp;$A40,Sales_Memo!$B$2:$B$1001,"&lt;"&amp;($A40+7))</f>
        <v>1170</v>
      </c>
      <c r="D40" s="22" t="n">
        <f aca="false">B40-C40</f>
        <v>57960</v>
      </c>
      <c r="E40" s="22" t="n">
        <f aca="false">SUMIFS(Sales_Items!$I$2:$I$3001,Sales_Items!$B$2:$B$3001,"&gt;="&amp;$A40,Sales_Items!$B$2:$B$3001,"&lt;"&amp;($A40+7))</f>
        <v>40140</v>
      </c>
      <c r="F40" s="22" t="n">
        <f aca="false">D40-E40</f>
        <v>17820</v>
      </c>
      <c r="G40" s="22" t="n">
        <f aca="false">SUMIFS(Running_Costs!$D$2:$D$1001,Running_Costs!$A$2:$A$1001,"&gt;="&amp;$A40,Running_Costs!$A$2:$A$1001,"&lt;"&amp;($A40+7))</f>
        <v>24000</v>
      </c>
      <c r="H40" s="23" t="n">
        <f aca="false">F40-G40</f>
        <v>-6180</v>
      </c>
      <c r="I40" s="22" t="n">
        <f aca="false">SUMIFS(Fixed_Costs!$D$2:$D$501,Fixed_Costs!$A$2:$A$501,"&gt;="&amp;$A40,Fixed_Costs!$A$2:$A$501,"&lt;"&amp;($A40+7))</f>
        <v>0</v>
      </c>
      <c r="J40" s="22" t="n">
        <f aca="false">H40-I40</f>
        <v>-6180</v>
      </c>
    </row>
    <row r="41" customFormat="false" ht="15" hidden="false" customHeight="true" outlineLevel="0" collapsed="false">
      <c r="A41" s="27" t="n">
        <f aca="true">TODAY()-WEEKDAY(TODAY(),2)+1-7*2</f>
        <v>46300</v>
      </c>
      <c r="B41" s="22" t="n">
        <f aca="false">SUMIFS(Sales_Items!$H$2:$H$3001,Sales_Items!$B$2:$B$3001,"&gt;="&amp;$A41,Sales_Items!$B$2:$B$3001,"&lt;"&amp;($A41+7))</f>
        <v>76600</v>
      </c>
      <c r="C41" s="22" t="n">
        <f aca="false">SUMIFS(Sales_Memo!$F$2:$F$1001,Sales_Memo!$B$2:$B$1001,"&gt;="&amp;$A41,Sales_Memo!$B$2:$B$1001,"&lt;"&amp;($A41+7))</f>
        <v>1390</v>
      </c>
      <c r="D41" s="22" t="n">
        <f aca="false">B41-C41</f>
        <v>75210</v>
      </c>
      <c r="E41" s="22" t="n">
        <f aca="false">SUMIFS(Sales_Items!$I$2:$I$3001,Sales_Items!$B$2:$B$3001,"&gt;="&amp;$A41,Sales_Items!$B$2:$B$3001,"&lt;"&amp;($A41+7))</f>
        <v>53555</v>
      </c>
      <c r="F41" s="22" t="n">
        <f aca="false">D41-E41</f>
        <v>21655</v>
      </c>
      <c r="G41" s="22" t="n">
        <f aca="false">SUMIFS(Running_Costs!$D$2:$D$1001,Running_Costs!$A$2:$A$1001,"&gt;="&amp;$A41,Running_Costs!$A$2:$A$1001,"&lt;"&amp;($A41+7))</f>
        <v>21000</v>
      </c>
      <c r="H41" s="23" t="n">
        <f aca="false">F41-G41</f>
        <v>655</v>
      </c>
      <c r="I41" s="22" t="n">
        <f aca="false">SUMIFS(Fixed_Costs!$D$2:$D$501,Fixed_Costs!$A$2:$A$501,"&gt;="&amp;$A41,Fixed_Costs!$A$2:$A$501,"&lt;"&amp;($A41+7))</f>
        <v>0</v>
      </c>
      <c r="J41" s="22" t="n">
        <f aca="false">H41-I41</f>
        <v>655</v>
      </c>
    </row>
    <row r="42" customFormat="false" ht="15" hidden="false" customHeight="true" outlineLevel="0" collapsed="false">
      <c r="A42" s="27" t="n">
        <f aca="true">TODAY()-WEEKDAY(TODAY(),2)+1-7*1</f>
        <v>46307</v>
      </c>
      <c r="B42" s="22" t="n">
        <f aca="false">SUMIFS(Sales_Items!$H$2:$H$3001,Sales_Items!$B$2:$B$3001,"&gt;="&amp;$A42,Sales_Items!$B$2:$B$3001,"&lt;"&amp;($A42+7))</f>
        <v>69690</v>
      </c>
      <c r="C42" s="22" t="n">
        <f aca="false">SUMIFS(Sales_Memo!$F$2:$F$1001,Sales_Memo!$B$2:$B$1001,"&gt;="&amp;$A42,Sales_Memo!$B$2:$B$1001,"&lt;"&amp;($A42+7))</f>
        <v>1870</v>
      </c>
      <c r="D42" s="22" t="n">
        <f aca="false">B42-C42</f>
        <v>67820</v>
      </c>
      <c r="E42" s="22" t="n">
        <f aca="false">SUMIFS(Sales_Items!$I$2:$I$3001,Sales_Items!$B$2:$B$3001,"&gt;="&amp;$A42,Sales_Items!$B$2:$B$3001,"&lt;"&amp;($A42+7))</f>
        <v>45985</v>
      </c>
      <c r="F42" s="22" t="n">
        <f aca="false">D42-E42</f>
        <v>21835</v>
      </c>
      <c r="G42" s="22" t="n">
        <f aca="false">SUMIFS(Running_Costs!$D$2:$D$1001,Running_Costs!$A$2:$A$1001,"&gt;="&amp;$A42,Running_Costs!$A$2:$A$1001,"&lt;"&amp;($A42+7))</f>
        <v>5180</v>
      </c>
      <c r="H42" s="23" t="n">
        <f aca="false">F42-G42</f>
        <v>16655</v>
      </c>
      <c r="I42" s="22" t="n">
        <f aca="false">SUMIFS(Fixed_Costs!$D$2:$D$501,Fixed_Costs!$A$2:$A$501,"&gt;="&amp;$A42,Fixed_Costs!$A$2:$A$501,"&lt;"&amp;($A42+7))</f>
        <v>0</v>
      </c>
      <c r="J42" s="22" t="n">
        <f aca="false">H42-I42</f>
        <v>16655</v>
      </c>
    </row>
    <row r="43" customFormat="false" ht="15" hidden="false" customHeight="true" outlineLevel="0" collapsed="false">
      <c r="A43" s="27" t="n">
        <f aca="true">TODAY()-WEEKDAY(TODAY(),2)+1-7*0</f>
        <v>46314</v>
      </c>
      <c r="B43" s="22" t="n">
        <f aca="false">SUMIFS(Sales_Items!$H$2:$H$3001,Sales_Items!$B$2:$B$3001,"&gt;="&amp;$A43,Sales_Items!$B$2:$B$3001,"&lt;"&amp;($A43+7))</f>
        <v>52400</v>
      </c>
      <c r="C43" s="22" t="n">
        <f aca="false">SUMIFS(Sales_Memo!$F$2:$F$1001,Sales_Memo!$B$2:$B$1001,"&gt;="&amp;$A43,Sales_Memo!$B$2:$B$1001,"&lt;"&amp;($A43+7))</f>
        <v>1240</v>
      </c>
      <c r="D43" s="22" t="n">
        <f aca="false">B43-C43</f>
        <v>51160</v>
      </c>
      <c r="E43" s="22" t="n">
        <f aca="false">SUMIFS(Sales_Items!$I$2:$I$3001,Sales_Items!$B$2:$B$3001,"&gt;="&amp;$A43,Sales_Items!$B$2:$B$3001,"&lt;"&amp;($A43+7))</f>
        <v>36270</v>
      </c>
      <c r="F43" s="22" t="n">
        <f aca="false">D43-E43</f>
        <v>14890</v>
      </c>
      <c r="G43" s="22" t="n">
        <f aca="false">SUMIFS(Running_Costs!$D$2:$D$1001,Running_Costs!$A$2:$A$1001,"&gt;="&amp;$A43,Running_Costs!$A$2:$A$1001,"&lt;"&amp;($A43+7))</f>
        <v>0</v>
      </c>
      <c r="H43" s="23" t="n">
        <f aca="false">F43-G43</f>
        <v>14890</v>
      </c>
      <c r="I43" s="22" t="n">
        <f aca="false">SUMIFS(Fixed_Costs!$D$2:$D$501,Fixed_Costs!$A$2:$A$501,"&gt;="&amp;$A43,Fixed_Costs!$A$2:$A$501,"&lt;"&amp;($A43+7))</f>
        <v>0</v>
      </c>
      <c r="J43" s="22" t="n">
        <f aca="false">H43-I43</f>
        <v>14890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1" width="16"/>
  </cols>
  <sheetData>
    <row r="1" customFormat="false" ht="17.25" hidden="false" customHeight="true" outlineLevel="0" collapsed="false">
      <c r="A1" s="2" t="s">
        <v>1202</v>
      </c>
    </row>
    <row r="2" customFormat="false" ht="15" hidden="false" customHeight="true" outlineLevel="0" collapsed="false">
      <c r="A2" s="19" t="s">
        <v>1203</v>
      </c>
    </row>
    <row r="4" customFormat="false" ht="43.5" hidden="false" customHeight="true" outlineLevel="0" collapsed="false">
      <c r="A4" s="20" t="s">
        <v>1204</v>
      </c>
      <c r="B4" s="20" t="s">
        <v>1205</v>
      </c>
      <c r="C4" s="20" t="s">
        <v>1206</v>
      </c>
      <c r="D4" s="20" t="s">
        <v>1207</v>
      </c>
      <c r="E4" s="20" t="s">
        <v>1208</v>
      </c>
      <c r="F4" s="20" t="s">
        <v>1209</v>
      </c>
      <c r="G4" s="20" t="s">
        <v>1195</v>
      </c>
      <c r="H4" s="20" t="s">
        <v>1197</v>
      </c>
      <c r="I4" s="20" t="s">
        <v>1210</v>
      </c>
      <c r="J4" s="20" t="s">
        <v>1211</v>
      </c>
      <c r="K4" s="20" t="s">
        <v>1212</v>
      </c>
      <c r="L4" s="20" t="s">
        <v>1213</v>
      </c>
      <c r="M4" s="20" t="s">
        <v>1214</v>
      </c>
      <c r="N4" s="20" t="s">
        <v>1215</v>
      </c>
      <c r="O4" s="20" t="s">
        <v>1216</v>
      </c>
      <c r="P4" s="20" t="s">
        <v>1217</v>
      </c>
    </row>
    <row r="5" customFormat="false" ht="15" hidden="false" customHeight="true" outlineLevel="0" collapsed="false">
      <c r="A5" s="21" t="n">
        <f aca="false">DATE(Settings!$B$9,1,1)</f>
        <v>46023</v>
      </c>
      <c r="B5" s="22" t="n">
        <f aca="false">SUMIFS(Sales_Memo!$H$2:$H$1001,Sales_Memo!$B$2:$B$1001,"&gt;="&amp;$A5,Sales_Memo!$B$2:$B$1001,"&lt;"&amp;DATE(YEAR($A5),MONTH($A5)+1,1))</f>
        <v>0</v>
      </c>
      <c r="C5" s="22" t="n">
        <f aca="false">SUMIFS(Due_Payments!$C$2:$C$1001,Due_Payments!$A$2:$A$1001,"&gt;="&amp;$A5,Due_Payments!$A$2:$A$1001,"&lt;"&amp;DATE(YEAR($A5),MONTH($A5)+1,1))</f>
        <v>0</v>
      </c>
      <c r="D5" s="22" t="n">
        <f aca="false">SUMIFS(Owner_Capital!$C$2:$C$501,Owner_Capital!$B$2:$B$501,"Capital In",Owner_Capital!$A$2:$A$501,"&gt;="&amp;$A5,Owner_Capital!$A$2:$A$501,"&lt;"&amp;DATE(YEAR($A5),MONTH($A5)+1,1))</f>
        <v>0</v>
      </c>
      <c r="E5" s="22" t="n">
        <f aca="false">SUM(B5:D5)</f>
        <v>0</v>
      </c>
      <c r="F5" s="22" t="n">
        <f aca="false">SUMIFS(Purchases!$F$2:$F$2001,Purchases!$A$2:$A$2001,"&gt;="&amp;$A5,Purchases!$A$2:$A$2001,"&lt;"&amp;DATE(YEAR($A5),MONTH($A5)+1,1))</f>
        <v>0</v>
      </c>
      <c r="G5" s="22" t="n">
        <f aca="false">SUMIFS(Running_Costs!$D$2:$D$1001,Running_Costs!$A$2:$A$1001,"&gt;="&amp;$A5,Running_Costs!$A$2:$A$1001,"&lt;"&amp;DATE(YEAR($A5),MONTH($A5)+1,1))</f>
        <v>0</v>
      </c>
      <c r="H5" s="22" t="n">
        <f aca="false">SUMIFS(Fixed_Costs!$D$2:$D$501,Fixed_Costs!$A$2:$A$501,"&gt;="&amp;$A5,Fixed_Costs!$A$2:$A$501,"&lt;"&amp;DATE(YEAR($A5),MONTH($A5)+1,1))</f>
        <v>0</v>
      </c>
      <c r="I5" s="22" t="n">
        <f aca="false">SUMIFS(Owner_Capital!$C$2:$C$501,Owner_Capital!$B$2:$B$501,"Owner Drawing",Owner_Capital!$A$2:$A$501,"&gt;="&amp;$A5,Owner_Capital!$A$2:$A$501,"&lt;"&amp;DATE(YEAR($A5),MONTH($A5)+1,1))</f>
        <v>0</v>
      </c>
      <c r="J5" s="22" t="n">
        <f aca="false">SUM(F5:I5)</f>
        <v>0</v>
      </c>
      <c r="K5" s="22" t="n">
        <f aca="false">E5-J5</f>
        <v>0</v>
      </c>
      <c r="L5" s="22" t="n">
        <f aca="false">Settings!$B$10+K5</f>
        <v>0</v>
      </c>
      <c r="M5" s="22" t="n">
        <f aca="false">F5+H5</f>
        <v>0</v>
      </c>
      <c r="N5" s="22" t="n">
        <f aca="false">F5-Profit!E5</f>
        <v>0</v>
      </c>
      <c r="O5" s="28" t="n">
        <f aca="false">IF(Profit!D5=0,0,M5/Profit!D5)</f>
        <v>0</v>
      </c>
      <c r="P5" s="22" t="n">
        <f aca="false">Profit!H5-I5</f>
        <v>0</v>
      </c>
    </row>
    <row r="6" customFormat="false" ht="15" hidden="false" customHeight="true" outlineLevel="0" collapsed="false">
      <c r="A6" s="21" t="n">
        <f aca="false">DATE(Settings!$B$9,2,1)</f>
        <v>46054</v>
      </c>
      <c r="B6" s="22" t="n">
        <f aca="false">SUMIFS(Sales_Memo!$H$2:$H$1001,Sales_Memo!$B$2:$B$1001,"&gt;="&amp;$A6,Sales_Memo!$B$2:$B$1001,"&lt;"&amp;DATE(YEAR($A6),MONTH($A6)+1,1))</f>
        <v>0</v>
      </c>
      <c r="C6" s="22" t="n">
        <f aca="false">SUMIFS(Due_Payments!$C$2:$C$1001,Due_Payments!$A$2:$A$1001,"&gt;="&amp;$A6,Due_Payments!$A$2:$A$1001,"&lt;"&amp;DATE(YEAR($A6),MONTH($A6)+1,1))</f>
        <v>0</v>
      </c>
      <c r="D6" s="22" t="n">
        <f aca="false">SUMIFS(Owner_Capital!$C$2:$C$501,Owner_Capital!$B$2:$B$501,"Capital In",Owner_Capital!$A$2:$A$501,"&gt;="&amp;$A6,Owner_Capital!$A$2:$A$501,"&lt;"&amp;DATE(YEAR($A6),MONTH($A6)+1,1))</f>
        <v>0</v>
      </c>
      <c r="E6" s="22" t="n">
        <f aca="false">SUM(B6:D6)</f>
        <v>0</v>
      </c>
      <c r="F6" s="22" t="n">
        <f aca="false">SUMIFS(Purchases!$F$2:$F$2001,Purchases!$A$2:$A$2001,"&gt;="&amp;$A6,Purchases!$A$2:$A$2001,"&lt;"&amp;DATE(YEAR($A6),MONTH($A6)+1,1))</f>
        <v>0</v>
      </c>
      <c r="G6" s="22" t="n">
        <f aca="false">SUMIFS(Running_Costs!$D$2:$D$1001,Running_Costs!$A$2:$A$1001,"&gt;="&amp;$A6,Running_Costs!$A$2:$A$1001,"&lt;"&amp;DATE(YEAR($A6),MONTH($A6)+1,1))</f>
        <v>0</v>
      </c>
      <c r="H6" s="22" t="n">
        <f aca="false">SUMIFS(Fixed_Costs!$D$2:$D$501,Fixed_Costs!$A$2:$A$501,"&gt;="&amp;$A6,Fixed_Costs!$A$2:$A$501,"&lt;"&amp;DATE(YEAR($A6),MONTH($A6)+1,1))</f>
        <v>0</v>
      </c>
      <c r="I6" s="22" t="n">
        <f aca="false">SUMIFS(Owner_Capital!$C$2:$C$501,Owner_Capital!$B$2:$B$501,"Owner Drawing",Owner_Capital!$A$2:$A$501,"&gt;="&amp;$A6,Owner_Capital!$A$2:$A$501,"&lt;"&amp;DATE(YEAR($A6),MONTH($A6)+1,1))</f>
        <v>0</v>
      </c>
      <c r="J6" s="22" t="n">
        <f aca="false">SUM(F6:I6)</f>
        <v>0</v>
      </c>
      <c r="K6" s="22" t="n">
        <f aca="false">E6-J6</f>
        <v>0</v>
      </c>
      <c r="L6" s="22" t="n">
        <f aca="false">L5+K6</f>
        <v>0</v>
      </c>
      <c r="M6" s="22" t="n">
        <f aca="false">F6+H6</f>
        <v>0</v>
      </c>
      <c r="N6" s="22" t="n">
        <f aca="false">F6-Profit!E6</f>
        <v>0</v>
      </c>
      <c r="O6" s="28" t="n">
        <f aca="false">IF(Profit!D6=0,0,M6/Profit!D6)</f>
        <v>0</v>
      </c>
      <c r="P6" s="22" t="n">
        <f aca="false">Profit!H6-I6</f>
        <v>0</v>
      </c>
    </row>
    <row r="7" customFormat="false" ht="15" hidden="false" customHeight="true" outlineLevel="0" collapsed="false">
      <c r="A7" s="21" t="n">
        <f aca="false">DATE(Settings!$B$9,3,1)</f>
        <v>46082</v>
      </c>
      <c r="B7" s="22" t="n">
        <f aca="false">SUMIFS(Sales_Memo!$H$2:$H$1001,Sales_Memo!$B$2:$B$1001,"&gt;="&amp;$A7,Sales_Memo!$B$2:$B$1001,"&lt;"&amp;DATE(YEAR($A7),MONTH($A7)+1,1))</f>
        <v>0</v>
      </c>
      <c r="C7" s="22" t="n">
        <f aca="false">SUMIFS(Due_Payments!$C$2:$C$1001,Due_Payments!$A$2:$A$1001,"&gt;="&amp;$A7,Due_Payments!$A$2:$A$1001,"&lt;"&amp;DATE(YEAR($A7),MONTH($A7)+1,1))</f>
        <v>0</v>
      </c>
      <c r="D7" s="22" t="n">
        <f aca="false">SUMIFS(Owner_Capital!$C$2:$C$501,Owner_Capital!$B$2:$B$501,"Capital In",Owner_Capital!$A$2:$A$501,"&gt;="&amp;$A7,Owner_Capital!$A$2:$A$501,"&lt;"&amp;DATE(YEAR($A7),MONTH($A7)+1,1))</f>
        <v>0</v>
      </c>
      <c r="E7" s="22" t="n">
        <f aca="false">SUM(B7:D7)</f>
        <v>0</v>
      </c>
      <c r="F7" s="22" t="n">
        <f aca="false">SUMIFS(Purchases!$F$2:$F$2001,Purchases!$A$2:$A$2001,"&gt;="&amp;$A7,Purchases!$A$2:$A$2001,"&lt;"&amp;DATE(YEAR($A7),MONTH($A7)+1,1))</f>
        <v>0</v>
      </c>
      <c r="G7" s="22" t="n">
        <f aca="false">SUMIFS(Running_Costs!$D$2:$D$1001,Running_Costs!$A$2:$A$1001,"&gt;="&amp;$A7,Running_Costs!$A$2:$A$1001,"&lt;"&amp;DATE(YEAR($A7),MONTH($A7)+1,1))</f>
        <v>0</v>
      </c>
      <c r="H7" s="22" t="n">
        <f aca="false">SUMIFS(Fixed_Costs!$D$2:$D$501,Fixed_Costs!$A$2:$A$501,"&gt;="&amp;$A7,Fixed_Costs!$A$2:$A$501,"&lt;"&amp;DATE(YEAR($A7),MONTH($A7)+1,1))</f>
        <v>0</v>
      </c>
      <c r="I7" s="22" t="n">
        <f aca="false">SUMIFS(Owner_Capital!$C$2:$C$501,Owner_Capital!$B$2:$B$501,"Owner Drawing",Owner_Capital!$A$2:$A$501,"&gt;="&amp;$A7,Owner_Capital!$A$2:$A$501,"&lt;"&amp;DATE(YEAR($A7),MONTH($A7)+1,1))</f>
        <v>0</v>
      </c>
      <c r="J7" s="22" t="n">
        <f aca="false">SUM(F7:I7)</f>
        <v>0</v>
      </c>
      <c r="K7" s="22" t="n">
        <f aca="false">E7-J7</f>
        <v>0</v>
      </c>
      <c r="L7" s="22" t="n">
        <f aca="false">L6+K7</f>
        <v>0</v>
      </c>
      <c r="M7" s="22" t="n">
        <f aca="false">F7+H7</f>
        <v>0</v>
      </c>
      <c r="N7" s="22" t="n">
        <f aca="false">F7-Profit!E7</f>
        <v>0</v>
      </c>
      <c r="O7" s="28" t="n">
        <f aca="false">IF(Profit!D7=0,0,M7/Profit!D7)</f>
        <v>0</v>
      </c>
      <c r="P7" s="22" t="n">
        <f aca="false">Profit!H7-I7</f>
        <v>0</v>
      </c>
    </row>
    <row r="8" customFormat="false" ht="15" hidden="false" customHeight="true" outlineLevel="0" collapsed="false">
      <c r="A8" s="21" t="n">
        <f aca="false">DATE(Settings!$B$9,4,1)</f>
        <v>46113</v>
      </c>
      <c r="B8" s="22" t="n">
        <f aca="false">SUMIFS(Sales_Memo!$H$2:$H$1001,Sales_Memo!$B$2:$B$1001,"&gt;="&amp;$A8,Sales_Memo!$B$2:$B$1001,"&lt;"&amp;DATE(YEAR($A8),MONTH($A8)+1,1))</f>
        <v>0</v>
      </c>
      <c r="C8" s="22" t="n">
        <f aca="false">SUMIFS(Due_Payments!$C$2:$C$1001,Due_Payments!$A$2:$A$1001,"&gt;="&amp;$A8,Due_Payments!$A$2:$A$1001,"&lt;"&amp;DATE(YEAR($A8),MONTH($A8)+1,1))</f>
        <v>0</v>
      </c>
      <c r="D8" s="22" t="n">
        <f aca="false">SUMIFS(Owner_Capital!$C$2:$C$501,Owner_Capital!$B$2:$B$501,"Capital In",Owner_Capital!$A$2:$A$501,"&gt;="&amp;$A8,Owner_Capital!$A$2:$A$501,"&lt;"&amp;DATE(YEAR($A8),MONTH($A8)+1,1))</f>
        <v>0</v>
      </c>
      <c r="E8" s="22" t="n">
        <f aca="false">SUM(B8:D8)</f>
        <v>0</v>
      </c>
      <c r="F8" s="22" t="n">
        <f aca="false">SUMIFS(Purchases!$F$2:$F$2001,Purchases!$A$2:$A$2001,"&gt;="&amp;$A8,Purchases!$A$2:$A$2001,"&lt;"&amp;DATE(YEAR($A8),MONTH($A8)+1,1))</f>
        <v>0</v>
      </c>
      <c r="G8" s="22" t="n">
        <f aca="false">SUMIFS(Running_Costs!$D$2:$D$1001,Running_Costs!$A$2:$A$1001,"&gt;="&amp;$A8,Running_Costs!$A$2:$A$1001,"&lt;"&amp;DATE(YEAR($A8),MONTH($A8)+1,1))</f>
        <v>0</v>
      </c>
      <c r="H8" s="22" t="n">
        <f aca="false">SUMIFS(Fixed_Costs!$D$2:$D$501,Fixed_Costs!$A$2:$A$501,"&gt;="&amp;$A8,Fixed_Costs!$A$2:$A$501,"&lt;"&amp;DATE(YEAR($A8),MONTH($A8)+1,1))</f>
        <v>0</v>
      </c>
      <c r="I8" s="22" t="n">
        <f aca="false">SUMIFS(Owner_Capital!$C$2:$C$501,Owner_Capital!$B$2:$B$501,"Owner Drawing",Owner_Capital!$A$2:$A$501,"&gt;="&amp;$A8,Owner_Capital!$A$2:$A$501,"&lt;"&amp;DATE(YEAR($A8),MONTH($A8)+1,1))</f>
        <v>0</v>
      </c>
      <c r="J8" s="22" t="n">
        <f aca="false">SUM(F8:I8)</f>
        <v>0</v>
      </c>
      <c r="K8" s="22" t="n">
        <f aca="false">E8-J8</f>
        <v>0</v>
      </c>
      <c r="L8" s="22" t="n">
        <f aca="false">L7+K8</f>
        <v>0</v>
      </c>
      <c r="M8" s="22" t="n">
        <f aca="false">F8+H8</f>
        <v>0</v>
      </c>
      <c r="N8" s="22" t="n">
        <f aca="false">F8-Profit!E8</f>
        <v>0</v>
      </c>
      <c r="O8" s="28" t="n">
        <f aca="false">IF(Profit!D8=0,0,M8/Profit!D8)</f>
        <v>0</v>
      </c>
      <c r="P8" s="22" t="n">
        <f aca="false">Profit!H8-I8</f>
        <v>0</v>
      </c>
    </row>
    <row r="9" customFormat="false" ht="15" hidden="false" customHeight="true" outlineLevel="0" collapsed="false">
      <c r="A9" s="21" t="n">
        <f aca="false">DATE(Settings!$B$9,5,1)</f>
        <v>46143</v>
      </c>
      <c r="B9" s="22" t="n">
        <f aca="false">SUMIFS(Sales_Memo!$H$2:$H$1001,Sales_Memo!$B$2:$B$1001,"&gt;="&amp;$A9,Sales_Memo!$B$2:$B$1001,"&lt;"&amp;DATE(YEAR($A9),MONTH($A9)+1,1))</f>
        <v>0</v>
      </c>
      <c r="C9" s="22" t="n">
        <f aca="false">SUMIFS(Due_Payments!$C$2:$C$1001,Due_Payments!$A$2:$A$1001,"&gt;="&amp;$A9,Due_Payments!$A$2:$A$1001,"&lt;"&amp;DATE(YEAR($A9),MONTH($A9)+1,1))</f>
        <v>0</v>
      </c>
      <c r="D9" s="22" t="n">
        <f aca="false">SUMIFS(Owner_Capital!$C$2:$C$501,Owner_Capital!$B$2:$B$501,"Capital In",Owner_Capital!$A$2:$A$501,"&gt;="&amp;$A9,Owner_Capital!$A$2:$A$501,"&lt;"&amp;DATE(YEAR($A9),MONTH($A9)+1,1))</f>
        <v>0</v>
      </c>
      <c r="E9" s="22" t="n">
        <f aca="false">SUM(B9:D9)</f>
        <v>0</v>
      </c>
      <c r="F9" s="22" t="n">
        <f aca="false">SUMIFS(Purchases!$F$2:$F$2001,Purchases!$A$2:$A$2001,"&gt;="&amp;$A9,Purchases!$A$2:$A$2001,"&lt;"&amp;DATE(YEAR($A9),MONTH($A9)+1,1))</f>
        <v>0</v>
      </c>
      <c r="G9" s="22" t="n">
        <f aca="false">SUMIFS(Running_Costs!$D$2:$D$1001,Running_Costs!$A$2:$A$1001,"&gt;="&amp;$A9,Running_Costs!$A$2:$A$1001,"&lt;"&amp;DATE(YEAR($A9),MONTH($A9)+1,1))</f>
        <v>0</v>
      </c>
      <c r="H9" s="22" t="n">
        <f aca="false">SUMIFS(Fixed_Costs!$D$2:$D$501,Fixed_Costs!$A$2:$A$501,"&gt;="&amp;$A9,Fixed_Costs!$A$2:$A$501,"&lt;"&amp;DATE(YEAR($A9),MONTH($A9)+1,1))</f>
        <v>0</v>
      </c>
      <c r="I9" s="22" t="n">
        <f aca="false">SUMIFS(Owner_Capital!$C$2:$C$501,Owner_Capital!$B$2:$B$501,"Owner Drawing",Owner_Capital!$A$2:$A$501,"&gt;="&amp;$A9,Owner_Capital!$A$2:$A$501,"&lt;"&amp;DATE(YEAR($A9),MONTH($A9)+1,1))</f>
        <v>0</v>
      </c>
      <c r="J9" s="22" t="n">
        <f aca="false">SUM(F9:I9)</f>
        <v>0</v>
      </c>
      <c r="K9" s="22" t="n">
        <f aca="false">E9-J9</f>
        <v>0</v>
      </c>
      <c r="L9" s="22" t="n">
        <f aca="false">L8+K9</f>
        <v>0</v>
      </c>
      <c r="M9" s="22" t="n">
        <f aca="false">F9+H9</f>
        <v>0</v>
      </c>
      <c r="N9" s="22" t="n">
        <f aca="false">F9-Profit!E9</f>
        <v>0</v>
      </c>
      <c r="O9" s="28" t="n">
        <f aca="false">IF(Profit!D9=0,0,M9/Profit!D9)</f>
        <v>0</v>
      </c>
      <c r="P9" s="22" t="n">
        <f aca="false">Profit!H9-I9</f>
        <v>0</v>
      </c>
    </row>
    <row r="10" customFormat="false" ht="15" hidden="false" customHeight="true" outlineLevel="0" collapsed="false">
      <c r="A10" s="21" t="n">
        <f aca="false">DATE(Settings!$B$9,6,1)</f>
        <v>46174</v>
      </c>
      <c r="B10" s="22" t="n">
        <f aca="false">SUMIFS(Sales_Memo!$H$2:$H$1001,Sales_Memo!$B$2:$B$1001,"&gt;="&amp;$A10,Sales_Memo!$B$2:$B$1001,"&lt;"&amp;DATE(YEAR($A10),MONTH($A10)+1,1))</f>
        <v>0</v>
      </c>
      <c r="C10" s="22" t="n">
        <f aca="false">SUMIFS(Due_Payments!$C$2:$C$1001,Due_Payments!$A$2:$A$1001,"&gt;="&amp;$A10,Due_Payments!$A$2:$A$1001,"&lt;"&amp;DATE(YEAR($A10),MONTH($A10)+1,1))</f>
        <v>0</v>
      </c>
      <c r="D10" s="22" t="n">
        <f aca="false">SUMIFS(Owner_Capital!$C$2:$C$501,Owner_Capital!$B$2:$B$501,"Capital In",Owner_Capital!$A$2:$A$501,"&gt;="&amp;$A10,Owner_Capital!$A$2:$A$501,"&lt;"&amp;DATE(YEAR($A10),MONTH($A10)+1,1))</f>
        <v>0</v>
      </c>
      <c r="E10" s="22" t="n">
        <f aca="false">SUM(B10:D10)</f>
        <v>0</v>
      </c>
      <c r="F10" s="22" t="n">
        <f aca="false">SUMIFS(Purchases!$F$2:$F$2001,Purchases!$A$2:$A$2001,"&gt;="&amp;$A10,Purchases!$A$2:$A$2001,"&lt;"&amp;DATE(YEAR($A10),MONTH($A10)+1,1))</f>
        <v>0</v>
      </c>
      <c r="G10" s="22" t="n">
        <f aca="false">SUMIFS(Running_Costs!$D$2:$D$1001,Running_Costs!$A$2:$A$1001,"&gt;="&amp;$A10,Running_Costs!$A$2:$A$1001,"&lt;"&amp;DATE(YEAR($A10),MONTH($A10)+1,1))</f>
        <v>0</v>
      </c>
      <c r="H10" s="22" t="n">
        <f aca="false">SUMIFS(Fixed_Costs!$D$2:$D$501,Fixed_Costs!$A$2:$A$501,"&gt;="&amp;$A10,Fixed_Costs!$A$2:$A$501,"&lt;"&amp;DATE(YEAR($A10),MONTH($A10)+1,1))</f>
        <v>0</v>
      </c>
      <c r="I10" s="22" t="n">
        <f aca="false">SUMIFS(Owner_Capital!$C$2:$C$501,Owner_Capital!$B$2:$B$501,"Owner Drawing",Owner_Capital!$A$2:$A$501,"&gt;="&amp;$A10,Owner_Capital!$A$2:$A$501,"&lt;"&amp;DATE(YEAR($A10),MONTH($A10)+1,1))</f>
        <v>0</v>
      </c>
      <c r="J10" s="22" t="n">
        <f aca="false">SUM(F10:I10)</f>
        <v>0</v>
      </c>
      <c r="K10" s="22" t="n">
        <f aca="false">E10-J10</f>
        <v>0</v>
      </c>
      <c r="L10" s="22" t="n">
        <f aca="false">L9+K10</f>
        <v>0</v>
      </c>
      <c r="M10" s="22" t="n">
        <f aca="false">F10+H10</f>
        <v>0</v>
      </c>
      <c r="N10" s="22" t="n">
        <f aca="false">F10-Profit!E10</f>
        <v>0</v>
      </c>
      <c r="O10" s="28" t="n">
        <f aca="false">IF(Profit!D10=0,0,M10/Profit!D10)</f>
        <v>0</v>
      </c>
      <c r="P10" s="22" t="n">
        <f aca="false">Profit!H10-I10</f>
        <v>0</v>
      </c>
    </row>
    <row r="11" customFormat="false" ht="15" hidden="false" customHeight="true" outlineLevel="0" collapsed="false">
      <c r="A11" s="21" t="n">
        <f aca="false">DATE(Settings!$B$9,7,1)</f>
        <v>46204</v>
      </c>
      <c r="B11" s="22" t="n">
        <f aca="false">SUMIFS(Sales_Memo!$H$2:$H$1001,Sales_Memo!$B$2:$B$1001,"&gt;="&amp;$A11,Sales_Memo!$B$2:$B$1001,"&lt;"&amp;DATE(YEAR($A11),MONTH($A11)+1,1))</f>
        <v>0</v>
      </c>
      <c r="C11" s="22" t="n">
        <f aca="false">SUMIFS(Due_Payments!$C$2:$C$1001,Due_Payments!$A$2:$A$1001,"&gt;="&amp;$A11,Due_Payments!$A$2:$A$1001,"&lt;"&amp;DATE(YEAR($A11),MONTH($A11)+1,1))</f>
        <v>0</v>
      </c>
      <c r="D11" s="22" t="n">
        <f aca="false">SUMIFS(Owner_Capital!$C$2:$C$501,Owner_Capital!$B$2:$B$501,"Capital In",Owner_Capital!$A$2:$A$501,"&gt;="&amp;$A11,Owner_Capital!$A$2:$A$501,"&lt;"&amp;DATE(YEAR($A11),MONTH($A11)+1,1))</f>
        <v>300000</v>
      </c>
      <c r="E11" s="22" t="n">
        <f aca="false">SUM(B11:D11)</f>
        <v>300000</v>
      </c>
      <c r="F11" s="22" t="n">
        <f aca="false">SUMIFS(Purchases!$F$2:$F$2001,Purchases!$A$2:$A$2001,"&gt;="&amp;$A11,Purchases!$A$2:$A$2001,"&lt;"&amp;DATE(YEAR($A11),MONTH($A11)+1,1))</f>
        <v>0</v>
      </c>
      <c r="G11" s="22" t="n">
        <f aca="false">SUMIFS(Running_Costs!$D$2:$D$1001,Running_Costs!$A$2:$A$1001,"&gt;="&amp;$A11,Running_Costs!$A$2:$A$1001,"&lt;"&amp;DATE(YEAR($A11),MONTH($A11)+1,1))</f>
        <v>0</v>
      </c>
      <c r="H11" s="22" t="n">
        <f aca="false">SUMIFS(Fixed_Costs!$D$2:$D$501,Fixed_Costs!$A$2:$A$501,"&gt;="&amp;$A11,Fixed_Costs!$A$2:$A$501,"&lt;"&amp;DATE(YEAR($A11),MONTH($A11)+1,1))</f>
        <v>235000</v>
      </c>
      <c r="I11" s="22" t="n">
        <f aca="false">SUMIFS(Owner_Capital!$C$2:$C$501,Owner_Capital!$B$2:$B$501,"Owner Drawing",Owner_Capital!$A$2:$A$501,"&gt;="&amp;$A11,Owner_Capital!$A$2:$A$501,"&lt;"&amp;DATE(YEAR($A11),MONTH($A11)+1,1))</f>
        <v>0</v>
      </c>
      <c r="J11" s="22" t="n">
        <f aca="false">SUM(F11:I11)</f>
        <v>235000</v>
      </c>
      <c r="K11" s="22" t="n">
        <f aca="false">E11-J11</f>
        <v>65000</v>
      </c>
      <c r="L11" s="22" t="n">
        <f aca="false">L10+K11</f>
        <v>65000</v>
      </c>
      <c r="M11" s="22" t="n">
        <f aca="false">F11+H11</f>
        <v>235000</v>
      </c>
      <c r="N11" s="22" t="n">
        <f aca="false">F11-Profit!E11</f>
        <v>0</v>
      </c>
      <c r="O11" s="28" t="n">
        <f aca="false">IF(Profit!D11=0,0,M11/Profit!D11)</f>
        <v>0</v>
      </c>
      <c r="P11" s="22" t="n">
        <f aca="false">Profit!H11-I11</f>
        <v>0</v>
      </c>
    </row>
    <row r="12" customFormat="false" ht="15" hidden="false" customHeight="true" outlineLevel="0" collapsed="false">
      <c r="A12" s="21" t="n">
        <f aca="false">DATE(Settings!$B$9,8,1)</f>
        <v>46235</v>
      </c>
      <c r="B12" s="22" t="n">
        <f aca="false">SUMIFS(Sales_Memo!$H$2:$H$1001,Sales_Memo!$B$2:$B$1001,"&gt;="&amp;$A12,Sales_Memo!$B$2:$B$1001,"&lt;"&amp;DATE(YEAR($A12),MONTH($A12)+1,1))</f>
        <v>229190</v>
      </c>
      <c r="C12" s="22" t="n">
        <f aca="false">SUMIFS(Due_Payments!$C$2:$C$1001,Due_Payments!$A$2:$A$1001,"&gt;="&amp;$A12,Due_Payments!$A$2:$A$1001,"&lt;"&amp;DATE(YEAR($A12),MONTH($A12)+1,1))</f>
        <v>11000</v>
      </c>
      <c r="D12" s="22" t="n">
        <f aca="false">SUMIFS(Owner_Capital!$C$2:$C$501,Owner_Capital!$B$2:$B$501,"Capital In",Owner_Capital!$A$2:$A$501,"&gt;="&amp;$A12,Owner_Capital!$A$2:$A$501,"&lt;"&amp;DATE(YEAR($A12),MONTH($A12)+1,1))</f>
        <v>0</v>
      </c>
      <c r="E12" s="22" t="n">
        <f aca="false">SUM(B12:D12)</f>
        <v>240190</v>
      </c>
      <c r="F12" s="22" t="n">
        <f aca="false">SUMIFS(Purchases!$F$2:$F$2001,Purchases!$A$2:$A$2001,"&gt;="&amp;$A12,Purchases!$A$2:$A$2001,"&lt;"&amp;DATE(YEAR($A12),MONTH($A12)+1,1))</f>
        <v>61030</v>
      </c>
      <c r="G12" s="22" t="n">
        <f aca="false">SUMIFS(Running_Costs!$D$2:$D$1001,Running_Costs!$A$2:$A$1001,"&gt;="&amp;$A12,Running_Costs!$A$2:$A$1001,"&lt;"&amp;DATE(YEAR($A12),MONTH($A12)+1,1))</f>
        <v>50433</v>
      </c>
      <c r="H12" s="22" t="n">
        <f aca="false">SUMIFS(Fixed_Costs!$D$2:$D$501,Fixed_Costs!$A$2:$A$501,"&gt;="&amp;$A12,Fixed_Costs!$A$2:$A$501,"&lt;"&amp;DATE(YEAR($A12),MONTH($A12)+1,1))</f>
        <v>8000</v>
      </c>
      <c r="I12" s="22" t="n">
        <f aca="false">SUMIFS(Owner_Capital!$C$2:$C$501,Owner_Capital!$B$2:$B$501,"Owner Drawing",Owner_Capital!$A$2:$A$501,"&gt;="&amp;$A12,Owner_Capital!$A$2:$A$501,"&lt;"&amp;DATE(YEAR($A12),MONTH($A12)+1,1))</f>
        <v>0</v>
      </c>
      <c r="J12" s="22" t="n">
        <f aca="false">SUM(F12:I12)</f>
        <v>119463</v>
      </c>
      <c r="K12" s="22" t="n">
        <f aca="false">E12-J12</f>
        <v>120727</v>
      </c>
      <c r="L12" s="22" t="n">
        <f aca="false">L11+K12</f>
        <v>185727</v>
      </c>
      <c r="M12" s="22" t="n">
        <f aca="false">F12+H12</f>
        <v>69030</v>
      </c>
      <c r="N12" s="22" t="n">
        <f aca="false">F12-Profit!E12</f>
        <v>-123730</v>
      </c>
      <c r="O12" s="28" t="n">
        <f aca="false">IF(Profit!D12=0,0,M12/Profit!D12)</f>
        <v>0.262351778656126</v>
      </c>
      <c r="P12" s="22" t="n">
        <f aca="false">Profit!H12-I12</f>
        <v>27927</v>
      </c>
    </row>
    <row r="13" customFormat="false" ht="15" hidden="false" customHeight="true" outlineLevel="0" collapsed="false">
      <c r="A13" s="21" t="n">
        <f aca="false">DATE(Settings!$B$9,9,1)</f>
        <v>46266</v>
      </c>
      <c r="B13" s="22" t="n">
        <f aca="false">SUMIFS(Sales_Memo!$H$2:$H$1001,Sales_Memo!$B$2:$B$1001,"&gt;="&amp;$A13,Sales_Memo!$B$2:$B$1001,"&lt;"&amp;DATE(YEAR($A13),MONTH($A13)+1,1))</f>
        <v>249280</v>
      </c>
      <c r="C13" s="22" t="n">
        <f aca="false">SUMIFS(Due_Payments!$C$2:$C$1001,Due_Payments!$A$2:$A$1001,"&gt;="&amp;$A13,Due_Payments!$A$2:$A$1001,"&lt;"&amp;DATE(YEAR($A13),MONTH($A13)+1,1))</f>
        <v>15820</v>
      </c>
      <c r="D13" s="22" t="n">
        <f aca="false">SUMIFS(Owner_Capital!$C$2:$C$501,Owner_Capital!$B$2:$B$501,"Capital In",Owner_Capital!$A$2:$A$501,"&gt;="&amp;$A13,Owner_Capital!$A$2:$A$501,"&lt;"&amp;DATE(YEAR($A13),MONTH($A13)+1,1))</f>
        <v>0</v>
      </c>
      <c r="E13" s="22" t="n">
        <f aca="false">SUM(B13:D13)</f>
        <v>265100</v>
      </c>
      <c r="F13" s="22" t="n">
        <f aca="false">SUMIFS(Purchases!$F$2:$F$2001,Purchases!$A$2:$A$2001,"&gt;="&amp;$A13,Purchases!$A$2:$A$2001,"&lt;"&amp;DATE(YEAR($A13),MONTH($A13)+1,1))</f>
        <v>205580</v>
      </c>
      <c r="G13" s="22" t="n">
        <f aca="false">SUMIFS(Running_Costs!$D$2:$D$1001,Running_Costs!$A$2:$A$1001,"&gt;="&amp;$A13,Running_Costs!$A$2:$A$1001,"&lt;"&amp;DATE(YEAR($A13),MONTH($A13)+1,1))</f>
        <v>51591</v>
      </c>
      <c r="H13" s="22" t="n">
        <f aca="false">SUMIFS(Fixed_Costs!$D$2:$D$501,Fixed_Costs!$A$2:$A$501,"&gt;="&amp;$A13,Fixed_Costs!$A$2:$A$501,"&lt;"&amp;DATE(YEAR($A13),MONTH($A13)+1,1))</f>
        <v>0</v>
      </c>
      <c r="I13" s="22" t="n">
        <f aca="false">SUMIFS(Owner_Capital!$C$2:$C$501,Owner_Capital!$B$2:$B$501,"Owner Drawing",Owner_Capital!$A$2:$A$501,"&gt;="&amp;$A13,Owner_Capital!$A$2:$A$501,"&lt;"&amp;DATE(YEAR($A13),MONTH($A13)+1,1))</f>
        <v>10000</v>
      </c>
      <c r="J13" s="22" t="n">
        <f aca="false">SUM(F13:I13)</f>
        <v>267171</v>
      </c>
      <c r="K13" s="22" t="n">
        <f aca="false">E13-J13</f>
        <v>-2071</v>
      </c>
      <c r="L13" s="22" t="n">
        <f aca="false">L12+K13</f>
        <v>183656</v>
      </c>
      <c r="M13" s="22" t="n">
        <f aca="false">F13+H13</f>
        <v>205580</v>
      </c>
      <c r="N13" s="22" t="n">
        <f aca="false">F13-Profit!E13</f>
        <v>8020</v>
      </c>
      <c r="O13" s="28" t="n">
        <f aca="false">IF(Profit!D13=0,0,M13/Profit!D13)</f>
        <v>0.72359297455211</v>
      </c>
      <c r="P13" s="22" t="n">
        <f aca="false">Profit!H13-I13</f>
        <v>24959</v>
      </c>
    </row>
    <row r="14" customFormat="false" ht="15" hidden="false" customHeight="true" outlineLevel="0" collapsed="false">
      <c r="A14" s="21" t="n">
        <f aca="false">DATE(Settings!$B$9,10,1)</f>
        <v>46296</v>
      </c>
      <c r="B14" s="22" t="n">
        <f aca="false">SUMIFS(Sales_Memo!$H$2:$H$1001,Sales_Memo!$B$2:$B$1001,"&gt;="&amp;$A14,Sales_Memo!$B$2:$B$1001,"&lt;"&amp;DATE(YEAR($A14),MONTH($A14)+1,1))</f>
        <v>199550</v>
      </c>
      <c r="C14" s="22" t="n">
        <f aca="false">SUMIFS(Due_Payments!$C$2:$C$1001,Due_Payments!$A$2:$A$1001,"&gt;="&amp;$A14,Due_Payments!$A$2:$A$1001,"&lt;"&amp;DATE(YEAR($A14),MONTH($A14)+1,1))</f>
        <v>8890</v>
      </c>
      <c r="D14" s="22" t="n">
        <f aca="false">SUMIFS(Owner_Capital!$C$2:$C$501,Owner_Capital!$B$2:$B$501,"Capital In",Owner_Capital!$A$2:$A$501,"&gt;="&amp;$A14,Owner_Capital!$A$2:$A$501,"&lt;"&amp;DATE(YEAR($A14),MONTH($A14)+1,1))</f>
        <v>0</v>
      </c>
      <c r="E14" s="22" t="n">
        <f aca="false">SUM(B14:D14)</f>
        <v>208440</v>
      </c>
      <c r="F14" s="22" t="n">
        <f aca="false">SUMIFS(Purchases!$F$2:$F$2001,Purchases!$A$2:$A$2001,"&gt;="&amp;$A14,Purchases!$A$2:$A$2001,"&lt;"&amp;DATE(YEAR($A14),MONTH($A14)+1,1))</f>
        <v>160260</v>
      </c>
      <c r="G14" s="22" t="n">
        <f aca="false">SUMIFS(Running_Costs!$D$2:$D$1001,Running_Costs!$A$2:$A$1001,"&gt;="&amp;$A14,Running_Costs!$A$2:$A$1001,"&lt;"&amp;DATE(YEAR($A14),MONTH($A14)+1,1))</f>
        <v>50180</v>
      </c>
      <c r="H14" s="22" t="n">
        <f aca="false">SUMIFS(Fixed_Costs!$D$2:$D$501,Fixed_Costs!$A$2:$A$501,"&gt;="&amp;$A14,Fixed_Costs!$A$2:$A$501,"&lt;"&amp;DATE(YEAR($A14),MONTH($A14)+1,1))</f>
        <v>0</v>
      </c>
      <c r="I14" s="22" t="n">
        <f aca="false">SUMIFS(Owner_Capital!$C$2:$C$501,Owner_Capital!$B$2:$B$501,"Owner Drawing",Owner_Capital!$A$2:$A$501,"&gt;="&amp;$A14,Owner_Capital!$A$2:$A$501,"&lt;"&amp;DATE(YEAR($A14),MONTH($A14)+1,1))</f>
        <v>8000</v>
      </c>
      <c r="J14" s="22" t="n">
        <f aca="false">SUM(F14:I14)</f>
        <v>218440</v>
      </c>
      <c r="K14" s="22" t="n">
        <f aca="false">E14-J14</f>
        <v>-10000</v>
      </c>
      <c r="L14" s="22" t="n">
        <f aca="false">L13+K14</f>
        <v>173656</v>
      </c>
      <c r="M14" s="22" t="n">
        <f aca="false">F14+H14</f>
        <v>160260</v>
      </c>
      <c r="N14" s="22" t="n">
        <f aca="false">F14-Profit!E14</f>
        <v>4640</v>
      </c>
      <c r="O14" s="28" t="n">
        <f aca="false">IF(Profit!D14=0,0,M14/Profit!D14)</f>
        <v>0.720690740657463</v>
      </c>
      <c r="P14" s="22" t="n">
        <f aca="false">Profit!H14-I14</f>
        <v>8570</v>
      </c>
    </row>
    <row r="15" customFormat="false" ht="15" hidden="false" customHeight="true" outlineLevel="0" collapsed="false">
      <c r="A15" s="21" t="n">
        <f aca="false">DATE(Settings!$B$9,11,1)</f>
        <v>46327</v>
      </c>
      <c r="B15" s="22" t="n">
        <f aca="false">SUMIFS(Sales_Memo!$H$2:$H$1001,Sales_Memo!$B$2:$B$1001,"&gt;="&amp;$A15,Sales_Memo!$B$2:$B$1001,"&lt;"&amp;DATE(YEAR($A15),MONTH($A15)+1,1))</f>
        <v>0</v>
      </c>
      <c r="C15" s="22" t="n">
        <f aca="false">SUMIFS(Due_Payments!$C$2:$C$1001,Due_Payments!$A$2:$A$1001,"&gt;="&amp;$A15,Due_Payments!$A$2:$A$1001,"&lt;"&amp;DATE(YEAR($A15),MONTH($A15)+1,1))</f>
        <v>0</v>
      </c>
      <c r="D15" s="22" t="n">
        <f aca="false">SUMIFS(Owner_Capital!$C$2:$C$501,Owner_Capital!$B$2:$B$501,"Capital In",Owner_Capital!$A$2:$A$501,"&gt;="&amp;$A15,Owner_Capital!$A$2:$A$501,"&lt;"&amp;DATE(YEAR($A15),MONTH($A15)+1,1))</f>
        <v>0</v>
      </c>
      <c r="E15" s="22" t="n">
        <f aca="false">SUM(B15:D15)</f>
        <v>0</v>
      </c>
      <c r="F15" s="22" t="n">
        <f aca="false">SUMIFS(Purchases!$F$2:$F$2001,Purchases!$A$2:$A$2001,"&gt;="&amp;$A15,Purchases!$A$2:$A$2001,"&lt;"&amp;DATE(YEAR($A15),MONTH($A15)+1,1))</f>
        <v>0</v>
      </c>
      <c r="G15" s="22" t="n">
        <f aca="false">SUMIFS(Running_Costs!$D$2:$D$1001,Running_Costs!$A$2:$A$1001,"&gt;="&amp;$A15,Running_Costs!$A$2:$A$1001,"&lt;"&amp;DATE(YEAR($A15),MONTH($A15)+1,1))</f>
        <v>0</v>
      </c>
      <c r="H15" s="22" t="n">
        <f aca="false">SUMIFS(Fixed_Costs!$D$2:$D$501,Fixed_Costs!$A$2:$A$501,"&gt;="&amp;$A15,Fixed_Costs!$A$2:$A$501,"&lt;"&amp;DATE(YEAR($A15),MONTH($A15)+1,1))</f>
        <v>0</v>
      </c>
      <c r="I15" s="22" t="n">
        <f aca="false">SUMIFS(Owner_Capital!$C$2:$C$501,Owner_Capital!$B$2:$B$501,"Owner Drawing",Owner_Capital!$A$2:$A$501,"&gt;="&amp;$A15,Owner_Capital!$A$2:$A$501,"&lt;"&amp;DATE(YEAR($A15),MONTH($A15)+1,1))</f>
        <v>0</v>
      </c>
      <c r="J15" s="22" t="n">
        <f aca="false">SUM(F15:I15)</f>
        <v>0</v>
      </c>
      <c r="K15" s="22" t="n">
        <f aca="false">E15-J15</f>
        <v>0</v>
      </c>
      <c r="L15" s="22" t="n">
        <f aca="false">L14+K15</f>
        <v>173656</v>
      </c>
      <c r="M15" s="22" t="n">
        <f aca="false">F15+H15</f>
        <v>0</v>
      </c>
      <c r="N15" s="22" t="n">
        <f aca="false">F15-Profit!E15</f>
        <v>0</v>
      </c>
      <c r="O15" s="28" t="n">
        <f aca="false">IF(Profit!D15=0,0,M15/Profit!D15)</f>
        <v>0</v>
      </c>
      <c r="P15" s="22" t="n">
        <f aca="false">Profit!H15-I15</f>
        <v>0</v>
      </c>
    </row>
    <row r="16" customFormat="false" ht="15" hidden="false" customHeight="true" outlineLevel="0" collapsed="false">
      <c r="A16" s="21" t="n">
        <f aca="false">DATE(Settings!$B$9,12,1)</f>
        <v>46357</v>
      </c>
      <c r="B16" s="22" t="n">
        <f aca="false">SUMIFS(Sales_Memo!$H$2:$H$1001,Sales_Memo!$B$2:$B$1001,"&gt;="&amp;$A16,Sales_Memo!$B$2:$B$1001,"&lt;"&amp;DATE(YEAR($A16),MONTH($A16)+1,1))</f>
        <v>0</v>
      </c>
      <c r="C16" s="22" t="n">
        <f aca="false">SUMIFS(Due_Payments!$C$2:$C$1001,Due_Payments!$A$2:$A$1001,"&gt;="&amp;$A16,Due_Payments!$A$2:$A$1001,"&lt;"&amp;DATE(YEAR($A16),MONTH($A16)+1,1))</f>
        <v>0</v>
      </c>
      <c r="D16" s="22" t="n">
        <f aca="false">SUMIFS(Owner_Capital!$C$2:$C$501,Owner_Capital!$B$2:$B$501,"Capital In",Owner_Capital!$A$2:$A$501,"&gt;="&amp;$A16,Owner_Capital!$A$2:$A$501,"&lt;"&amp;DATE(YEAR($A16),MONTH($A16)+1,1))</f>
        <v>0</v>
      </c>
      <c r="E16" s="22" t="n">
        <f aca="false">SUM(B16:D16)</f>
        <v>0</v>
      </c>
      <c r="F16" s="22" t="n">
        <f aca="false">SUMIFS(Purchases!$F$2:$F$2001,Purchases!$A$2:$A$2001,"&gt;="&amp;$A16,Purchases!$A$2:$A$2001,"&lt;"&amp;DATE(YEAR($A16),MONTH($A16)+1,1))</f>
        <v>0</v>
      </c>
      <c r="G16" s="22" t="n">
        <f aca="false">SUMIFS(Running_Costs!$D$2:$D$1001,Running_Costs!$A$2:$A$1001,"&gt;="&amp;$A16,Running_Costs!$A$2:$A$1001,"&lt;"&amp;DATE(YEAR($A16),MONTH($A16)+1,1))</f>
        <v>0</v>
      </c>
      <c r="H16" s="22" t="n">
        <f aca="false">SUMIFS(Fixed_Costs!$D$2:$D$501,Fixed_Costs!$A$2:$A$501,"&gt;="&amp;$A16,Fixed_Costs!$A$2:$A$501,"&lt;"&amp;DATE(YEAR($A16),MONTH($A16)+1,1))</f>
        <v>0</v>
      </c>
      <c r="I16" s="22" t="n">
        <f aca="false">SUMIFS(Owner_Capital!$C$2:$C$501,Owner_Capital!$B$2:$B$501,"Owner Drawing",Owner_Capital!$A$2:$A$501,"&gt;="&amp;$A16,Owner_Capital!$A$2:$A$501,"&lt;"&amp;DATE(YEAR($A16),MONTH($A16)+1,1))</f>
        <v>0</v>
      </c>
      <c r="J16" s="22" t="n">
        <f aca="false">SUM(F16:I16)</f>
        <v>0</v>
      </c>
      <c r="K16" s="22" t="n">
        <f aca="false">E16-J16</f>
        <v>0</v>
      </c>
      <c r="L16" s="22" t="n">
        <f aca="false">L15+K16</f>
        <v>173656</v>
      </c>
      <c r="M16" s="22" t="n">
        <f aca="false">F16+H16</f>
        <v>0</v>
      </c>
      <c r="N16" s="22" t="n">
        <f aca="false">F16-Profit!E16</f>
        <v>0</v>
      </c>
      <c r="O16" s="28" t="n">
        <f aca="false">IF(Profit!D16=0,0,M16/Profit!D16)</f>
        <v>0</v>
      </c>
      <c r="P16" s="22" t="n">
        <f aca="false">Profit!H16-I16</f>
        <v>0</v>
      </c>
    </row>
    <row r="17" customFormat="false" ht="15" hidden="false" customHeight="true" outlineLevel="0" collapsed="false">
      <c r="A17" s="24" t="s">
        <v>1199</v>
      </c>
      <c r="B17" s="25" t="n">
        <f aca="false">SUM(B5:B16)</f>
        <v>678020</v>
      </c>
      <c r="C17" s="25" t="n">
        <f aca="false">SUM(C5:C16)</f>
        <v>35710</v>
      </c>
      <c r="D17" s="25" t="n">
        <f aca="false">SUM(D5:D16)</f>
        <v>300000</v>
      </c>
      <c r="E17" s="25" t="n">
        <f aca="false">SUM(E5:E16)</f>
        <v>1013730</v>
      </c>
      <c r="F17" s="25" t="n">
        <f aca="false">SUM(F5:F16)</f>
        <v>426870</v>
      </c>
      <c r="G17" s="25" t="n">
        <f aca="false">SUM(G5:G16)</f>
        <v>152204</v>
      </c>
      <c r="H17" s="25" t="n">
        <f aca="false">SUM(H5:H16)</f>
        <v>243000</v>
      </c>
      <c r="I17" s="25" t="n">
        <f aca="false">SUM(I5:I16)</f>
        <v>18000</v>
      </c>
      <c r="J17" s="25" t="n">
        <f aca="false">SUM(J5:J16)</f>
        <v>840074</v>
      </c>
      <c r="K17" s="25" t="n">
        <f aca="false">SUM(K5:K16)</f>
        <v>173656</v>
      </c>
      <c r="L17" s="25" t="n">
        <f aca="false">L16</f>
        <v>173656</v>
      </c>
      <c r="M17" s="25" t="n">
        <f aca="false">SUM(M5:M16)</f>
        <v>669870</v>
      </c>
      <c r="N17" s="25" t="n">
        <f aca="false">SUM(N5:N16)</f>
        <v>-111070</v>
      </c>
      <c r="O17" s="29" t="n">
        <f aca="false">IF(Profit!D17=0,0,M17/Profit!D17)</f>
        <v>0.870413201663202</v>
      </c>
      <c r="P17" s="25" t="n">
        <f aca="false">SUM(P5:P16)</f>
        <v>61456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6" min="3" style="1" width="14"/>
  </cols>
  <sheetData>
    <row r="1" customFormat="false" ht="19.5" hidden="false" customHeight="true" outlineLevel="0" collapsed="false">
      <c r="A1" s="30" t="s">
        <v>1218</v>
      </c>
      <c r="C1" s="4" t="str">
        <f aca="false">Settings!B3&amp;"  |  Year "&amp;Settings!B9</f>
        <v>My Bike Parts Shop  |  Year 2026</v>
      </c>
    </row>
    <row r="3" customFormat="false" ht="15" hidden="false" customHeight="true" outlineLevel="0" collapsed="false">
      <c r="A3" s="24" t="s">
        <v>1219</v>
      </c>
      <c r="B3" s="31" t="n">
        <f aca="false">Profit!D17</f>
        <v>769600</v>
      </c>
      <c r="C3" s="3"/>
      <c r="D3" s="3"/>
    </row>
    <row r="4" customFormat="false" ht="15" hidden="false" customHeight="true" outlineLevel="0" collapsed="false">
      <c r="A4" s="24" t="s">
        <v>1194</v>
      </c>
      <c r="B4" s="31" t="n">
        <f aca="false">Profit!F17</f>
        <v>231660</v>
      </c>
      <c r="C4" s="3"/>
      <c r="D4" s="3"/>
    </row>
    <row r="5" customFormat="false" ht="15" hidden="false" customHeight="true" outlineLevel="0" collapsed="false">
      <c r="A5" s="24" t="s">
        <v>1220</v>
      </c>
      <c r="B5" s="31" t="n">
        <f aca="false">Profit!H17</f>
        <v>79456</v>
      </c>
      <c r="C5" s="3"/>
      <c r="D5" s="3"/>
    </row>
    <row r="6" customFormat="false" ht="15" hidden="false" customHeight="true" outlineLevel="0" collapsed="false">
      <c r="A6" s="24" t="s">
        <v>1221</v>
      </c>
      <c r="B6" s="31" t="n">
        <f aca="false">SUM(Sales_Memo!$J$2:$J$1001)</f>
        <v>55870</v>
      </c>
      <c r="C6" s="3"/>
      <c r="D6" s="3"/>
    </row>
    <row r="7" customFormat="false" ht="15" hidden="false" customHeight="true" outlineLevel="0" collapsed="false">
      <c r="A7" s="24" t="s">
        <v>1222</v>
      </c>
      <c r="B7" s="31" t="n">
        <f aca="false">SUM(Stock!I2:I501)</f>
        <v>226290</v>
      </c>
      <c r="C7" s="3"/>
      <c r="D7" s="3"/>
    </row>
    <row r="8" customFormat="false" ht="15" hidden="false" customHeight="true" outlineLevel="0" collapsed="false">
      <c r="A8" s="24" t="s">
        <v>1223</v>
      </c>
      <c r="B8" s="32" t="n">
        <f aca="false">COUNTIF(Stock!K2:K501,"LOW")+COUNTIF(Stock!K2:K501,"OUT")</f>
        <v>3</v>
      </c>
      <c r="C8" s="3"/>
      <c r="D8" s="3"/>
    </row>
    <row r="9" customFormat="false" ht="15" hidden="false" customHeight="true" outlineLevel="0" collapsed="false">
      <c r="A9" s="24" t="s">
        <v>1224</v>
      </c>
      <c r="B9" s="31" t="n">
        <f aca="false">Reinvestment!M17</f>
        <v>669870</v>
      </c>
      <c r="C9" s="3"/>
      <c r="D9" s="3"/>
    </row>
    <row r="10" customFormat="false" ht="15" hidden="false" customHeight="true" outlineLevel="0" collapsed="false">
      <c r="A10" s="24" t="s">
        <v>1225</v>
      </c>
      <c r="B10" s="31" t="n">
        <f aca="false">Reinvestment!L16</f>
        <v>173656</v>
      </c>
      <c r="C10" s="3"/>
      <c r="D10" s="3"/>
    </row>
    <row r="11" customFormat="false" ht="15" hidden="false" customHeight="true" outlineLevel="0" collapsed="false">
      <c r="A11" s="3"/>
      <c r="B11" s="3"/>
      <c r="C11" s="3"/>
      <c r="D11" s="3"/>
    </row>
    <row r="12" customFormat="false" ht="15" hidden="false" customHeight="true" outlineLevel="0" collapsed="false">
      <c r="A12" s="4" t="s">
        <v>1226</v>
      </c>
      <c r="B12" s="3"/>
      <c r="C12" s="3"/>
      <c r="D12" s="3"/>
    </row>
    <row r="13" customFormat="false" ht="15" hidden="false" customHeight="true" outlineLevel="0" collapsed="false">
      <c r="A13" s="33" t="s">
        <v>1173</v>
      </c>
      <c r="B13" s="33" t="s">
        <v>65</v>
      </c>
      <c r="C13" s="33" t="s">
        <v>1227</v>
      </c>
      <c r="D13" s="3"/>
    </row>
    <row r="14" customFormat="false" ht="15" hidden="false" customHeight="true" outlineLevel="0" collapsed="false">
      <c r="A14" s="3" t="str">
        <f aca="false">IFERROR(IF(LARGE(Stock!$L$2:$L$501,1)&lt;1,"",INDEX(Stock!$B$2:$B$501,MATCH(LARGE(Stock!$L$2:$L$501,1),Stock!$L$2:$L$501,0))),"")</f>
        <v>Clutch Cable</v>
      </c>
      <c r="B14" s="3" t="str">
        <f aca="false">IF(A14="","",INDEX(Stock!$A$2:$A$501,MATCH(LARGE(Stock!$L$2:$L$501,1),Stock!$L$2:$L$501,0)))</f>
        <v>BP002</v>
      </c>
      <c r="C14" s="3" t="n">
        <f aca="false">IF(A14="","",INDEX(Stock!$F$2:$F$501,MATCH(LARGE(Stock!$L$2:$L$501,1),Stock!$L$2:$L$501,0)))</f>
        <v>347</v>
      </c>
      <c r="D14" s="3"/>
    </row>
    <row r="15" customFormat="false" ht="15" hidden="false" customHeight="true" outlineLevel="0" collapsed="false">
      <c r="A15" s="3" t="str">
        <f aca="false">IFERROR(IF(LARGE(Stock!$L$2:$L$501,2)&lt;1,"",INDEX(Stock!$B$2:$B$501,MATCH(LARGE(Stock!$L$2:$L$501,2),Stock!$L$2:$L$501,0))),"")</f>
        <v>Headlight Bulb H4</v>
      </c>
      <c r="B15" s="3" t="str">
        <f aca="false">IF(A15="","",INDEX(Stock!$A$2:$A$501,MATCH(LARGE(Stock!$L$2:$L$501,2),Stock!$L$2:$L$501,0)))</f>
        <v>BP008</v>
      </c>
      <c r="C15" s="3" t="n">
        <f aca="false">IF(A15="","",INDEX(Stock!$F$2:$F$501,MATCH(LARGE(Stock!$L$2:$L$501,2),Stock!$L$2:$L$501,0)))</f>
        <v>264</v>
      </c>
      <c r="D15" s="3"/>
    </row>
    <row r="16" customFormat="false" ht="15" hidden="false" customHeight="true" outlineLevel="0" collapsed="false">
      <c r="A16" s="3" t="str">
        <f aca="false">IFERROR(IF(LARGE(Stock!$L$2:$L$501,3)&lt;1,"",INDEX(Stock!$B$2:$B$501,MATCH(LARGE(Stock!$L$2:$L$501,3),Stock!$L$2:$L$501,0))),"")</f>
        <v>Spark Plug CPR8EA-9</v>
      </c>
      <c r="B16" s="3" t="str">
        <f aca="false">IF(A16="","",INDEX(Stock!$A$2:$A$501,MATCH(LARGE(Stock!$L$2:$L$501,3),Stock!$L$2:$L$501,0)))</f>
        <v>BP003</v>
      </c>
      <c r="C16" s="3" t="n">
        <f aca="false">IF(A16="","",INDEX(Stock!$F$2:$F$501,MATCH(LARGE(Stock!$L$2:$L$501,3),Stock!$L$2:$L$501,0)))</f>
        <v>222</v>
      </c>
      <c r="D16" s="3"/>
    </row>
    <row r="17" customFormat="false" ht="15" hidden="false" customHeight="true" outlineLevel="0" collapsed="false">
      <c r="A17" s="3" t="str">
        <f aca="false">IFERROR(IF(LARGE(Stock!$L$2:$L$501,4)&lt;1,"",INDEX(Stock!$B$2:$B$501,MATCH(LARGE(Stock!$L$2:$L$501,4),Stock!$L$2:$L$501,0))),"")</f>
        <v>Chain Lube Spray</v>
      </c>
      <c r="B17" s="3" t="str">
        <f aca="false">IF(A17="","",INDEX(Stock!$A$2:$A$501,MATCH(LARGE(Stock!$L$2:$L$501,4),Stock!$L$2:$L$501,0)))</f>
        <v>BP014</v>
      </c>
      <c r="C17" s="3" t="n">
        <f aca="false">IF(A17="","",INDEX(Stock!$F$2:$F$501,MATCH(LARGE(Stock!$L$2:$L$501,4),Stock!$L$2:$L$501,0)))</f>
        <v>217</v>
      </c>
      <c r="D17" s="3"/>
    </row>
    <row r="18" customFormat="false" ht="15" hidden="false" customHeight="true" outlineLevel="0" collapsed="false">
      <c r="A18" s="3" t="str">
        <f aca="false">IFERROR(IF(LARGE(Stock!$L$2:$L$501,5)&lt;1,"",INDEX(Stock!$B$2:$B$501,MATCH(LARGE(Stock!$L$2:$L$501,5),Stock!$L$2:$L$501,0))),"")</f>
        <v>Handle Grip Set</v>
      </c>
      <c r="B18" s="3" t="str">
        <f aca="false">IF(A18="","",INDEX(Stock!$A$2:$A$501,MATCH(LARGE(Stock!$L$2:$L$501,5),Stock!$L$2:$L$501,0)))</f>
        <v>BP015</v>
      </c>
      <c r="C18" s="3" t="n">
        <f aca="false">IF(A18="","",INDEX(Stock!$F$2:$F$501,MATCH(LARGE(Stock!$L$2:$L$501,5),Stock!$L$2:$L$501,0)))</f>
        <v>211</v>
      </c>
      <c r="D18" s="3"/>
    </row>
    <row r="19" customFormat="false" ht="15" hidden="false" customHeight="true" outlineLevel="0" collapsed="false">
      <c r="A19" s="3" t="str">
        <f aca="false">IFERROR(IF(LARGE(Stock!$L$2:$L$501,6)&lt;1,"",INDEX(Stock!$B$2:$B$501,MATCH(LARGE(Stock!$L$2:$L$501,6),Stock!$L$2:$L$501,0))),"")</f>
        <v>Air Filter 150cc</v>
      </c>
      <c r="B19" s="3" t="str">
        <f aca="false">IF(A19="","",INDEX(Stock!$A$2:$A$501,MATCH(LARGE(Stock!$L$2:$L$501,6),Stock!$L$2:$L$501,0)))</f>
        <v>BP004</v>
      </c>
      <c r="C19" s="3" t="n">
        <f aca="false">IF(A19="","",INDEX(Stock!$F$2:$F$501,MATCH(LARGE(Stock!$L$2:$L$501,6),Stock!$L$2:$L$501,0)))</f>
        <v>174</v>
      </c>
      <c r="D19" s="3"/>
    </row>
    <row r="20" customFormat="false" ht="15" hidden="false" customHeight="true" outlineLevel="0" collapsed="false">
      <c r="A20" s="3" t="str">
        <f aca="false">IFERROR(IF(LARGE(Stock!$L$2:$L$501,7)&lt;1,"",INDEX(Stock!$B$2:$B$501,MATCH(LARGE(Stock!$L$2:$L$501,7),Stock!$L$2:$L$501,0))),"")</f>
        <v>Brake Pad Set - Front</v>
      </c>
      <c r="B20" s="3" t="str">
        <f aca="false">IF(A20="","",INDEX(Stock!$A$2:$A$501,MATCH(LARGE(Stock!$L$2:$L$501,7),Stock!$L$2:$L$501,0)))</f>
        <v>BP001</v>
      </c>
      <c r="C20" s="3" t="n">
        <f aca="false">IF(A20="","",INDEX(Stock!$F$2:$F$501,MATCH(LARGE(Stock!$L$2:$L$501,7),Stock!$L$2:$L$501,0)))</f>
        <v>112</v>
      </c>
      <c r="D20" s="3"/>
    </row>
    <row r="21" customFormat="false" ht="15" hidden="false" customHeight="true" outlineLevel="0" collapsed="false">
      <c r="A21" s="3" t="str">
        <f aca="false">IFERROR(IF(LARGE(Stock!$L$2:$L$501,8)&lt;1,"",INDEX(Stock!$B$2:$B$501,MATCH(LARGE(Stock!$L$2:$L$501,8),Stock!$L$2:$L$501,0))),"")</f>
        <v>Engine Oil 10W-30 (1L)</v>
      </c>
      <c r="B21" s="3" t="str">
        <f aca="false">IF(A21="","",INDEX(Stock!$A$2:$A$501,MATCH(LARGE(Stock!$L$2:$L$501,8),Stock!$L$2:$L$501,0)))</f>
        <v>BP006</v>
      </c>
      <c r="C21" s="3" t="n">
        <f aca="false">IF(A21="","",INDEX(Stock!$F$2:$F$501,MATCH(LARGE(Stock!$L$2:$L$501,8),Stock!$L$2:$L$501,0)))</f>
        <v>101</v>
      </c>
      <c r="D21" s="3"/>
    </row>
    <row r="22" customFormat="false" ht="15" hidden="false" customHeight="true" outlineLevel="0" collapsed="false">
      <c r="A22" s="3" t="str">
        <f aca="false">IFERROR(IF(LARGE(Stock!$L$2:$L$501,9)&lt;1,"",INDEX(Stock!$B$2:$B$501,MATCH(LARGE(Stock!$L$2:$L$501,9),Stock!$L$2:$L$501,0))),"")</f>
        <v>Engine Oil 20W-50 (1L)</v>
      </c>
      <c r="B22" s="3" t="str">
        <f aca="false">IF(A22="","",INDEX(Stock!$A$2:$A$501,MATCH(LARGE(Stock!$L$2:$L$501,9),Stock!$L$2:$L$501,0)))</f>
        <v>BP007</v>
      </c>
      <c r="C22" s="3" t="n">
        <f aca="false">IF(A22="","",INDEX(Stock!$F$2:$F$501,MATCH(LARGE(Stock!$L$2:$L$501,9),Stock!$L$2:$L$501,0)))</f>
        <v>97</v>
      </c>
      <c r="D22" s="3"/>
    </row>
    <row r="23" customFormat="false" ht="15" hidden="false" customHeight="true" outlineLevel="0" collapsed="false">
      <c r="A23" s="3" t="str">
        <f aca="false">IFERROR(IF(LARGE(Stock!$L$2:$L$501,10)&lt;1,"",INDEX(Stock!$B$2:$B$501,MATCH(LARGE(Stock!$L$2:$L$501,10),Stock!$L$2:$L$501,0))),"")</f>
        <v>Side Mirror (Pair)</v>
      </c>
      <c r="B23" s="3" t="str">
        <f aca="false">IF(A23="","",INDEX(Stock!$A$2:$A$501,MATCH(LARGE(Stock!$L$2:$L$501,10),Stock!$L$2:$L$501,0)))</f>
        <v>BP012</v>
      </c>
      <c r="C23" s="3" t="n">
        <f aca="false">IF(A23="","",INDEX(Stock!$F$2:$F$501,MATCH(LARGE(Stock!$L$2:$L$501,10),Stock!$L$2:$L$501,0)))</f>
        <v>80</v>
      </c>
      <c r="D23" s="3"/>
    </row>
    <row r="24" customFormat="false" ht="15" hidden="false" customHeight="true" outlineLevel="0" collapsed="false">
      <c r="A24" s="3"/>
      <c r="B24" s="3"/>
      <c r="C24" s="3"/>
      <c r="D24" s="3"/>
    </row>
    <row r="25" customFormat="false" ht="15" hidden="false" customHeight="true" outlineLevel="0" collapsed="false">
      <c r="A25" s="4" t="s">
        <v>1228</v>
      </c>
      <c r="B25" s="3"/>
      <c r="C25" s="3"/>
      <c r="D25" s="3"/>
    </row>
    <row r="26" customFormat="false" ht="15" hidden="false" customHeight="true" outlineLevel="0" collapsed="false">
      <c r="A26" s="33" t="s">
        <v>1173</v>
      </c>
      <c r="B26" s="33" t="s">
        <v>1229</v>
      </c>
      <c r="C26" s="33" t="s">
        <v>1154</v>
      </c>
      <c r="D26" s="33" t="s">
        <v>1155</v>
      </c>
    </row>
    <row r="27" customFormat="false" ht="15" hidden="false" customHeight="true" outlineLevel="0" collapsed="false">
      <c r="A27" s="3" t="str">
        <f aca="false">IFERROR(INDEX(Stock!$B$2:$B$501,MATCH(1,Stock!$M$2:$M$501,0)),"")</f>
        <v>Clutch Cable</v>
      </c>
      <c r="B27" s="3" t="n">
        <f aca="false">IFERROR(INDEX(Stock!$G$2:$G$501,MATCH(1,Stock!$M$2:$M$501,0)),"")</f>
        <v>7</v>
      </c>
      <c r="C27" s="3" t="n">
        <f aca="false">IFERROR(INDEX(Stock!$J$2:$J$501,MATCH(1,Stock!$M$2:$M$501,0)),"")</f>
        <v>10</v>
      </c>
      <c r="D27" s="3" t="str">
        <f aca="false">IFERROR(INDEX(Stock!$K$2:$K$501,MATCH(1,Stock!$M$2:$M$501,0)),"")</f>
        <v>LOW</v>
      </c>
    </row>
    <row r="28" customFormat="false" ht="15" hidden="false" customHeight="true" outlineLevel="0" collapsed="false">
      <c r="A28" s="3" t="str">
        <f aca="false">IFERROR(INDEX(Stock!$B$2:$B$501,MATCH(2,Stock!$M$2:$M$501,0)),"")</f>
        <v>Battery 12V 5Ah</v>
      </c>
      <c r="B28" s="3" t="n">
        <f aca="false">IFERROR(INDEX(Stock!$G$2:$G$501,MATCH(2,Stock!$M$2:$M$501,0)),"")</f>
        <v>0</v>
      </c>
      <c r="C28" s="3" t="n">
        <f aca="false">IFERROR(INDEX(Stock!$J$2:$J$501,MATCH(2,Stock!$M$2:$M$501,0)),"")</f>
        <v>3</v>
      </c>
      <c r="D28" s="3" t="str">
        <f aca="false">IFERROR(INDEX(Stock!$K$2:$K$501,MATCH(2,Stock!$M$2:$M$501,0)),"")</f>
        <v>OUT</v>
      </c>
    </row>
    <row r="29" customFormat="false" ht="15" hidden="false" customHeight="true" outlineLevel="0" collapsed="false">
      <c r="A29" s="3" t="str">
        <f aca="false">IFERROR(INDEX(Stock!$B$2:$B$501,MATCH(3,Stock!$M$2:$M$501,0)),"")</f>
        <v>Helmet Full Face</v>
      </c>
      <c r="B29" s="3" t="n">
        <f aca="false">IFERROR(INDEX(Stock!$G$2:$G$501,MATCH(3,Stock!$M$2:$M$501,0)),"")</f>
        <v>0</v>
      </c>
      <c r="C29" s="3" t="n">
        <f aca="false">IFERROR(INDEX(Stock!$J$2:$J$501,MATCH(3,Stock!$M$2:$M$501,0)),"")</f>
        <v>5</v>
      </c>
      <c r="D29" s="3" t="str">
        <f aca="false">IFERROR(INDEX(Stock!$K$2:$K$501,MATCH(3,Stock!$M$2:$M$501,0)),"")</f>
        <v>OUT</v>
      </c>
    </row>
    <row r="30" customFormat="false" ht="15" hidden="false" customHeight="true" outlineLevel="0" collapsed="false">
      <c r="A30" s="3" t="str">
        <f aca="false">IFERROR(INDEX(Stock!$B$2:$B$501,MATCH(4,Stock!$M$2:$M$501,0)),"")</f>
        <v/>
      </c>
      <c r="B30" s="3" t="str">
        <f aca="false">IFERROR(INDEX(Stock!$G$2:$G$501,MATCH(4,Stock!$M$2:$M$501,0)),"")</f>
        <v/>
      </c>
      <c r="C30" s="3" t="str">
        <f aca="false">IFERROR(INDEX(Stock!$J$2:$J$501,MATCH(4,Stock!$M$2:$M$501,0)),"")</f>
        <v/>
      </c>
      <c r="D30" s="3" t="str">
        <f aca="false">IFERROR(INDEX(Stock!$K$2:$K$501,MATCH(4,Stock!$M$2:$M$501,0)),"")</f>
        <v/>
      </c>
    </row>
    <row r="31" customFormat="false" ht="15" hidden="false" customHeight="true" outlineLevel="0" collapsed="false">
      <c r="A31" s="3" t="str">
        <f aca="false">IFERROR(INDEX(Stock!$B$2:$B$501,MATCH(5,Stock!$M$2:$M$501,0)),"")</f>
        <v/>
      </c>
      <c r="B31" s="3" t="str">
        <f aca="false">IFERROR(INDEX(Stock!$G$2:$G$501,MATCH(5,Stock!$M$2:$M$501,0)),"")</f>
        <v/>
      </c>
      <c r="C31" s="3" t="str">
        <f aca="false">IFERROR(INDEX(Stock!$J$2:$J$501,MATCH(5,Stock!$M$2:$M$501,0)),"")</f>
        <v/>
      </c>
      <c r="D31" s="3" t="str">
        <f aca="false">IFERROR(INDEX(Stock!$K$2:$K$501,MATCH(5,Stock!$M$2:$M$501,0)),"")</f>
        <v/>
      </c>
    </row>
    <row r="32" customFormat="false" ht="15" hidden="false" customHeight="true" outlineLevel="0" collapsed="false">
      <c r="A32" s="3" t="str">
        <f aca="false">IFERROR(INDEX(Stock!$B$2:$B$501,MATCH(6,Stock!$M$2:$M$501,0)),"")</f>
        <v/>
      </c>
      <c r="B32" s="3" t="str">
        <f aca="false">IFERROR(INDEX(Stock!$G$2:$G$501,MATCH(6,Stock!$M$2:$M$501,0)),"")</f>
        <v/>
      </c>
      <c r="C32" s="3" t="str">
        <f aca="false">IFERROR(INDEX(Stock!$J$2:$J$501,MATCH(6,Stock!$M$2:$M$501,0)),"")</f>
        <v/>
      </c>
      <c r="D32" s="3" t="str">
        <f aca="false">IFERROR(INDEX(Stock!$K$2:$K$501,MATCH(6,Stock!$M$2:$M$501,0)),"")</f>
        <v/>
      </c>
    </row>
    <row r="33" customFormat="false" ht="15" hidden="false" customHeight="true" outlineLevel="0" collapsed="false">
      <c r="A33" s="3" t="str">
        <f aca="false">IFERROR(INDEX(Stock!$B$2:$B$501,MATCH(7,Stock!$M$2:$M$501,0)),"")</f>
        <v/>
      </c>
      <c r="B33" s="3" t="str">
        <f aca="false">IFERROR(INDEX(Stock!$G$2:$G$501,MATCH(7,Stock!$M$2:$M$501,0)),"")</f>
        <v/>
      </c>
      <c r="C33" s="3" t="str">
        <f aca="false">IFERROR(INDEX(Stock!$J$2:$J$501,MATCH(7,Stock!$M$2:$M$501,0)),"")</f>
        <v/>
      </c>
      <c r="D33" s="3" t="str">
        <f aca="false">IFERROR(INDEX(Stock!$K$2:$K$501,MATCH(7,Stock!$M$2:$M$501,0)),"")</f>
        <v/>
      </c>
    </row>
    <row r="34" customFormat="false" ht="15" hidden="false" customHeight="true" outlineLevel="0" collapsed="false">
      <c r="A34" s="3" t="str">
        <f aca="false">IFERROR(INDEX(Stock!$B$2:$B$501,MATCH(8,Stock!$M$2:$M$501,0)),"")</f>
        <v/>
      </c>
      <c r="B34" s="3" t="str">
        <f aca="false">IFERROR(INDEX(Stock!$G$2:$G$501,MATCH(8,Stock!$M$2:$M$501,0)),"")</f>
        <v/>
      </c>
      <c r="C34" s="3" t="str">
        <f aca="false">IFERROR(INDEX(Stock!$J$2:$J$501,MATCH(8,Stock!$M$2:$M$501,0)),"")</f>
        <v/>
      </c>
      <c r="D34" s="3" t="str">
        <f aca="false">IFERROR(INDEX(Stock!$K$2:$K$501,MATCH(8,Stock!$M$2:$M$501,0)),"")</f>
        <v/>
      </c>
    </row>
    <row r="35" customFormat="false" ht="15" hidden="false" customHeight="true" outlineLevel="0" collapsed="false">
      <c r="A35" s="3" t="str">
        <f aca="false">IFERROR(INDEX(Stock!$B$2:$B$501,MATCH(9,Stock!$M$2:$M$501,0)),"")</f>
        <v/>
      </c>
      <c r="B35" s="3" t="str">
        <f aca="false">IFERROR(INDEX(Stock!$G$2:$G$501,MATCH(9,Stock!$M$2:$M$501,0)),"")</f>
        <v/>
      </c>
      <c r="C35" s="3" t="str">
        <f aca="false">IFERROR(INDEX(Stock!$J$2:$J$501,MATCH(9,Stock!$M$2:$M$501,0)),"")</f>
        <v/>
      </c>
      <c r="D35" s="3" t="str">
        <f aca="false">IFERROR(INDEX(Stock!$K$2:$K$501,MATCH(9,Stock!$M$2:$M$501,0)),"")</f>
        <v/>
      </c>
    </row>
    <row r="36" customFormat="false" ht="15" hidden="false" customHeight="true" outlineLevel="0" collapsed="false">
      <c r="A36" s="3" t="str">
        <f aca="false">IFERROR(INDEX(Stock!$B$2:$B$501,MATCH(10,Stock!$M$2:$M$501,0)),"")</f>
        <v/>
      </c>
      <c r="B36" s="3" t="str">
        <f aca="false">IFERROR(INDEX(Stock!$G$2:$G$501,MATCH(10,Stock!$M$2:$M$501,0)),"")</f>
        <v/>
      </c>
      <c r="C36" s="3" t="str">
        <f aca="false">IFERROR(INDEX(Stock!$J$2:$J$501,MATCH(10,Stock!$M$2:$M$501,0)),"")</f>
        <v/>
      </c>
      <c r="D36" s="3" t="str">
        <f aca="false">IFERROR(INDEX(Stock!$K$2:$K$501,MATCH(10,Stock!$M$2:$M$501,0)),"")</f>
        <v/>
      </c>
    </row>
    <row r="37" customFormat="false" ht="15" hidden="false" customHeight="true" outlineLevel="0" collapsed="false">
      <c r="A37" s="3"/>
      <c r="B37" s="3"/>
      <c r="C37" s="3"/>
      <c r="D37" s="3"/>
    </row>
    <row r="38" customFormat="false" ht="15" hidden="false" customHeight="true" outlineLevel="0" collapsed="false">
      <c r="A38" s="4" t="s">
        <v>1230</v>
      </c>
      <c r="B38" s="3"/>
      <c r="C38" s="3"/>
      <c r="D38" s="3"/>
    </row>
    <row r="39" customFormat="false" ht="15" hidden="false" customHeight="true" outlineLevel="0" collapsed="false">
      <c r="A39" s="33" t="s">
        <v>67</v>
      </c>
      <c r="B39" s="33" t="s">
        <v>1159</v>
      </c>
      <c r="C39" s="3"/>
      <c r="D39" s="3"/>
    </row>
    <row r="40" customFormat="false" ht="15" hidden="false" customHeight="true" outlineLevel="0" collapsed="false">
      <c r="A40" s="3" t="str">
        <f aca="false">Settings!G3</f>
        <v>Electricity</v>
      </c>
      <c r="B40" s="22" t="n">
        <f aca="false">IF(A40="",0,SUMIFS(Running_Costs!$D$2:$D$1001,Running_Costs!$B$2:$B$1001,A40,Running_Costs!$A$2:$A$1001,"&gt;="&amp;DATE(Settings!$B$9,1,1),Running_Costs!$A$2:$A$1001,"&lt;"&amp;DATE(Settings!$B$9+1,1,1)))</f>
        <v>9343</v>
      </c>
      <c r="C40" s="3"/>
      <c r="D40" s="3"/>
    </row>
    <row r="41" customFormat="false" ht="15" hidden="false" customHeight="true" outlineLevel="0" collapsed="false">
      <c r="A41" s="3" t="str">
        <f aca="false">Settings!G4</f>
        <v>Internet</v>
      </c>
      <c r="B41" s="22" t="n">
        <f aca="false">IF(A41="",0,SUMIFS(Running_Costs!$D$2:$D$1001,Running_Costs!$B$2:$B$1001,A41,Running_Costs!$A$2:$A$1001,"&gt;="&amp;DATE(Settings!$B$9,1,1),Running_Costs!$A$2:$A$1001,"&lt;"&amp;DATE(Settings!$B$9+1,1,1)))</f>
        <v>3000</v>
      </c>
      <c r="C41" s="3"/>
      <c r="D41" s="3"/>
    </row>
    <row r="42" customFormat="false" ht="15" hidden="false" customHeight="true" outlineLevel="0" collapsed="false">
      <c r="A42" s="3" t="str">
        <f aca="false">Settings!G5</f>
        <v>Salary</v>
      </c>
      <c r="B42" s="22" t="n">
        <f aca="false">IF(A42="",0,SUMIFS(Running_Costs!$D$2:$D$1001,Running_Costs!$B$2:$B$1001,A42,Running_Costs!$A$2:$A$1001,"&gt;="&amp;DATE(Settings!$B$9,1,1),Running_Costs!$A$2:$A$1001,"&lt;"&amp;DATE(Settings!$B$9+1,1,1)))</f>
        <v>72000</v>
      </c>
      <c r="C42" s="3"/>
      <c r="D42" s="3"/>
    </row>
    <row r="43" customFormat="false" ht="15" hidden="false" customHeight="true" outlineLevel="0" collapsed="false">
      <c r="A43" s="3" t="str">
        <f aca="false">Settings!G6</f>
        <v>Rent</v>
      </c>
      <c r="B43" s="22" t="n">
        <f aca="false">IF(A43="",0,SUMIFS(Running_Costs!$D$2:$D$1001,Running_Costs!$B$2:$B$1001,A43,Running_Costs!$A$2:$A$1001,"&gt;="&amp;DATE(Settings!$B$9,1,1),Running_Costs!$A$2:$A$1001,"&lt;"&amp;DATE(Settings!$B$9+1,1,1)))</f>
        <v>60000</v>
      </c>
      <c r="C43" s="3"/>
      <c r="D43" s="3"/>
    </row>
    <row r="44" customFormat="false" ht="15" hidden="false" customHeight="true" outlineLevel="0" collapsed="false">
      <c r="A44" s="3" t="str">
        <f aca="false">Settings!G7</f>
        <v>Transport</v>
      </c>
      <c r="B44" s="22" t="n">
        <f aca="false">IF(A44="",0,SUMIFS(Running_Costs!$D$2:$D$1001,Running_Costs!$B$2:$B$1001,A44,Running_Costs!$A$2:$A$1001,"&gt;="&amp;DATE(Settings!$B$9,1,1),Running_Costs!$A$2:$A$1001,"&lt;"&amp;DATE(Settings!$B$9+1,1,1)))</f>
        <v>4826</v>
      </c>
      <c r="C44" s="3"/>
      <c r="D44" s="3"/>
    </row>
    <row r="45" customFormat="false" ht="15" hidden="false" customHeight="true" outlineLevel="0" collapsed="false">
      <c r="A45" s="3" t="str">
        <f aca="false">Settings!G8</f>
        <v>Other</v>
      </c>
      <c r="B45" s="22" t="n">
        <f aca="false">IF(A45="",0,SUMIFS(Running_Costs!$D$2:$D$1001,Running_Costs!$B$2:$B$1001,A45,Running_Costs!$A$2:$A$1001,"&gt;="&amp;DATE(Settings!$B$9,1,1),Running_Costs!$A$2:$A$1001,"&lt;"&amp;DATE(Settings!$B$9+1,1,1)))</f>
        <v>3035</v>
      </c>
      <c r="C45" s="3"/>
      <c r="D45" s="3"/>
    </row>
    <row r="46" customFormat="false" ht="15" hidden="false" customHeight="true" outlineLevel="0" collapsed="false">
      <c r="A46" s="3"/>
      <c r="B46" s="3"/>
      <c r="C46" s="3"/>
      <c r="D46" s="3"/>
    </row>
    <row r="47" customFormat="false" ht="15" hidden="false" customHeight="true" outlineLevel="0" collapsed="false">
      <c r="A47" s="4" t="s">
        <v>1231</v>
      </c>
      <c r="B47" s="3"/>
      <c r="C47" s="3"/>
      <c r="D47" s="3"/>
    </row>
    <row r="48" customFormat="false" ht="15" hidden="false" customHeight="true" outlineLevel="0" collapsed="false">
      <c r="A48" s="33" t="s">
        <v>67</v>
      </c>
      <c r="B48" s="33" t="s">
        <v>1159</v>
      </c>
      <c r="C48" s="3"/>
      <c r="D48" s="3"/>
    </row>
    <row r="49" customFormat="false" ht="15" hidden="false" customHeight="true" outlineLevel="0" collapsed="false">
      <c r="A49" s="3" t="str">
        <f aca="false">Settings!H3</f>
        <v>Decoration</v>
      </c>
      <c r="B49" s="22" t="n">
        <f aca="false">IF(A49="",0,SUMIFS(Fixed_Costs!$D$2:$D$501,Fixed_Costs!$B$2:$B$501,A49,Fixed_Costs!$A$2:$A$501,"&gt;="&amp;DATE(Settings!$B$9,1,1),Fixed_Costs!$A$2:$A$501,"&lt;"&amp;DATE(Settings!$B$9+1,1,1)))</f>
        <v>145000</v>
      </c>
      <c r="C49" s="3"/>
      <c r="D49" s="3"/>
    </row>
    <row r="50" customFormat="false" ht="15" hidden="false" customHeight="true" outlineLevel="0" collapsed="false">
      <c r="A50" s="3" t="str">
        <f aca="false">Settings!H4</f>
        <v>Furniture</v>
      </c>
      <c r="B50" s="22" t="n">
        <f aca="false">IF(A50="",0,SUMIFS(Fixed_Costs!$D$2:$D$501,Fixed_Costs!$B$2:$B$501,A50,Fixed_Costs!$A$2:$A$501,"&gt;="&amp;DATE(Settings!$B$9,1,1),Fixed_Costs!$A$2:$A$501,"&lt;"&amp;DATE(Settings!$B$9+1,1,1)))</f>
        <v>60000</v>
      </c>
      <c r="C50" s="3"/>
      <c r="D50" s="3"/>
    </row>
    <row r="51" customFormat="false" ht="15" hidden="false" customHeight="true" outlineLevel="0" collapsed="false">
      <c r="A51" s="3" t="str">
        <f aca="false">Settings!H5</f>
        <v>Equipment</v>
      </c>
      <c r="B51" s="22" t="n">
        <f aca="false">IF(A51="",0,SUMIFS(Fixed_Costs!$D$2:$D$501,Fixed_Costs!$B$2:$B$501,A51,Fixed_Costs!$A$2:$A$501,"&gt;="&amp;DATE(Settings!$B$9,1,1),Fixed_Costs!$A$2:$A$501,"&lt;"&amp;DATE(Settings!$B$9+1,1,1)))</f>
        <v>30000</v>
      </c>
      <c r="C51" s="3"/>
      <c r="D51" s="3"/>
    </row>
    <row r="52" customFormat="false" ht="15" hidden="false" customHeight="true" outlineLevel="0" collapsed="false">
      <c r="A52" s="3" t="str">
        <f aca="false">Settings!H6</f>
        <v>Repair</v>
      </c>
      <c r="B52" s="22" t="n">
        <f aca="false">IF(A52="",0,SUMIFS(Fixed_Costs!$D$2:$D$501,Fixed_Costs!$B$2:$B$501,A52,Fixed_Costs!$A$2:$A$501,"&gt;="&amp;DATE(Settings!$B$9,1,1),Fixed_Costs!$A$2:$A$501,"&lt;"&amp;DATE(Settings!$B$9+1,1,1)))</f>
        <v>0</v>
      </c>
      <c r="C52" s="3"/>
      <c r="D52" s="3"/>
    </row>
    <row r="53" customFormat="false" ht="15" hidden="false" customHeight="true" outlineLevel="0" collapsed="false">
      <c r="A53" s="3" t="str">
        <f aca="false">Settings!H7</f>
        <v>Materials</v>
      </c>
      <c r="B53" s="22" t="n">
        <f aca="false">IF(A53="",0,SUMIFS(Fixed_Costs!$D$2:$D$501,Fixed_Costs!$B$2:$B$501,A53,Fixed_Costs!$A$2:$A$501,"&gt;="&amp;DATE(Settings!$B$9,1,1),Fixed_Costs!$A$2:$A$501,"&lt;"&amp;DATE(Settings!$B$9+1,1,1)))</f>
        <v>8000</v>
      </c>
      <c r="C53" s="3"/>
      <c r="D53" s="3"/>
    </row>
    <row r="54" customFormat="false" ht="15" hidden="false" customHeight="true" outlineLevel="0" collapsed="false">
      <c r="A54" s="3" t="str">
        <f aca="false">Settings!H8</f>
        <v>Other</v>
      </c>
      <c r="B54" s="22" t="n">
        <f aca="false">IF(A54="",0,SUMIFS(Fixed_Costs!$D$2:$D$501,Fixed_Costs!$B$2:$B$501,A54,Fixed_Costs!$A$2:$A$501,"&gt;="&amp;DATE(Settings!$B$9,1,1),Fixed_Costs!$A$2:$A$501,"&lt;"&amp;DATE(Settings!$B$9+1,1,1)))</f>
        <v>0</v>
      </c>
      <c r="C54" s="3"/>
      <c r="D5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2026-10-21T19:07:36Z</dcterms:created>
  <dc:creator>openpyxl</dc:creator>
  <dc:description/>
  <dc:language>en-US</dc:language>
  <cp:lastModifiedBy/>
  <dcterms:modified xsi:type="dcterms:W3CDTF">2026-10-23T04:34:26Z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